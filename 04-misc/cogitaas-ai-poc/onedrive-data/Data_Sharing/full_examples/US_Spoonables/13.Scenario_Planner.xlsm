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bb738e162fc62d52/SP/"/>
    </mc:Choice>
  </mc:AlternateContent>
  <xr:revisionPtr revIDLastSave="5638" documentId="8_{B46129A6-7B4E-4EE9-B106-9D456BC2EC15}" xr6:coauthVersionLast="47" xr6:coauthVersionMax="47" xr10:uidLastSave="{9AF2B29D-68C0-4BA1-8110-E939A04F6913}"/>
  <bookViews>
    <workbookView xWindow="-108" yWindow="-108" windowWidth="23256" windowHeight="12456" activeTab="2" xr2:uid="{C337FDD6-0263-4D56-801A-79B77270D516}"/>
  </bookViews>
  <sheets>
    <sheet name="Input - US Food" sheetId="1" r:id="rId1"/>
    <sheet name="Calculations - US Food" sheetId="2" r:id="rId2"/>
    <sheet name="US Food" sheetId="3" r:id="rId3"/>
    <sheet name="Input - Target" sheetId="4" r:id="rId4"/>
    <sheet name="Calculations - Target" sheetId="5" r:id="rId5"/>
    <sheet name="Target" sheetId="6" r:id="rId6"/>
    <sheet name="Input - Walmart" sheetId="8" r:id="rId7"/>
    <sheet name="Calculations - Walmart" sheetId="7" r:id="rId8"/>
    <sheet name="Walmart" sheetId="9" r:id="rId9"/>
  </sheets>
  <definedNames>
    <definedName name="_xlnm._FilterDatabase" localSheetId="1" hidden="1">'Calculations - US Food'!$B$29:$BE$229</definedName>
    <definedName name="_xlnm._FilterDatabase" localSheetId="3" hidden="1">'Input - Target'!$C$2:$J$200</definedName>
    <definedName name="_xlnm._FilterDatabase" localSheetId="0" hidden="1">'Input - US Food'!$C$2:$J$200</definedName>
    <definedName name="_xlnm._FilterDatabase" localSheetId="6" hidden="1">'Input - Walmart'!$C$2:$J$200</definedName>
    <definedName name="_xleta.N" hidden="1" xlm="1">#NAME?</definedName>
    <definedName name="_xleta.SUM" hidden="1" xlm="1">#NAME?</definedName>
    <definedName name="_xleta.T" hidden="1" xlm="1">#NAME?</definedName>
    <definedName name="Final_CSF_ch1">OFFSET('Calculations - US Food'!$AX$4,0,0,COUNTA('Calculations - US Food'!$AX$4:$AX$23)-COUNTBLANK('Calculations - US Food'!$AX$4:$AX$23),1)</definedName>
    <definedName name="Final_CSF_ch2">OFFSET('Calculations - Target'!$AX$4,0,0,COUNTA('Calculations - Target'!$AX$4:$AX$23)-COUNTBLANK('Calculations - Target'!$AX$4:$AX$23),1)</definedName>
    <definedName name="Final_CSF_ch3">OFFSET('Calculations - Walmart'!$AX$4,0,0,COUNTA('Calculations - Walmart'!$AX$4:$AX$23)-COUNTBLANK('Calculations - Walmart'!$AX$4:$AX$23),1)</definedName>
    <definedName name="Graph_Brand_List_ch1">OFFSET('Calculations - US Food'!$F$4,0,0,COUNTA('Calculations - US Food'!$F$4:$F$23)-COUNTBLANK('Calculations - US Food'!$F$4:$F$23),1)</definedName>
    <definedName name="Graph_Brand_List_ch2">OFFSET('Calculations - Target'!$F$4,0,0,COUNTA('Calculations - Target'!$F$4:$F$23)-COUNTBLANK('Calculations - Target'!$F$4:$F$23),1)</definedName>
    <definedName name="Graph_Brand_List_ch3">OFFSET('Calculations - Walmart'!$F$4,0,0,COUNTA('Calculations - Walmart'!$F$4:$F$23)-COUNTBLANK('Calculations - Walmart'!$F$4:$F$23),1)</definedName>
    <definedName name="Graph_colour_ch1">OFFSET('Calculations - US Food'!$B$4,0,0,COUNTA('Calculations - US Food'!$B$4:$B$23)-COUNTBLANK('Calculations - US Food'!$B$4:$B$23),1)</definedName>
    <definedName name="Graph_colour_ch2">OFFSET('Calculations - Target'!$B$4,0,0,COUNTA('Calculations - Target'!$B$4:$B$23)-COUNTBLANK('Calculations - Target'!$B$4:$B$23),1)</definedName>
    <definedName name="Graph_colour_ch3">OFFSET('Calculations - Walmart'!$B$4,0,0,COUNTA('Calculations - Walmart'!$B$4:$B$23)-COUNTBLANK('Calculations - Walmart'!$B$4:$B$23),1)</definedName>
    <definedName name="Graph_Final_MSP_ch1">OFFSET('Calculations - US Food'!$AS$4,0,0,COUNTA('Calculations - US Food'!$AS$4:$AS$23)-COUNTBLANK('Calculations - US Food'!$AS$4:$AS$23),1)</definedName>
    <definedName name="Graph_Final_MSP_ch2">OFFSET('Calculations - Target'!$AS$4,0,0,COUNTA('Calculations - Target'!$AS$4:$AS$23)-COUNTBLANK('Calculations - Target'!$AS$4:$AS$23),1)</definedName>
    <definedName name="Graph_Final_MSP_ch3">OFFSET('Calculations - Walmart'!$AS$4,0,0,COUNTA('Calculations - Walmart'!$AS$4:$AS$23)-COUNTBLANK('Calculations - Walmart'!$AS$4:$AS$23),1)</definedName>
    <definedName name="Graph_MS_Do_Nothing_ch1">OFFSET('Calculations - US Food'!$Y$4,0,0,COUNTA('Calculations - US Food'!$Y$4:$Y$23)-COUNTBLANK('Calculations - US Food'!$Y$4:$Y$23),1)</definedName>
    <definedName name="Graph_MS_Do_Nothing_ch2">OFFSET('Calculations - Target'!$Y$4,0,0,COUNTA('Calculations - Target'!$Y$4:$Y$23)-COUNTBLANK('Calculations - Target'!$Y$4:$Y$23),1)</definedName>
    <definedName name="Graph_MS_Do_Nothing_ch3">OFFSET('Calculations - Walmart'!$Y$4,0,0,COUNTA('Calculations - Walmart'!$Y$4:$Y$23)-COUNTBLANK('Calculations - Walmart'!$Y$4:$Y$23),1)</definedName>
    <definedName name="Graph_MS_Final_ch1">OFFSET('Calculations - US Food'!$AR$4,0,0,COUNTA('Calculations - US Food'!$AR$4:$AR$23)-COUNTBLANK('Calculations - US Food'!$AR$4:$AR$23),1)</definedName>
    <definedName name="Graph_MS_Final_ch2">OFFSET('Calculations - Target'!$AR$4,0,0,COUNTA('Calculations - Target'!$AR$4:$AR$23)-COUNTBLANK('Calculations - Target'!$AR$4:$AR$23),1)</definedName>
    <definedName name="Graph_MS_Final_ch3">OFFSET('Calculations - Walmart'!$AR$4,0,0,COUNTA('Calculations - Walmart'!$AR$4:$AR$23)-COUNTBLANK('Calculations - Walmart'!$AR$4:$AR$23),1)</definedName>
    <definedName name="Graph_MS_Initial_c1">OFFSET('Calculations - US Food'!$P$4,0,0,COUNTA('Calculations - US Food'!$P$4:$P$23)-COUNTBLANK('Calculations - US Food'!$P$4:$P$23),1)</definedName>
    <definedName name="Graph_MS_Initial_c3">OFFSET('Calculations - Walmart'!$P$4,0,0,COUNTA('Calculations - Walmart'!$P$4:$P$23)-COUNTBLANK('Calculations - Walmart'!$P$4:$P$23),1)</definedName>
    <definedName name="Graph_MS_Initial_ch2">OFFSET('Calculations - Target'!$P$4,0,0,COUNTA('Calculations - Target'!$P$4:$P$23)-COUNTBLANK('Calculations - Target'!$P$4:$P$23),1)</definedName>
    <definedName name="Initial_CSF_ch1">OFFSET('Calculations - US Food'!$I$4,0,0,COUNTA('Calculations - US Food'!$I$4:$I$23)-COUNTBLANK('Calculations - US Food'!$I$4:$I$23),1)</definedName>
    <definedName name="Initial_CSF_ch2">OFFSET('Calculations - Target'!$I$4,0,0,COUNTA('Calculations - Target'!$I$4:$I$23)-COUNTBLANK('Calculations - Target'!$I$4:$I$23),1)</definedName>
    <definedName name="Initial_CSF_ch3">OFFSET('Calculations - Walmart'!$I$4,0,0,COUNTA('Calculations - Walmart'!$I$4:$I$23)-COUNTBLANK('Calculations - Walmart'!$I$4:$I$23),1)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90" i="3" l="1"/>
  <c r="R89" i="3"/>
  <c r="R88" i="3"/>
  <c r="R87" i="3"/>
  <c r="R86" i="3"/>
  <c r="R85" i="3"/>
  <c r="R80" i="3"/>
  <c r="R79" i="3"/>
  <c r="R78" i="3"/>
  <c r="R73" i="3"/>
  <c r="R72" i="3"/>
  <c r="R71" i="3"/>
  <c r="R69" i="3"/>
  <c r="R68" i="3"/>
  <c r="R67" i="3"/>
  <c r="R66" i="3"/>
  <c r="R65" i="3"/>
  <c r="R60" i="3"/>
  <c r="R58" i="3"/>
  <c r="R57" i="3"/>
  <c r="R56" i="3"/>
  <c r="R55" i="3"/>
  <c r="R54" i="3"/>
  <c r="R53" i="3"/>
  <c r="R52" i="3"/>
  <c r="R47" i="3"/>
  <c r="R46" i="3"/>
  <c r="R44" i="3"/>
  <c r="R43" i="3"/>
  <c r="R42" i="3"/>
  <c r="R41" i="3"/>
  <c r="R40" i="3"/>
  <c r="R39" i="3"/>
  <c r="R38" i="3"/>
  <c r="R33" i="3"/>
  <c r="R32" i="3"/>
  <c r="R31" i="3"/>
  <c r="R30" i="3"/>
  <c r="R29" i="3"/>
  <c r="R28" i="3"/>
  <c r="R23" i="3"/>
  <c r="AH37" i="2" s="1"/>
  <c r="R22" i="3"/>
  <c r="R21" i="3"/>
  <c r="R19" i="3"/>
  <c r="R18" i="3"/>
  <c r="R17" i="3"/>
  <c r="R16" i="3"/>
  <c r="R15" i="3"/>
  <c r="R14" i="3"/>
  <c r="AH36" i="2"/>
  <c r="AH35" i="2"/>
  <c r="R20" i="3"/>
  <c r="AA28" i="2"/>
  <c r="L52" i="1"/>
  <c r="K52" i="1"/>
  <c r="Y4" i="1"/>
  <c r="Y5" i="1"/>
  <c r="Y6" i="1"/>
  <c r="Y7" i="1"/>
  <c r="Y8" i="1"/>
  <c r="Y9" i="1"/>
  <c r="Y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3" i="1"/>
  <c r="R85" i="9"/>
  <c r="R84" i="9"/>
  <c r="R83" i="9"/>
  <c r="R82" i="9"/>
  <c r="R81" i="9"/>
  <c r="R80" i="9"/>
  <c r="R75" i="9"/>
  <c r="R74" i="9"/>
  <c r="R73" i="9"/>
  <c r="R68" i="9"/>
  <c r="R67" i="9"/>
  <c r="R66" i="9"/>
  <c r="R65" i="9"/>
  <c r="R64" i="9"/>
  <c r="R59" i="9"/>
  <c r="R57" i="9"/>
  <c r="R56" i="9"/>
  <c r="R55" i="9"/>
  <c r="R54" i="9"/>
  <c r="R53" i="9"/>
  <c r="R52" i="9"/>
  <c r="R47" i="9"/>
  <c r="R46" i="9"/>
  <c r="R44" i="9"/>
  <c r="R43" i="9"/>
  <c r="R42" i="9"/>
  <c r="R41" i="9"/>
  <c r="R40" i="9"/>
  <c r="R39" i="9"/>
  <c r="R38" i="9"/>
  <c r="R33" i="9"/>
  <c r="R32" i="9"/>
  <c r="R31" i="9"/>
  <c r="R30" i="9"/>
  <c r="R29" i="9"/>
  <c r="R28" i="9"/>
  <c r="R23" i="9"/>
  <c r="R22" i="9"/>
  <c r="R21" i="9"/>
  <c r="R19" i="9"/>
  <c r="R18" i="9"/>
  <c r="R17" i="9"/>
  <c r="R16" i="9"/>
  <c r="R15" i="9"/>
  <c r="R14" i="9"/>
  <c r="R63" i="6"/>
  <c r="R62" i="6"/>
  <c r="R61" i="6"/>
  <c r="R60" i="6"/>
  <c r="R55" i="6"/>
  <c r="R54" i="6"/>
  <c r="R53" i="6"/>
  <c r="R52" i="6"/>
  <c r="R47" i="6"/>
  <c r="R46" i="6"/>
  <c r="R45" i="6"/>
  <c r="R40" i="6"/>
  <c r="R38" i="6"/>
  <c r="R37" i="6"/>
  <c r="R36" i="6"/>
  <c r="R35" i="6"/>
  <c r="R34" i="6"/>
  <c r="R33" i="6"/>
  <c r="R28" i="6"/>
  <c r="R27" i="6"/>
  <c r="R26" i="6"/>
  <c r="R25" i="6"/>
  <c r="R20" i="6"/>
  <c r="R19" i="6"/>
  <c r="R18" i="6"/>
  <c r="R16" i="6"/>
  <c r="R15" i="6"/>
  <c r="R14" i="6"/>
  <c r="BE29" i="7"/>
  <c r="BD29" i="7"/>
  <c r="BC29" i="7"/>
  <c r="BE29" i="5"/>
  <c r="BD29" i="5"/>
  <c r="BC29" i="5"/>
  <c r="BE29" i="2"/>
  <c r="BD29" i="2"/>
  <c r="BC29" i="2"/>
  <c r="M52" i="1" l="1"/>
  <c r="P200" i="8"/>
  <c r="B200" i="8"/>
  <c r="P199" i="8"/>
  <c r="B199" i="8"/>
  <c r="P198" i="8"/>
  <c r="B198" i="8"/>
  <c r="P197" i="8"/>
  <c r="B197" i="8"/>
  <c r="P196" i="8"/>
  <c r="B196" i="8"/>
  <c r="P195" i="8"/>
  <c r="B195" i="8"/>
  <c r="P194" i="8"/>
  <c r="B194" i="8"/>
  <c r="P193" i="8"/>
  <c r="B193" i="8"/>
  <c r="P192" i="8"/>
  <c r="B192" i="8"/>
  <c r="P191" i="8"/>
  <c r="B191" i="8"/>
  <c r="P190" i="8"/>
  <c r="B190" i="8"/>
  <c r="P189" i="8"/>
  <c r="B189" i="8"/>
  <c r="P188" i="8"/>
  <c r="B188" i="8"/>
  <c r="P187" i="8"/>
  <c r="B187" i="8"/>
  <c r="P186" i="8"/>
  <c r="B186" i="8"/>
  <c r="P185" i="8"/>
  <c r="B185" i="8"/>
  <c r="P184" i="8"/>
  <c r="B184" i="8"/>
  <c r="P183" i="8"/>
  <c r="B183" i="8"/>
  <c r="P182" i="8"/>
  <c r="B182" i="8"/>
  <c r="P181" i="8"/>
  <c r="B181" i="8"/>
  <c r="P180" i="8"/>
  <c r="B180" i="8"/>
  <c r="P179" i="8"/>
  <c r="B179" i="8"/>
  <c r="P178" i="8"/>
  <c r="B178" i="8"/>
  <c r="P177" i="8"/>
  <c r="B177" i="8"/>
  <c r="P176" i="8"/>
  <c r="B176" i="8"/>
  <c r="P175" i="8"/>
  <c r="B175" i="8"/>
  <c r="P174" i="8"/>
  <c r="B174" i="8"/>
  <c r="P173" i="8"/>
  <c r="B173" i="8"/>
  <c r="P172" i="8"/>
  <c r="B172" i="8"/>
  <c r="P171" i="8"/>
  <c r="B171" i="8"/>
  <c r="P170" i="8"/>
  <c r="B170" i="8"/>
  <c r="P169" i="8"/>
  <c r="B169" i="8"/>
  <c r="P168" i="8"/>
  <c r="B168" i="8"/>
  <c r="P167" i="8"/>
  <c r="B167" i="8"/>
  <c r="P166" i="8"/>
  <c r="B166" i="8"/>
  <c r="P165" i="8"/>
  <c r="B165" i="8"/>
  <c r="P164" i="8"/>
  <c r="B164" i="8"/>
  <c r="P163" i="8"/>
  <c r="B163" i="8"/>
  <c r="P162" i="8"/>
  <c r="B162" i="8"/>
  <c r="P161" i="8"/>
  <c r="B161" i="8"/>
  <c r="P160" i="8"/>
  <c r="B160" i="8"/>
  <c r="P159" i="8"/>
  <c r="B159" i="8"/>
  <c r="P158" i="8"/>
  <c r="B158" i="8"/>
  <c r="P157" i="8"/>
  <c r="B157" i="8"/>
  <c r="P156" i="8"/>
  <c r="B156" i="8"/>
  <c r="P155" i="8"/>
  <c r="B155" i="8"/>
  <c r="P154" i="8"/>
  <c r="B154" i="8"/>
  <c r="P153" i="8"/>
  <c r="B153" i="8"/>
  <c r="P152" i="8"/>
  <c r="B152" i="8"/>
  <c r="P151" i="8"/>
  <c r="B151" i="8"/>
  <c r="P150" i="8"/>
  <c r="B150" i="8"/>
  <c r="P149" i="8"/>
  <c r="B149" i="8"/>
  <c r="P148" i="8"/>
  <c r="B148" i="8"/>
  <c r="P147" i="8"/>
  <c r="B147" i="8"/>
  <c r="P146" i="8"/>
  <c r="B146" i="8"/>
  <c r="P145" i="8"/>
  <c r="B145" i="8"/>
  <c r="P144" i="8"/>
  <c r="B144" i="8"/>
  <c r="P143" i="8"/>
  <c r="B143" i="8"/>
  <c r="P142" i="8"/>
  <c r="B142" i="8"/>
  <c r="P141" i="8"/>
  <c r="B141" i="8"/>
  <c r="P140" i="8"/>
  <c r="B140" i="8"/>
  <c r="P139" i="8"/>
  <c r="B139" i="8"/>
  <c r="P138" i="8"/>
  <c r="B138" i="8"/>
  <c r="P137" i="8"/>
  <c r="B137" i="8"/>
  <c r="P136" i="8"/>
  <c r="B136" i="8"/>
  <c r="P135" i="8"/>
  <c r="B135" i="8"/>
  <c r="P134" i="8"/>
  <c r="B134" i="8"/>
  <c r="P133" i="8"/>
  <c r="B133" i="8"/>
  <c r="P132" i="8"/>
  <c r="B132" i="8"/>
  <c r="P131" i="8"/>
  <c r="B131" i="8"/>
  <c r="P130" i="8"/>
  <c r="B130" i="8"/>
  <c r="P129" i="8"/>
  <c r="B129" i="8"/>
  <c r="P128" i="8"/>
  <c r="B128" i="8"/>
  <c r="P127" i="8"/>
  <c r="B127" i="8"/>
  <c r="P126" i="8"/>
  <c r="B126" i="8"/>
  <c r="P125" i="8"/>
  <c r="B125" i="8"/>
  <c r="P124" i="8"/>
  <c r="B124" i="8"/>
  <c r="P123" i="8"/>
  <c r="B123" i="8"/>
  <c r="P122" i="8"/>
  <c r="B122" i="8"/>
  <c r="P121" i="8"/>
  <c r="B121" i="8"/>
  <c r="P120" i="8"/>
  <c r="B120" i="8"/>
  <c r="P119" i="8"/>
  <c r="B119" i="8"/>
  <c r="P118" i="8"/>
  <c r="B118" i="8"/>
  <c r="P117" i="8"/>
  <c r="B117" i="8"/>
  <c r="P116" i="8"/>
  <c r="B116" i="8"/>
  <c r="P115" i="8"/>
  <c r="B115" i="8"/>
  <c r="P114" i="8"/>
  <c r="B114" i="8"/>
  <c r="P113" i="8"/>
  <c r="B113" i="8"/>
  <c r="P112" i="8"/>
  <c r="B112" i="8"/>
  <c r="P111" i="8"/>
  <c r="B111" i="8"/>
  <c r="P110" i="8"/>
  <c r="B110" i="8"/>
  <c r="P109" i="8"/>
  <c r="B109" i="8"/>
  <c r="P108" i="8"/>
  <c r="B108" i="8"/>
  <c r="P107" i="8"/>
  <c r="B107" i="8"/>
  <c r="P106" i="8"/>
  <c r="B106" i="8"/>
  <c r="P105" i="8"/>
  <c r="B105" i="8"/>
  <c r="P104" i="8"/>
  <c r="B104" i="8"/>
  <c r="P103" i="8"/>
  <c r="B103" i="8"/>
  <c r="P102" i="8"/>
  <c r="B102" i="8"/>
  <c r="P101" i="8"/>
  <c r="B101" i="8"/>
  <c r="P100" i="8"/>
  <c r="B100" i="8"/>
  <c r="P99" i="8"/>
  <c r="B99" i="8"/>
  <c r="P98" i="8"/>
  <c r="B98" i="8"/>
  <c r="P97" i="8"/>
  <c r="B97" i="8"/>
  <c r="P96" i="8"/>
  <c r="B96" i="8"/>
  <c r="P95" i="8"/>
  <c r="B95" i="8"/>
  <c r="P94" i="8"/>
  <c r="B94" i="8"/>
  <c r="P93" i="8"/>
  <c r="B93" i="8"/>
  <c r="P92" i="8"/>
  <c r="B92" i="8"/>
  <c r="P91" i="8"/>
  <c r="B91" i="8"/>
  <c r="P90" i="8"/>
  <c r="B90" i="8"/>
  <c r="P89" i="8"/>
  <c r="B89" i="8"/>
  <c r="P88" i="8"/>
  <c r="B88" i="8"/>
  <c r="P87" i="8"/>
  <c r="B87" i="8"/>
  <c r="P86" i="8"/>
  <c r="B86" i="8"/>
  <c r="P85" i="8"/>
  <c r="B85" i="8"/>
  <c r="P84" i="8"/>
  <c r="B84" i="8"/>
  <c r="P83" i="8"/>
  <c r="B83" i="8"/>
  <c r="P82" i="8"/>
  <c r="B82" i="8"/>
  <c r="P81" i="8"/>
  <c r="B81" i="8"/>
  <c r="P80" i="8"/>
  <c r="B80" i="8"/>
  <c r="P79" i="8"/>
  <c r="B79" i="8"/>
  <c r="P78" i="8"/>
  <c r="B78" i="8"/>
  <c r="P77" i="8"/>
  <c r="B77" i="8"/>
  <c r="P76" i="8"/>
  <c r="B76" i="8"/>
  <c r="P75" i="8"/>
  <c r="B75" i="8"/>
  <c r="P74" i="8"/>
  <c r="B74" i="8"/>
  <c r="P73" i="8"/>
  <c r="B73" i="8"/>
  <c r="P72" i="8"/>
  <c r="B72" i="8"/>
  <c r="P71" i="8"/>
  <c r="B71" i="8"/>
  <c r="P70" i="8"/>
  <c r="B70" i="8"/>
  <c r="P69" i="8"/>
  <c r="B69" i="8"/>
  <c r="P68" i="8"/>
  <c r="B68" i="8"/>
  <c r="P67" i="8"/>
  <c r="B67" i="8"/>
  <c r="P66" i="8"/>
  <c r="B66" i="8"/>
  <c r="P65" i="8"/>
  <c r="B65" i="8"/>
  <c r="P64" i="8"/>
  <c r="B64" i="8"/>
  <c r="P63" i="8"/>
  <c r="B63" i="8"/>
  <c r="P62" i="8"/>
  <c r="B62" i="8"/>
  <c r="P61" i="8"/>
  <c r="B61" i="8"/>
  <c r="P60" i="8"/>
  <c r="B60" i="8"/>
  <c r="P59" i="8"/>
  <c r="B59" i="8"/>
  <c r="P58" i="8"/>
  <c r="B58" i="8"/>
  <c r="P57" i="8"/>
  <c r="B57" i="8"/>
  <c r="P56" i="8"/>
  <c r="B56" i="8"/>
  <c r="P55" i="8"/>
  <c r="B55" i="8"/>
  <c r="P54" i="8"/>
  <c r="B54" i="8"/>
  <c r="P53" i="8"/>
  <c r="B53" i="8"/>
  <c r="P52" i="8"/>
  <c r="B52" i="8"/>
  <c r="P51" i="8"/>
  <c r="B51" i="8"/>
  <c r="P50" i="8"/>
  <c r="B50" i="8"/>
  <c r="P49" i="8"/>
  <c r="B49" i="8"/>
  <c r="P48" i="8"/>
  <c r="B48" i="8"/>
  <c r="P47" i="8"/>
  <c r="B47" i="8"/>
  <c r="P46" i="8"/>
  <c r="B46" i="8"/>
  <c r="P45" i="8"/>
  <c r="B45" i="8"/>
  <c r="P44" i="8"/>
  <c r="B44" i="8"/>
  <c r="P43" i="8"/>
  <c r="B43" i="8"/>
  <c r="P42" i="8"/>
  <c r="B42" i="8"/>
  <c r="P41" i="8"/>
  <c r="B41" i="8"/>
  <c r="P40" i="8"/>
  <c r="B40" i="8"/>
  <c r="P39" i="8"/>
  <c r="B39" i="8"/>
  <c r="P38" i="8"/>
  <c r="B38" i="8"/>
  <c r="P37" i="8"/>
  <c r="B37" i="8"/>
  <c r="P36" i="8"/>
  <c r="B36" i="8"/>
  <c r="P35" i="8"/>
  <c r="B35" i="8"/>
  <c r="P34" i="8"/>
  <c r="B34" i="8"/>
  <c r="P33" i="8"/>
  <c r="B33" i="8"/>
  <c r="P32" i="8"/>
  <c r="B32" i="8"/>
  <c r="P31" i="8"/>
  <c r="B31" i="8"/>
  <c r="P30" i="8"/>
  <c r="B30" i="8"/>
  <c r="P29" i="8"/>
  <c r="B29" i="8"/>
  <c r="P28" i="8"/>
  <c r="B28" i="8"/>
  <c r="P27" i="8"/>
  <c r="B27" i="8"/>
  <c r="P26" i="8"/>
  <c r="B26" i="8"/>
  <c r="P25" i="8"/>
  <c r="B25" i="8"/>
  <c r="P24" i="8"/>
  <c r="B24" i="8"/>
  <c r="P23" i="8"/>
  <c r="B23" i="8"/>
  <c r="P22" i="8"/>
  <c r="B22" i="8"/>
  <c r="P21" i="8"/>
  <c r="B21" i="8"/>
  <c r="P20" i="8"/>
  <c r="B20" i="8"/>
  <c r="P19" i="8"/>
  <c r="B19" i="8"/>
  <c r="P18" i="8"/>
  <c r="B18" i="8"/>
  <c r="P17" i="8"/>
  <c r="B17" i="8"/>
  <c r="P16" i="8"/>
  <c r="B16" i="8"/>
  <c r="P15" i="8"/>
  <c r="B15" i="8"/>
  <c r="P14" i="8"/>
  <c r="B14" i="8"/>
  <c r="P13" i="8"/>
  <c r="B13" i="8"/>
  <c r="P12" i="8"/>
  <c r="B12" i="8"/>
  <c r="P11" i="8"/>
  <c r="B11" i="8"/>
  <c r="P10" i="8"/>
  <c r="B10" i="8"/>
  <c r="P9" i="8"/>
  <c r="B9" i="8"/>
  <c r="P8" i="8"/>
  <c r="B8" i="8"/>
  <c r="P7" i="8"/>
  <c r="B7" i="8"/>
  <c r="P6" i="8"/>
  <c r="B6" i="8"/>
  <c r="P5" i="8"/>
  <c r="B5" i="8"/>
  <c r="J118" i="7" s="1"/>
  <c r="P4" i="8"/>
  <c r="B4" i="8"/>
  <c r="Z3" i="8" a="1"/>
  <c r="F10" i="7" s="1"/>
  <c r="P3" i="8"/>
  <c r="I22" i="7" s="1"/>
  <c r="B3" i="8"/>
  <c r="D229" i="7"/>
  <c r="C229" i="7"/>
  <c r="B229" i="7"/>
  <c r="D228" i="7"/>
  <c r="C228" i="7"/>
  <c r="B228" i="7"/>
  <c r="D227" i="7"/>
  <c r="C227" i="7"/>
  <c r="B227" i="7"/>
  <c r="D226" i="7"/>
  <c r="C226" i="7"/>
  <c r="B226" i="7"/>
  <c r="D225" i="7"/>
  <c r="C225" i="7"/>
  <c r="B225" i="7"/>
  <c r="D224" i="7"/>
  <c r="C224" i="7"/>
  <c r="B224" i="7"/>
  <c r="D223" i="7"/>
  <c r="C223" i="7"/>
  <c r="B223" i="7"/>
  <c r="D222" i="7"/>
  <c r="C222" i="7"/>
  <c r="B222" i="7"/>
  <c r="D221" i="7"/>
  <c r="C221" i="7"/>
  <c r="B221" i="7"/>
  <c r="D220" i="7"/>
  <c r="C220" i="7"/>
  <c r="B220" i="7"/>
  <c r="D219" i="7"/>
  <c r="C219" i="7"/>
  <c r="B219" i="7"/>
  <c r="D218" i="7"/>
  <c r="C218" i="7"/>
  <c r="B218" i="7"/>
  <c r="D217" i="7"/>
  <c r="C217" i="7"/>
  <c r="B217" i="7"/>
  <c r="D216" i="7"/>
  <c r="C216" i="7"/>
  <c r="B216" i="7"/>
  <c r="D215" i="7"/>
  <c r="C215" i="7"/>
  <c r="B215" i="7"/>
  <c r="D214" i="7"/>
  <c r="C214" i="7"/>
  <c r="B214" i="7"/>
  <c r="D213" i="7"/>
  <c r="C213" i="7"/>
  <c r="B213" i="7"/>
  <c r="D212" i="7"/>
  <c r="C212" i="7"/>
  <c r="B212" i="7"/>
  <c r="D211" i="7"/>
  <c r="C211" i="7"/>
  <c r="B211" i="7"/>
  <c r="D210" i="7"/>
  <c r="C210" i="7"/>
  <c r="B210" i="7"/>
  <c r="D209" i="7"/>
  <c r="C209" i="7"/>
  <c r="B209" i="7"/>
  <c r="D208" i="7"/>
  <c r="C208" i="7"/>
  <c r="B208" i="7"/>
  <c r="D207" i="7"/>
  <c r="C207" i="7"/>
  <c r="B207" i="7"/>
  <c r="D206" i="7"/>
  <c r="C206" i="7"/>
  <c r="B206" i="7"/>
  <c r="D205" i="7"/>
  <c r="C205" i="7"/>
  <c r="B205" i="7"/>
  <c r="D204" i="7"/>
  <c r="C204" i="7"/>
  <c r="B204" i="7"/>
  <c r="D203" i="7"/>
  <c r="C203" i="7"/>
  <c r="B203" i="7"/>
  <c r="D202" i="7"/>
  <c r="C202" i="7"/>
  <c r="B202" i="7"/>
  <c r="D201" i="7"/>
  <c r="C201" i="7"/>
  <c r="B201" i="7"/>
  <c r="D200" i="7"/>
  <c r="C200" i="7"/>
  <c r="B200" i="7"/>
  <c r="D199" i="7"/>
  <c r="C199" i="7"/>
  <c r="B199" i="7"/>
  <c r="D198" i="7"/>
  <c r="C198" i="7"/>
  <c r="B198" i="7"/>
  <c r="D197" i="7"/>
  <c r="C197" i="7"/>
  <c r="B197" i="7"/>
  <c r="D196" i="7"/>
  <c r="C196" i="7"/>
  <c r="B196" i="7"/>
  <c r="D195" i="7"/>
  <c r="C195" i="7"/>
  <c r="B195" i="7"/>
  <c r="D194" i="7"/>
  <c r="C194" i="7"/>
  <c r="B194" i="7"/>
  <c r="D193" i="7"/>
  <c r="C193" i="7"/>
  <c r="B193" i="7"/>
  <c r="D192" i="7"/>
  <c r="C192" i="7"/>
  <c r="B192" i="7"/>
  <c r="D191" i="7"/>
  <c r="C191" i="7"/>
  <c r="B191" i="7"/>
  <c r="D190" i="7"/>
  <c r="C190" i="7"/>
  <c r="B190" i="7"/>
  <c r="D189" i="7"/>
  <c r="C189" i="7"/>
  <c r="B189" i="7"/>
  <c r="D188" i="7"/>
  <c r="C188" i="7"/>
  <c r="B188" i="7"/>
  <c r="D187" i="7"/>
  <c r="C187" i="7"/>
  <c r="B187" i="7"/>
  <c r="D186" i="7"/>
  <c r="C186" i="7"/>
  <c r="B186" i="7"/>
  <c r="D185" i="7"/>
  <c r="C185" i="7"/>
  <c r="B185" i="7"/>
  <c r="D184" i="7"/>
  <c r="C184" i="7"/>
  <c r="B184" i="7"/>
  <c r="D183" i="7"/>
  <c r="C183" i="7"/>
  <c r="B183" i="7"/>
  <c r="D182" i="7"/>
  <c r="C182" i="7"/>
  <c r="B182" i="7"/>
  <c r="D181" i="7"/>
  <c r="C181" i="7"/>
  <c r="B181" i="7"/>
  <c r="D180" i="7"/>
  <c r="C180" i="7"/>
  <c r="B180" i="7"/>
  <c r="J179" i="7"/>
  <c r="D179" i="7"/>
  <c r="C179" i="7"/>
  <c r="B179" i="7"/>
  <c r="D178" i="7"/>
  <c r="C178" i="7"/>
  <c r="B178" i="7"/>
  <c r="D177" i="7"/>
  <c r="C177" i="7"/>
  <c r="B177" i="7"/>
  <c r="D176" i="7"/>
  <c r="C176" i="7"/>
  <c r="B176" i="7"/>
  <c r="D175" i="7"/>
  <c r="C175" i="7"/>
  <c r="B175" i="7"/>
  <c r="D174" i="7"/>
  <c r="C174" i="7"/>
  <c r="B174" i="7"/>
  <c r="D173" i="7"/>
  <c r="C173" i="7"/>
  <c r="B173" i="7"/>
  <c r="D172" i="7"/>
  <c r="C172" i="7"/>
  <c r="B172" i="7"/>
  <c r="D171" i="7"/>
  <c r="C171" i="7"/>
  <c r="B171" i="7"/>
  <c r="D170" i="7"/>
  <c r="C170" i="7"/>
  <c r="B170" i="7"/>
  <c r="D169" i="7"/>
  <c r="C169" i="7"/>
  <c r="B169" i="7"/>
  <c r="D168" i="7"/>
  <c r="C168" i="7"/>
  <c r="B168" i="7"/>
  <c r="D167" i="7"/>
  <c r="C167" i="7"/>
  <c r="B167" i="7"/>
  <c r="D166" i="7"/>
  <c r="C166" i="7"/>
  <c r="B166" i="7"/>
  <c r="D165" i="7"/>
  <c r="C165" i="7"/>
  <c r="B165" i="7"/>
  <c r="D164" i="7"/>
  <c r="C164" i="7"/>
  <c r="B164" i="7"/>
  <c r="D163" i="7"/>
  <c r="C163" i="7"/>
  <c r="B163" i="7"/>
  <c r="D162" i="7"/>
  <c r="C162" i="7"/>
  <c r="B162" i="7"/>
  <c r="D161" i="7"/>
  <c r="C161" i="7"/>
  <c r="B161" i="7"/>
  <c r="D160" i="7"/>
  <c r="C160" i="7"/>
  <c r="B160" i="7"/>
  <c r="D159" i="7"/>
  <c r="C159" i="7"/>
  <c r="B159" i="7"/>
  <c r="D158" i="7"/>
  <c r="C158" i="7"/>
  <c r="B158" i="7"/>
  <c r="D157" i="7"/>
  <c r="C157" i="7"/>
  <c r="B157" i="7"/>
  <c r="D156" i="7"/>
  <c r="C156" i="7"/>
  <c r="B156" i="7"/>
  <c r="D155" i="7"/>
  <c r="C155" i="7"/>
  <c r="B155" i="7"/>
  <c r="D154" i="7"/>
  <c r="C154" i="7"/>
  <c r="B154" i="7"/>
  <c r="D153" i="7"/>
  <c r="C153" i="7"/>
  <c r="B153" i="7"/>
  <c r="D152" i="7"/>
  <c r="C152" i="7"/>
  <c r="B152" i="7"/>
  <c r="D151" i="7"/>
  <c r="C151" i="7"/>
  <c r="B151" i="7"/>
  <c r="D150" i="7"/>
  <c r="C150" i="7"/>
  <c r="B150" i="7"/>
  <c r="D149" i="7"/>
  <c r="C149" i="7"/>
  <c r="B149" i="7"/>
  <c r="D148" i="7"/>
  <c r="C148" i="7"/>
  <c r="B148" i="7"/>
  <c r="D147" i="7"/>
  <c r="C147" i="7"/>
  <c r="B147" i="7"/>
  <c r="D146" i="7"/>
  <c r="C146" i="7"/>
  <c r="B146" i="7"/>
  <c r="D145" i="7"/>
  <c r="C145" i="7"/>
  <c r="B145" i="7"/>
  <c r="D144" i="7"/>
  <c r="C144" i="7"/>
  <c r="B144" i="7"/>
  <c r="D143" i="7"/>
  <c r="C143" i="7"/>
  <c r="B143" i="7"/>
  <c r="D142" i="7"/>
  <c r="C142" i="7"/>
  <c r="B142" i="7"/>
  <c r="D141" i="7"/>
  <c r="C141" i="7"/>
  <c r="B141" i="7"/>
  <c r="D140" i="7"/>
  <c r="C140" i="7"/>
  <c r="B140" i="7"/>
  <c r="D139" i="7"/>
  <c r="C139" i="7"/>
  <c r="B139" i="7"/>
  <c r="D138" i="7"/>
  <c r="C138" i="7"/>
  <c r="B138" i="7"/>
  <c r="D137" i="7"/>
  <c r="C137" i="7"/>
  <c r="B137" i="7"/>
  <c r="D136" i="7"/>
  <c r="C136" i="7"/>
  <c r="B136" i="7"/>
  <c r="D135" i="7"/>
  <c r="C135" i="7"/>
  <c r="B135" i="7"/>
  <c r="D134" i="7"/>
  <c r="C134" i="7"/>
  <c r="B134" i="7"/>
  <c r="D133" i="7"/>
  <c r="C133" i="7"/>
  <c r="B133" i="7"/>
  <c r="N132" i="7"/>
  <c r="D132" i="7"/>
  <c r="C132" i="7"/>
  <c r="B132" i="7"/>
  <c r="D131" i="7"/>
  <c r="C131" i="7"/>
  <c r="B131" i="7"/>
  <c r="D130" i="7"/>
  <c r="C130" i="7"/>
  <c r="B130" i="7"/>
  <c r="D129" i="7"/>
  <c r="C129" i="7"/>
  <c r="B129" i="7"/>
  <c r="D128" i="7"/>
  <c r="C128" i="7"/>
  <c r="B128" i="7"/>
  <c r="D127" i="7"/>
  <c r="C127" i="7"/>
  <c r="B127" i="7"/>
  <c r="D126" i="7"/>
  <c r="C126" i="7"/>
  <c r="B126" i="7"/>
  <c r="D125" i="7"/>
  <c r="C125" i="7"/>
  <c r="B125" i="7"/>
  <c r="D124" i="7"/>
  <c r="C124" i="7"/>
  <c r="B124" i="7"/>
  <c r="D123" i="7"/>
  <c r="C123" i="7"/>
  <c r="B123" i="7"/>
  <c r="D122" i="7"/>
  <c r="C122" i="7"/>
  <c r="B122" i="7"/>
  <c r="D121" i="7"/>
  <c r="C121" i="7"/>
  <c r="B121" i="7"/>
  <c r="K120" i="7"/>
  <c r="D120" i="7"/>
  <c r="C120" i="7"/>
  <c r="B120" i="7"/>
  <c r="D119" i="7"/>
  <c r="C119" i="7"/>
  <c r="B119" i="7"/>
  <c r="D118" i="7"/>
  <c r="C118" i="7"/>
  <c r="B118" i="7"/>
  <c r="D117" i="7"/>
  <c r="C117" i="7"/>
  <c r="B117" i="7"/>
  <c r="D116" i="7"/>
  <c r="C116" i="7"/>
  <c r="B116" i="7"/>
  <c r="D115" i="7"/>
  <c r="C115" i="7"/>
  <c r="B115" i="7"/>
  <c r="D114" i="7"/>
  <c r="C114" i="7"/>
  <c r="B114" i="7"/>
  <c r="D113" i="7"/>
  <c r="C113" i="7"/>
  <c r="B113" i="7"/>
  <c r="D112" i="7"/>
  <c r="C112" i="7"/>
  <c r="B112" i="7"/>
  <c r="D111" i="7"/>
  <c r="C111" i="7"/>
  <c r="B111" i="7"/>
  <c r="D110" i="7"/>
  <c r="C110" i="7"/>
  <c r="B110" i="7"/>
  <c r="D109" i="7"/>
  <c r="C109" i="7"/>
  <c r="B109" i="7"/>
  <c r="D108" i="7"/>
  <c r="C108" i="7"/>
  <c r="B108" i="7"/>
  <c r="D107" i="7"/>
  <c r="C107" i="7"/>
  <c r="B107" i="7"/>
  <c r="D106" i="7"/>
  <c r="C106" i="7"/>
  <c r="B106" i="7"/>
  <c r="D105" i="7"/>
  <c r="C105" i="7"/>
  <c r="B105" i="7"/>
  <c r="D104" i="7"/>
  <c r="C104" i="7"/>
  <c r="B104" i="7"/>
  <c r="D103" i="7"/>
  <c r="C103" i="7"/>
  <c r="B103" i="7"/>
  <c r="D102" i="7"/>
  <c r="C102" i="7"/>
  <c r="B102" i="7"/>
  <c r="D101" i="7"/>
  <c r="C101" i="7"/>
  <c r="B101" i="7"/>
  <c r="D100" i="7"/>
  <c r="C100" i="7"/>
  <c r="B100" i="7"/>
  <c r="D99" i="7"/>
  <c r="C99" i="7"/>
  <c r="B99" i="7"/>
  <c r="D98" i="7"/>
  <c r="C98" i="7"/>
  <c r="B98" i="7"/>
  <c r="D97" i="7"/>
  <c r="C97" i="7"/>
  <c r="B97" i="7"/>
  <c r="D96" i="7"/>
  <c r="C96" i="7"/>
  <c r="B96" i="7"/>
  <c r="D95" i="7"/>
  <c r="C95" i="7"/>
  <c r="B95" i="7"/>
  <c r="D94" i="7"/>
  <c r="C94" i="7"/>
  <c r="B94" i="7"/>
  <c r="D93" i="7"/>
  <c r="C93" i="7"/>
  <c r="B93" i="7"/>
  <c r="D92" i="7"/>
  <c r="C92" i="7"/>
  <c r="B92" i="7"/>
  <c r="D91" i="7"/>
  <c r="C91" i="7"/>
  <c r="B91" i="7"/>
  <c r="D90" i="7"/>
  <c r="C90" i="7"/>
  <c r="B90" i="7"/>
  <c r="D89" i="7"/>
  <c r="C89" i="7"/>
  <c r="B89" i="7"/>
  <c r="D88" i="7"/>
  <c r="C88" i="7"/>
  <c r="B88" i="7"/>
  <c r="D87" i="7"/>
  <c r="C87" i="7"/>
  <c r="B87" i="7"/>
  <c r="D86" i="7"/>
  <c r="C86" i="7"/>
  <c r="B86" i="7"/>
  <c r="D85" i="7"/>
  <c r="C85" i="7"/>
  <c r="B85" i="7"/>
  <c r="D84" i="7"/>
  <c r="C84" i="7"/>
  <c r="B84" i="7"/>
  <c r="D83" i="7"/>
  <c r="C83" i="7"/>
  <c r="B83" i="7"/>
  <c r="D82" i="7"/>
  <c r="C82" i="7"/>
  <c r="B82" i="7"/>
  <c r="D81" i="7"/>
  <c r="C81" i="7"/>
  <c r="B81" i="7"/>
  <c r="D80" i="7"/>
  <c r="C80" i="7"/>
  <c r="B80" i="7"/>
  <c r="D79" i="7"/>
  <c r="C79" i="7"/>
  <c r="B79" i="7"/>
  <c r="D78" i="7"/>
  <c r="C78" i="7"/>
  <c r="B78" i="7"/>
  <c r="D77" i="7"/>
  <c r="C77" i="7"/>
  <c r="B77" i="7"/>
  <c r="D76" i="7"/>
  <c r="C76" i="7"/>
  <c r="B76" i="7"/>
  <c r="D75" i="7"/>
  <c r="C75" i="7"/>
  <c r="B75" i="7"/>
  <c r="D74" i="7"/>
  <c r="C74" i="7"/>
  <c r="B74" i="7"/>
  <c r="D73" i="7"/>
  <c r="C73" i="7"/>
  <c r="B73" i="7"/>
  <c r="D72" i="7"/>
  <c r="C72" i="7"/>
  <c r="B72" i="7"/>
  <c r="D71" i="7"/>
  <c r="C71" i="7"/>
  <c r="B71" i="7"/>
  <c r="D70" i="7"/>
  <c r="C70" i="7"/>
  <c r="B70" i="7"/>
  <c r="D69" i="7"/>
  <c r="C69" i="7"/>
  <c r="B69" i="7"/>
  <c r="D68" i="7"/>
  <c r="C68" i="7"/>
  <c r="B68" i="7"/>
  <c r="D67" i="7"/>
  <c r="C67" i="7"/>
  <c r="B67" i="7"/>
  <c r="D66" i="7"/>
  <c r="C66" i="7"/>
  <c r="B66" i="7"/>
  <c r="D65" i="7"/>
  <c r="C65" i="7"/>
  <c r="B65" i="7"/>
  <c r="D64" i="7"/>
  <c r="C64" i="7"/>
  <c r="B64" i="7"/>
  <c r="D63" i="7"/>
  <c r="C63" i="7"/>
  <c r="B63" i="7"/>
  <c r="D62" i="7"/>
  <c r="C62" i="7"/>
  <c r="B62" i="7"/>
  <c r="D61" i="7"/>
  <c r="C61" i="7"/>
  <c r="B61" i="7"/>
  <c r="D60" i="7"/>
  <c r="C60" i="7"/>
  <c r="B60" i="7"/>
  <c r="D59" i="7"/>
  <c r="C59" i="7"/>
  <c r="B59" i="7"/>
  <c r="D58" i="7"/>
  <c r="C58" i="7"/>
  <c r="B58" i="7"/>
  <c r="D57" i="7"/>
  <c r="C57" i="7"/>
  <c r="B57" i="7"/>
  <c r="D56" i="7"/>
  <c r="C56" i="7"/>
  <c r="B56" i="7"/>
  <c r="D55" i="7"/>
  <c r="C55" i="7"/>
  <c r="B55" i="7"/>
  <c r="D54" i="7"/>
  <c r="C54" i="7"/>
  <c r="B54" i="7"/>
  <c r="D53" i="7"/>
  <c r="C53" i="7"/>
  <c r="B53" i="7"/>
  <c r="D52" i="7"/>
  <c r="C52" i="7"/>
  <c r="B52" i="7"/>
  <c r="D51" i="7"/>
  <c r="C51" i="7"/>
  <c r="B51" i="7"/>
  <c r="D50" i="7"/>
  <c r="C50" i="7"/>
  <c r="B50" i="7"/>
  <c r="D49" i="7"/>
  <c r="C49" i="7"/>
  <c r="B49" i="7"/>
  <c r="D48" i="7"/>
  <c r="C48" i="7"/>
  <c r="B48" i="7"/>
  <c r="D47" i="7"/>
  <c r="C47" i="7"/>
  <c r="B47" i="7"/>
  <c r="D46" i="7"/>
  <c r="C46" i="7"/>
  <c r="B46" i="7"/>
  <c r="D45" i="7"/>
  <c r="C45" i="7"/>
  <c r="B45" i="7"/>
  <c r="D44" i="7"/>
  <c r="C44" i="7"/>
  <c r="B44" i="7"/>
  <c r="D43" i="7"/>
  <c r="C43" i="7"/>
  <c r="B43" i="7"/>
  <c r="D42" i="7"/>
  <c r="C42" i="7"/>
  <c r="B42" i="7"/>
  <c r="D41" i="7"/>
  <c r="C41" i="7"/>
  <c r="B41" i="7"/>
  <c r="D40" i="7"/>
  <c r="C40" i="7"/>
  <c r="B40" i="7"/>
  <c r="D39" i="7"/>
  <c r="C39" i="7"/>
  <c r="B39" i="7"/>
  <c r="D38" i="7"/>
  <c r="C38" i="7"/>
  <c r="B38" i="7"/>
  <c r="D37" i="7"/>
  <c r="C37" i="7"/>
  <c r="B37" i="7"/>
  <c r="D36" i="7"/>
  <c r="C36" i="7"/>
  <c r="B36" i="7"/>
  <c r="D35" i="7"/>
  <c r="C35" i="7"/>
  <c r="B35" i="7"/>
  <c r="D34" i="7"/>
  <c r="C34" i="7"/>
  <c r="B34" i="7"/>
  <c r="D33" i="7"/>
  <c r="C33" i="7"/>
  <c r="B33" i="7"/>
  <c r="D32" i="7"/>
  <c r="J32" i="7" s="1"/>
  <c r="C32" i="7"/>
  <c r="B32" i="7"/>
  <c r="L30" i="7"/>
  <c r="E30" i="7"/>
  <c r="B30" i="7" s="1"/>
  <c r="BB29" i="7"/>
  <c r="BA29" i="7"/>
  <c r="AZ29" i="7"/>
  <c r="AY29" i="7"/>
  <c r="AX29" i="7"/>
  <c r="AW29" i="7"/>
  <c r="AV29" i="7"/>
  <c r="AU29" i="7"/>
  <c r="AT29" i="7"/>
  <c r="AS29" i="7"/>
  <c r="AR29" i="7"/>
  <c r="AQ29" i="7"/>
  <c r="AP29" i="7"/>
  <c r="AO29" i="7"/>
  <c r="AN29" i="7"/>
  <c r="AM29" i="7"/>
  <c r="AL29" i="7"/>
  <c r="AK29" i="7"/>
  <c r="AJ29" i="7"/>
  <c r="AI29" i="7"/>
  <c r="AH29" i="7"/>
  <c r="AG29" i="7"/>
  <c r="AF29" i="7"/>
  <c r="AE29" i="7"/>
  <c r="AD29" i="7"/>
  <c r="AC29" i="7"/>
  <c r="AB29" i="7"/>
  <c r="AA29" i="7"/>
  <c r="Z29" i="7"/>
  <c r="Y29" i="7"/>
  <c r="X29" i="7"/>
  <c r="W29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B29" i="7"/>
  <c r="J24" i="7"/>
  <c r="E24" i="7"/>
  <c r="D24" i="7" s="1"/>
  <c r="F23" i="7"/>
  <c r="D23" i="7"/>
  <c r="B23" i="7"/>
  <c r="H22" i="7"/>
  <c r="F22" i="7"/>
  <c r="D22" i="7"/>
  <c r="B22" i="7"/>
  <c r="F21" i="7"/>
  <c r="D21" i="7" s="1"/>
  <c r="B21" i="7"/>
  <c r="F20" i="7"/>
  <c r="D20" i="7"/>
  <c r="B20" i="7"/>
  <c r="F19" i="7"/>
  <c r="D19" i="7"/>
  <c r="B19" i="7"/>
  <c r="F18" i="7"/>
  <c r="D18" i="7" s="1"/>
  <c r="B18" i="7"/>
  <c r="F17" i="7"/>
  <c r="D17" i="7"/>
  <c r="B17" i="7"/>
  <c r="F16" i="7"/>
  <c r="D16" i="7" s="1"/>
  <c r="I16" i="7" s="1"/>
  <c r="B16" i="7"/>
  <c r="F15" i="7"/>
  <c r="D15" i="7" s="1"/>
  <c r="B15" i="7"/>
  <c r="F14" i="7"/>
  <c r="D14" i="7"/>
  <c r="B14" i="7"/>
  <c r="F13" i="7"/>
  <c r="D13" i="7" s="1"/>
  <c r="B13" i="7"/>
  <c r="F12" i="7"/>
  <c r="D12" i="7" s="1"/>
  <c r="B12" i="7"/>
  <c r="F11" i="7"/>
  <c r="D11" i="7"/>
  <c r="B11" i="7"/>
  <c r="BC2" i="7"/>
  <c r="BB2" i="7"/>
  <c r="BA2" i="7"/>
  <c r="AZ2" i="7"/>
  <c r="AY2" i="7"/>
  <c r="AX2" i="7"/>
  <c r="AW2" i="7"/>
  <c r="AV2" i="7"/>
  <c r="AU2" i="7"/>
  <c r="AT2" i="7"/>
  <c r="AS2" i="7"/>
  <c r="AR2" i="7"/>
  <c r="AQ2" i="7"/>
  <c r="AP2" i="7"/>
  <c r="AO2" i="7"/>
  <c r="AN2" i="7"/>
  <c r="AM2" i="7"/>
  <c r="AL2" i="7"/>
  <c r="AK2" i="7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I2" i="7"/>
  <c r="H2" i="7"/>
  <c r="G2" i="7"/>
  <c r="F2" i="7"/>
  <c r="E2" i="7"/>
  <c r="D2" i="7"/>
  <c r="B2" i="7"/>
  <c r="D229" i="5"/>
  <c r="C229" i="5"/>
  <c r="B229" i="5"/>
  <c r="D228" i="5"/>
  <c r="C228" i="5"/>
  <c r="B228" i="5"/>
  <c r="D227" i="5"/>
  <c r="C227" i="5"/>
  <c r="B227" i="5"/>
  <c r="D226" i="5"/>
  <c r="C226" i="5"/>
  <c r="B226" i="5"/>
  <c r="D225" i="5"/>
  <c r="C225" i="5"/>
  <c r="B225" i="5"/>
  <c r="D224" i="5"/>
  <c r="C224" i="5"/>
  <c r="B224" i="5"/>
  <c r="D223" i="5"/>
  <c r="C223" i="5"/>
  <c r="B223" i="5"/>
  <c r="D222" i="5"/>
  <c r="C222" i="5"/>
  <c r="B222" i="5"/>
  <c r="D221" i="5"/>
  <c r="C221" i="5"/>
  <c r="B221" i="5"/>
  <c r="D220" i="5"/>
  <c r="C220" i="5"/>
  <c r="B220" i="5"/>
  <c r="D219" i="5"/>
  <c r="C219" i="5"/>
  <c r="B219" i="5"/>
  <c r="D218" i="5"/>
  <c r="C218" i="5"/>
  <c r="B218" i="5"/>
  <c r="D217" i="5"/>
  <c r="C217" i="5"/>
  <c r="B217" i="5"/>
  <c r="D216" i="5"/>
  <c r="C216" i="5"/>
  <c r="B216" i="5"/>
  <c r="D215" i="5"/>
  <c r="C215" i="5"/>
  <c r="B215" i="5"/>
  <c r="D214" i="5"/>
  <c r="C214" i="5"/>
  <c r="B214" i="5"/>
  <c r="D213" i="5"/>
  <c r="C213" i="5"/>
  <c r="B213" i="5"/>
  <c r="D212" i="5"/>
  <c r="C212" i="5"/>
  <c r="B212" i="5"/>
  <c r="D211" i="5"/>
  <c r="C211" i="5"/>
  <c r="B211" i="5"/>
  <c r="D210" i="5"/>
  <c r="C210" i="5"/>
  <c r="B210" i="5"/>
  <c r="D209" i="5"/>
  <c r="C209" i="5"/>
  <c r="B209" i="5"/>
  <c r="D208" i="5"/>
  <c r="C208" i="5"/>
  <c r="B208" i="5"/>
  <c r="D207" i="5"/>
  <c r="C207" i="5"/>
  <c r="B207" i="5"/>
  <c r="D206" i="5"/>
  <c r="C206" i="5"/>
  <c r="B206" i="5"/>
  <c r="D205" i="5"/>
  <c r="C205" i="5"/>
  <c r="B205" i="5"/>
  <c r="D204" i="5"/>
  <c r="C204" i="5"/>
  <c r="B204" i="5"/>
  <c r="D203" i="5"/>
  <c r="C203" i="5"/>
  <c r="B203" i="5"/>
  <c r="D202" i="5"/>
  <c r="C202" i="5"/>
  <c r="B202" i="5"/>
  <c r="D201" i="5"/>
  <c r="C201" i="5"/>
  <c r="B201" i="5"/>
  <c r="D200" i="5"/>
  <c r="C200" i="5"/>
  <c r="B200" i="5"/>
  <c r="D199" i="5"/>
  <c r="C199" i="5"/>
  <c r="B199" i="5"/>
  <c r="D198" i="5"/>
  <c r="C198" i="5"/>
  <c r="B198" i="5"/>
  <c r="D197" i="5"/>
  <c r="C197" i="5"/>
  <c r="B197" i="5"/>
  <c r="D196" i="5"/>
  <c r="C196" i="5"/>
  <c r="B196" i="5"/>
  <c r="D195" i="5"/>
  <c r="C195" i="5"/>
  <c r="B195" i="5"/>
  <c r="D194" i="5"/>
  <c r="C194" i="5"/>
  <c r="B194" i="5"/>
  <c r="D193" i="5"/>
  <c r="C193" i="5"/>
  <c r="B193" i="5"/>
  <c r="D192" i="5"/>
  <c r="C192" i="5"/>
  <c r="B192" i="5"/>
  <c r="D191" i="5"/>
  <c r="C191" i="5"/>
  <c r="B191" i="5"/>
  <c r="D190" i="5"/>
  <c r="C190" i="5"/>
  <c r="B190" i="5"/>
  <c r="D189" i="5"/>
  <c r="C189" i="5"/>
  <c r="B189" i="5"/>
  <c r="D188" i="5"/>
  <c r="C188" i="5"/>
  <c r="B188" i="5"/>
  <c r="D187" i="5"/>
  <c r="C187" i="5"/>
  <c r="B187" i="5"/>
  <c r="D186" i="5"/>
  <c r="C186" i="5"/>
  <c r="B186" i="5"/>
  <c r="D185" i="5"/>
  <c r="C185" i="5"/>
  <c r="B185" i="5"/>
  <c r="D184" i="5"/>
  <c r="C184" i="5"/>
  <c r="B184" i="5"/>
  <c r="D183" i="5"/>
  <c r="C183" i="5"/>
  <c r="B183" i="5"/>
  <c r="D182" i="5"/>
  <c r="C182" i="5"/>
  <c r="B182" i="5"/>
  <c r="D181" i="5"/>
  <c r="C181" i="5"/>
  <c r="B181" i="5"/>
  <c r="D180" i="5"/>
  <c r="C180" i="5"/>
  <c r="B180" i="5"/>
  <c r="D179" i="5"/>
  <c r="C179" i="5"/>
  <c r="B179" i="5"/>
  <c r="D178" i="5"/>
  <c r="C178" i="5"/>
  <c r="B178" i="5"/>
  <c r="D177" i="5"/>
  <c r="C177" i="5"/>
  <c r="B177" i="5"/>
  <c r="D176" i="5"/>
  <c r="C176" i="5"/>
  <c r="B176" i="5"/>
  <c r="D175" i="5"/>
  <c r="C175" i="5"/>
  <c r="B175" i="5"/>
  <c r="D174" i="5"/>
  <c r="C174" i="5"/>
  <c r="B174" i="5"/>
  <c r="D173" i="5"/>
  <c r="C173" i="5"/>
  <c r="B173" i="5"/>
  <c r="D172" i="5"/>
  <c r="C172" i="5"/>
  <c r="B172" i="5"/>
  <c r="D171" i="5"/>
  <c r="C171" i="5"/>
  <c r="B171" i="5"/>
  <c r="D170" i="5"/>
  <c r="C170" i="5"/>
  <c r="B170" i="5"/>
  <c r="D169" i="5"/>
  <c r="C169" i="5"/>
  <c r="B169" i="5"/>
  <c r="D168" i="5"/>
  <c r="C168" i="5"/>
  <c r="B168" i="5"/>
  <c r="D167" i="5"/>
  <c r="C167" i="5"/>
  <c r="B167" i="5"/>
  <c r="D166" i="5"/>
  <c r="C166" i="5"/>
  <c r="B166" i="5"/>
  <c r="D165" i="5"/>
  <c r="C165" i="5"/>
  <c r="B165" i="5"/>
  <c r="D164" i="5"/>
  <c r="C164" i="5"/>
  <c r="B164" i="5"/>
  <c r="D163" i="5"/>
  <c r="C163" i="5"/>
  <c r="B163" i="5"/>
  <c r="D162" i="5"/>
  <c r="C162" i="5"/>
  <c r="B162" i="5"/>
  <c r="D161" i="5"/>
  <c r="C161" i="5"/>
  <c r="B161" i="5"/>
  <c r="D160" i="5"/>
  <c r="C160" i="5"/>
  <c r="B160" i="5"/>
  <c r="D159" i="5"/>
  <c r="C159" i="5"/>
  <c r="B159" i="5"/>
  <c r="D158" i="5"/>
  <c r="C158" i="5"/>
  <c r="B158" i="5"/>
  <c r="D157" i="5"/>
  <c r="C157" i="5"/>
  <c r="B157" i="5"/>
  <c r="D156" i="5"/>
  <c r="C156" i="5"/>
  <c r="B156" i="5"/>
  <c r="D155" i="5"/>
  <c r="C155" i="5"/>
  <c r="B155" i="5"/>
  <c r="D154" i="5"/>
  <c r="C154" i="5"/>
  <c r="B154" i="5"/>
  <c r="D153" i="5"/>
  <c r="C153" i="5"/>
  <c r="B153" i="5"/>
  <c r="D152" i="5"/>
  <c r="C152" i="5"/>
  <c r="B152" i="5"/>
  <c r="D151" i="5"/>
  <c r="C151" i="5"/>
  <c r="B151" i="5"/>
  <c r="D150" i="5"/>
  <c r="C150" i="5"/>
  <c r="B150" i="5"/>
  <c r="D149" i="5"/>
  <c r="C149" i="5"/>
  <c r="B149" i="5"/>
  <c r="D148" i="5"/>
  <c r="C148" i="5"/>
  <c r="B148" i="5"/>
  <c r="D147" i="5"/>
  <c r="C147" i="5"/>
  <c r="B147" i="5"/>
  <c r="D146" i="5"/>
  <c r="C146" i="5"/>
  <c r="B146" i="5"/>
  <c r="D145" i="5"/>
  <c r="C145" i="5"/>
  <c r="B145" i="5"/>
  <c r="D144" i="5"/>
  <c r="C144" i="5"/>
  <c r="B144" i="5"/>
  <c r="D143" i="5"/>
  <c r="C143" i="5"/>
  <c r="B143" i="5"/>
  <c r="D142" i="5"/>
  <c r="C142" i="5"/>
  <c r="B142" i="5"/>
  <c r="D141" i="5"/>
  <c r="C141" i="5"/>
  <c r="B141" i="5"/>
  <c r="D140" i="5"/>
  <c r="C140" i="5"/>
  <c r="B140" i="5"/>
  <c r="D139" i="5"/>
  <c r="C139" i="5"/>
  <c r="B139" i="5"/>
  <c r="D138" i="5"/>
  <c r="C138" i="5"/>
  <c r="B138" i="5"/>
  <c r="D137" i="5"/>
  <c r="C137" i="5"/>
  <c r="B137" i="5"/>
  <c r="D136" i="5"/>
  <c r="C136" i="5"/>
  <c r="B136" i="5"/>
  <c r="D135" i="5"/>
  <c r="C135" i="5"/>
  <c r="B135" i="5"/>
  <c r="D134" i="5"/>
  <c r="C134" i="5"/>
  <c r="B134" i="5"/>
  <c r="D133" i="5"/>
  <c r="C133" i="5"/>
  <c r="B133" i="5"/>
  <c r="D132" i="5"/>
  <c r="C132" i="5"/>
  <c r="B132" i="5"/>
  <c r="D131" i="5"/>
  <c r="C131" i="5"/>
  <c r="B131" i="5"/>
  <c r="D130" i="5"/>
  <c r="C130" i="5"/>
  <c r="B130" i="5"/>
  <c r="D129" i="5"/>
  <c r="C129" i="5"/>
  <c r="B129" i="5"/>
  <c r="D128" i="5"/>
  <c r="C128" i="5"/>
  <c r="B128" i="5"/>
  <c r="D127" i="5"/>
  <c r="C127" i="5"/>
  <c r="B127" i="5"/>
  <c r="D126" i="5"/>
  <c r="C126" i="5"/>
  <c r="B126" i="5"/>
  <c r="D125" i="5"/>
  <c r="C125" i="5"/>
  <c r="B125" i="5"/>
  <c r="D124" i="5"/>
  <c r="C124" i="5"/>
  <c r="B124" i="5"/>
  <c r="D123" i="5"/>
  <c r="C123" i="5"/>
  <c r="B123" i="5"/>
  <c r="D122" i="5"/>
  <c r="C122" i="5"/>
  <c r="B122" i="5"/>
  <c r="D121" i="5"/>
  <c r="C121" i="5"/>
  <c r="B121" i="5"/>
  <c r="D120" i="5"/>
  <c r="C120" i="5"/>
  <c r="B120" i="5"/>
  <c r="D119" i="5"/>
  <c r="C119" i="5"/>
  <c r="B119" i="5"/>
  <c r="D118" i="5"/>
  <c r="C118" i="5"/>
  <c r="B118" i="5"/>
  <c r="D117" i="5"/>
  <c r="C117" i="5"/>
  <c r="B117" i="5"/>
  <c r="D116" i="5"/>
  <c r="C116" i="5"/>
  <c r="B116" i="5"/>
  <c r="D115" i="5"/>
  <c r="C115" i="5"/>
  <c r="B115" i="5"/>
  <c r="D114" i="5"/>
  <c r="C114" i="5"/>
  <c r="B114" i="5"/>
  <c r="D113" i="5"/>
  <c r="C113" i="5"/>
  <c r="B113" i="5"/>
  <c r="D112" i="5"/>
  <c r="C112" i="5"/>
  <c r="B112" i="5"/>
  <c r="D111" i="5"/>
  <c r="C111" i="5"/>
  <c r="B111" i="5"/>
  <c r="D110" i="5"/>
  <c r="C110" i="5"/>
  <c r="B110" i="5"/>
  <c r="D109" i="5"/>
  <c r="C109" i="5"/>
  <c r="B109" i="5"/>
  <c r="D108" i="5"/>
  <c r="C108" i="5"/>
  <c r="B108" i="5"/>
  <c r="D107" i="5"/>
  <c r="C107" i="5"/>
  <c r="B107" i="5"/>
  <c r="D106" i="5"/>
  <c r="C106" i="5"/>
  <c r="B106" i="5"/>
  <c r="D105" i="5"/>
  <c r="C105" i="5"/>
  <c r="B105" i="5"/>
  <c r="D104" i="5"/>
  <c r="C104" i="5"/>
  <c r="B104" i="5"/>
  <c r="D103" i="5"/>
  <c r="C103" i="5"/>
  <c r="B103" i="5"/>
  <c r="D102" i="5"/>
  <c r="C102" i="5"/>
  <c r="B102" i="5"/>
  <c r="D101" i="5"/>
  <c r="C101" i="5"/>
  <c r="B101" i="5"/>
  <c r="D100" i="5"/>
  <c r="C100" i="5"/>
  <c r="B100" i="5"/>
  <c r="D99" i="5"/>
  <c r="C99" i="5"/>
  <c r="B99" i="5"/>
  <c r="D98" i="5"/>
  <c r="C98" i="5"/>
  <c r="B98" i="5"/>
  <c r="D97" i="5"/>
  <c r="C97" i="5"/>
  <c r="B97" i="5"/>
  <c r="D96" i="5"/>
  <c r="C96" i="5"/>
  <c r="B96" i="5"/>
  <c r="D95" i="5"/>
  <c r="C95" i="5"/>
  <c r="B95" i="5"/>
  <c r="D94" i="5"/>
  <c r="C94" i="5"/>
  <c r="B94" i="5"/>
  <c r="D93" i="5"/>
  <c r="C93" i="5"/>
  <c r="B93" i="5"/>
  <c r="D92" i="5"/>
  <c r="C92" i="5"/>
  <c r="B92" i="5"/>
  <c r="D91" i="5"/>
  <c r="C91" i="5"/>
  <c r="B91" i="5"/>
  <c r="D90" i="5"/>
  <c r="C90" i="5"/>
  <c r="B90" i="5"/>
  <c r="D89" i="5"/>
  <c r="C89" i="5"/>
  <c r="B89" i="5"/>
  <c r="D88" i="5"/>
  <c r="C88" i="5"/>
  <c r="B88" i="5"/>
  <c r="D87" i="5"/>
  <c r="C87" i="5"/>
  <c r="B87" i="5"/>
  <c r="D86" i="5"/>
  <c r="C86" i="5"/>
  <c r="B86" i="5"/>
  <c r="D85" i="5"/>
  <c r="C85" i="5"/>
  <c r="B85" i="5"/>
  <c r="D84" i="5"/>
  <c r="C84" i="5"/>
  <c r="B84" i="5"/>
  <c r="D83" i="5"/>
  <c r="C83" i="5"/>
  <c r="B83" i="5"/>
  <c r="D82" i="5"/>
  <c r="C82" i="5"/>
  <c r="B82" i="5"/>
  <c r="D81" i="5"/>
  <c r="C81" i="5"/>
  <c r="B81" i="5"/>
  <c r="D80" i="5"/>
  <c r="C80" i="5"/>
  <c r="B80" i="5"/>
  <c r="D79" i="5"/>
  <c r="C79" i="5"/>
  <c r="B79" i="5"/>
  <c r="D78" i="5"/>
  <c r="C78" i="5"/>
  <c r="B78" i="5"/>
  <c r="D77" i="5"/>
  <c r="C77" i="5"/>
  <c r="B77" i="5"/>
  <c r="D76" i="5"/>
  <c r="C76" i="5"/>
  <c r="B76" i="5"/>
  <c r="D75" i="5"/>
  <c r="C75" i="5"/>
  <c r="B75" i="5"/>
  <c r="D74" i="5"/>
  <c r="C74" i="5"/>
  <c r="B74" i="5"/>
  <c r="D73" i="5"/>
  <c r="C73" i="5"/>
  <c r="B73" i="5"/>
  <c r="D72" i="5"/>
  <c r="C72" i="5"/>
  <c r="B72" i="5"/>
  <c r="D71" i="5"/>
  <c r="C71" i="5"/>
  <c r="B71" i="5"/>
  <c r="D70" i="5"/>
  <c r="C70" i="5"/>
  <c r="B70" i="5"/>
  <c r="D69" i="5"/>
  <c r="C69" i="5"/>
  <c r="B69" i="5"/>
  <c r="D68" i="5"/>
  <c r="C68" i="5"/>
  <c r="B68" i="5"/>
  <c r="D67" i="5"/>
  <c r="C67" i="5"/>
  <c r="B67" i="5"/>
  <c r="D66" i="5"/>
  <c r="C66" i="5"/>
  <c r="B66" i="5"/>
  <c r="D65" i="5"/>
  <c r="C65" i="5"/>
  <c r="B65" i="5"/>
  <c r="D64" i="5"/>
  <c r="C64" i="5"/>
  <c r="B64" i="5"/>
  <c r="D63" i="5"/>
  <c r="C63" i="5"/>
  <c r="B63" i="5"/>
  <c r="D62" i="5"/>
  <c r="C62" i="5"/>
  <c r="B62" i="5"/>
  <c r="D61" i="5"/>
  <c r="C61" i="5"/>
  <c r="B61" i="5"/>
  <c r="D60" i="5"/>
  <c r="C60" i="5"/>
  <c r="B60" i="5"/>
  <c r="D59" i="5"/>
  <c r="C59" i="5"/>
  <c r="B59" i="5"/>
  <c r="D58" i="5"/>
  <c r="C58" i="5"/>
  <c r="B58" i="5"/>
  <c r="D57" i="5"/>
  <c r="C57" i="5"/>
  <c r="B57" i="5"/>
  <c r="D56" i="5"/>
  <c r="C56" i="5"/>
  <c r="B56" i="5"/>
  <c r="D55" i="5"/>
  <c r="C55" i="5"/>
  <c r="B55" i="5"/>
  <c r="D54" i="5"/>
  <c r="C54" i="5"/>
  <c r="B54" i="5"/>
  <c r="D53" i="5"/>
  <c r="C53" i="5"/>
  <c r="B53" i="5"/>
  <c r="D52" i="5"/>
  <c r="C52" i="5"/>
  <c r="B52" i="5"/>
  <c r="D51" i="5"/>
  <c r="C51" i="5"/>
  <c r="B51" i="5"/>
  <c r="D50" i="5"/>
  <c r="C50" i="5"/>
  <c r="B50" i="5"/>
  <c r="D49" i="5"/>
  <c r="C49" i="5"/>
  <c r="B49" i="5"/>
  <c r="D48" i="5"/>
  <c r="C48" i="5"/>
  <c r="B48" i="5"/>
  <c r="D47" i="5"/>
  <c r="C47" i="5"/>
  <c r="B47" i="5"/>
  <c r="D46" i="5"/>
  <c r="C46" i="5"/>
  <c r="B46" i="5"/>
  <c r="D45" i="5"/>
  <c r="C45" i="5"/>
  <c r="B45" i="5"/>
  <c r="D44" i="5"/>
  <c r="C44" i="5"/>
  <c r="B44" i="5"/>
  <c r="D43" i="5"/>
  <c r="C43" i="5"/>
  <c r="B43" i="5"/>
  <c r="D42" i="5"/>
  <c r="C42" i="5"/>
  <c r="B42" i="5"/>
  <c r="D41" i="5"/>
  <c r="C41" i="5"/>
  <c r="B41" i="5"/>
  <c r="D40" i="5"/>
  <c r="C40" i="5"/>
  <c r="B40" i="5"/>
  <c r="D39" i="5"/>
  <c r="C39" i="5"/>
  <c r="B39" i="5"/>
  <c r="D38" i="5"/>
  <c r="C38" i="5"/>
  <c r="B38" i="5"/>
  <c r="D37" i="5"/>
  <c r="C37" i="5"/>
  <c r="B37" i="5"/>
  <c r="D36" i="5"/>
  <c r="C36" i="5"/>
  <c r="B36" i="5"/>
  <c r="D35" i="5"/>
  <c r="N35" i="5" s="1"/>
  <c r="C35" i="5"/>
  <c r="B35" i="5"/>
  <c r="D34" i="5"/>
  <c r="C34" i="5"/>
  <c r="B34" i="5"/>
  <c r="D33" i="5"/>
  <c r="C33" i="5"/>
  <c r="B33" i="5"/>
  <c r="I32" i="5"/>
  <c r="D32" i="5"/>
  <c r="N32" i="5" s="1"/>
  <c r="C32" i="5"/>
  <c r="B32" i="5"/>
  <c r="L30" i="5"/>
  <c r="E30" i="5"/>
  <c r="B30" i="5"/>
  <c r="BB29" i="5"/>
  <c r="BA29" i="5"/>
  <c r="AZ29" i="5"/>
  <c r="AY29" i="5"/>
  <c r="AX29" i="5"/>
  <c r="AW29" i="5"/>
  <c r="AV29" i="5"/>
  <c r="AU29" i="5"/>
  <c r="AT29" i="5"/>
  <c r="AS29" i="5"/>
  <c r="AR29" i="5"/>
  <c r="AQ29" i="5"/>
  <c r="AP29" i="5"/>
  <c r="AO29" i="5"/>
  <c r="AN29" i="5"/>
  <c r="AM29" i="5"/>
  <c r="AL29" i="5"/>
  <c r="AK29" i="5"/>
  <c r="AJ29" i="5"/>
  <c r="AI29" i="5"/>
  <c r="AH29" i="5"/>
  <c r="AG29" i="5"/>
  <c r="AF29" i="5"/>
  <c r="AE29" i="5"/>
  <c r="AD29" i="5"/>
  <c r="AC29" i="5"/>
  <c r="AB29" i="5"/>
  <c r="AA29" i="5"/>
  <c r="Z29" i="5"/>
  <c r="Y29" i="5"/>
  <c r="X29" i="5"/>
  <c r="W29" i="5"/>
  <c r="V29" i="5"/>
  <c r="U29" i="5"/>
  <c r="T29" i="5"/>
  <c r="S29" i="5"/>
  <c r="R29" i="5"/>
  <c r="Q29" i="5"/>
  <c r="P29" i="5"/>
  <c r="O29" i="5"/>
  <c r="N29" i="5"/>
  <c r="M29" i="5"/>
  <c r="L29" i="5"/>
  <c r="K29" i="5"/>
  <c r="J29" i="5"/>
  <c r="I29" i="5"/>
  <c r="H29" i="5"/>
  <c r="G29" i="5"/>
  <c r="F29" i="5"/>
  <c r="E29" i="5"/>
  <c r="D29" i="5"/>
  <c r="C29" i="5"/>
  <c r="B29" i="5"/>
  <c r="J24" i="5"/>
  <c r="E24" i="5"/>
  <c r="D24" i="5"/>
  <c r="K23" i="5"/>
  <c r="F23" i="5"/>
  <c r="D23" i="5"/>
  <c r="B23" i="5"/>
  <c r="F22" i="5"/>
  <c r="D22" i="5"/>
  <c r="B22" i="5"/>
  <c r="F21" i="5"/>
  <c r="D21" i="5"/>
  <c r="B21" i="5"/>
  <c r="I20" i="5"/>
  <c r="H20" i="5"/>
  <c r="F20" i="5"/>
  <c r="D20" i="5"/>
  <c r="B20" i="5"/>
  <c r="K19" i="5"/>
  <c r="F19" i="5"/>
  <c r="D19" i="5" s="1"/>
  <c r="B19" i="5"/>
  <c r="F18" i="5"/>
  <c r="D18" i="5" s="1"/>
  <c r="B18" i="5"/>
  <c r="F17" i="5"/>
  <c r="D17" i="5" s="1"/>
  <c r="K17" i="5" s="1"/>
  <c r="B17" i="5"/>
  <c r="F16" i="5"/>
  <c r="D16" i="5" s="1"/>
  <c r="L16" i="5" s="1"/>
  <c r="B16" i="5"/>
  <c r="H15" i="5"/>
  <c r="G15" i="5"/>
  <c r="M15" i="5" s="1"/>
  <c r="F15" i="5"/>
  <c r="D15" i="5" s="1"/>
  <c r="B15" i="5"/>
  <c r="J14" i="5"/>
  <c r="I14" i="5"/>
  <c r="F14" i="5"/>
  <c r="D14" i="5" s="1"/>
  <c r="B14" i="5"/>
  <c r="K13" i="5"/>
  <c r="F13" i="5"/>
  <c r="D13" i="5" s="1"/>
  <c r="B13" i="5"/>
  <c r="F12" i="5"/>
  <c r="D12" i="5" s="1"/>
  <c r="B12" i="5"/>
  <c r="F11" i="5"/>
  <c r="D11" i="5" s="1"/>
  <c r="B11" i="5"/>
  <c r="F10" i="5"/>
  <c r="D10" i="5" s="1"/>
  <c r="L10" i="5" s="1"/>
  <c r="B10" i="5"/>
  <c r="F8" i="5"/>
  <c r="F7" i="5"/>
  <c r="Q42" i="6" s="1"/>
  <c r="D7" i="5"/>
  <c r="K7" i="5" s="1"/>
  <c r="F6" i="5"/>
  <c r="Q30" i="6" s="1"/>
  <c r="D6" i="5"/>
  <c r="F5" i="5"/>
  <c r="Q22" i="6" s="1"/>
  <c r="D5" i="5"/>
  <c r="I5" i="5" s="1"/>
  <c r="BC2" i="5"/>
  <c r="BB2" i="5"/>
  <c r="BA2" i="5"/>
  <c r="AZ2" i="5"/>
  <c r="AY2" i="5"/>
  <c r="AX2" i="5"/>
  <c r="AW2" i="5"/>
  <c r="AV2" i="5"/>
  <c r="AU2" i="5"/>
  <c r="AT2" i="5"/>
  <c r="AS2" i="5"/>
  <c r="AR2" i="5"/>
  <c r="AQ2" i="5"/>
  <c r="AP2" i="5"/>
  <c r="AO2" i="5"/>
  <c r="AN2" i="5"/>
  <c r="AM2" i="5"/>
  <c r="AL2" i="5"/>
  <c r="AK2" i="5"/>
  <c r="AJ2" i="5"/>
  <c r="AI2" i="5"/>
  <c r="AH2" i="5"/>
  <c r="AG2" i="5"/>
  <c r="AF2" i="5"/>
  <c r="AE2" i="5"/>
  <c r="AD2" i="5"/>
  <c r="AC2" i="5"/>
  <c r="AB2" i="5"/>
  <c r="AA2" i="5"/>
  <c r="Z2" i="5"/>
  <c r="Y2" i="5"/>
  <c r="X2" i="5"/>
  <c r="W2" i="5"/>
  <c r="V2" i="5"/>
  <c r="U2" i="5"/>
  <c r="T2" i="5"/>
  <c r="S2" i="5"/>
  <c r="R2" i="5"/>
  <c r="Q2" i="5"/>
  <c r="P2" i="5"/>
  <c r="O2" i="5"/>
  <c r="N2" i="5"/>
  <c r="M2" i="5"/>
  <c r="L2" i="5"/>
  <c r="K2" i="5"/>
  <c r="J2" i="5"/>
  <c r="I2" i="5"/>
  <c r="H2" i="5"/>
  <c r="G2" i="5"/>
  <c r="F2" i="5"/>
  <c r="E2" i="5"/>
  <c r="D2" i="5"/>
  <c r="B2" i="5"/>
  <c r="P200" i="4"/>
  <c r="B200" i="4"/>
  <c r="P199" i="4"/>
  <c r="B199" i="4"/>
  <c r="P198" i="4"/>
  <c r="B198" i="4"/>
  <c r="P197" i="4"/>
  <c r="B197" i="4"/>
  <c r="P196" i="4"/>
  <c r="B196" i="4"/>
  <c r="P195" i="4"/>
  <c r="B195" i="4"/>
  <c r="P194" i="4"/>
  <c r="B194" i="4"/>
  <c r="P193" i="4"/>
  <c r="B193" i="4"/>
  <c r="P192" i="4"/>
  <c r="B192" i="4"/>
  <c r="P191" i="4"/>
  <c r="B191" i="4"/>
  <c r="P190" i="4"/>
  <c r="B190" i="4"/>
  <c r="P189" i="4"/>
  <c r="B189" i="4"/>
  <c r="P188" i="4"/>
  <c r="B188" i="4"/>
  <c r="P187" i="4"/>
  <c r="B187" i="4"/>
  <c r="P186" i="4"/>
  <c r="B186" i="4"/>
  <c r="P185" i="4"/>
  <c r="B185" i="4"/>
  <c r="P184" i="4"/>
  <c r="B184" i="4"/>
  <c r="P183" i="4"/>
  <c r="B183" i="4"/>
  <c r="P182" i="4"/>
  <c r="B182" i="4"/>
  <c r="P181" i="4"/>
  <c r="B181" i="4"/>
  <c r="P180" i="4"/>
  <c r="B180" i="4"/>
  <c r="P179" i="4"/>
  <c r="B179" i="4"/>
  <c r="P178" i="4"/>
  <c r="B178" i="4"/>
  <c r="P177" i="4"/>
  <c r="B177" i="4"/>
  <c r="P176" i="4"/>
  <c r="B176" i="4"/>
  <c r="P175" i="4"/>
  <c r="B175" i="4"/>
  <c r="P174" i="4"/>
  <c r="B174" i="4"/>
  <c r="P173" i="4"/>
  <c r="B173" i="4"/>
  <c r="P172" i="4"/>
  <c r="B172" i="4"/>
  <c r="P171" i="4"/>
  <c r="B171" i="4"/>
  <c r="P170" i="4"/>
  <c r="B170" i="4"/>
  <c r="P169" i="4"/>
  <c r="B169" i="4"/>
  <c r="P168" i="4"/>
  <c r="B168" i="4"/>
  <c r="P167" i="4"/>
  <c r="B167" i="4"/>
  <c r="P166" i="4"/>
  <c r="B166" i="4"/>
  <c r="P165" i="4"/>
  <c r="B165" i="4"/>
  <c r="P164" i="4"/>
  <c r="B164" i="4"/>
  <c r="P163" i="4"/>
  <c r="B163" i="4"/>
  <c r="P162" i="4"/>
  <c r="B162" i="4"/>
  <c r="P161" i="4"/>
  <c r="B161" i="4"/>
  <c r="P160" i="4"/>
  <c r="B160" i="4"/>
  <c r="P159" i="4"/>
  <c r="B159" i="4"/>
  <c r="P158" i="4"/>
  <c r="B158" i="4"/>
  <c r="P157" i="4"/>
  <c r="B157" i="4"/>
  <c r="P156" i="4"/>
  <c r="B156" i="4"/>
  <c r="P155" i="4"/>
  <c r="B155" i="4"/>
  <c r="P154" i="4"/>
  <c r="B154" i="4"/>
  <c r="P153" i="4"/>
  <c r="B153" i="4"/>
  <c r="P152" i="4"/>
  <c r="B152" i="4"/>
  <c r="P151" i="4"/>
  <c r="B151" i="4"/>
  <c r="P150" i="4"/>
  <c r="B150" i="4"/>
  <c r="P149" i="4"/>
  <c r="B149" i="4"/>
  <c r="P148" i="4"/>
  <c r="B148" i="4"/>
  <c r="P147" i="4"/>
  <c r="B147" i="4"/>
  <c r="P146" i="4"/>
  <c r="B146" i="4"/>
  <c r="P145" i="4"/>
  <c r="B145" i="4"/>
  <c r="P144" i="4"/>
  <c r="B144" i="4"/>
  <c r="P143" i="4"/>
  <c r="B143" i="4"/>
  <c r="P142" i="4"/>
  <c r="B142" i="4"/>
  <c r="P141" i="4"/>
  <c r="B141" i="4"/>
  <c r="P140" i="4"/>
  <c r="B140" i="4"/>
  <c r="P139" i="4"/>
  <c r="B139" i="4"/>
  <c r="P138" i="4"/>
  <c r="B138" i="4"/>
  <c r="P137" i="4"/>
  <c r="B137" i="4"/>
  <c r="P136" i="4"/>
  <c r="B136" i="4"/>
  <c r="P135" i="4"/>
  <c r="B135" i="4"/>
  <c r="P134" i="4"/>
  <c r="B134" i="4"/>
  <c r="P133" i="4"/>
  <c r="B133" i="4"/>
  <c r="P132" i="4"/>
  <c r="B132" i="4"/>
  <c r="P131" i="4"/>
  <c r="B131" i="4"/>
  <c r="P130" i="4"/>
  <c r="B130" i="4"/>
  <c r="P129" i="4"/>
  <c r="B129" i="4"/>
  <c r="P128" i="4"/>
  <c r="B128" i="4"/>
  <c r="P127" i="4"/>
  <c r="B127" i="4"/>
  <c r="P126" i="4"/>
  <c r="B126" i="4"/>
  <c r="P125" i="4"/>
  <c r="B125" i="4"/>
  <c r="P124" i="4"/>
  <c r="B124" i="4"/>
  <c r="P123" i="4"/>
  <c r="B123" i="4"/>
  <c r="P122" i="4"/>
  <c r="B122" i="4"/>
  <c r="P121" i="4"/>
  <c r="B121" i="4"/>
  <c r="P120" i="4"/>
  <c r="B120" i="4"/>
  <c r="P119" i="4"/>
  <c r="B119" i="4"/>
  <c r="P118" i="4"/>
  <c r="B118" i="4"/>
  <c r="P117" i="4"/>
  <c r="B117" i="4"/>
  <c r="P116" i="4"/>
  <c r="B116" i="4"/>
  <c r="P115" i="4"/>
  <c r="B115" i="4"/>
  <c r="P114" i="4"/>
  <c r="B114" i="4"/>
  <c r="P113" i="4"/>
  <c r="B113" i="4"/>
  <c r="P112" i="4"/>
  <c r="B112" i="4"/>
  <c r="P111" i="4"/>
  <c r="B111" i="4"/>
  <c r="P110" i="4"/>
  <c r="B110" i="4"/>
  <c r="P109" i="4"/>
  <c r="B109" i="4"/>
  <c r="P108" i="4"/>
  <c r="B108" i="4"/>
  <c r="P107" i="4"/>
  <c r="B107" i="4"/>
  <c r="P106" i="4"/>
  <c r="B106" i="4"/>
  <c r="P105" i="4"/>
  <c r="B105" i="4"/>
  <c r="P104" i="4"/>
  <c r="B104" i="4"/>
  <c r="P103" i="4"/>
  <c r="B103" i="4"/>
  <c r="P102" i="4"/>
  <c r="B102" i="4"/>
  <c r="P101" i="4"/>
  <c r="B101" i="4"/>
  <c r="P100" i="4"/>
  <c r="B100" i="4"/>
  <c r="P99" i="4"/>
  <c r="B99" i="4"/>
  <c r="P98" i="4"/>
  <c r="B98" i="4"/>
  <c r="P97" i="4"/>
  <c r="B97" i="4"/>
  <c r="P96" i="4"/>
  <c r="B96" i="4"/>
  <c r="P95" i="4"/>
  <c r="B95" i="4"/>
  <c r="P94" i="4"/>
  <c r="B94" i="4"/>
  <c r="P93" i="4"/>
  <c r="B93" i="4"/>
  <c r="P92" i="4"/>
  <c r="B92" i="4"/>
  <c r="P91" i="4"/>
  <c r="B91" i="4"/>
  <c r="P90" i="4"/>
  <c r="B90" i="4"/>
  <c r="P89" i="4"/>
  <c r="B89" i="4"/>
  <c r="P88" i="4"/>
  <c r="B88" i="4"/>
  <c r="P87" i="4"/>
  <c r="B87" i="4"/>
  <c r="P86" i="4"/>
  <c r="B86" i="4"/>
  <c r="P85" i="4"/>
  <c r="B85" i="4"/>
  <c r="P84" i="4"/>
  <c r="B84" i="4"/>
  <c r="P83" i="4"/>
  <c r="B83" i="4"/>
  <c r="P82" i="4"/>
  <c r="B82" i="4"/>
  <c r="P81" i="4"/>
  <c r="B81" i="4"/>
  <c r="P80" i="4"/>
  <c r="B80" i="4"/>
  <c r="P79" i="4"/>
  <c r="B79" i="4"/>
  <c r="P78" i="4"/>
  <c r="B78" i="4"/>
  <c r="P77" i="4"/>
  <c r="B77" i="4"/>
  <c r="P76" i="4"/>
  <c r="B76" i="4"/>
  <c r="P75" i="4"/>
  <c r="B75" i="4"/>
  <c r="P74" i="4"/>
  <c r="B74" i="4"/>
  <c r="P73" i="4"/>
  <c r="B73" i="4"/>
  <c r="P72" i="4"/>
  <c r="B72" i="4"/>
  <c r="P71" i="4"/>
  <c r="B71" i="4"/>
  <c r="P70" i="4"/>
  <c r="B70" i="4"/>
  <c r="P69" i="4"/>
  <c r="B69" i="4"/>
  <c r="P68" i="4"/>
  <c r="B68" i="4"/>
  <c r="P67" i="4"/>
  <c r="B67" i="4"/>
  <c r="P66" i="4"/>
  <c r="B66" i="4"/>
  <c r="P65" i="4"/>
  <c r="B65" i="4"/>
  <c r="P64" i="4"/>
  <c r="B64" i="4"/>
  <c r="P63" i="4"/>
  <c r="B63" i="4"/>
  <c r="P62" i="4"/>
  <c r="B62" i="4"/>
  <c r="P61" i="4"/>
  <c r="B61" i="4"/>
  <c r="P60" i="4"/>
  <c r="B60" i="4"/>
  <c r="P59" i="4"/>
  <c r="B59" i="4"/>
  <c r="P58" i="4"/>
  <c r="B58" i="4"/>
  <c r="P57" i="4"/>
  <c r="B57" i="4"/>
  <c r="P56" i="4"/>
  <c r="B56" i="4"/>
  <c r="P55" i="4"/>
  <c r="B55" i="4"/>
  <c r="P54" i="4"/>
  <c r="B54" i="4"/>
  <c r="P53" i="4"/>
  <c r="B53" i="4"/>
  <c r="P52" i="4"/>
  <c r="B52" i="4"/>
  <c r="P51" i="4"/>
  <c r="B51" i="4"/>
  <c r="P50" i="4"/>
  <c r="B50" i="4"/>
  <c r="P49" i="4"/>
  <c r="B49" i="4"/>
  <c r="P48" i="4"/>
  <c r="B48" i="4"/>
  <c r="P47" i="4"/>
  <c r="B47" i="4"/>
  <c r="P46" i="4"/>
  <c r="B46" i="4"/>
  <c r="P45" i="4"/>
  <c r="B45" i="4"/>
  <c r="P44" i="4"/>
  <c r="B44" i="4"/>
  <c r="P43" i="4"/>
  <c r="B43" i="4"/>
  <c r="P42" i="4"/>
  <c r="B42" i="4"/>
  <c r="P41" i="4"/>
  <c r="B41" i="4"/>
  <c r="P40" i="4"/>
  <c r="B40" i="4"/>
  <c r="P39" i="4"/>
  <c r="B39" i="4"/>
  <c r="P38" i="4"/>
  <c r="B38" i="4"/>
  <c r="P37" i="4"/>
  <c r="B37" i="4"/>
  <c r="P36" i="4"/>
  <c r="B36" i="4"/>
  <c r="P35" i="4"/>
  <c r="B35" i="4"/>
  <c r="P34" i="4"/>
  <c r="B34" i="4"/>
  <c r="P33" i="4"/>
  <c r="B33" i="4"/>
  <c r="P32" i="4"/>
  <c r="B32" i="4"/>
  <c r="P31" i="4"/>
  <c r="B31" i="4"/>
  <c r="P30" i="4"/>
  <c r="B30" i="4"/>
  <c r="P29" i="4"/>
  <c r="B29" i="4"/>
  <c r="P28" i="4"/>
  <c r="B28" i="4"/>
  <c r="P27" i="4"/>
  <c r="B27" i="4"/>
  <c r="P26" i="4"/>
  <c r="B26" i="4"/>
  <c r="P25" i="4"/>
  <c r="B25" i="4"/>
  <c r="P24" i="4"/>
  <c r="B24" i="4"/>
  <c r="P23" i="4"/>
  <c r="B23" i="4"/>
  <c r="P22" i="4"/>
  <c r="B22" i="4"/>
  <c r="P21" i="4"/>
  <c r="B21" i="4"/>
  <c r="P20" i="4"/>
  <c r="B20" i="4"/>
  <c r="P19" i="4"/>
  <c r="B19" i="4"/>
  <c r="P18" i="4"/>
  <c r="B18" i="4"/>
  <c r="P17" i="4"/>
  <c r="B17" i="4"/>
  <c r="P16" i="4"/>
  <c r="B16" i="4"/>
  <c r="P15" i="4"/>
  <c r="B15" i="4"/>
  <c r="P14" i="4"/>
  <c r="B14" i="4"/>
  <c r="P13" i="4"/>
  <c r="B13" i="4"/>
  <c r="P12" i="4"/>
  <c r="B12" i="4"/>
  <c r="P11" i="4"/>
  <c r="B11" i="4"/>
  <c r="P10" i="4"/>
  <c r="B10" i="4"/>
  <c r="P9" i="4"/>
  <c r="B9" i="4"/>
  <c r="P8" i="4"/>
  <c r="B8" i="4"/>
  <c r="P7" i="4"/>
  <c r="B7" i="4"/>
  <c r="P6" i="4"/>
  <c r="K20" i="5" s="1"/>
  <c r="B6" i="4"/>
  <c r="P5" i="4"/>
  <c r="B5" i="4"/>
  <c r="P4" i="4"/>
  <c r="B4" i="4"/>
  <c r="Z3" i="4"/>
  <c r="Z3" i="4" a="1"/>
  <c r="F9" i="5" s="1"/>
  <c r="P3" i="4"/>
  <c r="I23" i="5" s="1"/>
  <c r="B3" i="4"/>
  <c r="M182" i="7" l="1"/>
  <c r="J86" i="7"/>
  <c r="I51" i="7"/>
  <c r="J108" i="7"/>
  <c r="J226" i="7"/>
  <c r="L165" i="7"/>
  <c r="M34" i="7"/>
  <c r="M65" i="7"/>
  <c r="I116" i="7"/>
  <c r="O116" i="7" s="1"/>
  <c r="M39" i="7"/>
  <c r="J37" i="7"/>
  <c r="I35" i="5"/>
  <c r="I116" i="5"/>
  <c r="L74" i="5"/>
  <c r="L34" i="5"/>
  <c r="J70" i="5"/>
  <c r="L48" i="5"/>
  <c r="I53" i="5"/>
  <c r="N37" i="5"/>
  <c r="J74" i="5"/>
  <c r="N80" i="5"/>
  <c r="K77" i="5"/>
  <c r="L33" i="5"/>
  <c r="M36" i="5"/>
  <c r="J69" i="5"/>
  <c r="I75" i="5"/>
  <c r="N131" i="5"/>
  <c r="M51" i="5"/>
  <c r="M156" i="5"/>
  <c r="M55" i="5"/>
  <c r="K76" i="5"/>
  <c r="M48" i="5"/>
  <c r="I107" i="5"/>
  <c r="L88" i="5"/>
  <c r="L38" i="5"/>
  <c r="N33" i="5"/>
  <c r="N36" i="5"/>
  <c r="K39" i="5"/>
  <c r="K75" i="5"/>
  <c r="J97" i="5"/>
  <c r="N73" i="5"/>
  <c r="J79" i="5"/>
  <c r="L37" i="5"/>
  <c r="K87" i="5"/>
  <c r="M37" i="5"/>
  <c r="P37" i="5" s="1"/>
  <c r="M110" i="5"/>
  <c r="N107" i="5"/>
  <c r="J33" i="5"/>
  <c r="K33" i="5"/>
  <c r="L73" i="5"/>
  <c r="Q77" i="9"/>
  <c r="N78" i="9" s="1"/>
  <c r="D10" i="7"/>
  <c r="G14" i="7"/>
  <c r="L14" i="7"/>
  <c r="J14" i="7"/>
  <c r="K14" i="7"/>
  <c r="J51" i="7"/>
  <c r="O51" i="7" s="1"/>
  <c r="Q51" i="7" s="1"/>
  <c r="K76" i="7"/>
  <c r="K86" i="7"/>
  <c r="J94" i="7"/>
  <c r="M100" i="7"/>
  <c r="K108" i="7"/>
  <c r="L114" i="7"/>
  <c r="J116" i="7"/>
  <c r="K118" i="7"/>
  <c r="M120" i="7"/>
  <c r="I155" i="7"/>
  <c r="M165" i="7"/>
  <c r="M179" i="7"/>
  <c r="P179" i="7" s="1"/>
  <c r="N226" i="7"/>
  <c r="I19" i="7"/>
  <c r="K63" i="7"/>
  <c r="K94" i="7"/>
  <c r="M108" i="7"/>
  <c r="K116" i="7"/>
  <c r="N120" i="7"/>
  <c r="N179" i="7"/>
  <c r="N222" i="7"/>
  <c r="N208" i="7"/>
  <c r="J176" i="7"/>
  <c r="I168" i="7"/>
  <c r="O168" i="7" s="1"/>
  <c r="Q168" i="7" s="1"/>
  <c r="M166" i="7"/>
  <c r="K162" i="7"/>
  <c r="L152" i="7"/>
  <c r="L150" i="7"/>
  <c r="L148" i="7"/>
  <c r="N136" i="7"/>
  <c r="J135" i="7"/>
  <c r="M132" i="7"/>
  <c r="P132" i="7" s="1"/>
  <c r="I128" i="7"/>
  <c r="J123" i="7"/>
  <c r="J112" i="7"/>
  <c r="L105" i="7"/>
  <c r="I102" i="7"/>
  <c r="O102" i="7" s="1"/>
  <c r="K100" i="7"/>
  <c r="N98" i="7"/>
  <c r="N96" i="7"/>
  <c r="M78" i="7"/>
  <c r="M72" i="7"/>
  <c r="I70" i="7"/>
  <c r="M48" i="7"/>
  <c r="N42" i="7"/>
  <c r="J36" i="7"/>
  <c r="M33" i="7"/>
  <c r="P33" i="7" s="1"/>
  <c r="I225" i="7"/>
  <c r="I181" i="7"/>
  <c r="J166" i="7"/>
  <c r="I150" i="7"/>
  <c r="O150" i="7" s="1"/>
  <c r="K132" i="7"/>
  <c r="I117" i="7"/>
  <c r="I100" i="7"/>
  <c r="K98" i="7"/>
  <c r="N94" i="7"/>
  <c r="N85" i="7"/>
  <c r="N81" i="7"/>
  <c r="N74" i="7"/>
  <c r="M68" i="7"/>
  <c r="P68" i="7" s="1"/>
  <c r="K64" i="7"/>
  <c r="K60" i="7"/>
  <c r="K56" i="7"/>
  <c r="M50" i="7"/>
  <c r="K42" i="7"/>
  <c r="M194" i="7"/>
  <c r="K183" i="7"/>
  <c r="L170" i="7"/>
  <c r="L164" i="7"/>
  <c r="J143" i="7"/>
  <c r="M138" i="7"/>
  <c r="J132" i="7"/>
  <c r="N124" i="7"/>
  <c r="P124" i="7" s="1"/>
  <c r="I113" i="7"/>
  <c r="N108" i="7"/>
  <c r="J96" i="7"/>
  <c r="N92" i="7"/>
  <c r="L87" i="7"/>
  <c r="N218" i="7"/>
  <c r="L208" i="7"/>
  <c r="N198" i="7"/>
  <c r="M192" i="7"/>
  <c r="L181" i="7"/>
  <c r="I176" i="7"/>
  <c r="O176" i="7" s="1"/>
  <c r="L166" i="7"/>
  <c r="N164" i="7"/>
  <c r="P164" i="7" s="1"/>
  <c r="J152" i="7"/>
  <c r="J150" i="7"/>
  <c r="K148" i="7"/>
  <c r="M136" i="7"/>
  <c r="P136" i="7" s="1"/>
  <c r="I135" i="7"/>
  <c r="O135" i="7" s="1"/>
  <c r="Q135" i="7" s="1"/>
  <c r="L132" i="7"/>
  <c r="I123" i="7"/>
  <c r="O123" i="7" s="1"/>
  <c r="Q123" i="7" s="1"/>
  <c r="J117" i="7"/>
  <c r="I112" i="7"/>
  <c r="O112" i="7" s="1"/>
  <c r="N110" i="7"/>
  <c r="J105" i="7"/>
  <c r="J100" i="7"/>
  <c r="M98" i="7"/>
  <c r="P98" i="7" s="1"/>
  <c r="M96" i="7"/>
  <c r="P96" i="7" s="1"/>
  <c r="M89" i="7"/>
  <c r="L78" i="7"/>
  <c r="K72" i="7"/>
  <c r="N68" i="7"/>
  <c r="M66" i="7"/>
  <c r="L64" i="7"/>
  <c r="M62" i="7"/>
  <c r="L60" i="7"/>
  <c r="M58" i="7"/>
  <c r="L56" i="7"/>
  <c r="M54" i="7"/>
  <c r="N50" i="7"/>
  <c r="L48" i="7"/>
  <c r="N46" i="7"/>
  <c r="L42" i="7"/>
  <c r="L40" i="7"/>
  <c r="L33" i="7"/>
  <c r="K204" i="7"/>
  <c r="J192" i="7"/>
  <c r="M170" i="7"/>
  <c r="M164" i="7"/>
  <c r="J148" i="7"/>
  <c r="L136" i="7"/>
  <c r="M113" i="7"/>
  <c r="M110" i="7"/>
  <c r="L103" i="7"/>
  <c r="K96" i="7"/>
  <c r="M87" i="7"/>
  <c r="N83" i="7"/>
  <c r="K78" i="7"/>
  <c r="I72" i="7"/>
  <c r="K66" i="7"/>
  <c r="K62" i="7"/>
  <c r="K58" i="7"/>
  <c r="K54" i="7"/>
  <c r="M46" i="7"/>
  <c r="N38" i="7"/>
  <c r="K33" i="7"/>
  <c r="I200" i="7"/>
  <c r="J178" i="7"/>
  <c r="I166" i="7"/>
  <c r="K159" i="7"/>
  <c r="I148" i="7"/>
  <c r="N140" i="7"/>
  <c r="P140" i="7" s="1"/>
  <c r="K136" i="7"/>
  <c r="I129" i="7"/>
  <c r="K110" i="7"/>
  <c r="N106" i="7"/>
  <c r="J103" i="7"/>
  <c r="J98" i="7"/>
  <c r="M94" i="7"/>
  <c r="N199" i="7"/>
  <c r="K193" i="7"/>
  <c r="L187" i="7"/>
  <c r="I184" i="7"/>
  <c r="L161" i="7"/>
  <c r="N156" i="7"/>
  <c r="P156" i="7" s="1"/>
  <c r="J151" i="7"/>
  <c r="N148" i="7"/>
  <c r="K140" i="7"/>
  <c r="L135" i="7"/>
  <c r="I124" i="7"/>
  <c r="J121" i="7"/>
  <c r="I103" i="7"/>
  <c r="O103" i="7" s="1"/>
  <c r="Q103" i="7" s="1"/>
  <c r="L101" i="7"/>
  <c r="I96" i="7"/>
  <c r="I94" i="7"/>
  <c r="I92" i="7"/>
  <c r="K90" i="7"/>
  <c r="K88" i="7"/>
  <c r="I86" i="7"/>
  <c r="O86" i="7" s="1"/>
  <c r="Q86" i="7" s="1"/>
  <c r="I69" i="7"/>
  <c r="J64" i="7"/>
  <c r="N59" i="7"/>
  <c r="J57" i="7"/>
  <c r="K50" i="7"/>
  <c r="M47" i="7"/>
  <c r="N45" i="7"/>
  <c r="M38" i="7"/>
  <c r="P38" i="7" s="1"/>
  <c r="K34" i="7"/>
  <c r="I199" i="7"/>
  <c r="K172" i="7"/>
  <c r="L111" i="7"/>
  <c r="I90" i="7"/>
  <c r="N79" i="7"/>
  <c r="M61" i="7"/>
  <c r="J54" i="7"/>
  <c r="N35" i="7"/>
  <c r="M174" i="7"/>
  <c r="N168" i="7"/>
  <c r="N158" i="7"/>
  <c r="J111" i="7"/>
  <c r="K81" i="7"/>
  <c r="N77" i="7"/>
  <c r="L70" i="7"/>
  <c r="M51" i="7"/>
  <c r="M35" i="7"/>
  <c r="K174" i="7"/>
  <c r="N150" i="7"/>
  <c r="K128" i="7"/>
  <c r="I111" i="7"/>
  <c r="N102" i="7"/>
  <c r="L95" i="7"/>
  <c r="M85" i="7"/>
  <c r="P85" i="7" s="1"/>
  <c r="K79" i="7"/>
  <c r="M75" i="7"/>
  <c r="J61" i="7"/>
  <c r="L51" i="7"/>
  <c r="J216" i="7"/>
  <c r="I183" i="7"/>
  <c r="L160" i="7"/>
  <c r="L155" i="7"/>
  <c r="M144" i="7"/>
  <c r="J128" i="7"/>
  <c r="K106" i="7"/>
  <c r="M102" i="7"/>
  <c r="P102" i="7" s="1"/>
  <c r="J95" i="7"/>
  <c r="O95" i="7" s="1"/>
  <c r="Q95" i="7" s="1"/>
  <c r="J79" i="7"/>
  <c r="L199" i="7"/>
  <c r="I178" i="7"/>
  <c r="L172" i="7"/>
  <c r="J161" i="7"/>
  <c r="M156" i="7"/>
  <c r="K153" i="7"/>
  <c r="M148" i="7"/>
  <c r="J140" i="7"/>
  <c r="N128" i="7"/>
  <c r="K126" i="7"/>
  <c r="I121" i="7"/>
  <c r="O121" i="7" s="1"/>
  <c r="Q121" i="7" s="1"/>
  <c r="M111" i="7"/>
  <c r="P111" i="7" s="1"/>
  <c r="M109" i="7"/>
  <c r="J90" i="7"/>
  <c r="J88" i="7"/>
  <c r="M59" i="7"/>
  <c r="J50" i="7"/>
  <c r="K47" i="7"/>
  <c r="M45" i="7"/>
  <c r="L38" i="7"/>
  <c r="J34" i="7"/>
  <c r="I140" i="7"/>
  <c r="O140" i="7" s="1"/>
  <c r="M128" i="7"/>
  <c r="P128" i="7" s="1"/>
  <c r="L109" i="7"/>
  <c r="I88" i="7"/>
  <c r="O88" i="7" s="1"/>
  <c r="Q88" i="7" s="1"/>
  <c r="M81" i="7"/>
  <c r="M70" i="7"/>
  <c r="J66" i="7"/>
  <c r="K59" i="7"/>
  <c r="J47" i="7"/>
  <c r="L45" i="7"/>
  <c r="J38" i="7"/>
  <c r="I34" i="7"/>
  <c r="O34" i="7" s="1"/>
  <c r="Z34" i="7" s="1"/>
  <c r="L128" i="7"/>
  <c r="M83" i="7"/>
  <c r="P83" i="7" s="1"/>
  <c r="M79" i="7"/>
  <c r="P79" i="7" s="1"/>
  <c r="N75" i="7"/>
  <c r="K61" i="7"/>
  <c r="J42" i="7"/>
  <c r="J183" i="7"/>
  <c r="K168" i="7"/>
  <c r="L163" i="7"/>
  <c r="J158" i="7"/>
  <c r="N144" i="7"/>
  <c r="M106" i="7"/>
  <c r="N104" i="7"/>
  <c r="P104" i="7" s="1"/>
  <c r="I98" i="7"/>
  <c r="O98" i="7" s="1"/>
  <c r="Q98" i="7" s="1"/>
  <c r="M93" i="7"/>
  <c r="I91" i="7"/>
  <c r="O91" i="7" s="1"/>
  <c r="Q91" i="7" s="1"/>
  <c r="M77" i="7"/>
  <c r="N63" i="7"/>
  <c r="J56" i="7"/>
  <c r="N39" i="7"/>
  <c r="L35" i="7"/>
  <c r="N209" i="7"/>
  <c r="N177" i="7"/>
  <c r="J174" i="7"/>
  <c r="J163" i="7"/>
  <c r="I158" i="7"/>
  <c r="O158" i="7" s="1"/>
  <c r="N152" i="7"/>
  <c r="J147" i="7"/>
  <c r="J136" i="7"/>
  <c r="N114" i="7"/>
  <c r="M104" i="7"/>
  <c r="N100" i="7"/>
  <c r="L93" i="7"/>
  <c r="L85" i="7"/>
  <c r="K77" i="7"/>
  <c r="N34" i="7"/>
  <c r="P34" i="7" s="1"/>
  <c r="K57" i="7"/>
  <c r="J60" i="7"/>
  <c r="L74" i="7"/>
  <c r="I106" i="7"/>
  <c r="J114" i="7"/>
  <c r="M116" i="7"/>
  <c r="I136" i="7"/>
  <c r="M152" i="7"/>
  <c r="J46" i="7"/>
  <c r="M57" i="7"/>
  <c r="M74" i="7"/>
  <c r="J82" i="7"/>
  <c r="J92" i="7"/>
  <c r="J106" i="7"/>
  <c r="N116" i="7"/>
  <c r="L200" i="7"/>
  <c r="K11" i="7"/>
  <c r="K46" i="7"/>
  <c r="J69" i="7"/>
  <c r="L82" i="7"/>
  <c r="K87" i="7"/>
  <c r="K92" i="7"/>
  <c r="I104" i="7"/>
  <c r="K112" i="7"/>
  <c r="M114" i="7"/>
  <c r="L140" i="7"/>
  <c r="Z140" i="7" s="1"/>
  <c r="K146" i="7"/>
  <c r="I212" i="7"/>
  <c r="J35" i="7"/>
  <c r="L46" i="7"/>
  <c r="L67" i="7"/>
  <c r="J77" i="7"/>
  <c r="I85" i="7"/>
  <c r="O85" i="7" s="1"/>
  <c r="M90" i="7"/>
  <c r="P90" i="7" s="1"/>
  <c r="M92" i="7"/>
  <c r="P92" i="7" s="1"/>
  <c r="J104" i="7"/>
  <c r="L121" i="7"/>
  <c r="K124" i="7"/>
  <c r="I41" i="7"/>
  <c r="M55" i="7"/>
  <c r="P55" i="7" s="1"/>
  <c r="M69" i="7"/>
  <c r="N82" i="7"/>
  <c r="N90" i="7"/>
  <c r="K104" i="7"/>
  <c r="L124" i="7"/>
  <c r="J160" i="7"/>
  <c r="L39" i="7"/>
  <c r="L50" i="7"/>
  <c r="J58" i="7"/>
  <c r="K67" i="7"/>
  <c r="N72" i="7"/>
  <c r="P72" i="7" s="1"/>
  <c r="L80" i="7"/>
  <c r="I99" i="7"/>
  <c r="L110" i="7"/>
  <c r="M124" i="7"/>
  <c r="K167" i="7"/>
  <c r="I174" i="7"/>
  <c r="J33" i="7"/>
  <c r="I39" i="7"/>
  <c r="K44" i="7"/>
  <c r="M67" i="7"/>
  <c r="K75" i="7"/>
  <c r="M80" i="7"/>
  <c r="P80" i="7" s="1"/>
  <c r="M88" i="7"/>
  <c r="J102" i="7"/>
  <c r="I110" i="7"/>
  <c r="K144" i="7"/>
  <c r="L167" i="7"/>
  <c r="L194" i="7"/>
  <c r="I13" i="7"/>
  <c r="N33" i="7"/>
  <c r="J39" i="7"/>
  <c r="K53" i="7"/>
  <c r="J65" i="7"/>
  <c r="N67" i="7"/>
  <c r="I78" i="7"/>
  <c r="O78" i="7" s="1"/>
  <c r="Q78" i="7" s="1"/>
  <c r="N80" i="7"/>
  <c r="N88" i="7"/>
  <c r="K102" i="7"/>
  <c r="L108" i="7"/>
  <c r="J110" i="7"/>
  <c r="L118" i="7"/>
  <c r="I120" i="7"/>
  <c r="K122" i="7"/>
  <c r="L138" i="7"/>
  <c r="L144" i="7"/>
  <c r="K151" i="7"/>
  <c r="N167" i="7"/>
  <c r="J188" i="7"/>
  <c r="J191" i="7"/>
  <c r="K23" i="7"/>
  <c r="J23" i="7"/>
  <c r="L23" i="7"/>
  <c r="Z3" i="8"/>
  <c r="F7" i="7" s="1"/>
  <c r="F5" i="7"/>
  <c r="Q25" i="9" s="1"/>
  <c r="N31" i="9" s="1"/>
  <c r="F9" i="7"/>
  <c r="F4" i="7"/>
  <c r="Q11" i="9" s="1"/>
  <c r="F6" i="7"/>
  <c r="Q35" i="9" s="1"/>
  <c r="H14" i="7"/>
  <c r="M14" i="7" s="1"/>
  <c r="O14" i="7" s="1"/>
  <c r="K51" i="7"/>
  <c r="L106" i="7"/>
  <c r="I114" i="7"/>
  <c r="M118" i="7"/>
  <c r="J159" i="7"/>
  <c r="M63" i="7"/>
  <c r="L79" i="7"/>
  <c r="N118" i="7"/>
  <c r="J149" i="7"/>
  <c r="I43" i="7"/>
  <c r="M71" i="7"/>
  <c r="L104" i="7"/>
  <c r="K114" i="7"/>
  <c r="M130" i="7"/>
  <c r="G20" i="7"/>
  <c r="L20" i="7"/>
  <c r="K20" i="7"/>
  <c r="N20" i="7" s="1"/>
  <c r="H20" i="7"/>
  <c r="J20" i="7"/>
  <c r="K43" i="7"/>
  <c r="I77" i="7"/>
  <c r="M101" i="7"/>
  <c r="J124" i="7"/>
  <c r="O124" i="7" s="1"/>
  <c r="M193" i="7"/>
  <c r="I24" i="7"/>
  <c r="L43" i="7"/>
  <c r="K55" i="7"/>
  <c r="K69" i="7"/>
  <c r="M82" i="7"/>
  <c r="I95" i="7"/>
  <c r="M112" i="7"/>
  <c r="I127" i="7"/>
  <c r="M140" i="7"/>
  <c r="I160" i="7"/>
  <c r="N187" i="7"/>
  <c r="I216" i="7"/>
  <c r="O216" i="7" s="1"/>
  <c r="I35" i="7"/>
  <c r="J67" i="7"/>
  <c r="K80" i="7"/>
  <c r="J85" i="7"/>
  <c r="N112" i="7"/>
  <c r="I144" i="7"/>
  <c r="O144" i="7" s="1"/>
  <c r="J184" i="7"/>
  <c r="N197" i="7"/>
  <c r="K35" i="7"/>
  <c r="K41" i="7"/>
  <c r="N55" i="7"/>
  <c r="N69" i="7"/>
  <c r="J75" i="7"/>
  <c r="K85" i="7"/>
  <c r="J144" i="7"/>
  <c r="G17" i="7"/>
  <c r="J17" i="7"/>
  <c r="L17" i="7"/>
  <c r="K17" i="7"/>
  <c r="N17" i="7" s="1"/>
  <c r="H17" i="7"/>
  <c r="L41" i="7"/>
  <c r="J53" i="7"/>
  <c r="J99" i="7"/>
  <c r="L120" i="7"/>
  <c r="I191" i="7"/>
  <c r="O191" i="7" s="1"/>
  <c r="N47" i="7"/>
  <c r="J62" i="7"/>
  <c r="F8" i="7"/>
  <c r="K39" i="7"/>
  <c r="M53" i="7"/>
  <c r="K65" i="7"/>
  <c r="N78" i="7"/>
  <c r="M105" i="7"/>
  <c r="I108" i="7"/>
  <c r="O108" i="7" s="1"/>
  <c r="Q108" i="7" s="1"/>
  <c r="I118" i="7"/>
  <c r="O118" i="7" s="1"/>
  <c r="Q118" i="7" s="1"/>
  <c r="J120" i="7"/>
  <c r="I132" i="7"/>
  <c r="O132" i="7" s="1"/>
  <c r="Q132" i="7" s="1"/>
  <c r="L151" i="7"/>
  <c r="K165" i="7"/>
  <c r="N185" i="7"/>
  <c r="L188" i="7"/>
  <c r="L98" i="7"/>
  <c r="L81" i="7"/>
  <c r="L34" i="7"/>
  <c r="L47" i="7"/>
  <c r="L90" i="7"/>
  <c r="L69" i="7"/>
  <c r="L92" i="7"/>
  <c r="L94" i="7"/>
  <c r="L96" i="7"/>
  <c r="L88" i="7"/>
  <c r="J78" i="7"/>
  <c r="L102" i="7"/>
  <c r="L100" i="7"/>
  <c r="K150" i="7"/>
  <c r="G23" i="7"/>
  <c r="L112" i="7"/>
  <c r="Z112" i="7" s="1"/>
  <c r="M198" i="7"/>
  <c r="P198" i="7" s="1"/>
  <c r="H23" i="7"/>
  <c r="L77" i="7"/>
  <c r="J80" i="7"/>
  <c r="L116" i="7"/>
  <c r="G15" i="7"/>
  <c r="K15" i="7"/>
  <c r="I15" i="7"/>
  <c r="L15" i="7"/>
  <c r="J15" i="7"/>
  <c r="H15" i="7"/>
  <c r="D4" i="7"/>
  <c r="N134" i="7"/>
  <c r="J134" i="7"/>
  <c r="I134" i="7"/>
  <c r="K134" i="7"/>
  <c r="L10" i="7"/>
  <c r="I10" i="7"/>
  <c r="G18" i="7"/>
  <c r="K18" i="7"/>
  <c r="I21" i="7"/>
  <c r="G10" i="7"/>
  <c r="J12" i="7"/>
  <c r="H13" i="7"/>
  <c r="G16" i="7"/>
  <c r="L16" i="7"/>
  <c r="K16" i="7"/>
  <c r="N16" i="7" s="1"/>
  <c r="J16" i="7"/>
  <c r="H16" i="7"/>
  <c r="H18" i="7"/>
  <c r="H19" i="7"/>
  <c r="J21" i="7"/>
  <c r="I37" i="7"/>
  <c r="N142" i="7"/>
  <c r="J142" i="7"/>
  <c r="I142" i="7"/>
  <c r="M142" i="7"/>
  <c r="L142" i="7"/>
  <c r="H10" i="7"/>
  <c r="L12" i="7"/>
  <c r="I18" i="7"/>
  <c r="L21" i="7"/>
  <c r="K142" i="7"/>
  <c r="G13" i="7"/>
  <c r="K13" i="7"/>
  <c r="J13" i="7"/>
  <c r="G19" i="7"/>
  <c r="L19" i="7"/>
  <c r="K19" i="7"/>
  <c r="N19" i="7" s="1"/>
  <c r="J19" i="7"/>
  <c r="I12" i="7"/>
  <c r="J18" i="7"/>
  <c r="L11" i="7"/>
  <c r="N11" i="7" s="1"/>
  <c r="I11" i="7"/>
  <c r="L18" i="7"/>
  <c r="L71" i="7"/>
  <c r="K71" i="7"/>
  <c r="J71" i="7"/>
  <c r="I71" i="7"/>
  <c r="M143" i="7"/>
  <c r="K143" i="7"/>
  <c r="N143" i="7"/>
  <c r="I143" i="7"/>
  <c r="L143" i="7"/>
  <c r="K154" i="7"/>
  <c r="J154" i="7"/>
  <c r="I154" i="7"/>
  <c r="M154" i="7"/>
  <c r="N154" i="7"/>
  <c r="L154" i="7"/>
  <c r="M37" i="7"/>
  <c r="K37" i="7"/>
  <c r="L37" i="7"/>
  <c r="L13" i="7"/>
  <c r="G11" i="7"/>
  <c r="N26" i="9"/>
  <c r="G21" i="7"/>
  <c r="K21" i="7"/>
  <c r="N119" i="7"/>
  <c r="M119" i="7"/>
  <c r="K119" i="7"/>
  <c r="I119" i="7"/>
  <c r="L119" i="7"/>
  <c r="J119" i="7"/>
  <c r="L134" i="7"/>
  <c r="H21" i="7"/>
  <c r="N85" i="9"/>
  <c r="H11" i="7"/>
  <c r="N71" i="7"/>
  <c r="L84" i="7"/>
  <c r="K84" i="7"/>
  <c r="N84" i="7"/>
  <c r="M84" i="7"/>
  <c r="J84" i="7"/>
  <c r="I84" i="7"/>
  <c r="G12" i="7"/>
  <c r="K12" i="7"/>
  <c r="H12" i="7"/>
  <c r="I44" i="7"/>
  <c r="L44" i="7"/>
  <c r="M44" i="7"/>
  <c r="N44" i="7"/>
  <c r="J44" i="7"/>
  <c r="M134" i="7"/>
  <c r="J10" i="7"/>
  <c r="N37" i="7"/>
  <c r="K10" i="7"/>
  <c r="N10" i="7" s="1"/>
  <c r="D5" i="7"/>
  <c r="J11" i="7"/>
  <c r="G22" i="7"/>
  <c r="L22" i="7"/>
  <c r="K22" i="7"/>
  <c r="J22" i="7"/>
  <c r="M41" i="7"/>
  <c r="N41" i="7"/>
  <c r="J41" i="7"/>
  <c r="I52" i="7"/>
  <c r="L52" i="7"/>
  <c r="N52" i="7"/>
  <c r="M52" i="7"/>
  <c r="K52" i="7"/>
  <c r="J52" i="7"/>
  <c r="L73" i="7"/>
  <c r="K73" i="7"/>
  <c r="J73" i="7"/>
  <c r="I73" i="7"/>
  <c r="M73" i="7"/>
  <c r="N97" i="7"/>
  <c r="K97" i="7"/>
  <c r="L97" i="7"/>
  <c r="J97" i="7"/>
  <c r="I97" i="7"/>
  <c r="N107" i="7"/>
  <c r="K107" i="7"/>
  <c r="M107" i="7"/>
  <c r="L107" i="7"/>
  <c r="J107" i="7"/>
  <c r="N130" i="7"/>
  <c r="J130" i="7"/>
  <c r="I130" i="7"/>
  <c r="L130" i="7"/>
  <c r="I48" i="7"/>
  <c r="N48" i="7"/>
  <c r="J48" i="7"/>
  <c r="K48" i="7"/>
  <c r="N73" i="7"/>
  <c r="M97" i="7"/>
  <c r="I107" i="7"/>
  <c r="K130" i="7"/>
  <c r="I32" i="7"/>
  <c r="N32" i="7"/>
  <c r="M32" i="7"/>
  <c r="L32" i="7"/>
  <c r="K32" i="7"/>
  <c r="I36" i="7"/>
  <c r="N36" i="7"/>
  <c r="M36" i="7"/>
  <c r="P36" i="7" s="1"/>
  <c r="L36" i="7"/>
  <c r="K36" i="7"/>
  <c r="I40" i="7"/>
  <c r="J40" i="7"/>
  <c r="N40" i="7"/>
  <c r="K40" i="7"/>
  <c r="M162" i="7"/>
  <c r="I162" i="7"/>
  <c r="L162" i="7"/>
  <c r="J162" i="7"/>
  <c r="N162" i="7"/>
  <c r="I169" i="7"/>
  <c r="K169" i="7"/>
  <c r="M169" i="7"/>
  <c r="N169" i="7"/>
  <c r="L169" i="7"/>
  <c r="J169" i="7"/>
  <c r="M157" i="7"/>
  <c r="L157" i="7"/>
  <c r="K157" i="7"/>
  <c r="N157" i="7"/>
  <c r="J157" i="7"/>
  <c r="I157" i="7"/>
  <c r="M40" i="7"/>
  <c r="J76" i="7"/>
  <c r="N76" i="7"/>
  <c r="M76" i="7"/>
  <c r="L76" i="7"/>
  <c r="I76" i="7"/>
  <c r="L214" i="7"/>
  <c r="K214" i="7"/>
  <c r="N214" i="7"/>
  <c r="M214" i="7"/>
  <c r="J214" i="7"/>
  <c r="I214" i="7"/>
  <c r="N43" i="7"/>
  <c r="J43" i="7"/>
  <c r="J70" i="7"/>
  <c r="K70" i="7"/>
  <c r="N91" i="7"/>
  <c r="K91" i="7"/>
  <c r="M91" i="7"/>
  <c r="L91" i="7"/>
  <c r="J91" i="7"/>
  <c r="M145" i="7"/>
  <c r="N145" i="7"/>
  <c r="L145" i="7"/>
  <c r="K145" i="7"/>
  <c r="J145" i="7"/>
  <c r="I145" i="7"/>
  <c r="K186" i="7"/>
  <c r="J186" i="7"/>
  <c r="L186" i="7"/>
  <c r="N186" i="7"/>
  <c r="M186" i="7"/>
  <c r="I186" i="7"/>
  <c r="M49" i="7"/>
  <c r="L49" i="7"/>
  <c r="K49" i="7"/>
  <c r="L68" i="7"/>
  <c r="N89" i="7"/>
  <c r="P89" i="7" s="1"/>
  <c r="K89" i="7"/>
  <c r="M133" i="7"/>
  <c r="N133" i="7"/>
  <c r="L133" i="7"/>
  <c r="K133" i="7"/>
  <c r="J133" i="7"/>
  <c r="I133" i="7"/>
  <c r="M137" i="7"/>
  <c r="N137" i="7"/>
  <c r="L137" i="7"/>
  <c r="K137" i="7"/>
  <c r="J137" i="7"/>
  <c r="I42" i="7"/>
  <c r="M42" i="7"/>
  <c r="M43" i="7"/>
  <c r="I49" i="7"/>
  <c r="L53" i="7"/>
  <c r="N53" i="7"/>
  <c r="I53" i="7"/>
  <c r="L54" i="7"/>
  <c r="N54" i="7"/>
  <c r="I54" i="7"/>
  <c r="L55" i="7"/>
  <c r="I55" i="7"/>
  <c r="J55" i="7"/>
  <c r="N56" i="7"/>
  <c r="M56" i="7"/>
  <c r="I56" i="7"/>
  <c r="L57" i="7"/>
  <c r="N57" i="7"/>
  <c r="I57" i="7"/>
  <c r="L58" i="7"/>
  <c r="N58" i="7"/>
  <c r="I58" i="7"/>
  <c r="L59" i="7"/>
  <c r="I59" i="7"/>
  <c r="J59" i="7"/>
  <c r="N60" i="7"/>
  <c r="M60" i="7"/>
  <c r="I60" i="7"/>
  <c r="L61" i="7"/>
  <c r="N61" i="7"/>
  <c r="I61" i="7"/>
  <c r="L62" i="7"/>
  <c r="N62" i="7"/>
  <c r="I62" i="7"/>
  <c r="L63" i="7"/>
  <c r="I63" i="7"/>
  <c r="J63" i="7"/>
  <c r="N64" i="7"/>
  <c r="M64" i="7"/>
  <c r="I64" i="7"/>
  <c r="L65" i="7"/>
  <c r="N65" i="7"/>
  <c r="I65" i="7"/>
  <c r="L66" i="7"/>
  <c r="N66" i="7"/>
  <c r="I66" i="7"/>
  <c r="I68" i="7"/>
  <c r="N70" i="7"/>
  <c r="P70" i="7" s="1"/>
  <c r="I89" i="7"/>
  <c r="N115" i="7"/>
  <c r="K115" i="7"/>
  <c r="M115" i="7"/>
  <c r="L115" i="7"/>
  <c r="J115" i="7"/>
  <c r="I115" i="7"/>
  <c r="I137" i="7"/>
  <c r="M153" i="7"/>
  <c r="J153" i="7"/>
  <c r="I153" i="7"/>
  <c r="N153" i="7"/>
  <c r="K180" i="7"/>
  <c r="N180" i="7"/>
  <c r="I180" i="7"/>
  <c r="L180" i="7"/>
  <c r="M180" i="7"/>
  <c r="J180" i="7"/>
  <c r="K45" i="7"/>
  <c r="I45" i="7"/>
  <c r="J49" i="7"/>
  <c r="J68" i="7"/>
  <c r="J74" i="7"/>
  <c r="K74" i="7"/>
  <c r="J89" i="7"/>
  <c r="M131" i="7"/>
  <c r="K131" i="7"/>
  <c r="N131" i="7"/>
  <c r="L131" i="7"/>
  <c r="J131" i="7"/>
  <c r="O183" i="7"/>
  <c r="M206" i="7"/>
  <c r="N206" i="7"/>
  <c r="I206" i="7"/>
  <c r="K206" i="7"/>
  <c r="L206" i="7"/>
  <c r="I14" i="7"/>
  <c r="I17" i="7"/>
  <c r="I20" i="7"/>
  <c r="I23" i="7"/>
  <c r="I33" i="7"/>
  <c r="I38" i="7"/>
  <c r="K38" i="7"/>
  <c r="J45" i="7"/>
  <c r="I47" i="7"/>
  <c r="N49" i="7"/>
  <c r="P59" i="7"/>
  <c r="K68" i="7"/>
  <c r="I74" i="7"/>
  <c r="L89" i="7"/>
  <c r="N117" i="7"/>
  <c r="M117" i="7"/>
  <c r="K117" i="7"/>
  <c r="L117" i="7"/>
  <c r="I131" i="7"/>
  <c r="L153" i="7"/>
  <c r="O160" i="7"/>
  <c r="M185" i="7"/>
  <c r="I185" i="7"/>
  <c r="L185" i="7"/>
  <c r="K185" i="7"/>
  <c r="J185" i="7"/>
  <c r="J206" i="7"/>
  <c r="K227" i="7"/>
  <c r="J227" i="7"/>
  <c r="I227" i="7"/>
  <c r="N227" i="7"/>
  <c r="M227" i="7"/>
  <c r="P227" i="7" s="1"/>
  <c r="L227" i="7"/>
  <c r="N113" i="7"/>
  <c r="P113" i="7" s="1"/>
  <c r="K113" i="7"/>
  <c r="N126" i="7"/>
  <c r="J126" i="7"/>
  <c r="I126" i="7"/>
  <c r="M126" i="7"/>
  <c r="L126" i="7"/>
  <c r="M127" i="7"/>
  <c r="K127" i="7"/>
  <c r="N127" i="7"/>
  <c r="L127" i="7"/>
  <c r="J127" i="7"/>
  <c r="M139" i="7"/>
  <c r="K139" i="7"/>
  <c r="N139" i="7"/>
  <c r="L139" i="7"/>
  <c r="J139" i="7"/>
  <c r="I139" i="7"/>
  <c r="N146" i="7"/>
  <c r="J146" i="7"/>
  <c r="I146" i="7"/>
  <c r="M147" i="7"/>
  <c r="K147" i="7"/>
  <c r="N147" i="7"/>
  <c r="I147" i="7"/>
  <c r="J72" i="7"/>
  <c r="L72" i="7"/>
  <c r="L83" i="7"/>
  <c r="K83" i="7"/>
  <c r="J83" i="7"/>
  <c r="I83" i="7"/>
  <c r="N103" i="7"/>
  <c r="K103" i="7"/>
  <c r="M103" i="7"/>
  <c r="N105" i="7"/>
  <c r="K105" i="7"/>
  <c r="I105" i="7"/>
  <c r="J113" i="7"/>
  <c r="N122" i="7"/>
  <c r="J122" i="7"/>
  <c r="I122" i="7"/>
  <c r="M122" i="7"/>
  <c r="L122" i="7"/>
  <c r="M123" i="7"/>
  <c r="K123" i="7"/>
  <c r="N123" i="7"/>
  <c r="L123" i="7"/>
  <c r="L146" i="7"/>
  <c r="L147" i="7"/>
  <c r="L113" i="7"/>
  <c r="M146" i="7"/>
  <c r="M149" i="7"/>
  <c r="N149" i="7"/>
  <c r="L149" i="7"/>
  <c r="K149" i="7"/>
  <c r="I149" i="7"/>
  <c r="N51" i="7"/>
  <c r="L86" i="7"/>
  <c r="N86" i="7"/>
  <c r="N95" i="7"/>
  <c r="K95" i="7"/>
  <c r="M155" i="7"/>
  <c r="K155" i="7"/>
  <c r="J155" i="7"/>
  <c r="N155" i="7"/>
  <c r="M161" i="7"/>
  <c r="N161" i="7"/>
  <c r="I161" i="7"/>
  <c r="K161" i="7"/>
  <c r="N202" i="7"/>
  <c r="J202" i="7"/>
  <c r="I202" i="7"/>
  <c r="M202" i="7"/>
  <c r="L202" i="7"/>
  <c r="K202" i="7"/>
  <c r="L211" i="7"/>
  <c r="K211" i="7"/>
  <c r="I211" i="7"/>
  <c r="N211" i="7"/>
  <c r="J211" i="7"/>
  <c r="M211" i="7"/>
  <c r="I50" i="7"/>
  <c r="M86" i="7"/>
  <c r="P86" i="7" s="1"/>
  <c r="M95" i="7"/>
  <c r="P95" i="7" s="1"/>
  <c r="N111" i="7"/>
  <c r="K111" i="7"/>
  <c r="K201" i="7"/>
  <c r="M201" i="7"/>
  <c r="L201" i="7"/>
  <c r="I201" i="7"/>
  <c r="J201" i="7"/>
  <c r="N201" i="7"/>
  <c r="L75" i="7"/>
  <c r="M171" i="7"/>
  <c r="I171" i="7"/>
  <c r="N171" i="7"/>
  <c r="L171" i="7"/>
  <c r="J171" i="7"/>
  <c r="M172" i="7"/>
  <c r="J172" i="7"/>
  <c r="N172" i="7"/>
  <c r="I46" i="7"/>
  <c r="I75" i="7"/>
  <c r="N99" i="7"/>
  <c r="K99" i="7"/>
  <c r="M99" i="7"/>
  <c r="L99" i="7"/>
  <c r="N121" i="7"/>
  <c r="M121" i="7"/>
  <c r="K121" i="7"/>
  <c r="M129" i="7"/>
  <c r="N129" i="7"/>
  <c r="L129" i="7"/>
  <c r="K129" i="7"/>
  <c r="J129" i="7"/>
  <c r="K171" i="7"/>
  <c r="I172" i="7"/>
  <c r="K203" i="7"/>
  <c r="M203" i="7"/>
  <c r="L203" i="7"/>
  <c r="J203" i="7"/>
  <c r="N203" i="7"/>
  <c r="I203" i="7"/>
  <c r="N93" i="7"/>
  <c r="K93" i="7"/>
  <c r="N101" i="7"/>
  <c r="K101" i="7"/>
  <c r="N109" i="7"/>
  <c r="K109" i="7"/>
  <c r="M125" i="7"/>
  <c r="N125" i="7"/>
  <c r="L125" i="7"/>
  <c r="K125" i="7"/>
  <c r="J125" i="7"/>
  <c r="M141" i="7"/>
  <c r="N141" i="7"/>
  <c r="L141" i="7"/>
  <c r="K141" i="7"/>
  <c r="J141" i="7"/>
  <c r="N170" i="7"/>
  <c r="J170" i="7"/>
  <c r="I177" i="7"/>
  <c r="M177" i="7"/>
  <c r="L177" i="7"/>
  <c r="K189" i="7"/>
  <c r="L189" i="7"/>
  <c r="N189" i="7"/>
  <c r="M189" i="7"/>
  <c r="P189" i="7" s="1"/>
  <c r="L195" i="7"/>
  <c r="M195" i="7"/>
  <c r="N195" i="7"/>
  <c r="J195" i="7"/>
  <c r="K196" i="7"/>
  <c r="M196" i="7"/>
  <c r="L196" i="7"/>
  <c r="J196" i="7"/>
  <c r="I196" i="7"/>
  <c r="L217" i="7"/>
  <c r="J217" i="7"/>
  <c r="N217" i="7"/>
  <c r="M217" i="7"/>
  <c r="K217" i="7"/>
  <c r="I217" i="7"/>
  <c r="I81" i="7"/>
  <c r="I82" i="7"/>
  <c r="N87" i="7"/>
  <c r="J87" i="7"/>
  <c r="I93" i="7"/>
  <c r="I101" i="7"/>
  <c r="I109" i="7"/>
  <c r="I125" i="7"/>
  <c r="N138" i="7"/>
  <c r="J138" i="7"/>
  <c r="I138" i="7"/>
  <c r="I141" i="7"/>
  <c r="I170" i="7"/>
  <c r="M173" i="7"/>
  <c r="I173" i="7"/>
  <c r="N173" i="7"/>
  <c r="L173" i="7"/>
  <c r="K173" i="7"/>
  <c r="J173" i="7"/>
  <c r="J177" i="7"/>
  <c r="I189" i="7"/>
  <c r="I195" i="7"/>
  <c r="N196" i="7"/>
  <c r="I67" i="7"/>
  <c r="I79" i="7"/>
  <c r="I80" i="7"/>
  <c r="J81" i="7"/>
  <c r="K82" i="7"/>
  <c r="I87" i="7"/>
  <c r="J93" i="7"/>
  <c r="J101" i="7"/>
  <c r="J109" i="7"/>
  <c r="M135" i="7"/>
  <c r="K135" i="7"/>
  <c r="N135" i="7"/>
  <c r="K138" i="7"/>
  <c r="I163" i="7"/>
  <c r="K163" i="7"/>
  <c r="N163" i="7"/>
  <c r="M163" i="7"/>
  <c r="J168" i="7"/>
  <c r="M168" i="7"/>
  <c r="L168" i="7"/>
  <c r="K170" i="7"/>
  <c r="K177" i="7"/>
  <c r="J189" i="7"/>
  <c r="K194" i="7"/>
  <c r="N194" i="7"/>
  <c r="P194" i="7" s="1"/>
  <c r="I194" i="7"/>
  <c r="J194" i="7"/>
  <c r="K195" i="7"/>
  <c r="K207" i="7"/>
  <c r="N207" i="7"/>
  <c r="I207" i="7"/>
  <c r="M207" i="7"/>
  <c r="P207" i="7" s="1"/>
  <c r="J207" i="7"/>
  <c r="L207" i="7"/>
  <c r="M150" i="7"/>
  <c r="K158" i="7"/>
  <c r="M158" i="7"/>
  <c r="P158" i="7" s="1"/>
  <c r="L158" i="7"/>
  <c r="N174" i="7"/>
  <c r="N182" i="7"/>
  <c r="P182" i="7" s="1"/>
  <c r="M187" i="7"/>
  <c r="K198" i="7"/>
  <c r="J205" i="7"/>
  <c r="K222" i="7"/>
  <c r="N151" i="7"/>
  <c r="I159" i="7"/>
  <c r="I164" i="7"/>
  <c r="I165" i="7"/>
  <c r="N165" i="7"/>
  <c r="P165" i="7" s="1"/>
  <c r="J165" i="7"/>
  <c r="K166" i="7"/>
  <c r="N166" i="7"/>
  <c r="M176" i="7"/>
  <c r="K178" i="7"/>
  <c r="N178" i="7"/>
  <c r="M178" i="7"/>
  <c r="L178" i="7"/>
  <c r="J181" i="7"/>
  <c r="N184" i="7"/>
  <c r="I188" i="7"/>
  <c r="J190" i="7"/>
  <c r="N224" i="7"/>
  <c r="K224" i="7"/>
  <c r="J224" i="7"/>
  <c r="I224" i="7"/>
  <c r="L224" i="7"/>
  <c r="M224" i="7"/>
  <c r="K156" i="7"/>
  <c r="L156" i="7"/>
  <c r="J156" i="7"/>
  <c r="N175" i="7"/>
  <c r="J175" i="7"/>
  <c r="I175" i="7"/>
  <c r="M175" i="7"/>
  <c r="L175" i="7"/>
  <c r="I208" i="7"/>
  <c r="M200" i="7"/>
  <c r="K197" i="7"/>
  <c r="L182" i="7"/>
  <c r="I179" i="7"/>
  <c r="J167" i="7"/>
  <c r="K164" i="7"/>
  <c r="N160" i="7"/>
  <c r="N159" i="7"/>
  <c r="I152" i="7"/>
  <c r="I151" i="7"/>
  <c r="I156" i="7"/>
  <c r="K175" i="7"/>
  <c r="J209" i="7"/>
  <c r="M212" i="7"/>
  <c r="N212" i="7"/>
  <c r="K212" i="7"/>
  <c r="J212" i="7"/>
  <c r="L212" i="7"/>
  <c r="J215" i="7"/>
  <c r="I218" i="7"/>
  <c r="L221" i="7"/>
  <c r="M159" i="7"/>
  <c r="K160" i="7"/>
  <c r="L174" i="7"/>
  <c r="K181" i="7"/>
  <c r="M183" i="7"/>
  <c r="K184" i="7"/>
  <c r="L184" i="7"/>
  <c r="M184" i="7"/>
  <c r="J187" i="7"/>
  <c r="I193" i="7"/>
  <c r="N193" i="7"/>
  <c r="J193" i="7"/>
  <c r="L193" i="7"/>
  <c r="L205" i="7"/>
  <c r="N210" i="7"/>
  <c r="L216" i="7"/>
  <c r="K221" i="7"/>
  <c r="I221" i="7"/>
  <c r="N221" i="7"/>
  <c r="M221" i="7"/>
  <c r="J221" i="7"/>
  <c r="J225" i="7"/>
  <c r="M151" i="7"/>
  <c r="K152" i="7"/>
  <c r="L159" i="7"/>
  <c r="M160" i="7"/>
  <c r="J164" i="7"/>
  <c r="M181" i="7"/>
  <c r="M188" i="7"/>
  <c r="L190" i="7"/>
  <c r="K191" i="7"/>
  <c r="J200" i="7"/>
  <c r="N220" i="7"/>
  <c r="K216" i="7"/>
  <c r="L179" i="7"/>
  <c r="K179" i="7"/>
  <c r="N181" i="7"/>
  <c r="J182" i="7"/>
  <c r="J218" i="7"/>
  <c r="K213" i="7"/>
  <c r="M209" i="7"/>
  <c r="I229" i="7"/>
  <c r="I167" i="7"/>
  <c r="K176" i="7"/>
  <c r="L176" i="7"/>
  <c r="N183" i="7"/>
  <c r="K187" i="7"/>
  <c r="I192" i="7"/>
  <c r="M197" i="7"/>
  <c r="L198" i="7"/>
  <c r="M199" i="7"/>
  <c r="N200" i="7"/>
  <c r="J204" i="7"/>
  <c r="N225" i="7"/>
  <c r="M167" i="7"/>
  <c r="N176" i="7"/>
  <c r="I182" i="7"/>
  <c r="L183" i="7"/>
  <c r="K188" i="7"/>
  <c r="N188" i="7"/>
  <c r="I190" i="7"/>
  <c r="I209" i="7"/>
  <c r="L220" i="7"/>
  <c r="M220" i="7"/>
  <c r="K220" i="7"/>
  <c r="J220" i="7"/>
  <c r="I220" i="7"/>
  <c r="N223" i="7"/>
  <c r="M222" i="7"/>
  <c r="P222" i="7" s="1"/>
  <c r="I215" i="7"/>
  <c r="M223" i="7"/>
  <c r="L222" i="7"/>
  <c r="N228" i="7"/>
  <c r="L223" i="7"/>
  <c r="N215" i="7"/>
  <c r="J223" i="7"/>
  <c r="M215" i="7"/>
  <c r="M205" i="7"/>
  <c r="L204" i="7"/>
  <c r="M228" i="7"/>
  <c r="J222" i="7"/>
  <c r="I219" i="7"/>
  <c r="I204" i="7"/>
  <c r="J198" i="7"/>
  <c r="M225" i="7"/>
  <c r="K228" i="7"/>
  <c r="I213" i="7"/>
  <c r="L210" i="7"/>
  <c r="J228" i="7"/>
  <c r="I223" i="7"/>
  <c r="N219" i="7"/>
  <c r="I210" i="7"/>
  <c r="J197" i="7"/>
  <c r="M191" i="7"/>
  <c r="N190" i="7"/>
  <c r="I187" i="7"/>
  <c r="M219" i="7"/>
  <c r="I197" i="7"/>
  <c r="N192" i="7"/>
  <c r="L191" i="7"/>
  <c r="M190" i="7"/>
  <c r="I222" i="7"/>
  <c r="M218" i="7"/>
  <c r="P218" i="7" s="1"/>
  <c r="K215" i="7"/>
  <c r="I205" i="7"/>
  <c r="K200" i="7"/>
  <c r="I198" i="7"/>
  <c r="L228" i="7"/>
  <c r="J229" i="7"/>
  <c r="K190" i="7"/>
  <c r="N191" i="7"/>
  <c r="K192" i="7"/>
  <c r="L192" i="7"/>
  <c r="K182" i="7"/>
  <c r="M210" i="7"/>
  <c r="K210" i="7"/>
  <c r="J210" i="7"/>
  <c r="K199" i="7"/>
  <c r="J199" i="7"/>
  <c r="L213" i="7"/>
  <c r="J213" i="7"/>
  <c r="N213" i="7"/>
  <c r="M213" i="7"/>
  <c r="M216" i="7"/>
  <c r="N216" i="7"/>
  <c r="K229" i="7"/>
  <c r="N229" i="7"/>
  <c r="M229" i="7"/>
  <c r="P229" i="7" s="1"/>
  <c r="L229" i="7"/>
  <c r="M208" i="7"/>
  <c r="P208" i="7" s="1"/>
  <c r="K208" i="7"/>
  <c r="L197" i="7"/>
  <c r="J208" i="7"/>
  <c r="L209" i="7"/>
  <c r="K209" i="7"/>
  <c r="L218" i="7"/>
  <c r="K218" i="7"/>
  <c r="M226" i="7"/>
  <c r="I226" i="7"/>
  <c r="L226" i="7"/>
  <c r="K226" i="7"/>
  <c r="M204" i="7"/>
  <c r="K205" i="7"/>
  <c r="K219" i="7"/>
  <c r="L219" i="7"/>
  <c r="J219" i="7"/>
  <c r="N204" i="7"/>
  <c r="N205" i="7"/>
  <c r="K225" i="7"/>
  <c r="L225" i="7"/>
  <c r="K223" i="7"/>
  <c r="L215" i="7"/>
  <c r="I228" i="7"/>
  <c r="O15" i="5"/>
  <c r="O53" i="5"/>
  <c r="Q53" i="5" s="1"/>
  <c r="N17" i="5"/>
  <c r="Q49" i="6"/>
  <c r="D8" i="5"/>
  <c r="N71" i="5"/>
  <c r="M71" i="5"/>
  <c r="J71" i="5"/>
  <c r="L71" i="5"/>
  <c r="I71" i="5"/>
  <c r="K6" i="5"/>
  <c r="N6" i="5" s="1"/>
  <c r="L6" i="5"/>
  <c r="I6" i="5"/>
  <c r="J20" i="5"/>
  <c r="G6" i="5"/>
  <c r="H7" i="5"/>
  <c r="L11" i="5"/>
  <c r="H16" i="5"/>
  <c r="H21" i="5"/>
  <c r="I39" i="5"/>
  <c r="I145" i="5"/>
  <c r="G5" i="5"/>
  <c r="I7" i="5"/>
  <c r="I21" i="5"/>
  <c r="I46" i="5"/>
  <c r="K56" i="5"/>
  <c r="N61" i="5"/>
  <c r="K61" i="5"/>
  <c r="M61" i="5"/>
  <c r="L61" i="5"/>
  <c r="J61" i="5"/>
  <c r="I61" i="5"/>
  <c r="J86" i="5"/>
  <c r="K91" i="5"/>
  <c r="J145" i="5"/>
  <c r="M154" i="5"/>
  <c r="L154" i="5"/>
  <c r="K154" i="5"/>
  <c r="J154" i="5"/>
  <c r="N154" i="5"/>
  <c r="I154" i="5"/>
  <c r="K160" i="5"/>
  <c r="J172" i="5"/>
  <c r="N186" i="5"/>
  <c r="M186" i="5"/>
  <c r="P186" i="5" s="1"/>
  <c r="L186" i="5"/>
  <c r="I186" i="5"/>
  <c r="K186" i="5"/>
  <c r="N228" i="5"/>
  <c r="N219" i="5"/>
  <c r="K212" i="5"/>
  <c r="K226" i="5"/>
  <c r="I222" i="5"/>
  <c r="K219" i="5"/>
  <c r="L216" i="5"/>
  <c r="K218" i="5"/>
  <c r="I206" i="5"/>
  <c r="J218" i="5"/>
  <c r="N210" i="5"/>
  <c r="N208" i="5"/>
  <c r="M228" i="5"/>
  <c r="N217" i="5"/>
  <c r="L228" i="5"/>
  <c r="N222" i="5"/>
  <c r="L217" i="5"/>
  <c r="M212" i="5"/>
  <c r="M211" i="5"/>
  <c r="K210" i="5"/>
  <c r="L208" i="5"/>
  <c r="I228" i="5"/>
  <c r="I225" i="5"/>
  <c r="M216" i="5"/>
  <c r="M213" i="5"/>
  <c r="I212" i="5"/>
  <c r="I208" i="5"/>
  <c r="J214" i="5"/>
  <c r="J208" i="5"/>
  <c r="L202" i="5"/>
  <c r="K217" i="5"/>
  <c r="J202" i="5"/>
  <c r="I217" i="5"/>
  <c r="I202" i="5"/>
  <c r="L219" i="5"/>
  <c r="N226" i="5"/>
  <c r="M218" i="5"/>
  <c r="I216" i="5"/>
  <c r="M214" i="5"/>
  <c r="L211" i="5"/>
  <c r="M206" i="5"/>
  <c r="N191" i="5"/>
  <c r="L218" i="5"/>
  <c r="L214" i="5"/>
  <c r="I211" i="5"/>
  <c r="M208" i="5"/>
  <c r="L206" i="5"/>
  <c r="N193" i="5"/>
  <c r="M191" i="5"/>
  <c r="K214" i="5"/>
  <c r="K208" i="5"/>
  <c r="K206" i="5"/>
  <c r="N204" i="5"/>
  <c r="N198" i="5"/>
  <c r="N195" i="5"/>
  <c r="M193" i="5"/>
  <c r="L191" i="5"/>
  <c r="K220" i="5"/>
  <c r="L210" i="5"/>
  <c r="J206" i="5"/>
  <c r="M204" i="5"/>
  <c r="M198" i="5"/>
  <c r="M195" i="5"/>
  <c r="L193" i="5"/>
  <c r="K191" i="5"/>
  <c r="N213" i="5"/>
  <c r="J210" i="5"/>
  <c r="L204" i="5"/>
  <c r="L198" i="5"/>
  <c r="N197" i="5"/>
  <c r="L195" i="5"/>
  <c r="K193" i="5"/>
  <c r="J191" i="5"/>
  <c r="N189" i="5"/>
  <c r="M222" i="5"/>
  <c r="K216" i="5"/>
  <c r="N202" i="5"/>
  <c r="J200" i="5"/>
  <c r="N199" i="5"/>
  <c r="L196" i="5"/>
  <c r="J193" i="5"/>
  <c r="M189" i="5"/>
  <c r="L222" i="5"/>
  <c r="J216" i="5"/>
  <c r="I200" i="5"/>
  <c r="M199" i="5"/>
  <c r="I193" i="5"/>
  <c r="L189" i="5"/>
  <c r="M188" i="5"/>
  <c r="K228" i="5"/>
  <c r="J198" i="5"/>
  <c r="K189" i="5"/>
  <c r="L188" i="5"/>
  <c r="J228" i="5"/>
  <c r="I210" i="5"/>
  <c r="I198" i="5"/>
  <c r="J189" i="5"/>
  <c r="K188" i="5"/>
  <c r="N212" i="5"/>
  <c r="N211" i="5"/>
  <c r="M197" i="5"/>
  <c r="I189" i="5"/>
  <c r="J188" i="5"/>
  <c r="K164" i="5"/>
  <c r="N161" i="5"/>
  <c r="L213" i="5"/>
  <c r="L197" i="5"/>
  <c r="N168" i="5"/>
  <c r="J164" i="5"/>
  <c r="N218" i="5"/>
  <c r="J213" i="5"/>
  <c r="M203" i="5"/>
  <c r="J197" i="5"/>
  <c r="K195" i="5"/>
  <c r="K179" i="5"/>
  <c r="M168" i="5"/>
  <c r="I152" i="5"/>
  <c r="I143" i="5"/>
  <c r="L225" i="5"/>
  <c r="I213" i="5"/>
  <c r="I197" i="5"/>
  <c r="J195" i="5"/>
  <c r="N171" i="5"/>
  <c r="L168" i="5"/>
  <c r="M178" i="5"/>
  <c r="L176" i="5"/>
  <c r="N160" i="5"/>
  <c r="L156" i="5"/>
  <c r="N142" i="5"/>
  <c r="I195" i="5"/>
  <c r="N184" i="5"/>
  <c r="M182" i="5"/>
  <c r="N167" i="5"/>
  <c r="I160" i="5"/>
  <c r="M184" i="5"/>
  <c r="P184" i="5" s="1"/>
  <c r="L182" i="5"/>
  <c r="N164" i="5"/>
  <c r="L130" i="5"/>
  <c r="L122" i="5"/>
  <c r="J105" i="5"/>
  <c r="I192" i="5"/>
  <c r="L184" i="5"/>
  <c r="N183" i="5"/>
  <c r="K182" i="5"/>
  <c r="I166" i="5"/>
  <c r="M164" i="5"/>
  <c r="N150" i="5"/>
  <c r="I147" i="5"/>
  <c r="K130" i="5"/>
  <c r="K122" i="5"/>
  <c r="K184" i="5"/>
  <c r="L164" i="5"/>
  <c r="M150" i="5"/>
  <c r="J212" i="5"/>
  <c r="J204" i="5"/>
  <c r="N176" i="5"/>
  <c r="N156" i="5"/>
  <c r="P156" i="5" s="1"/>
  <c r="L152" i="5"/>
  <c r="J150" i="5"/>
  <c r="K142" i="5"/>
  <c r="N137" i="5"/>
  <c r="N111" i="5"/>
  <c r="N214" i="5"/>
  <c r="N185" i="5"/>
  <c r="J176" i="5"/>
  <c r="L140" i="5"/>
  <c r="N136" i="5"/>
  <c r="K132" i="5"/>
  <c r="N130" i="5"/>
  <c r="L127" i="5"/>
  <c r="J99" i="5"/>
  <c r="I97" i="5"/>
  <c r="M136" i="5"/>
  <c r="N122" i="5"/>
  <c r="N105" i="5"/>
  <c r="K101" i="5"/>
  <c r="I99" i="5"/>
  <c r="N95" i="5"/>
  <c r="N216" i="5"/>
  <c r="J139" i="5"/>
  <c r="N138" i="5"/>
  <c r="I125" i="5"/>
  <c r="M105" i="5"/>
  <c r="J101" i="5"/>
  <c r="M95" i="5"/>
  <c r="K225" i="5"/>
  <c r="M160" i="5"/>
  <c r="P160" i="5" s="1"/>
  <c r="N152" i="5"/>
  <c r="L150" i="5"/>
  <c r="L128" i="5"/>
  <c r="L105" i="5"/>
  <c r="L95" i="5"/>
  <c r="J160" i="5"/>
  <c r="L146" i="5"/>
  <c r="L137" i="5"/>
  <c r="L133" i="5"/>
  <c r="K111" i="5"/>
  <c r="N106" i="5"/>
  <c r="I95" i="5"/>
  <c r="M176" i="5"/>
  <c r="K170" i="5"/>
  <c r="K157" i="5"/>
  <c r="I138" i="5"/>
  <c r="L124" i="5"/>
  <c r="J117" i="5"/>
  <c r="L110" i="5"/>
  <c r="I102" i="5"/>
  <c r="N97" i="5"/>
  <c r="L90" i="5"/>
  <c r="L84" i="5"/>
  <c r="J82" i="5"/>
  <c r="J80" i="5"/>
  <c r="I191" i="5"/>
  <c r="N182" i="5"/>
  <c r="N178" i="5"/>
  <c r="K176" i="5"/>
  <c r="J157" i="5"/>
  <c r="K124" i="5"/>
  <c r="M123" i="5"/>
  <c r="I117" i="5"/>
  <c r="M106" i="5"/>
  <c r="M97" i="5"/>
  <c r="K90" i="5"/>
  <c r="K84" i="5"/>
  <c r="L178" i="5"/>
  <c r="K150" i="5"/>
  <c r="I123" i="5"/>
  <c r="N121" i="5"/>
  <c r="N119" i="5"/>
  <c r="M116" i="5"/>
  <c r="I108" i="5"/>
  <c r="L106" i="5"/>
  <c r="N103" i="5"/>
  <c r="N99" i="5"/>
  <c r="M98" i="5"/>
  <c r="L97" i="5"/>
  <c r="N94" i="5"/>
  <c r="J90" i="5"/>
  <c r="N88" i="5"/>
  <c r="J84" i="5"/>
  <c r="I73" i="5"/>
  <c r="J68" i="5"/>
  <c r="L67" i="5"/>
  <c r="M62" i="5"/>
  <c r="L160" i="5"/>
  <c r="M121" i="5"/>
  <c r="M119" i="5"/>
  <c r="K106" i="5"/>
  <c r="M99" i="5"/>
  <c r="P99" i="5" s="1"/>
  <c r="L98" i="5"/>
  <c r="K97" i="5"/>
  <c r="K95" i="5"/>
  <c r="M94" i="5"/>
  <c r="M88" i="5"/>
  <c r="P88" i="5" s="1"/>
  <c r="N151" i="5"/>
  <c r="M142" i="5"/>
  <c r="N133" i="5"/>
  <c r="L132" i="5"/>
  <c r="N115" i="5"/>
  <c r="J111" i="5"/>
  <c r="K109" i="5"/>
  <c r="M104" i="5"/>
  <c r="L100" i="5"/>
  <c r="J94" i="5"/>
  <c r="N92" i="5"/>
  <c r="J88" i="5"/>
  <c r="N86" i="5"/>
  <c r="I162" i="5"/>
  <c r="N120" i="5"/>
  <c r="K118" i="5"/>
  <c r="I111" i="5"/>
  <c r="I109" i="5"/>
  <c r="L104" i="5"/>
  <c r="J103" i="5"/>
  <c r="K85" i="5"/>
  <c r="J81" i="5"/>
  <c r="N59" i="5"/>
  <c r="N52" i="5"/>
  <c r="I50" i="5"/>
  <c r="K146" i="5"/>
  <c r="J49" i="5"/>
  <c r="L44" i="5"/>
  <c r="J137" i="5"/>
  <c r="N134" i="5"/>
  <c r="M120" i="5"/>
  <c r="I118" i="5"/>
  <c r="I103" i="5"/>
  <c r="N69" i="5"/>
  <c r="N64" i="5"/>
  <c r="M59" i="5"/>
  <c r="P59" i="5" s="1"/>
  <c r="M52" i="5"/>
  <c r="M152" i="5"/>
  <c r="L142" i="5"/>
  <c r="L126" i="5"/>
  <c r="M100" i="5"/>
  <c r="K92" i="5"/>
  <c r="N84" i="5"/>
  <c r="M74" i="5"/>
  <c r="K64" i="5"/>
  <c r="M54" i="5"/>
  <c r="N46" i="5"/>
  <c r="J43" i="5"/>
  <c r="N206" i="5"/>
  <c r="N146" i="5"/>
  <c r="I129" i="5"/>
  <c r="L121" i="5"/>
  <c r="L120" i="5"/>
  <c r="K112" i="5"/>
  <c r="K102" i="5"/>
  <c r="M96" i="5"/>
  <c r="M92" i="5"/>
  <c r="N90" i="5"/>
  <c r="N82" i="5"/>
  <c r="N70" i="5"/>
  <c r="M69" i="5"/>
  <c r="P69" i="5" s="1"/>
  <c r="M64" i="5"/>
  <c r="L59" i="5"/>
  <c r="N58" i="5"/>
  <c r="I55" i="5"/>
  <c r="L52" i="5"/>
  <c r="I47" i="5"/>
  <c r="I36" i="5"/>
  <c r="L82" i="5"/>
  <c r="K69" i="5"/>
  <c r="J67" i="5"/>
  <c r="J62" i="5"/>
  <c r="J57" i="5"/>
  <c r="J35" i="5"/>
  <c r="O35" i="5" s="1"/>
  <c r="J32" i="5"/>
  <c r="M146" i="5"/>
  <c r="K121" i="5"/>
  <c r="K120" i="5"/>
  <c r="I112" i="5"/>
  <c r="N101" i="5"/>
  <c r="L92" i="5"/>
  <c r="M90" i="5"/>
  <c r="P90" i="5" s="1"/>
  <c r="M82" i="5"/>
  <c r="P82" i="5" s="1"/>
  <c r="N74" i="5"/>
  <c r="L69" i="5"/>
  <c r="L64" i="5"/>
  <c r="K62" i="5"/>
  <c r="K59" i="5"/>
  <c r="N54" i="5"/>
  <c r="I52" i="5"/>
  <c r="L212" i="5"/>
  <c r="K137" i="5"/>
  <c r="M101" i="5"/>
  <c r="M86" i="5"/>
  <c r="K70" i="5"/>
  <c r="N68" i="5"/>
  <c r="J142" i="5"/>
  <c r="N127" i="5"/>
  <c r="I142" i="5"/>
  <c r="M127" i="5"/>
  <c r="K99" i="5"/>
  <c r="K86" i="5"/>
  <c r="M80" i="5"/>
  <c r="K74" i="5"/>
  <c r="M73" i="5"/>
  <c r="P73" i="5" s="1"/>
  <c r="N56" i="5"/>
  <c r="I54" i="5"/>
  <c r="N48" i="5"/>
  <c r="L46" i="5"/>
  <c r="J6" i="5"/>
  <c r="J10" i="5"/>
  <c r="H11" i="5"/>
  <c r="L12" i="5"/>
  <c r="J16" i="5"/>
  <c r="H17" i="5"/>
  <c r="L18" i="5"/>
  <c r="J21" i="5"/>
  <c r="G22" i="5"/>
  <c r="I44" i="5"/>
  <c r="M46" i="5"/>
  <c r="P46" i="5" s="1"/>
  <c r="I56" i="5"/>
  <c r="L86" i="5"/>
  <c r="M135" i="5"/>
  <c r="J135" i="5"/>
  <c r="N135" i="5"/>
  <c r="L135" i="5"/>
  <c r="K135" i="5"/>
  <c r="K172" i="5"/>
  <c r="J186" i="5"/>
  <c r="L7" i="5"/>
  <c r="N7" i="5" s="1"/>
  <c r="J7" i="5"/>
  <c r="N13" i="5"/>
  <c r="I72" i="5"/>
  <c r="N72" i="5"/>
  <c r="M72" i="5"/>
  <c r="L72" i="5"/>
  <c r="K72" i="5"/>
  <c r="J72" i="5"/>
  <c r="M163" i="5"/>
  <c r="L163" i="5"/>
  <c r="J163" i="5"/>
  <c r="I163" i="5"/>
  <c r="N163" i="5"/>
  <c r="K163" i="5"/>
  <c r="G10" i="5"/>
  <c r="N39" i="5"/>
  <c r="M39" i="5"/>
  <c r="L39" i="5"/>
  <c r="J39" i="5"/>
  <c r="H10" i="5"/>
  <c r="I42" i="5"/>
  <c r="K46" i="5"/>
  <c r="I10" i="5"/>
  <c r="G11" i="5"/>
  <c r="K15" i="5"/>
  <c r="I106" i="5"/>
  <c r="L13" i="5"/>
  <c r="L19" i="5"/>
  <c r="N19" i="5" s="1"/>
  <c r="L41" i="5"/>
  <c r="J115" i="5"/>
  <c r="J138" i="5"/>
  <c r="M170" i="5"/>
  <c r="P170" i="5" s="1"/>
  <c r="K11" i="5"/>
  <c r="I12" i="5"/>
  <c r="G13" i="5"/>
  <c r="I18" i="5"/>
  <c r="G19" i="5"/>
  <c r="J22" i="5"/>
  <c r="G23" i="5"/>
  <c r="I34" i="5"/>
  <c r="J38" i="5"/>
  <c r="M41" i="5"/>
  <c r="M47" i="5"/>
  <c r="M50" i="5"/>
  <c r="L53" i="5"/>
  <c r="M65" i="5"/>
  <c r="N65" i="5"/>
  <c r="L65" i="5"/>
  <c r="K65" i="5"/>
  <c r="J65" i="5"/>
  <c r="I65" i="5"/>
  <c r="J83" i="5"/>
  <c r="M84" i="5"/>
  <c r="N89" i="5"/>
  <c r="M89" i="5"/>
  <c r="L89" i="5"/>
  <c r="I89" i="5"/>
  <c r="K89" i="5"/>
  <c r="J95" i="5"/>
  <c r="K115" i="5"/>
  <c r="M124" i="5"/>
  <c r="N46" i="6"/>
  <c r="N44" i="6"/>
  <c r="N43" i="6"/>
  <c r="Y70" i="6"/>
  <c r="N45" i="6"/>
  <c r="N47" i="6"/>
  <c r="G7" i="5"/>
  <c r="K14" i="5"/>
  <c r="J15" i="5"/>
  <c r="L17" i="5"/>
  <c r="J92" i="5"/>
  <c r="K10" i="5"/>
  <c r="N10" i="5" s="1"/>
  <c r="K16" i="5"/>
  <c r="N16" i="5" s="1"/>
  <c r="I17" i="5"/>
  <c r="I135" i="5"/>
  <c r="L170" i="5"/>
  <c r="J11" i="5"/>
  <c r="H12" i="5"/>
  <c r="J17" i="5"/>
  <c r="M56" i="5"/>
  <c r="L99" i="5"/>
  <c r="J12" i="5"/>
  <c r="H13" i="5"/>
  <c r="L14" i="5"/>
  <c r="J18" i="5"/>
  <c r="H19" i="5"/>
  <c r="K22" i="5"/>
  <c r="H23" i="5"/>
  <c r="I37" i="5"/>
  <c r="N41" i="5"/>
  <c r="N43" i="5"/>
  <c r="N45" i="5"/>
  <c r="L45" i="5"/>
  <c r="M45" i="5"/>
  <c r="P45" i="5" s="1"/>
  <c r="J45" i="5"/>
  <c r="N50" i="5"/>
  <c r="N51" i="5"/>
  <c r="P51" i="5" s="1"/>
  <c r="K51" i="5"/>
  <c r="L51" i="5"/>
  <c r="M53" i="5"/>
  <c r="I57" i="5"/>
  <c r="I66" i="5"/>
  <c r="N66" i="5"/>
  <c r="K66" i="5"/>
  <c r="J66" i="5"/>
  <c r="M66" i="5"/>
  <c r="L66" i="5"/>
  <c r="M83" i="5"/>
  <c r="J89" i="5"/>
  <c r="I105" i="5"/>
  <c r="L115" i="5"/>
  <c r="L117" i="5"/>
  <c r="N124" i="5"/>
  <c r="K71" i="5"/>
  <c r="J5" i="5"/>
  <c r="L5" i="5"/>
  <c r="K5" i="5"/>
  <c r="H5" i="5"/>
  <c r="G21" i="5"/>
  <c r="Y68" i="6"/>
  <c r="N28" i="6"/>
  <c r="N27" i="6"/>
  <c r="N23" i="6"/>
  <c r="N26" i="6"/>
  <c r="AB65" i="6"/>
  <c r="N25" i="6"/>
  <c r="N24" i="6"/>
  <c r="K60" i="5"/>
  <c r="K116" i="5"/>
  <c r="I16" i="5"/>
  <c r="I11" i="5"/>
  <c r="G18" i="5"/>
  <c r="K21" i="5"/>
  <c r="N21" i="5" s="1"/>
  <c r="K38" i="5"/>
  <c r="M38" i="5"/>
  <c r="L56" i="5"/>
  <c r="H18" i="5"/>
  <c r="I22" i="5"/>
  <c r="I38" i="5"/>
  <c r="K128" i="5"/>
  <c r="K12" i="5"/>
  <c r="I13" i="5"/>
  <c r="G14" i="5"/>
  <c r="K18" i="5"/>
  <c r="N18" i="5" s="1"/>
  <c r="I19" i="5"/>
  <c r="M33" i="5"/>
  <c r="P33" i="5" s="1"/>
  <c r="J37" i="5"/>
  <c r="N38" i="5"/>
  <c r="I43" i="5"/>
  <c r="I45" i="5"/>
  <c r="K48" i="5"/>
  <c r="I51" i="5"/>
  <c r="K54" i="5"/>
  <c r="I67" i="5"/>
  <c r="L77" i="5"/>
  <c r="N77" i="5"/>
  <c r="M77" i="5"/>
  <c r="I77" i="5"/>
  <c r="K80" i="5"/>
  <c r="K81" i="5"/>
  <c r="K82" i="5"/>
  <c r="K94" i="5"/>
  <c r="N108" i="5"/>
  <c r="L111" i="5"/>
  <c r="M115" i="5"/>
  <c r="M117" i="5"/>
  <c r="M131" i="5"/>
  <c r="P131" i="5" s="1"/>
  <c r="J131" i="5"/>
  <c r="K131" i="5"/>
  <c r="L131" i="5"/>
  <c r="J156" i="5"/>
  <c r="K168" i="5"/>
  <c r="N35" i="6"/>
  <c r="N39" i="6"/>
  <c r="N36" i="6"/>
  <c r="N40" i="6"/>
  <c r="N38" i="6"/>
  <c r="N34" i="6"/>
  <c r="N32" i="6"/>
  <c r="N31" i="6"/>
  <c r="N37" i="6"/>
  <c r="Y69" i="6"/>
  <c r="N33" i="6"/>
  <c r="I15" i="5"/>
  <c r="G16" i="5"/>
  <c r="I49" i="5"/>
  <c r="N110" i="5"/>
  <c r="H6" i="5"/>
  <c r="G17" i="5"/>
  <c r="L23" i="5"/>
  <c r="N23" i="5" s="1"/>
  <c r="L22" i="5"/>
  <c r="L21" i="5"/>
  <c r="L20" i="5"/>
  <c r="N20" i="5" s="1"/>
  <c r="G12" i="5"/>
  <c r="H22" i="5"/>
  <c r="L63" i="5"/>
  <c r="K63" i="5"/>
  <c r="J63" i="5"/>
  <c r="I63" i="5"/>
  <c r="M63" i="5"/>
  <c r="N63" i="5"/>
  <c r="Q57" i="6"/>
  <c r="D9" i="5"/>
  <c r="I24" i="5"/>
  <c r="K34" i="5"/>
  <c r="M34" i="5"/>
  <c r="N34" i="5"/>
  <c r="J34" i="5"/>
  <c r="L50" i="5"/>
  <c r="J53" i="5"/>
  <c r="J13" i="5"/>
  <c r="H14" i="5"/>
  <c r="L15" i="5"/>
  <c r="J19" i="5"/>
  <c r="G20" i="5"/>
  <c r="J23" i="5"/>
  <c r="I33" i="5"/>
  <c r="K37" i="5"/>
  <c r="K40" i="5"/>
  <c r="N40" i="5"/>
  <c r="I40" i="5"/>
  <c r="M40" i="5"/>
  <c r="L40" i="5"/>
  <c r="J40" i="5"/>
  <c r="K45" i="5"/>
  <c r="I48" i="5"/>
  <c r="J51" i="5"/>
  <c r="L54" i="5"/>
  <c r="M68" i="5"/>
  <c r="P68" i="5" s="1"/>
  <c r="K73" i="5"/>
  <c r="L75" i="5"/>
  <c r="M75" i="5"/>
  <c r="N75" i="5"/>
  <c r="J75" i="5"/>
  <c r="I76" i="5"/>
  <c r="N76" i="5"/>
  <c r="M76" i="5"/>
  <c r="P76" i="5" s="1"/>
  <c r="J76" i="5"/>
  <c r="L76" i="5"/>
  <c r="J77" i="5"/>
  <c r="N79" i="5"/>
  <c r="L79" i="5"/>
  <c r="M79" i="5"/>
  <c r="K79" i="5"/>
  <c r="I79" i="5"/>
  <c r="L80" i="5"/>
  <c r="K88" i="5"/>
  <c r="L94" i="5"/>
  <c r="J98" i="5"/>
  <c r="M111" i="5"/>
  <c r="I131" i="5"/>
  <c r="K156" i="5"/>
  <c r="K44" i="5"/>
  <c r="J44" i="5"/>
  <c r="N49" i="5"/>
  <c r="K49" i="5"/>
  <c r="N57" i="5"/>
  <c r="K57" i="5"/>
  <c r="N67" i="5"/>
  <c r="I69" i="5"/>
  <c r="I70" i="5"/>
  <c r="M70" i="5"/>
  <c r="N113" i="5"/>
  <c r="M113" i="5"/>
  <c r="P113" i="5" s="1"/>
  <c r="L113" i="5"/>
  <c r="I113" i="5"/>
  <c r="K113" i="5"/>
  <c r="J113" i="5"/>
  <c r="K52" i="5"/>
  <c r="M148" i="5"/>
  <c r="K148" i="5"/>
  <c r="N148" i="5"/>
  <c r="I148" i="5"/>
  <c r="L148" i="5"/>
  <c r="M169" i="5"/>
  <c r="L169" i="5"/>
  <c r="J169" i="5"/>
  <c r="N169" i="5"/>
  <c r="K169" i="5"/>
  <c r="I169" i="5"/>
  <c r="K32" i="5"/>
  <c r="K35" i="5"/>
  <c r="K36" i="5"/>
  <c r="I41" i="5"/>
  <c r="K43" i="5"/>
  <c r="M44" i="5"/>
  <c r="N47" i="5"/>
  <c r="K47" i="5"/>
  <c r="L49" i="5"/>
  <c r="N55" i="5"/>
  <c r="K55" i="5"/>
  <c r="L57" i="5"/>
  <c r="I58" i="5"/>
  <c r="M58" i="5"/>
  <c r="P58" i="5" s="1"/>
  <c r="L58" i="5"/>
  <c r="K58" i="5"/>
  <c r="J58" i="5"/>
  <c r="J60" i="5"/>
  <c r="L70" i="5"/>
  <c r="J87" i="5"/>
  <c r="N96" i="5"/>
  <c r="L96" i="5"/>
  <c r="K96" i="5"/>
  <c r="J96" i="5"/>
  <c r="I96" i="5"/>
  <c r="J129" i="5"/>
  <c r="N129" i="5"/>
  <c r="M129" i="5"/>
  <c r="P129" i="5" s="1"/>
  <c r="J148" i="5"/>
  <c r="M159" i="5"/>
  <c r="J159" i="5"/>
  <c r="N159" i="5"/>
  <c r="L159" i="5"/>
  <c r="K159" i="5"/>
  <c r="I159" i="5"/>
  <c r="K42" i="5"/>
  <c r="J42" i="5"/>
  <c r="L32" i="5"/>
  <c r="L35" i="5"/>
  <c r="J41" i="5"/>
  <c r="L42" i="5"/>
  <c r="L43" i="5"/>
  <c r="N44" i="5"/>
  <c r="M49" i="5"/>
  <c r="M57" i="5"/>
  <c r="P57" i="5" s="1"/>
  <c r="I78" i="5"/>
  <c r="N78" i="5"/>
  <c r="M78" i="5"/>
  <c r="J78" i="5"/>
  <c r="N93" i="5"/>
  <c r="M93" i="5"/>
  <c r="P93" i="5" s="1"/>
  <c r="L93" i="5"/>
  <c r="I93" i="5"/>
  <c r="K152" i="5"/>
  <c r="I60" i="5"/>
  <c r="N60" i="5"/>
  <c r="N87" i="5"/>
  <c r="M87" i="5"/>
  <c r="P87" i="5" s="1"/>
  <c r="L87" i="5"/>
  <c r="I87" i="5"/>
  <c r="M32" i="5"/>
  <c r="M35" i="5"/>
  <c r="P35" i="5" s="1"/>
  <c r="J36" i="5"/>
  <c r="K41" i="5"/>
  <c r="M42" i="5"/>
  <c r="M43" i="5"/>
  <c r="P43" i="5" s="1"/>
  <c r="J47" i="5"/>
  <c r="K50" i="5"/>
  <c r="J55" i="5"/>
  <c r="L60" i="5"/>
  <c r="K78" i="5"/>
  <c r="J93" i="5"/>
  <c r="K129" i="5"/>
  <c r="J59" i="5"/>
  <c r="F4" i="5"/>
  <c r="L36" i="5"/>
  <c r="N42" i="5"/>
  <c r="L47" i="5"/>
  <c r="N53" i="5"/>
  <c r="K53" i="5"/>
  <c r="L55" i="5"/>
  <c r="M60" i="5"/>
  <c r="L78" i="5"/>
  <c r="N83" i="5"/>
  <c r="L83" i="5"/>
  <c r="I83" i="5"/>
  <c r="K83" i="5"/>
  <c r="K93" i="5"/>
  <c r="K105" i="5"/>
  <c r="M107" i="5"/>
  <c r="L107" i="5"/>
  <c r="K107" i="5"/>
  <c r="J107" i="5"/>
  <c r="L129" i="5"/>
  <c r="M141" i="5"/>
  <c r="L141" i="5"/>
  <c r="K141" i="5"/>
  <c r="J141" i="5"/>
  <c r="N141" i="5"/>
  <c r="I141" i="5"/>
  <c r="M145" i="5"/>
  <c r="L145" i="5"/>
  <c r="K145" i="5"/>
  <c r="N145" i="5"/>
  <c r="N172" i="5"/>
  <c r="M172" i="5"/>
  <c r="P172" i="5" s="1"/>
  <c r="L172" i="5"/>
  <c r="I172" i="5"/>
  <c r="I62" i="5"/>
  <c r="N81" i="5"/>
  <c r="L81" i="5"/>
  <c r="I81" i="5"/>
  <c r="M103" i="5"/>
  <c r="L103" i="5"/>
  <c r="J112" i="5"/>
  <c r="L112" i="5"/>
  <c r="M112" i="5"/>
  <c r="J116" i="5"/>
  <c r="N116" i="5"/>
  <c r="L62" i="5"/>
  <c r="K67" i="5"/>
  <c r="I68" i="5"/>
  <c r="M81" i="5"/>
  <c r="P81" i="5" s="1"/>
  <c r="K103" i="5"/>
  <c r="J108" i="5"/>
  <c r="M108" i="5"/>
  <c r="N112" i="5"/>
  <c r="L116" i="5"/>
  <c r="J123" i="5"/>
  <c r="N123" i="5"/>
  <c r="K123" i="5"/>
  <c r="L123" i="5"/>
  <c r="N144" i="5"/>
  <c r="M144" i="5"/>
  <c r="L144" i="5"/>
  <c r="I144" i="5"/>
  <c r="K144" i="5"/>
  <c r="J144" i="5"/>
  <c r="I150" i="5"/>
  <c r="K178" i="5"/>
  <c r="J46" i="5"/>
  <c r="J48" i="5"/>
  <c r="J50" i="5"/>
  <c r="J52" i="5"/>
  <c r="J54" i="5"/>
  <c r="J56" i="5"/>
  <c r="I59" i="5"/>
  <c r="N62" i="5"/>
  <c r="I64" i="5"/>
  <c r="M67" i="5"/>
  <c r="K68" i="5"/>
  <c r="J73" i="5"/>
  <c r="N85" i="5"/>
  <c r="M85" i="5"/>
  <c r="L85" i="5"/>
  <c r="I85" i="5"/>
  <c r="N91" i="5"/>
  <c r="M91" i="5"/>
  <c r="L91" i="5"/>
  <c r="I91" i="5"/>
  <c r="K108" i="5"/>
  <c r="J114" i="5"/>
  <c r="M114" i="5"/>
  <c r="L114" i="5"/>
  <c r="K114" i="5"/>
  <c r="I114" i="5"/>
  <c r="J126" i="5"/>
  <c r="I126" i="5"/>
  <c r="M126" i="5"/>
  <c r="N126" i="5"/>
  <c r="J64" i="5"/>
  <c r="L68" i="5"/>
  <c r="I74" i="5"/>
  <c r="J85" i="5"/>
  <c r="J91" i="5"/>
  <c r="L108" i="5"/>
  <c r="N114" i="5"/>
  <c r="K126" i="5"/>
  <c r="L174" i="5"/>
  <c r="M174" i="5"/>
  <c r="N174" i="5"/>
  <c r="K174" i="5"/>
  <c r="J174" i="5"/>
  <c r="I174" i="5"/>
  <c r="J102" i="5"/>
  <c r="M109" i="5"/>
  <c r="L109" i="5"/>
  <c r="J109" i="5"/>
  <c r="L138" i="5"/>
  <c r="M138" i="5"/>
  <c r="P138" i="5" s="1"/>
  <c r="I101" i="5"/>
  <c r="L102" i="5"/>
  <c r="N109" i="5"/>
  <c r="J125" i="5"/>
  <c r="N125" i="5"/>
  <c r="M125" i="5"/>
  <c r="L125" i="5"/>
  <c r="K125" i="5"/>
  <c r="K138" i="5"/>
  <c r="M139" i="5"/>
  <c r="K139" i="5"/>
  <c r="N139" i="5"/>
  <c r="I139" i="5"/>
  <c r="N100" i="5"/>
  <c r="K100" i="5"/>
  <c r="M102" i="5"/>
  <c r="J134" i="5"/>
  <c r="I134" i="5"/>
  <c r="M134" i="5"/>
  <c r="N158" i="5"/>
  <c r="M158" i="5"/>
  <c r="J158" i="5"/>
  <c r="L158" i="5"/>
  <c r="K158" i="5"/>
  <c r="N98" i="5"/>
  <c r="K98" i="5"/>
  <c r="I100" i="5"/>
  <c r="N102" i="5"/>
  <c r="J104" i="5"/>
  <c r="N104" i="5"/>
  <c r="K104" i="5"/>
  <c r="K134" i="5"/>
  <c r="L139" i="5"/>
  <c r="I158" i="5"/>
  <c r="I176" i="5"/>
  <c r="N190" i="5"/>
  <c r="M190" i="5"/>
  <c r="L190" i="5"/>
  <c r="K190" i="5"/>
  <c r="J190" i="5"/>
  <c r="I190" i="5"/>
  <c r="I80" i="5"/>
  <c r="I82" i="5"/>
  <c r="I84" i="5"/>
  <c r="I86" i="5"/>
  <c r="I88" i="5"/>
  <c r="I90" i="5"/>
  <c r="I92" i="5"/>
  <c r="I94" i="5"/>
  <c r="I98" i="5"/>
  <c r="J100" i="5"/>
  <c r="L101" i="5"/>
  <c r="I104" i="5"/>
  <c r="J110" i="5"/>
  <c r="N117" i="5"/>
  <c r="K117" i="5"/>
  <c r="L119" i="5"/>
  <c r="K119" i="5"/>
  <c r="J119" i="5"/>
  <c r="I119" i="5"/>
  <c r="L134" i="5"/>
  <c r="J118" i="5"/>
  <c r="J128" i="5"/>
  <c r="I128" i="5"/>
  <c r="J132" i="5"/>
  <c r="I132" i="5"/>
  <c r="M157" i="5"/>
  <c r="N157" i="5"/>
  <c r="L157" i="5"/>
  <c r="I157" i="5"/>
  <c r="N162" i="5"/>
  <c r="M162" i="5"/>
  <c r="P162" i="5" s="1"/>
  <c r="L162" i="5"/>
  <c r="K162" i="5"/>
  <c r="J162" i="5"/>
  <c r="M185" i="5"/>
  <c r="L185" i="5"/>
  <c r="K185" i="5"/>
  <c r="J185" i="5"/>
  <c r="I185" i="5"/>
  <c r="L118" i="5"/>
  <c r="J122" i="5"/>
  <c r="I122" i="5"/>
  <c r="M128" i="5"/>
  <c r="P128" i="5" s="1"/>
  <c r="J130" i="5"/>
  <c r="I130" i="5"/>
  <c r="M132" i="5"/>
  <c r="M147" i="5"/>
  <c r="L147" i="5"/>
  <c r="K147" i="5"/>
  <c r="N147" i="5"/>
  <c r="J147" i="5"/>
  <c r="N166" i="5"/>
  <c r="M166" i="5"/>
  <c r="L166" i="5"/>
  <c r="J182" i="5"/>
  <c r="N192" i="5"/>
  <c r="J192" i="5"/>
  <c r="M192" i="5"/>
  <c r="L192" i="5"/>
  <c r="K192" i="5"/>
  <c r="M118" i="5"/>
  <c r="J127" i="5"/>
  <c r="N128" i="5"/>
  <c r="N132" i="5"/>
  <c r="M133" i="5"/>
  <c r="J133" i="5"/>
  <c r="N140" i="5"/>
  <c r="M140" i="5"/>
  <c r="J140" i="5"/>
  <c r="M153" i="5"/>
  <c r="L153" i="5"/>
  <c r="K153" i="5"/>
  <c r="J153" i="5"/>
  <c r="M155" i="5"/>
  <c r="N155" i="5"/>
  <c r="L155" i="5"/>
  <c r="K155" i="5"/>
  <c r="J155" i="5"/>
  <c r="I110" i="5"/>
  <c r="I115" i="5"/>
  <c r="N118" i="5"/>
  <c r="J120" i="5"/>
  <c r="J121" i="5"/>
  <c r="I127" i="5"/>
  <c r="I133" i="5"/>
  <c r="L136" i="5"/>
  <c r="K136" i="5"/>
  <c r="I136" i="5"/>
  <c r="I140" i="5"/>
  <c r="M149" i="5"/>
  <c r="L149" i="5"/>
  <c r="K149" i="5"/>
  <c r="J149" i="5"/>
  <c r="N149" i="5"/>
  <c r="I153" i="5"/>
  <c r="I155" i="5"/>
  <c r="J166" i="5"/>
  <c r="M180" i="5"/>
  <c r="P180" i="5" s="1"/>
  <c r="L180" i="5"/>
  <c r="K180" i="5"/>
  <c r="J180" i="5"/>
  <c r="I180" i="5"/>
  <c r="M221" i="5"/>
  <c r="P221" i="5" s="1"/>
  <c r="J221" i="5"/>
  <c r="K221" i="5"/>
  <c r="N221" i="5"/>
  <c r="L221" i="5"/>
  <c r="I221" i="5"/>
  <c r="J106" i="5"/>
  <c r="K110" i="5"/>
  <c r="I120" i="5"/>
  <c r="I121" i="5"/>
  <c r="M122" i="5"/>
  <c r="P122" i="5" s="1"/>
  <c r="J124" i="5"/>
  <c r="I124" i="5"/>
  <c r="K127" i="5"/>
  <c r="M130" i="5"/>
  <c r="K133" i="5"/>
  <c r="J136" i="5"/>
  <c r="K140" i="5"/>
  <c r="J146" i="5"/>
  <c r="I149" i="5"/>
  <c r="M151" i="5"/>
  <c r="L151" i="5"/>
  <c r="K151" i="5"/>
  <c r="J151" i="5"/>
  <c r="I151" i="5"/>
  <c r="N153" i="5"/>
  <c r="K166" i="5"/>
  <c r="N180" i="5"/>
  <c r="M183" i="5"/>
  <c r="L183" i="5"/>
  <c r="K183" i="5"/>
  <c r="J183" i="5"/>
  <c r="I183" i="5"/>
  <c r="M143" i="5"/>
  <c r="L143" i="5"/>
  <c r="K143" i="5"/>
  <c r="M179" i="5"/>
  <c r="P179" i="5" s="1"/>
  <c r="L179" i="5"/>
  <c r="J179" i="5"/>
  <c r="I179" i="5"/>
  <c r="N194" i="5"/>
  <c r="J194" i="5"/>
  <c r="M194" i="5"/>
  <c r="P194" i="5" s="1"/>
  <c r="L194" i="5"/>
  <c r="K194" i="5"/>
  <c r="I194" i="5"/>
  <c r="I164" i="5"/>
  <c r="M167" i="5"/>
  <c r="P167" i="5" s="1"/>
  <c r="L167" i="5"/>
  <c r="J167" i="5"/>
  <c r="N170" i="5"/>
  <c r="M175" i="5"/>
  <c r="L175" i="5"/>
  <c r="J175" i="5"/>
  <c r="I175" i="5"/>
  <c r="N175" i="5"/>
  <c r="K175" i="5"/>
  <c r="M177" i="5"/>
  <c r="L177" i="5"/>
  <c r="J177" i="5"/>
  <c r="I177" i="5"/>
  <c r="M187" i="5"/>
  <c r="L187" i="5"/>
  <c r="K187" i="5"/>
  <c r="J187" i="5"/>
  <c r="I187" i="5"/>
  <c r="N187" i="5"/>
  <c r="M137" i="5"/>
  <c r="J143" i="5"/>
  <c r="I146" i="5"/>
  <c r="J152" i="5"/>
  <c r="I167" i="5"/>
  <c r="I170" i="5"/>
  <c r="K177" i="5"/>
  <c r="N179" i="5"/>
  <c r="I184" i="5"/>
  <c r="I137" i="5"/>
  <c r="N143" i="5"/>
  <c r="K167" i="5"/>
  <c r="J170" i="5"/>
  <c r="N177" i="5"/>
  <c r="J184" i="5"/>
  <c r="M165" i="5"/>
  <c r="L165" i="5"/>
  <c r="J165" i="5"/>
  <c r="I165" i="5"/>
  <c r="M173" i="5"/>
  <c r="L173" i="5"/>
  <c r="J173" i="5"/>
  <c r="I173" i="5"/>
  <c r="K209" i="5"/>
  <c r="N209" i="5"/>
  <c r="M209" i="5"/>
  <c r="J209" i="5"/>
  <c r="M161" i="5"/>
  <c r="P161" i="5" s="1"/>
  <c r="L161" i="5"/>
  <c r="J161" i="5"/>
  <c r="K165" i="5"/>
  <c r="I168" i="5"/>
  <c r="K173" i="5"/>
  <c r="I178" i="5"/>
  <c r="M181" i="5"/>
  <c r="L181" i="5"/>
  <c r="K181" i="5"/>
  <c r="J181" i="5"/>
  <c r="I181" i="5"/>
  <c r="I209" i="5"/>
  <c r="I156" i="5"/>
  <c r="I161" i="5"/>
  <c r="N165" i="5"/>
  <c r="J168" i="5"/>
  <c r="M171" i="5"/>
  <c r="L171" i="5"/>
  <c r="J171" i="5"/>
  <c r="I171" i="5"/>
  <c r="N173" i="5"/>
  <c r="J178" i="5"/>
  <c r="N181" i="5"/>
  <c r="I182" i="5"/>
  <c r="N207" i="5"/>
  <c r="L207" i="5"/>
  <c r="M207" i="5"/>
  <c r="K207" i="5"/>
  <c r="J207" i="5"/>
  <c r="I207" i="5"/>
  <c r="L209" i="5"/>
  <c r="K161" i="5"/>
  <c r="K171" i="5"/>
  <c r="K201" i="5"/>
  <c r="J201" i="5"/>
  <c r="N201" i="5"/>
  <c r="M201" i="5"/>
  <c r="P201" i="5" s="1"/>
  <c r="L201" i="5"/>
  <c r="I201" i="5"/>
  <c r="N205" i="5"/>
  <c r="L205" i="5"/>
  <c r="K205" i="5"/>
  <c r="M205" i="5"/>
  <c r="J205" i="5"/>
  <c r="I205" i="5"/>
  <c r="L224" i="5"/>
  <c r="N224" i="5"/>
  <c r="M224" i="5"/>
  <c r="K224" i="5"/>
  <c r="J224" i="5"/>
  <c r="I224" i="5"/>
  <c r="N229" i="5"/>
  <c r="M229" i="5"/>
  <c r="J229" i="5"/>
  <c r="L229" i="5"/>
  <c r="K229" i="5"/>
  <c r="I229" i="5"/>
  <c r="K203" i="5"/>
  <c r="J203" i="5"/>
  <c r="N203" i="5"/>
  <c r="N188" i="5"/>
  <c r="N196" i="5"/>
  <c r="M196" i="5"/>
  <c r="K196" i="5"/>
  <c r="J196" i="5"/>
  <c r="I203" i="5"/>
  <c r="M223" i="5"/>
  <c r="J223" i="5"/>
  <c r="L223" i="5"/>
  <c r="N223" i="5"/>
  <c r="K223" i="5"/>
  <c r="I223" i="5"/>
  <c r="I188" i="5"/>
  <c r="I196" i="5"/>
  <c r="K200" i="5"/>
  <c r="N200" i="5"/>
  <c r="M200" i="5"/>
  <c r="L200" i="5"/>
  <c r="L203" i="5"/>
  <c r="K202" i="5"/>
  <c r="K215" i="5"/>
  <c r="M215" i="5"/>
  <c r="N215" i="5"/>
  <c r="L215" i="5"/>
  <c r="J215" i="5"/>
  <c r="I215" i="5"/>
  <c r="K199" i="5"/>
  <c r="J199" i="5"/>
  <c r="I199" i="5"/>
  <c r="K204" i="5"/>
  <c r="I214" i="5"/>
  <c r="J220" i="5"/>
  <c r="N220" i="5"/>
  <c r="M220" i="5"/>
  <c r="P220" i="5" s="1"/>
  <c r="L220" i="5"/>
  <c r="K197" i="5"/>
  <c r="K198" i="5"/>
  <c r="L199" i="5"/>
  <c r="M202" i="5"/>
  <c r="I204" i="5"/>
  <c r="I220" i="5"/>
  <c r="M210" i="5"/>
  <c r="K211" i="5"/>
  <c r="J211" i="5"/>
  <c r="M227" i="5"/>
  <c r="J227" i="5"/>
  <c r="N227" i="5"/>
  <c r="L227" i="5"/>
  <c r="I227" i="5"/>
  <c r="K227" i="5"/>
  <c r="M226" i="5"/>
  <c r="M219" i="5"/>
  <c r="J219" i="5"/>
  <c r="I219" i="5"/>
  <c r="I226" i="5"/>
  <c r="K222" i="5"/>
  <c r="J226" i="5"/>
  <c r="K213" i="5"/>
  <c r="I218" i="5"/>
  <c r="J222" i="5"/>
  <c r="M225" i="5"/>
  <c r="J225" i="5"/>
  <c r="N225" i="5"/>
  <c r="L226" i="5"/>
  <c r="M217" i="5"/>
  <c r="J217" i="5"/>
  <c r="N80" i="9" l="1"/>
  <c r="N82" i="9"/>
  <c r="N81" i="9"/>
  <c r="N84" i="9"/>
  <c r="N83" i="9"/>
  <c r="Q83" i="9" s="1"/>
  <c r="N79" i="9"/>
  <c r="N30" i="9"/>
  <c r="N27" i="9"/>
  <c r="N32" i="9"/>
  <c r="N29" i="9"/>
  <c r="Y66" i="9"/>
  <c r="AB63" i="9"/>
  <c r="P82" i="7"/>
  <c r="P45" i="7"/>
  <c r="P120" i="7"/>
  <c r="P66" i="7"/>
  <c r="P63" i="7"/>
  <c r="P211" i="7"/>
  <c r="P61" i="7"/>
  <c r="P84" i="7"/>
  <c r="P170" i="7"/>
  <c r="Q85" i="7"/>
  <c r="O181" i="7"/>
  <c r="O77" i="7"/>
  <c r="Q77" i="7" s="1"/>
  <c r="O43" i="7"/>
  <c r="Q43" i="7" s="1"/>
  <c r="O184" i="7"/>
  <c r="Q184" i="7" s="1"/>
  <c r="P204" i="7"/>
  <c r="P150" i="7"/>
  <c r="P214" i="7"/>
  <c r="P74" i="7"/>
  <c r="O117" i="7"/>
  <c r="Z117" i="7" s="1"/>
  <c r="P57" i="7"/>
  <c r="P64" i="7"/>
  <c r="P60" i="7"/>
  <c r="P56" i="7"/>
  <c r="P73" i="7"/>
  <c r="P53" i="7"/>
  <c r="Z132" i="7"/>
  <c r="P215" i="7"/>
  <c r="P121" i="7"/>
  <c r="P42" i="7"/>
  <c r="P71" i="7"/>
  <c r="P174" i="7"/>
  <c r="Z98" i="7"/>
  <c r="P163" i="7"/>
  <c r="P93" i="7"/>
  <c r="P127" i="7"/>
  <c r="P40" i="7"/>
  <c r="P62" i="7"/>
  <c r="P54" i="7"/>
  <c r="Z85" i="7"/>
  <c r="O174" i="7"/>
  <c r="Q174" i="7" s="1"/>
  <c r="O155" i="7"/>
  <c r="Q155" i="7" s="1"/>
  <c r="P39" i="7"/>
  <c r="P180" i="7"/>
  <c r="P65" i="7"/>
  <c r="P213" i="7"/>
  <c r="P177" i="7"/>
  <c r="P155" i="7"/>
  <c r="P52" i="7"/>
  <c r="P75" i="7"/>
  <c r="P193" i="7"/>
  <c r="Q158" i="7"/>
  <c r="O94" i="7"/>
  <c r="Q94" i="7" s="1"/>
  <c r="O148" i="7"/>
  <c r="Q148" i="7" s="1"/>
  <c r="P228" i="7"/>
  <c r="P123" i="7"/>
  <c r="P58" i="7"/>
  <c r="P49" i="7"/>
  <c r="P209" i="7"/>
  <c r="P48" i="7"/>
  <c r="P87" i="7"/>
  <c r="Z116" i="7"/>
  <c r="P130" i="7"/>
  <c r="O99" i="7"/>
  <c r="Q99" i="7" s="1"/>
  <c r="P69" i="7"/>
  <c r="O114" i="7"/>
  <c r="Z114" i="7" s="1"/>
  <c r="P77" i="7"/>
  <c r="P81" i="7"/>
  <c r="O178" i="7"/>
  <c r="Q178" i="7" s="1"/>
  <c r="Z51" i="7"/>
  <c r="O69" i="7"/>
  <c r="Q69" i="7" s="1"/>
  <c r="P46" i="7"/>
  <c r="P100" i="7"/>
  <c r="P55" i="5"/>
  <c r="P52" i="5"/>
  <c r="P41" i="5"/>
  <c r="Q35" i="5"/>
  <c r="P64" i="5"/>
  <c r="P62" i="5"/>
  <c r="P203" i="5"/>
  <c r="P48" i="5"/>
  <c r="P91" i="5"/>
  <c r="P144" i="5"/>
  <c r="P40" i="5"/>
  <c r="P34" i="5"/>
  <c r="P165" i="5"/>
  <c r="P49" i="5"/>
  <c r="P42" i="5"/>
  <c r="P228" i="5"/>
  <c r="P72" i="5"/>
  <c r="P135" i="5"/>
  <c r="P95" i="5"/>
  <c r="P136" i="5"/>
  <c r="P178" i="5"/>
  <c r="P197" i="5"/>
  <c r="P188" i="5"/>
  <c r="P206" i="5"/>
  <c r="P61" i="5"/>
  <c r="P36" i="5"/>
  <c r="P169" i="5"/>
  <c r="P44" i="5"/>
  <c r="P227" i="5"/>
  <c r="P145" i="5"/>
  <c r="S173" i="5"/>
  <c r="P183" i="5"/>
  <c r="P102" i="5"/>
  <c r="P150" i="5"/>
  <c r="P217" i="5"/>
  <c r="P200" i="5"/>
  <c r="P229" i="5"/>
  <c r="P171" i="5"/>
  <c r="P175" i="5"/>
  <c r="P153" i="5"/>
  <c r="P192" i="5"/>
  <c r="P126" i="5"/>
  <c r="P47" i="5"/>
  <c r="P176" i="5"/>
  <c r="P168" i="5"/>
  <c r="P193" i="5"/>
  <c r="S161" i="5"/>
  <c r="P103" i="5"/>
  <c r="P63" i="5"/>
  <c r="P223" i="5"/>
  <c r="P110" i="5"/>
  <c r="P210" i="5"/>
  <c r="P173" i="5"/>
  <c r="P130" i="5"/>
  <c r="P119" i="5"/>
  <c r="P98" i="5"/>
  <c r="P211" i="5"/>
  <c r="P71" i="5"/>
  <c r="I30" i="5"/>
  <c r="P151" i="5"/>
  <c r="P107" i="5"/>
  <c r="P70" i="5"/>
  <c r="P154" i="5"/>
  <c r="P56" i="5"/>
  <c r="P80" i="5"/>
  <c r="P120" i="5"/>
  <c r="P219" i="5"/>
  <c r="P226" i="5"/>
  <c r="P196" i="5"/>
  <c r="P207" i="5"/>
  <c r="P187" i="5"/>
  <c r="P140" i="5"/>
  <c r="P38" i="5"/>
  <c r="P84" i="5"/>
  <c r="P127" i="5"/>
  <c r="P146" i="5"/>
  <c r="P121" i="5"/>
  <c r="P97" i="5"/>
  <c r="P212" i="5"/>
  <c r="Q114" i="7"/>
  <c r="P50" i="7"/>
  <c r="S57" i="7"/>
  <c r="Z88" i="7"/>
  <c r="P41" i="7"/>
  <c r="O106" i="7"/>
  <c r="P184" i="7"/>
  <c r="P135" i="7"/>
  <c r="P67" i="7"/>
  <c r="P162" i="7"/>
  <c r="P106" i="7"/>
  <c r="Q112" i="7"/>
  <c r="Q116" i="7"/>
  <c r="P226" i="7"/>
  <c r="P43" i="7"/>
  <c r="O120" i="7"/>
  <c r="O96" i="7"/>
  <c r="Q96" i="7" s="1"/>
  <c r="P188" i="7"/>
  <c r="Z103" i="7"/>
  <c r="Q49" i="9"/>
  <c r="D7" i="7"/>
  <c r="P144" i="7"/>
  <c r="P47" i="7"/>
  <c r="O166" i="7"/>
  <c r="Q166" i="7" s="1"/>
  <c r="X14" i="7"/>
  <c r="P138" i="7"/>
  <c r="P51" i="7"/>
  <c r="N33" i="9"/>
  <c r="Q34" i="7"/>
  <c r="N14" i="7"/>
  <c r="P192" i="7"/>
  <c r="P109" i="7"/>
  <c r="D6" i="7"/>
  <c r="I6" i="7" s="1"/>
  <c r="N21" i="7"/>
  <c r="P143" i="7"/>
  <c r="Z78" i="7"/>
  <c r="P94" i="7"/>
  <c r="P160" i="7"/>
  <c r="P195" i="7"/>
  <c r="O70" i="7"/>
  <c r="Q70" i="7" s="1"/>
  <c r="S62" i="7"/>
  <c r="R96" i="7"/>
  <c r="Q61" i="9"/>
  <c r="D8" i="7"/>
  <c r="M17" i="7"/>
  <c r="O17" i="7" s="1"/>
  <c r="P118" i="7"/>
  <c r="N23" i="7"/>
  <c r="O136" i="7"/>
  <c r="Q136" i="7" s="1"/>
  <c r="O100" i="7"/>
  <c r="O90" i="7"/>
  <c r="P141" i="7"/>
  <c r="P137" i="7"/>
  <c r="P154" i="7"/>
  <c r="O35" i="7"/>
  <c r="Q35" i="7" s="1"/>
  <c r="Z95" i="7"/>
  <c r="R181" i="7"/>
  <c r="Q140" i="7"/>
  <c r="O92" i="7"/>
  <c r="Q92" i="7" s="1"/>
  <c r="P167" i="7"/>
  <c r="Q70" i="9"/>
  <c r="D9" i="7"/>
  <c r="M23" i="7"/>
  <c r="O23" i="7" s="1"/>
  <c r="O39" i="7"/>
  <c r="Q39" i="7" s="1"/>
  <c r="O104" i="7"/>
  <c r="Q104" i="7" s="1"/>
  <c r="P190" i="7"/>
  <c r="P168" i="7"/>
  <c r="Z118" i="7"/>
  <c r="S185" i="7"/>
  <c r="S74" i="7"/>
  <c r="N28" i="9"/>
  <c r="P148" i="7"/>
  <c r="O111" i="7"/>
  <c r="Q111" i="7" s="1"/>
  <c r="O128" i="7"/>
  <c r="Q128" i="7" s="1"/>
  <c r="P139" i="7"/>
  <c r="N12" i="7"/>
  <c r="P199" i="7"/>
  <c r="P187" i="7"/>
  <c r="P201" i="7"/>
  <c r="P105" i="7"/>
  <c r="P153" i="7"/>
  <c r="N13" i="7"/>
  <c r="X17" i="7"/>
  <c r="P112" i="7"/>
  <c r="P152" i="7"/>
  <c r="P166" i="7"/>
  <c r="P197" i="7"/>
  <c r="P101" i="7"/>
  <c r="P99" i="7"/>
  <c r="P171" i="7"/>
  <c r="P147" i="7"/>
  <c r="P185" i="7"/>
  <c r="M20" i="7"/>
  <c r="P88" i="7"/>
  <c r="O110" i="7"/>
  <c r="P116" i="7"/>
  <c r="P114" i="7"/>
  <c r="P35" i="7"/>
  <c r="Z135" i="7"/>
  <c r="P110" i="7"/>
  <c r="P78" i="7"/>
  <c r="P108" i="7"/>
  <c r="O161" i="7"/>
  <c r="R161" i="7"/>
  <c r="R131" i="7"/>
  <c r="O131" i="7"/>
  <c r="Q131" i="7" s="1"/>
  <c r="R221" i="7"/>
  <c r="O221" i="7"/>
  <c r="Q221" i="7" s="1"/>
  <c r="R87" i="7"/>
  <c r="O87" i="7"/>
  <c r="S171" i="7"/>
  <c r="O50" i="7"/>
  <c r="R50" i="7"/>
  <c r="R68" i="7"/>
  <c r="O68" i="7"/>
  <c r="Q68" i="7" s="1"/>
  <c r="S35" i="7"/>
  <c r="P169" i="7"/>
  <c r="R107" i="7"/>
  <c r="O107" i="7"/>
  <c r="Q107" i="7" s="1"/>
  <c r="R48" i="7"/>
  <c r="O48" i="7"/>
  <c r="Q31" i="9"/>
  <c r="S66" i="7"/>
  <c r="S32" i="7"/>
  <c r="S150" i="7"/>
  <c r="S182" i="7"/>
  <c r="S215" i="7"/>
  <c r="S190" i="7"/>
  <c r="O138" i="7"/>
  <c r="R138" i="7"/>
  <c r="S87" i="7"/>
  <c r="R196" i="7"/>
  <c r="O196" i="7"/>
  <c r="Q196" i="7" s="1"/>
  <c r="O172" i="7"/>
  <c r="R172" i="7"/>
  <c r="S174" i="7"/>
  <c r="S68" i="7"/>
  <c r="R66" i="7"/>
  <c r="O66" i="7"/>
  <c r="Q66" i="7" s="1"/>
  <c r="R62" i="7"/>
  <c r="O62" i="7"/>
  <c r="Q62" i="7" s="1"/>
  <c r="R58" i="7"/>
  <c r="O58" i="7"/>
  <c r="Q58" i="7" s="1"/>
  <c r="R54" i="7"/>
  <c r="O54" i="7"/>
  <c r="Q54" i="7" s="1"/>
  <c r="S136" i="7"/>
  <c r="P145" i="7"/>
  <c r="S114" i="7"/>
  <c r="S100" i="7"/>
  <c r="S79" i="7"/>
  <c r="K6" i="7"/>
  <c r="J6" i="7"/>
  <c r="R44" i="7"/>
  <c r="O44" i="7"/>
  <c r="Q44" i="7" s="1"/>
  <c r="S65" i="7"/>
  <c r="S117" i="7"/>
  <c r="S67" i="7"/>
  <c r="X13" i="7"/>
  <c r="S53" i="7"/>
  <c r="S208" i="7"/>
  <c r="R210" i="7"/>
  <c r="O210" i="7"/>
  <c r="Q210" i="7" s="1"/>
  <c r="Z183" i="7"/>
  <c r="R188" i="7"/>
  <c r="O188" i="7"/>
  <c r="S173" i="7"/>
  <c r="P129" i="7"/>
  <c r="S128" i="7"/>
  <c r="S92" i="7"/>
  <c r="R147" i="7"/>
  <c r="O147" i="7"/>
  <c r="Q147" i="7" s="1"/>
  <c r="S64" i="7"/>
  <c r="S186" i="7"/>
  <c r="R129" i="7"/>
  <c r="S99" i="7"/>
  <c r="N46" i="9"/>
  <c r="N44" i="9"/>
  <c r="N36" i="9"/>
  <c r="N40" i="9"/>
  <c r="N43" i="9"/>
  <c r="N37" i="9"/>
  <c r="N47" i="9"/>
  <c r="N38" i="9"/>
  <c r="N42" i="9"/>
  <c r="N45" i="9"/>
  <c r="N39" i="9"/>
  <c r="Y67" i="9"/>
  <c r="N41" i="9"/>
  <c r="S112" i="7"/>
  <c r="M10" i="7"/>
  <c r="O10" i="7" s="1"/>
  <c r="N18" i="9"/>
  <c r="N22" i="9"/>
  <c r="N20" i="9"/>
  <c r="N13" i="9"/>
  <c r="N19" i="9"/>
  <c r="N16" i="9"/>
  <c r="N12" i="9"/>
  <c r="Z63" i="9"/>
  <c r="N23" i="9"/>
  <c r="N21" i="9"/>
  <c r="N17" i="9"/>
  <c r="N15" i="9"/>
  <c r="Y65" i="9"/>
  <c r="N14" i="9"/>
  <c r="O182" i="7"/>
  <c r="Q182" i="7" s="1"/>
  <c r="R182" i="7"/>
  <c r="P183" i="7"/>
  <c r="S165" i="7"/>
  <c r="R80" i="7"/>
  <c r="O80" i="7"/>
  <c r="S138" i="7"/>
  <c r="R82" i="7"/>
  <c r="O82" i="7"/>
  <c r="S125" i="7"/>
  <c r="Z124" i="7"/>
  <c r="Q124" i="7"/>
  <c r="R78" i="7"/>
  <c r="O202" i="7"/>
  <c r="Q202" i="7" s="1"/>
  <c r="R202" i="7"/>
  <c r="P149" i="7"/>
  <c r="R83" i="7"/>
  <c r="O83" i="7"/>
  <c r="Q83" i="7" s="1"/>
  <c r="S124" i="7"/>
  <c r="R76" i="7"/>
  <c r="O76" i="7"/>
  <c r="Q76" i="7" s="1"/>
  <c r="P107" i="7"/>
  <c r="S61" i="7"/>
  <c r="R119" i="7"/>
  <c r="O119" i="7"/>
  <c r="Q119" i="7" s="1"/>
  <c r="S159" i="7"/>
  <c r="R34" i="7"/>
  <c r="M13" i="7"/>
  <c r="O13" i="7" s="1"/>
  <c r="Z176" i="7"/>
  <c r="Q176" i="7"/>
  <c r="P151" i="7"/>
  <c r="S181" i="7"/>
  <c r="R79" i="7"/>
  <c r="O79" i="7"/>
  <c r="S163" i="7"/>
  <c r="S148" i="7"/>
  <c r="S113" i="7"/>
  <c r="O113" i="7"/>
  <c r="Q113" i="7" s="1"/>
  <c r="S83" i="7"/>
  <c r="O45" i="7"/>
  <c r="R45" i="7"/>
  <c r="S133" i="7"/>
  <c r="R168" i="7"/>
  <c r="S91" i="7"/>
  <c r="S50" i="7"/>
  <c r="R141" i="7"/>
  <c r="O141" i="7"/>
  <c r="Q141" i="7" s="1"/>
  <c r="S192" i="7"/>
  <c r="S140" i="7"/>
  <c r="S228" i="7"/>
  <c r="O67" i="7"/>
  <c r="R67" i="7"/>
  <c r="O203" i="7"/>
  <c r="Q203" i="7" s="1"/>
  <c r="R203" i="7"/>
  <c r="R153" i="7"/>
  <c r="O153" i="7"/>
  <c r="Q153" i="7" s="1"/>
  <c r="S96" i="7"/>
  <c r="S225" i="7"/>
  <c r="O225" i="7"/>
  <c r="Q225" i="7" s="1"/>
  <c r="S167" i="7"/>
  <c r="Z133" i="7"/>
  <c r="R35" i="7"/>
  <c r="R127" i="7"/>
  <c r="S204" i="7"/>
  <c r="S221" i="7"/>
  <c r="P212" i="7"/>
  <c r="O159" i="7"/>
  <c r="Q159" i="7" s="1"/>
  <c r="R159" i="7"/>
  <c r="R109" i="7"/>
  <c r="O109" i="7"/>
  <c r="P125" i="7"/>
  <c r="R56" i="7"/>
  <c r="O56" i="7"/>
  <c r="M12" i="7"/>
  <c r="O12" i="7" s="1"/>
  <c r="S176" i="7"/>
  <c r="R194" i="7"/>
  <c r="O194" i="7"/>
  <c r="R195" i="7"/>
  <c r="O195" i="7"/>
  <c r="Q195" i="7" s="1"/>
  <c r="S195" i="7"/>
  <c r="S141" i="7"/>
  <c r="R100" i="7"/>
  <c r="S135" i="7"/>
  <c r="S201" i="7"/>
  <c r="R103" i="7"/>
  <c r="S146" i="7"/>
  <c r="S227" i="7"/>
  <c r="O38" i="7"/>
  <c r="R38" i="7"/>
  <c r="R137" i="7"/>
  <c r="O137" i="7"/>
  <c r="Q137" i="7" s="1"/>
  <c r="R85" i="7"/>
  <c r="S137" i="7"/>
  <c r="R92" i="7"/>
  <c r="S97" i="7"/>
  <c r="R158" i="7"/>
  <c r="Q102" i="7"/>
  <c r="Z102" i="7"/>
  <c r="S118" i="7"/>
  <c r="S142" i="7"/>
  <c r="R208" i="7"/>
  <c r="O208" i="7"/>
  <c r="M21" i="7"/>
  <c r="O21" i="7" s="1"/>
  <c r="Q150" i="7"/>
  <c r="Z150" i="7"/>
  <c r="R218" i="7"/>
  <c r="O218" i="7"/>
  <c r="Q218" i="7" s="1"/>
  <c r="O217" i="7"/>
  <c r="Q217" i="7" s="1"/>
  <c r="R217" i="7"/>
  <c r="S116" i="7"/>
  <c r="J5" i="7"/>
  <c r="H5" i="7"/>
  <c r="K5" i="7"/>
  <c r="L5" i="7"/>
  <c r="I5" i="7"/>
  <c r="G5" i="7"/>
  <c r="S98" i="7"/>
  <c r="Z191" i="7"/>
  <c r="S175" i="7"/>
  <c r="R212" i="7"/>
  <c r="Z83" i="7"/>
  <c r="S153" i="7"/>
  <c r="S40" i="7"/>
  <c r="S75" i="7"/>
  <c r="S88" i="7"/>
  <c r="S149" i="7"/>
  <c r="S39" i="7"/>
  <c r="S47" i="7"/>
  <c r="S216" i="7"/>
  <c r="S161" i="7"/>
  <c r="S85" i="7"/>
  <c r="S37" i="7"/>
  <c r="S110" i="7"/>
  <c r="S121" i="7"/>
  <c r="S80" i="7"/>
  <c r="J30" i="7"/>
  <c r="S95" i="7"/>
  <c r="S54" i="7"/>
  <c r="S160" i="7"/>
  <c r="S90" i="7"/>
  <c r="S46" i="7"/>
  <c r="S102" i="7"/>
  <c r="S183" i="7"/>
  <c r="S226" i="7"/>
  <c r="S166" i="7"/>
  <c r="S42" i="7"/>
  <c r="S144" i="7"/>
  <c r="S120" i="7"/>
  <c r="S108" i="7"/>
  <c r="S111" i="7"/>
  <c r="S36" i="7"/>
  <c r="S147" i="7"/>
  <c r="S184" i="7"/>
  <c r="S94" i="7"/>
  <c r="S106" i="7"/>
  <c r="S34" i="7"/>
  <c r="S151" i="7"/>
  <c r="S56" i="7"/>
  <c r="S33" i="7"/>
  <c r="S51" i="7"/>
  <c r="S191" i="7"/>
  <c r="S82" i="7"/>
  <c r="S86" i="7"/>
  <c r="S143" i="7"/>
  <c r="S38" i="7"/>
  <c r="S78" i="7"/>
  <c r="S158" i="7"/>
  <c r="S132" i="7"/>
  <c r="S60" i="7"/>
  <c r="S188" i="7"/>
  <c r="O130" i="7"/>
  <c r="Q130" i="7" s="1"/>
  <c r="R130" i="7"/>
  <c r="S200" i="7"/>
  <c r="O200" i="7"/>
  <c r="S168" i="7"/>
  <c r="O173" i="7"/>
  <c r="Q173" i="7" s="1"/>
  <c r="R173" i="7"/>
  <c r="S203" i="7"/>
  <c r="R64" i="7"/>
  <c r="O64" i="7"/>
  <c r="R40" i="7"/>
  <c r="O40" i="7"/>
  <c r="R91" i="7"/>
  <c r="R197" i="7"/>
  <c r="O197" i="7"/>
  <c r="Q197" i="7" s="1"/>
  <c r="P220" i="7"/>
  <c r="S209" i="7"/>
  <c r="S229" i="7"/>
  <c r="P219" i="7"/>
  <c r="P225" i="7"/>
  <c r="R229" i="7"/>
  <c r="O229" i="7"/>
  <c r="Q229" i="7" s="1"/>
  <c r="S224" i="7"/>
  <c r="O170" i="7"/>
  <c r="R170" i="7"/>
  <c r="S217" i="7"/>
  <c r="P203" i="7"/>
  <c r="S172" i="7"/>
  <c r="R74" i="7"/>
  <c r="O74" i="7"/>
  <c r="S89" i="7"/>
  <c r="S169" i="7"/>
  <c r="M22" i="7"/>
  <c r="O22" i="7" s="1"/>
  <c r="S44" i="7"/>
  <c r="R143" i="7"/>
  <c r="O143" i="7"/>
  <c r="Q143" i="7" s="1"/>
  <c r="X19" i="7"/>
  <c r="S134" i="7"/>
  <c r="R93" i="7"/>
  <c r="O93" i="7"/>
  <c r="R111" i="7"/>
  <c r="R99" i="7"/>
  <c r="R121" i="7"/>
  <c r="S41" i="7"/>
  <c r="O41" i="7"/>
  <c r="S179" i="7"/>
  <c r="O37" i="7"/>
  <c r="Q37" i="7" s="1"/>
  <c r="R37" i="7"/>
  <c r="R184" i="7"/>
  <c r="R176" i="7"/>
  <c r="R123" i="7"/>
  <c r="R191" i="7"/>
  <c r="R135" i="7"/>
  <c r="R69" i="7"/>
  <c r="R41" i="7"/>
  <c r="R156" i="7"/>
  <c r="O156" i="7"/>
  <c r="Q156" i="7" s="1"/>
  <c r="S152" i="7"/>
  <c r="Q181" i="7"/>
  <c r="Z181" i="7"/>
  <c r="S220" i="7"/>
  <c r="O175" i="7"/>
  <c r="Q175" i="7" s="1"/>
  <c r="R175" i="7"/>
  <c r="R150" i="7"/>
  <c r="S126" i="7"/>
  <c r="S199" i="7"/>
  <c r="O199" i="7"/>
  <c r="S223" i="7"/>
  <c r="R167" i="7"/>
  <c r="O167" i="7"/>
  <c r="P224" i="7"/>
  <c r="O164" i="7"/>
  <c r="R164" i="7"/>
  <c r="S127" i="7"/>
  <c r="O127" i="7"/>
  <c r="Q127" i="7" s="1"/>
  <c r="R214" i="7"/>
  <c r="O214" i="7"/>
  <c r="Q214" i="7" s="1"/>
  <c r="R174" i="7"/>
  <c r="S123" i="7"/>
  <c r="S69" i="7"/>
  <c r="S104" i="7"/>
  <c r="M15" i="7"/>
  <c r="O15" i="7" s="1"/>
  <c r="O213" i="7"/>
  <c r="Q213" i="7" s="1"/>
  <c r="R213" i="7"/>
  <c r="S193" i="7"/>
  <c r="R179" i="7"/>
  <c r="O179" i="7"/>
  <c r="Q179" i="7" s="1"/>
  <c r="S105" i="7"/>
  <c r="Z127" i="7"/>
  <c r="O206" i="7"/>
  <c r="Q206" i="7" s="1"/>
  <c r="R206" i="7"/>
  <c r="R60" i="7"/>
  <c r="O60" i="7"/>
  <c r="O49" i="7"/>
  <c r="Q49" i="7" s="1"/>
  <c r="R49" i="7"/>
  <c r="S214" i="7"/>
  <c r="R224" i="7"/>
  <c r="O224" i="7"/>
  <c r="Q224" i="7" s="1"/>
  <c r="O187" i="7"/>
  <c r="R187" i="7"/>
  <c r="S198" i="7"/>
  <c r="R209" i="7"/>
  <c r="O209" i="7"/>
  <c r="Q209" i="7" s="1"/>
  <c r="S178" i="7"/>
  <c r="P200" i="7"/>
  <c r="S205" i="7"/>
  <c r="S207" i="7"/>
  <c r="R201" i="7"/>
  <c r="O201" i="7"/>
  <c r="Q201" i="7" s="1"/>
  <c r="R149" i="7"/>
  <c r="O149" i="7"/>
  <c r="Q149" i="7" s="1"/>
  <c r="P122" i="7"/>
  <c r="P103" i="7"/>
  <c r="R139" i="7"/>
  <c r="O139" i="7"/>
  <c r="Q139" i="7" s="1"/>
  <c r="Q183" i="7"/>
  <c r="O162" i="7"/>
  <c r="Q162" i="7" s="1"/>
  <c r="R162" i="7"/>
  <c r="S48" i="7"/>
  <c r="S103" i="7"/>
  <c r="R84" i="7"/>
  <c r="O84" i="7"/>
  <c r="Q84" i="7" s="1"/>
  <c r="Z43" i="7"/>
  <c r="R86" i="7"/>
  <c r="S77" i="7"/>
  <c r="S58" i="7"/>
  <c r="S210" i="7"/>
  <c r="O198" i="7"/>
  <c r="Q198" i="7" s="1"/>
  <c r="R198" i="7"/>
  <c r="R204" i="7"/>
  <c r="O204" i="7"/>
  <c r="Q204" i="7" s="1"/>
  <c r="P223" i="7"/>
  <c r="O190" i="7"/>
  <c r="Q190" i="7" s="1"/>
  <c r="R190" i="7"/>
  <c r="O193" i="7"/>
  <c r="Q193" i="7" s="1"/>
  <c r="R193" i="7"/>
  <c r="S212" i="7"/>
  <c r="R165" i="7"/>
  <c r="O165" i="7"/>
  <c r="O207" i="7"/>
  <c r="Q207" i="7" s="1"/>
  <c r="R207" i="7"/>
  <c r="S189" i="7"/>
  <c r="O163" i="7"/>
  <c r="R163" i="7"/>
  <c r="S109" i="7"/>
  <c r="Q191" i="7"/>
  <c r="R125" i="7"/>
  <c r="O125" i="7"/>
  <c r="Q125" i="7" s="1"/>
  <c r="R81" i="7"/>
  <c r="O81" i="7"/>
  <c r="S196" i="7"/>
  <c r="R177" i="7"/>
  <c r="O177" i="7"/>
  <c r="Q177" i="7" s="1"/>
  <c r="P172" i="7"/>
  <c r="P146" i="7"/>
  <c r="O122" i="7"/>
  <c r="Q122" i="7" s="1"/>
  <c r="R122" i="7"/>
  <c r="S139" i="7"/>
  <c r="R185" i="7"/>
  <c r="O185" i="7"/>
  <c r="Q185" i="7" s="1"/>
  <c r="R33" i="7"/>
  <c r="O33" i="7"/>
  <c r="P206" i="7"/>
  <c r="O180" i="7"/>
  <c r="Q180" i="7" s="1"/>
  <c r="R180" i="7"/>
  <c r="O65" i="7"/>
  <c r="Q65" i="7" s="1"/>
  <c r="R65" i="7"/>
  <c r="O61" i="7"/>
  <c r="Q61" i="7" s="1"/>
  <c r="R61" i="7"/>
  <c r="O57" i="7"/>
  <c r="Q57" i="7" s="1"/>
  <c r="R57" i="7"/>
  <c r="O53" i="7"/>
  <c r="Q53" i="7" s="1"/>
  <c r="R53" i="7"/>
  <c r="M30" i="7"/>
  <c r="P32" i="7"/>
  <c r="P97" i="7"/>
  <c r="S130" i="7"/>
  <c r="R104" i="7"/>
  <c r="O73" i="7"/>
  <c r="Q73" i="7" s="1"/>
  <c r="R73" i="7"/>
  <c r="R52" i="7"/>
  <c r="O52" i="7"/>
  <c r="Q52" i="7" s="1"/>
  <c r="S84" i="7"/>
  <c r="M11" i="7"/>
  <c r="O11" i="7" s="1"/>
  <c r="R154" i="7"/>
  <c r="O154" i="7"/>
  <c r="Q154" i="7" s="1"/>
  <c r="P216" i="7"/>
  <c r="P191" i="7"/>
  <c r="O219" i="7"/>
  <c r="Q219" i="7" s="1"/>
  <c r="R219" i="7"/>
  <c r="O215" i="7"/>
  <c r="Q215" i="7" s="1"/>
  <c r="R215" i="7"/>
  <c r="O192" i="7"/>
  <c r="Q192" i="7" s="1"/>
  <c r="R192" i="7"/>
  <c r="P181" i="7"/>
  <c r="P221" i="7"/>
  <c r="R151" i="7"/>
  <c r="O151" i="7"/>
  <c r="S156" i="7"/>
  <c r="P178" i="7"/>
  <c r="S101" i="7"/>
  <c r="Z144" i="7"/>
  <c r="Q144" i="7"/>
  <c r="O75" i="7"/>
  <c r="Q75" i="7" s="1"/>
  <c r="R75" i="7"/>
  <c r="P161" i="7"/>
  <c r="Z123" i="7"/>
  <c r="R77" i="7"/>
  <c r="P131" i="7"/>
  <c r="R115" i="7"/>
  <c r="O115" i="7"/>
  <c r="Q115" i="7" s="1"/>
  <c r="R89" i="7"/>
  <c r="O89" i="7"/>
  <c r="Q89" i="7" s="1"/>
  <c r="P133" i="7"/>
  <c r="O186" i="7"/>
  <c r="Q186" i="7" s="1"/>
  <c r="R186" i="7"/>
  <c r="R113" i="7"/>
  <c r="P76" i="7"/>
  <c r="N30" i="7"/>
  <c r="S73" i="7"/>
  <c r="Z121" i="7"/>
  <c r="S154" i="7"/>
  <c r="L4" i="7"/>
  <c r="H4" i="7"/>
  <c r="J4" i="7"/>
  <c r="I4" i="7"/>
  <c r="K4" i="7"/>
  <c r="G4" i="7"/>
  <c r="R226" i="7"/>
  <c r="O226" i="7"/>
  <c r="Q226" i="7" s="1"/>
  <c r="P210" i="7"/>
  <c r="R205" i="7"/>
  <c r="O205" i="7"/>
  <c r="Q205" i="7" s="1"/>
  <c r="S197" i="7"/>
  <c r="S222" i="7"/>
  <c r="S218" i="7"/>
  <c r="S164" i="7"/>
  <c r="S187" i="7"/>
  <c r="P159" i="7"/>
  <c r="R152" i="7"/>
  <c r="O152" i="7"/>
  <c r="Z158" i="7"/>
  <c r="S93" i="7"/>
  <c r="O189" i="7"/>
  <c r="Q189" i="7" s="1"/>
  <c r="R189" i="7"/>
  <c r="P173" i="7"/>
  <c r="P196" i="7"/>
  <c r="S170" i="7"/>
  <c r="O46" i="7"/>
  <c r="R46" i="7"/>
  <c r="S211" i="7"/>
  <c r="P202" i="7"/>
  <c r="S122" i="7"/>
  <c r="O227" i="7"/>
  <c r="Q227" i="7" s="1"/>
  <c r="R227" i="7"/>
  <c r="P117" i="7"/>
  <c r="R199" i="7"/>
  <c r="R116" i="7"/>
  <c r="S49" i="7"/>
  <c r="S115" i="7"/>
  <c r="P186" i="7"/>
  <c r="R145" i="7"/>
  <c r="O145" i="7"/>
  <c r="Q145" i="7" s="1"/>
  <c r="S70" i="7"/>
  <c r="P157" i="7"/>
  <c r="O169" i="7"/>
  <c r="Q169" i="7" s="1"/>
  <c r="R169" i="7"/>
  <c r="R148" i="7"/>
  <c r="R132" i="7"/>
  <c r="R183" i="7"/>
  <c r="R114" i="7"/>
  <c r="R90" i="7"/>
  <c r="R128" i="7"/>
  <c r="R118" i="7"/>
  <c r="R140" i="7"/>
  <c r="R144" i="7"/>
  <c r="R106" i="7"/>
  <c r="R124" i="7"/>
  <c r="R112" i="7"/>
  <c r="R98" i="7"/>
  <c r="R88" i="7"/>
  <c r="R178" i="7"/>
  <c r="R225" i="7"/>
  <c r="R110" i="7"/>
  <c r="O32" i="7"/>
  <c r="R120" i="7"/>
  <c r="R39" i="7"/>
  <c r="R166" i="7"/>
  <c r="R155" i="7"/>
  <c r="R32" i="7"/>
  <c r="R43" i="7"/>
  <c r="R136" i="7"/>
  <c r="I30" i="7"/>
  <c r="R51" i="7"/>
  <c r="R97" i="7"/>
  <c r="O97" i="7"/>
  <c r="Q97" i="7" s="1"/>
  <c r="R70" i="7"/>
  <c r="N22" i="7"/>
  <c r="P134" i="7"/>
  <c r="P119" i="7"/>
  <c r="R117" i="7"/>
  <c r="X16" i="7"/>
  <c r="X15" i="7"/>
  <c r="R228" i="7"/>
  <c r="O228" i="7"/>
  <c r="Q228" i="7" s="1"/>
  <c r="S219" i="7"/>
  <c r="S213" i="7"/>
  <c r="R222" i="7"/>
  <c r="O222" i="7"/>
  <c r="Q222" i="7" s="1"/>
  <c r="O223" i="7"/>
  <c r="Q223" i="7" s="1"/>
  <c r="R223" i="7"/>
  <c r="P205" i="7"/>
  <c r="R220" i="7"/>
  <c r="O220" i="7"/>
  <c r="Q220" i="7" s="1"/>
  <c r="Z216" i="7"/>
  <c r="Z184" i="7"/>
  <c r="P175" i="7"/>
  <c r="P176" i="7"/>
  <c r="S194" i="7"/>
  <c r="Z168" i="7"/>
  <c r="S81" i="7"/>
  <c r="S177" i="7"/>
  <c r="R101" i="7"/>
  <c r="O101" i="7"/>
  <c r="P217" i="7"/>
  <c r="S129" i="7"/>
  <c r="O129" i="7"/>
  <c r="Q129" i="7" s="1"/>
  <c r="O212" i="7"/>
  <c r="Q212" i="7" s="1"/>
  <c r="S202" i="7"/>
  <c r="R105" i="7"/>
  <c r="O105" i="7"/>
  <c r="S206" i="7"/>
  <c r="Q160" i="7"/>
  <c r="Z160" i="7"/>
  <c r="P115" i="7"/>
  <c r="S145" i="7"/>
  <c r="Z91" i="7"/>
  <c r="R200" i="7"/>
  <c r="S76" i="7"/>
  <c r="P44" i="7"/>
  <c r="P37" i="7"/>
  <c r="Z108" i="7"/>
  <c r="M16" i="7"/>
  <c r="O16" i="7" s="1"/>
  <c r="N18" i="7"/>
  <c r="S72" i="7"/>
  <c r="O72" i="7"/>
  <c r="Q72" i="7" s="1"/>
  <c r="P126" i="7"/>
  <c r="R94" i="7"/>
  <c r="R160" i="7"/>
  <c r="O47" i="7"/>
  <c r="R47" i="7"/>
  <c r="S131" i="7"/>
  <c r="S180" i="7"/>
  <c r="R72" i="7"/>
  <c r="S63" i="7"/>
  <c r="S59" i="7"/>
  <c r="S55" i="7"/>
  <c r="R42" i="7"/>
  <c r="O42" i="7"/>
  <c r="R133" i="7"/>
  <c r="O133" i="7"/>
  <c r="Q133" i="7" s="1"/>
  <c r="P91" i="7"/>
  <c r="S43" i="7"/>
  <c r="O157" i="7"/>
  <c r="Q157" i="7" s="1"/>
  <c r="R157" i="7"/>
  <c r="Q216" i="7"/>
  <c r="S162" i="7"/>
  <c r="O36" i="7"/>
  <c r="Q36" i="7" s="1"/>
  <c r="R36" i="7"/>
  <c r="S107" i="7"/>
  <c r="R71" i="7"/>
  <c r="O71" i="7"/>
  <c r="Q71" i="7" s="1"/>
  <c r="M19" i="7"/>
  <c r="O19" i="7" s="1"/>
  <c r="R95" i="7"/>
  <c r="P142" i="7"/>
  <c r="M18" i="7"/>
  <c r="O18" i="7" s="1"/>
  <c r="R171" i="7"/>
  <c r="O171" i="7"/>
  <c r="Q171" i="7" s="1"/>
  <c r="O211" i="7"/>
  <c r="Q211" i="7" s="1"/>
  <c r="R211" i="7"/>
  <c r="S155" i="7"/>
  <c r="Z86" i="7"/>
  <c r="O146" i="7"/>
  <c r="Q146" i="7" s="1"/>
  <c r="R146" i="7"/>
  <c r="O126" i="7"/>
  <c r="Q126" i="7" s="1"/>
  <c r="R126" i="7"/>
  <c r="Z153" i="7"/>
  <c r="S45" i="7"/>
  <c r="O63" i="7"/>
  <c r="Q63" i="7" s="1"/>
  <c r="R63" i="7"/>
  <c r="O59" i="7"/>
  <c r="Q59" i="7" s="1"/>
  <c r="R59" i="7"/>
  <c r="O55" i="7"/>
  <c r="Q55" i="7" s="1"/>
  <c r="R55" i="7"/>
  <c r="S157" i="7"/>
  <c r="R216" i="7"/>
  <c r="Z107" i="7"/>
  <c r="S52" i="7"/>
  <c r="R102" i="7"/>
  <c r="S119" i="7"/>
  <c r="S71" i="7"/>
  <c r="R108" i="7"/>
  <c r="X18" i="7"/>
  <c r="O142" i="7"/>
  <c r="Q142" i="7" s="1"/>
  <c r="R142" i="7"/>
  <c r="O134" i="7"/>
  <c r="Q134" i="7" s="1"/>
  <c r="R134" i="7"/>
  <c r="N15" i="7"/>
  <c r="R92" i="5"/>
  <c r="O92" i="5"/>
  <c r="Q92" i="5" s="1"/>
  <c r="S54" i="5"/>
  <c r="S60" i="5"/>
  <c r="M20" i="5"/>
  <c r="O20" i="5" s="1"/>
  <c r="S156" i="5"/>
  <c r="R56" i="5"/>
  <c r="O56" i="5"/>
  <c r="Q56" i="5" s="1"/>
  <c r="R226" i="5"/>
  <c r="O226" i="5"/>
  <c r="Q226" i="5" s="1"/>
  <c r="O171" i="5"/>
  <c r="Q171" i="5" s="1"/>
  <c r="R171" i="5"/>
  <c r="S179" i="5"/>
  <c r="S217" i="5"/>
  <c r="R164" i="5"/>
  <c r="O164" i="5"/>
  <c r="Q164" i="5" s="1"/>
  <c r="R136" i="5"/>
  <c r="O136" i="5"/>
  <c r="Q136" i="5" s="1"/>
  <c r="S155" i="5"/>
  <c r="S133" i="5"/>
  <c r="S185" i="5"/>
  <c r="R90" i="5"/>
  <c r="O90" i="5"/>
  <c r="Q90" i="5" s="1"/>
  <c r="S50" i="5"/>
  <c r="R41" i="5"/>
  <c r="O41" i="5"/>
  <c r="Q41" i="5" s="1"/>
  <c r="S75" i="5"/>
  <c r="O75" i="5"/>
  <c r="Q75" i="5" s="1"/>
  <c r="S115" i="5"/>
  <c r="R219" i="5"/>
  <c r="O219" i="5"/>
  <c r="Q219" i="5" s="1"/>
  <c r="S211" i="5"/>
  <c r="R207" i="5"/>
  <c r="O207" i="5"/>
  <c r="Q207" i="5" s="1"/>
  <c r="O175" i="5"/>
  <c r="Q175" i="5" s="1"/>
  <c r="R175" i="5"/>
  <c r="S48" i="5"/>
  <c r="R68" i="5"/>
  <c r="O68" i="5"/>
  <c r="Q68" i="5" s="1"/>
  <c r="D34" i="6"/>
  <c r="Q11" i="6"/>
  <c r="D35" i="6"/>
  <c r="D4" i="5"/>
  <c r="S40" i="5"/>
  <c r="Q23" i="6"/>
  <c r="S83" i="5"/>
  <c r="S38" i="5"/>
  <c r="S186" i="5"/>
  <c r="S219" i="5"/>
  <c r="R201" i="5"/>
  <c r="O201" i="5"/>
  <c r="Q201" i="5" s="1"/>
  <c r="S207" i="5"/>
  <c r="S171" i="5"/>
  <c r="S181" i="5"/>
  <c r="S166" i="5"/>
  <c r="S132" i="5"/>
  <c r="P158" i="5"/>
  <c r="O139" i="5"/>
  <c r="Q139" i="5" s="1"/>
  <c r="R139" i="5"/>
  <c r="O101" i="5"/>
  <c r="Q101" i="5" s="1"/>
  <c r="R101" i="5"/>
  <c r="P174" i="5"/>
  <c r="O91" i="5"/>
  <c r="Q91" i="5" s="1"/>
  <c r="R91" i="5"/>
  <c r="S73" i="5"/>
  <c r="S59" i="5"/>
  <c r="S129" i="5"/>
  <c r="O131" i="5"/>
  <c r="Q131" i="5" s="1"/>
  <c r="R131" i="5"/>
  <c r="O65" i="5"/>
  <c r="Q65" i="5" s="1"/>
  <c r="R65" i="5"/>
  <c r="N50" i="6"/>
  <c r="Y71" i="6"/>
  <c r="N52" i="6"/>
  <c r="N54" i="6"/>
  <c r="N53" i="6"/>
  <c r="N51" i="6"/>
  <c r="N55" i="6"/>
  <c r="P224" i="5"/>
  <c r="O133" i="5"/>
  <c r="Q133" i="5" s="1"/>
  <c r="R133" i="5"/>
  <c r="O128" i="5"/>
  <c r="Q128" i="5" s="1"/>
  <c r="R128" i="5"/>
  <c r="R159" i="5"/>
  <c r="O159" i="5"/>
  <c r="Q159" i="5" s="1"/>
  <c r="O69" i="5"/>
  <c r="Q69" i="5" s="1"/>
  <c r="R69" i="5"/>
  <c r="P111" i="5"/>
  <c r="O66" i="5"/>
  <c r="Q66" i="5" s="1"/>
  <c r="R66" i="5"/>
  <c r="S65" i="5"/>
  <c r="S72" i="5"/>
  <c r="R42" i="5"/>
  <c r="O42" i="5"/>
  <c r="Q42" i="5" s="1"/>
  <c r="O196" i="5"/>
  <c r="Q196" i="5" s="1"/>
  <c r="R196" i="5"/>
  <c r="S125" i="5"/>
  <c r="R172" i="5"/>
  <c r="O172" i="5"/>
  <c r="Q172" i="5" s="1"/>
  <c r="S45" i="5"/>
  <c r="R155" i="5"/>
  <c r="O155" i="5"/>
  <c r="Q155" i="5" s="1"/>
  <c r="R126" i="5"/>
  <c r="O126" i="5"/>
  <c r="Q126" i="5" s="1"/>
  <c r="O63" i="5"/>
  <c r="Q63" i="5" s="1"/>
  <c r="R63" i="5"/>
  <c r="N14" i="5"/>
  <c r="S63" i="5"/>
  <c r="R47" i="5"/>
  <c r="O47" i="5"/>
  <c r="Q47" i="5" s="1"/>
  <c r="R99" i="5"/>
  <c r="O99" i="5"/>
  <c r="Q99" i="5" s="1"/>
  <c r="O192" i="5"/>
  <c r="Q192" i="5" s="1"/>
  <c r="R192" i="5"/>
  <c r="R152" i="5"/>
  <c r="O152" i="5"/>
  <c r="Q152" i="5" s="1"/>
  <c r="S193" i="5"/>
  <c r="O211" i="5"/>
  <c r="Q211" i="5" s="1"/>
  <c r="R211" i="5"/>
  <c r="O217" i="5"/>
  <c r="Q217" i="5" s="1"/>
  <c r="R217" i="5"/>
  <c r="O206" i="5"/>
  <c r="Q206" i="5" s="1"/>
  <c r="R206" i="5"/>
  <c r="S152" i="5"/>
  <c r="S124" i="5"/>
  <c r="S128" i="5"/>
  <c r="O81" i="5"/>
  <c r="Q81" i="5" s="1"/>
  <c r="R81" i="5"/>
  <c r="O51" i="5"/>
  <c r="Q51" i="5" s="1"/>
  <c r="R51" i="5"/>
  <c r="N12" i="5"/>
  <c r="M10" i="5"/>
  <c r="O10" i="5" s="1"/>
  <c r="O52" i="5"/>
  <c r="Q52" i="5" s="1"/>
  <c r="R52" i="5"/>
  <c r="R109" i="5"/>
  <c r="O109" i="5"/>
  <c r="Q109" i="5" s="1"/>
  <c r="S111" i="5"/>
  <c r="S80" i="5"/>
  <c r="S105" i="5"/>
  <c r="S202" i="5"/>
  <c r="R174" i="5"/>
  <c r="O174" i="5"/>
  <c r="Q174" i="5" s="1"/>
  <c r="S215" i="5"/>
  <c r="S175" i="5"/>
  <c r="S107" i="5"/>
  <c r="O107" i="5"/>
  <c r="Q107" i="5" s="1"/>
  <c r="O93" i="5"/>
  <c r="Q93" i="5" s="1"/>
  <c r="R93" i="5"/>
  <c r="M14" i="5"/>
  <c r="P124" i="5"/>
  <c r="S199" i="5"/>
  <c r="R203" i="5"/>
  <c r="O203" i="5"/>
  <c r="Q203" i="5" s="1"/>
  <c r="S170" i="5"/>
  <c r="R177" i="5"/>
  <c r="O177" i="5"/>
  <c r="Q177" i="5" s="1"/>
  <c r="S147" i="5"/>
  <c r="S169" i="5"/>
  <c r="O113" i="5"/>
  <c r="Q113" i="5" s="1"/>
  <c r="R113" i="5"/>
  <c r="S34" i="5"/>
  <c r="O55" i="5"/>
  <c r="Q55" i="5" s="1"/>
  <c r="R55" i="5"/>
  <c r="P100" i="5"/>
  <c r="S137" i="5"/>
  <c r="R111" i="5"/>
  <c r="O111" i="5"/>
  <c r="Q111" i="5" s="1"/>
  <c r="S82" i="5"/>
  <c r="O95" i="5"/>
  <c r="Q95" i="5" s="1"/>
  <c r="R95" i="5"/>
  <c r="S188" i="5"/>
  <c r="S198" i="5"/>
  <c r="S210" i="5"/>
  <c r="S119" i="5"/>
  <c r="S116" i="5"/>
  <c r="O116" i="5"/>
  <c r="Q116" i="5" s="1"/>
  <c r="O181" i="5"/>
  <c r="Q181" i="5" s="1"/>
  <c r="R181" i="5"/>
  <c r="O140" i="5"/>
  <c r="Q140" i="5" s="1"/>
  <c r="R140" i="5"/>
  <c r="S174" i="5"/>
  <c r="S47" i="5"/>
  <c r="S138" i="5"/>
  <c r="S151" i="5"/>
  <c r="S113" i="5"/>
  <c r="Z186" i="5"/>
  <c r="O229" i="5"/>
  <c r="Q229" i="5" s="1"/>
  <c r="R229" i="5"/>
  <c r="R112" i="5"/>
  <c r="O112" i="5"/>
  <c r="Q112" i="5" s="1"/>
  <c r="R191" i="5"/>
  <c r="O191" i="5"/>
  <c r="Q191" i="5" s="1"/>
  <c r="S176" i="5"/>
  <c r="R146" i="5"/>
  <c r="O146" i="5"/>
  <c r="Q146" i="5" s="1"/>
  <c r="S221" i="5"/>
  <c r="S122" i="5"/>
  <c r="R80" i="5"/>
  <c r="O80" i="5"/>
  <c r="Q80" i="5" s="1"/>
  <c r="S196" i="5"/>
  <c r="S143" i="5"/>
  <c r="R179" i="5"/>
  <c r="O179" i="5"/>
  <c r="Q179" i="5" s="1"/>
  <c r="S183" i="5"/>
  <c r="O149" i="5"/>
  <c r="Q149" i="5" s="1"/>
  <c r="R149" i="5"/>
  <c r="R121" i="5"/>
  <c r="O121" i="5"/>
  <c r="Q121" i="5" s="1"/>
  <c r="S91" i="5"/>
  <c r="R144" i="5"/>
  <c r="O144" i="5"/>
  <c r="Q144" i="5" s="1"/>
  <c r="R141" i="5"/>
  <c r="O141" i="5"/>
  <c r="Q141" i="5" s="1"/>
  <c r="R33" i="5"/>
  <c r="O33" i="5"/>
  <c r="R35" i="5"/>
  <c r="R116" i="5"/>
  <c r="R107" i="5"/>
  <c r="R75" i="5"/>
  <c r="R32" i="5"/>
  <c r="R53" i="5"/>
  <c r="N30" i="5"/>
  <c r="M16" i="5"/>
  <c r="O16" i="5" s="1"/>
  <c r="R45" i="5"/>
  <c r="O45" i="5"/>
  <c r="Q45" i="5" s="1"/>
  <c r="O135" i="5"/>
  <c r="Q135" i="5" s="1"/>
  <c r="R135" i="5"/>
  <c r="R189" i="5"/>
  <c r="O189" i="5"/>
  <c r="Q189" i="5" s="1"/>
  <c r="S200" i="5"/>
  <c r="O71" i="5"/>
  <c r="Q71" i="5" s="1"/>
  <c r="R71" i="5"/>
  <c r="R215" i="5"/>
  <c r="O215" i="5"/>
  <c r="Q215" i="5" s="1"/>
  <c r="S52" i="5"/>
  <c r="S58" i="5"/>
  <c r="S225" i="5"/>
  <c r="O122" i="5"/>
  <c r="Q122" i="5" s="1"/>
  <c r="R122" i="5"/>
  <c r="R167" i="5"/>
  <c r="O167" i="5"/>
  <c r="Q167" i="5" s="1"/>
  <c r="R49" i="5"/>
  <c r="O49" i="5"/>
  <c r="Q49" i="5" s="1"/>
  <c r="M7" i="5"/>
  <c r="O7" i="5" s="1"/>
  <c r="S227" i="5"/>
  <c r="S167" i="5"/>
  <c r="S140" i="5"/>
  <c r="R185" i="5"/>
  <c r="O185" i="5"/>
  <c r="Q185" i="5" s="1"/>
  <c r="R157" i="5"/>
  <c r="O157" i="5"/>
  <c r="Q157" i="5" s="1"/>
  <c r="O190" i="5"/>
  <c r="Q190" i="5" s="1"/>
  <c r="R190" i="5"/>
  <c r="S85" i="5"/>
  <c r="S56" i="5"/>
  <c r="R48" i="5"/>
  <c r="O48" i="5"/>
  <c r="O43" i="5"/>
  <c r="Q43" i="5" s="1"/>
  <c r="R43" i="5"/>
  <c r="N5" i="5"/>
  <c r="S33" i="5"/>
  <c r="S95" i="5"/>
  <c r="S49" i="5"/>
  <c r="O194" i="5"/>
  <c r="Q194" i="5" s="1"/>
  <c r="R194" i="5"/>
  <c r="O127" i="5"/>
  <c r="Q127" i="5" s="1"/>
  <c r="R127" i="5"/>
  <c r="R96" i="5"/>
  <c r="O96" i="5"/>
  <c r="Q96" i="5" s="1"/>
  <c r="R57" i="5"/>
  <c r="O57" i="5"/>
  <c r="Q57" i="5" s="1"/>
  <c r="M23" i="5"/>
  <c r="O23" i="5" s="1"/>
  <c r="O44" i="5"/>
  <c r="Q44" i="5" s="1"/>
  <c r="R44" i="5"/>
  <c r="R117" i="5"/>
  <c r="O117" i="5"/>
  <c r="Q117" i="5" s="1"/>
  <c r="O147" i="5"/>
  <c r="Q147" i="5" s="1"/>
  <c r="R147" i="5"/>
  <c r="S172" i="5"/>
  <c r="S121" i="5"/>
  <c r="S192" i="5"/>
  <c r="S118" i="5"/>
  <c r="R104" i="5"/>
  <c r="O104" i="5"/>
  <c r="Q104" i="5" s="1"/>
  <c r="P139" i="5"/>
  <c r="Z174" i="5"/>
  <c r="P67" i="5"/>
  <c r="S108" i="5"/>
  <c r="S141" i="5"/>
  <c r="P60" i="5"/>
  <c r="S36" i="5"/>
  <c r="S96" i="5"/>
  <c r="S37" i="5"/>
  <c r="P53" i="5"/>
  <c r="O89" i="5"/>
  <c r="Q89" i="5" s="1"/>
  <c r="R89" i="5"/>
  <c r="S142" i="5"/>
  <c r="S57" i="5"/>
  <c r="R50" i="5"/>
  <c r="O50" i="5"/>
  <c r="Q50" i="5" s="1"/>
  <c r="O108" i="5"/>
  <c r="Q108" i="5" s="1"/>
  <c r="R108" i="5"/>
  <c r="P123" i="5"/>
  <c r="O102" i="5"/>
  <c r="Q102" i="5" s="1"/>
  <c r="R102" i="5"/>
  <c r="P105" i="5"/>
  <c r="S99" i="5"/>
  <c r="S150" i="5"/>
  <c r="S213" i="5"/>
  <c r="O193" i="5"/>
  <c r="Q193" i="5" s="1"/>
  <c r="R193" i="5"/>
  <c r="P222" i="5"/>
  <c r="P195" i="5"/>
  <c r="P214" i="5"/>
  <c r="O208" i="5"/>
  <c r="Q208" i="5" s="1"/>
  <c r="R208" i="5"/>
  <c r="S86" i="5"/>
  <c r="X10" i="5"/>
  <c r="O129" i="5"/>
  <c r="Q129" i="5" s="1"/>
  <c r="R129" i="5"/>
  <c r="Z217" i="5"/>
  <c r="S190" i="5"/>
  <c r="R74" i="5"/>
  <c r="O74" i="5"/>
  <c r="P108" i="5"/>
  <c r="P75" i="5"/>
  <c r="X5" i="5"/>
  <c r="S214" i="5"/>
  <c r="P155" i="5"/>
  <c r="P147" i="5"/>
  <c r="R218" i="5"/>
  <c r="O218" i="5"/>
  <c r="Q218" i="5" s="1"/>
  <c r="O220" i="5"/>
  <c r="Q220" i="5" s="1"/>
  <c r="R220" i="5"/>
  <c r="S220" i="5"/>
  <c r="P215" i="5"/>
  <c r="O223" i="5"/>
  <c r="Q223" i="5" s="1"/>
  <c r="R223" i="5"/>
  <c r="P205" i="5"/>
  <c r="S201" i="5"/>
  <c r="P181" i="5"/>
  <c r="S209" i="5"/>
  <c r="S165" i="5"/>
  <c r="R137" i="5"/>
  <c r="O137" i="5"/>
  <c r="Q137" i="5" s="1"/>
  <c r="S177" i="5"/>
  <c r="S136" i="5"/>
  <c r="P132" i="5"/>
  <c r="R86" i="5"/>
  <c r="O86" i="5"/>
  <c r="Q86" i="5" s="1"/>
  <c r="S104" i="5"/>
  <c r="R134" i="5"/>
  <c r="O134" i="5"/>
  <c r="Q134" i="5" s="1"/>
  <c r="R114" i="5"/>
  <c r="O114" i="5"/>
  <c r="Q114" i="5" s="1"/>
  <c r="O85" i="5"/>
  <c r="Q85" i="5" s="1"/>
  <c r="R85" i="5"/>
  <c r="O64" i="5"/>
  <c r="Q64" i="5" s="1"/>
  <c r="R64" i="5"/>
  <c r="S93" i="5"/>
  <c r="R60" i="5"/>
  <c r="O60" i="5"/>
  <c r="Q60" i="5" s="1"/>
  <c r="S78" i="5"/>
  <c r="S41" i="5"/>
  <c r="S159" i="5"/>
  <c r="R40" i="5"/>
  <c r="O40" i="5"/>
  <c r="Q40" i="5" s="1"/>
  <c r="X13" i="5"/>
  <c r="L9" i="5"/>
  <c r="I9" i="5"/>
  <c r="K9" i="5"/>
  <c r="N9" i="5" s="1"/>
  <c r="G9" i="5"/>
  <c r="J9" i="5"/>
  <c r="H9" i="5"/>
  <c r="S131" i="5"/>
  <c r="O77" i="5"/>
  <c r="Q77" i="5" s="1"/>
  <c r="R77" i="5"/>
  <c r="S89" i="5"/>
  <c r="Q43" i="6"/>
  <c r="P65" i="5"/>
  <c r="M19" i="5"/>
  <c r="O19" i="5" s="1"/>
  <c r="R72" i="5"/>
  <c r="O72" i="5"/>
  <c r="Q72" i="5" s="1"/>
  <c r="S62" i="5"/>
  <c r="S43" i="5"/>
  <c r="S88" i="5"/>
  <c r="S68" i="5"/>
  <c r="P116" i="5"/>
  <c r="O125" i="5"/>
  <c r="Q125" i="5" s="1"/>
  <c r="R125" i="5"/>
  <c r="P164" i="5"/>
  <c r="R160" i="5"/>
  <c r="O160" i="5"/>
  <c r="Q160" i="5" s="1"/>
  <c r="S195" i="5"/>
  <c r="P199" i="5"/>
  <c r="P198" i="5"/>
  <c r="O216" i="5"/>
  <c r="Q216" i="5" s="1"/>
  <c r="R216" i="5"/>
  <c r="O212" i="5"/>
  <c r="Q212" i="5" s="1"/>
  <c r="R212" i="5"/>
  <c r="R222" i="5"/>
  <c r="O222" i="5"/>
  <c r="Q222" i="5" s="1"/>
  <c r="R188" i="5"/>
  <c r="O188" i="5"/>
  <c r="Q188" i="5" s="1"/>
  <c r="S146" i="5"/>
  <c r="S110" i="5"/>
  <c r="S46" i="5"/>
  <c r="R148" i="5"/>
  <c r="O148" i="5"/>
  <c r="Q148" i="5" s="1"/>
  <c r="M12" i="5"/>
  <c r="O12" i="5" s="1"/>
  <c r="X6" i="5"/>
  <c r="P152" i="5"/>
  <c r="S222" i="5"/>
  <c r="S205" i="5"/>
  <c r="S168" i="5"/>
  <c r="P185" i="5"/>
  <c r="O227" i="5"/>
  <c r="Q227" i="5" s="1"/>
  <c r="R227" i="5"/>
  <c r="R204" i="5"/>
  <c r="O204" i="5"/>
  <c r="Q204" i="5" s="1"/>
  <c r="O214" i="5"/>
  <c r="Q214" i="5" s="1"/>
  <c r="R214" i="5"/>
  <c r="R182" i="5"/>
  <c r="O182" i="5"/>
  <c r="Q182" i="5" s="1"/>
  <c r="R161" i="5"/>
  <c r="O161" i="5"/>
  <c r="Q161" i="5" s="1"/>
  <c r="R178" i="5"/>
  <c r="O178" i="5"/>
  <c r="Q178" i="5" s="1"/>
  <c r="P209" i="5"/>
  <c r="R184" i="5"/>
  <c r="O184" i="5"/>
  <c r="Q184" i="5" s="1"/>
  <c r="R187" i="5"/>
  <c r="O187" i="5"/>
  <c r="Q187" i="5" s="1"/>
  <c r="S106" i="5"/>
  <c r="R180" i="5"/>
  <c r="O180" i="5"/>
  <c r="Q180" i="5" s="1"/>
  <c r="S149" i="5"/>
  <c r="S120" i="5"/>
  <c r="S127" i="5"/>
  <c r="S182" i="5"/>
  <c r="O130" i="5"/>
  <c r="Q130" i="5" s="1"/>
  <c r="R130" i="5"/>
  <c r="P157" i="5"/>
  <c r="S100" i="5"/>
  <c r="P190" i="5"/>
  <c r="S109" i="5"/>
  <c r="Z112" i="5"/>
  <c r="P32" i="5"/>
  <c r="M30" i="5"/>
  <c r="P78" i="5"/>
  <c r="Z35" i="5"/>
  <c r="P159" i="5"/>
  <c r="P148" i="5"/>
  <c r="S44" i="5"/>
  <c r="S76" i="5"/>
  <c r="N61" i="6"/>
  <c r="N59" i="6"/>
  <c r="N63" i="6"/>
  <c r="N58" i="6"/>
  <c r="N60" i="6"/>
  <c r="Y72" i="6"/>
  <c r="N62" i="6"/>
  <c r="P77" i="5"/>
  <c r="P83" i="5"/>
  <c r="R37" i="5"/>
  <c r="O37" i="5"/>
  <c r="S92" i="5"/>
  <c r="R106" i="5"/>
  <c r="O106" i="5"/>
  <c r="Q106" i="5" s="1"/>
  <c r="S39" i="5"/>
  <c r="S163" i="5"/>
  <c r="M22" i="5"/>
  <c r="O22" i="5" s="1"/>
  <c r="R54" i="5"/>
  <c r="O54" i="5"/>
  <c r="Q54" i="5" s="1"/>
  <c r="S67" i="5"/>
  <c r="P94" i="5"/>
  <c r="O73" i="5"/>
  <c r="R73" i="5"/>
  <c r="S157" i="5"/>
  <c r="S117" i="5"/>
  <c r="S160" i="5"/>
  <c r="R166" i="5"/>
  <c r="O166" i="5"/>
  <c r="Q166" i="5" s="1"/>
  <c r="R197" i="5"/>
  <c r="O197" i="5"/>
  <c r="Q197" i="5" s="1"/>
  <c r="S164" i="5"/>
  <c r="S189" i="5"/>
  <c r="R200" i="5"/>
  <c r="O200" i="5"/>
  <c r="Q200" i="5" s="1"/>
  <c r="S191" i="5"/>
  <c r="P204" i="5"/>
  <c r="P191" i="5"/>
  <c r="P218" i="5"/>
  <c r="P213" i="5"/>
  <c r="R154" i="5"/>
  <c r="O154" i="5"/>
  <c r="Q154" i="5" s="1"/>
  <c r="O61" i="5"/>
  <c r="Q61" i="5" s="1"/>
  <c r="R61" i="5"/>
  <c r="S71" i="5"/>
  <c r="R163" i="5"/>
  <c r="O163" i="5"/>
  <c r="Q163" i="5" s="1"/>
  <c r="S197" i="5"/>
  <c r="S208" i="5"/>
  <c r="P133" i="5"/>
  <c r="R88" i="5"/>
  <c r="O88" i="5"/>
  <c r="O105" i="5"/>
  <c r="Q105" i="5" s="1"/>
  <c r="R105" i="5"/>
  <c r="P142" i="5"/>
  <c r="M6" i="5"/>
  <c r="O6" i="5" s="1"/>
  <c r="R156" i="5"/>
  <c r="O156" i="5"/>
  <c r="Q156" i="5" s="1"/>
  <c r="P177" i="5"/>
  <c r="P143" i="5"/>
  <c r="R221" i="5"/>
  <c r="O221" i="5"/>
  <c r="Q221" i="5" s="1"/>
  <c r="S180" i="5"/>
  <c r="S153" i="5"/>
  <c r="P118" i="5"/>
  <c r="S162" i="5"/>
  <c r="O132" i="5"/>
  <c r="Q132" i="5" s="1"/>
  <c r="R132" i="5"/>
  <c r="O98" i="5"/>
  <c r="Q98" i="5" s="1"/>
  <c r="R98" i="5"/>
  <c r="R84" i="5"/>
  <c r="O84" i="5"/>
  <c r="Q84" i="5" s="1"/>
  <c r="R100" i="5"/>
  <c r="O100" i="5"/>
  <c r="Q100" i="5" s="1"/>
  <c r="S64" i="5"/>
  <c r="R150" i="5"/>
  <c r="O150" i="5"/>
  <c r="Q150" i="5" s="1"/>
  <c r="S112" i="5"/>
  <c r="O62" i="5"/>
  <c r="Q62" i="5" s="1"/>
  <c r="R62" i="5"/>
  <c r="O169" i="5"/>
  <c r="Q169" i="5" s="1"/>
  <c r="R169" i="5"/>
  <c r="O79" i="5"/>
  <c r="Q79" i="5" s="1"/>
  <c r="R79" i="5"/>
  <c r="Q31" i="6"/>
  <c r="S69" i="5"/>
  <c r="P117" i="5"/>
  <c r="O38" i="5"/>
  <c r="R38" i="5"/>
  <c r="S97" i="5"/>
  <c r="S70" i="5"/>
  <c r="X17" i="5"/>
  <c r="M13" i="5"/>
  <c r="O13" i="5" s="1"/>
  <c r="N15" i="5"/>
  <c r="X21" i="5"/>
  <c r="P86" i="5"/>
  <c r="P54" i="5"/>
  <c r="S81" i="5"/>
  <c r="S94" i="5"/>
  <c r="S84" i="5"/>
  <c r="S139" i="5"/>
  <c r="P182" i="5"/>
  <c r="R213" i="5"/>
  <c r="O213" i="5"/>
  <c r="Q213" i="5" s="1"/>
  <c r="R198" i="5"/>
  <c r="O198" i="5"/>
  <c r="Q198" i="5" s="1"/>
  <c r="S216" i="5"/>
  <c r="S206" i="5"/>
  <c r="P216" i="5"/>
  <c r="S61" i="5"/>
  <c r="M5" i="5"/>
  <c r="X12" i="5"/>
  <c r="R142" i="5"/>
  <c r="O142" i="5"/>
  <c r="Q142" i="5" s="1"/>
  <c r="Z142" i="5"/>
  <c r="P106" i="5"/>
  <c r="R46" i="5"/>
  <c r="O46" i="5"/>
  <c r="Q46" i="5" s="1"/>
  <c r="P225" i="5"/>
  <c r="S229" i="5"/>
  <c r="O165" i="5"/>
  <c r="Q165" i="5" s="1"/>
  <c r="R165" i="5"/>
  <c r="R153" i="5"/>
  <c r="O153" i="5"/>
  <c r="Q153" i="5" s="1"/>
  <c r="S126" i="5"/>
  <c r="S98" i="5"/>
  <c r="O97" i="5"/>
  <c r="Q97" i="5" s="1"/>
  <c r="R97" i="5"/>
  <c r="P202" i="5"/>
  <c r="R224" i="5"/>
  <c r="O224" i="5"/>
  <c r="Q224" i="5" s="1"/>
  <c r="S226" i="5"/>
  <c r="S203" i="5"/>
  <c r="S224" i="5"/>
  <c r="S178" i="5"/>
  <c r="O209" i="5"/>
  <c r="Q209" i="5" s="1"/>
  <c r="R209" i="5"/>
  <c r="R168" i="5"/>
  <c r="O168" i="5"/>
  <c r="Q168" i="5" s="1"/>
  <c r="S187" i="5"/>
  <c r="S194" i="5"/>
  <c r="R151" i="5"/>
  <c r="O151" i="5"/>
  <c r="Q151" i="5" s="1"/>
  <c r="Z149" i="5"/>
  <c r="O115" i="5"/>
  <c r="Q115" i="5" s="1"/>
  <c r="R115" i="5"/>
  <c r="R176" i="5"/>
  <c r="O176" i="5"/>
  <c r="Q176" i="5" s="1"/>
  <c r="S134" i="5"/>
  <c r="P125" i="5"/>
  <c r="P109" i="5"/>
  <c r="P114" i="5"/>
  <c r="S144" i="5"/>
  <c r="P141" i="5"/>
  <c r="S55" i="5"/>
  <c r="R78" i="5"/>
  <c r="O78" i="5"/>
  <c r="Q78" i="5" s="1"/>
  <c r="S42" i="5"/>
  <c r="S148" i="5"/>
  <c r="S87" i="5"/>
  <c r="M17" i="5"/>
  <c r="O17" i="5" s="1"/>
  <c r="P115" i="5"/>
  <c r="O32" i="5"/>
  <c r="Q40" i="6" s="1"/>
  <c r="P66" i="5"/>
  <c r="N22" i="5"/>
  <c r="X15" i="5"/>
  <c r="S79" i="5"/>
  <c r="P89" i="5"/>
  <c r="Z53" i="5"/>
  <c r="M11" i="5"/>
  <c r="O11" i="5" s="1"/>
  <c r="P39" i="5"/>
  <c r="P163" i="5"/>
  <c r="P101" i="5"/>
  <c r="P92" i="5"/>
  <c r="R103" i="5"/>
  <c r="O103" i="5"/>
  <c r="Q103" i="5" s="1"/>
  <c r="O123" i="5"/>
  <c r="Q123" i="5" s="1"/>
  <c r="R123" i="5"/>
  <c r="R138" i="5"/>
  <c r="O138" i="5"/>
  <c r="Q138" i="5" s="1"/>
  <c r="S204" i="5"/>
  <c r="O210" i="5"/>
  <c r="Q210" i="5" s="1"/>
  <c r="R210" i="5"/>
  <c r="R225" i="5"/>
  <c r="O225" i="5"/>
  <c r="Q225" i="5" s="1"/>
  <c r="R145" i="5"/>
  <c r="O145" i="5"/>
  <c r="Q145" i="5" s="1"/>
  <c r="O34" i="5"/>
  <c r="R34" i="5"/>
  <c r="S32" i="5"/>
  <c r="J30" i="5"/>
  <c r="S145" i="5"/>
  <c r="O205" i="5"/>
  <c r="Q205" i="5" s="1"/>
  <c r="R205" i="5"/>
  <c r="P137" i="5"/>
  <c r="O120" i="5"/>
  <c r="Q120" i="5" s="1"/>
  <c r="R120" i="5"/>
  <c r="P134" i="5"/>
  <c r="P112" i="5"/>
  <c r="O58" i="5"/>
  <c r="Q58" i="5" s="1"/>
  <c r="R58" i="5"/>
  <c r="S77" i="5"/>
  <c r="M18" i="5"/>
  <c r="O18" i="5" s="1"/>
  <c r="S35" i="5"/>
  <c r="R162" i="5"/>
  <c r="O162" i="5"/>
  <c r="Q162" i="5" s="1"/>
  <c r="S101" i="5"/>
  <c r="R199" i="5"/>
  <c r="O199" i="5"/>
  <c r="Q199" i="5" s="1"/>
  <c r="S223" i="5"/>
  <c r="O173" i="5"/>
  <c r="Q173" i="5" s="1"/>
  <c r="R173" i="5"/>
  <c r="S184" i="5"/>
  <c r="R170" i="5"/>
  <c r="O170" i="5"/>
  <c r="Q170" i="5" s="1"/>
  <c r="R183" i="5"/>
  <c r="O183" i="5"/>
  <c r="Q183" i="5" s="1"/>
  <c r="R124" i="5"/>
  <c r="O124" i="5"/>
  <c r="Q124" i="5" s="1"/>
  <c r="P149" i="5"/>
  <c r="R110" i="5"/>
  <c r="O110" i="5"/>
  <c r="Q110" i="5" s="1"/>
  <c r="P166" i="5"/>
  <c r="S130" i="5"/>
  <c r="O119" i="5"/>
  <c r="Q119" i="5" s="1"/>
  <c r="R119" i="5"/>
  <c r="R94" i="5"/>
  <c r="O94" i="5"/>
  <c r="Q94" i="5" s="1"/>
  <c r="R82" i="5"/>
  <c r="O82" i="5"/>
  <c r="Q82" i="5" s="1"/>
  <c r="R158" i="5"/>
  <c r="O158" i="5"/>
  <c r="Q158" i="5" s="1"/>
  <c r="S158" i="5"/>
  <c r="S102" i="5"/>
  <c r="S114" i="5"/>
  <c r="P85" i="5"/>
  <c r="O59" i="5"/>
  <c r="Q59" i="5" s="1"/>
  <c r="R59" i="5"/>
  <c r="S123" i="5"/>
  <c r="O83" i="5"/>
  <c r="Q83" i="5" s="1"/>
  <c r="R83" i="5"/>
  <c r="O87" i="5"/>
  <c r="Q87" i="5" s="1"/>
  <c r="R87" i="5"/>
  <c r="R70" i="5"/>
  <c r="O70" i="5"/>
  <c r="Q70" i="5" s="1"/>
  <c r="P79" i="5"/>
  <c r="O76" i="5"/>
  <c r="Q76" i="5" s="1"/>
  <c r="R76" i="5"/>
  <c r="S51" i="5"/>
  <c r="S53" i="5"/>
  <c r="O67" i="5"/>
  <c r="Q67" i="5" s="1"/>
  <c r="R67" i="5"/>
  <c r="M21" i="5"/>
  <c r="O21" i="5" s="1"/>
  <c r="S66" i="5"/>
  <c r="S74" i="5"/>
  <c r="P50" i="5"/>
  <c r="N11" i="5"/>
  <c r="S135" i="5"/>
  <c r="R36" i="5"/>
  <c r="O36" i="5"/>
  <c r="Q36" i="5" s="1"/>
  <c r="P96" i="5"/>
  <c r="P74" i="5"/>
  <c r="O118" i="5"/>
  <c r="Q118" i="5" s="1"/>
  <c r="R118" i="5"/>
  <c r="S103" i="5"/>
  <c r="P104" i="5"/>
  <c r="S90" i="5"/>
  <c r="S212" i="5"/>
  <c r="O195" i="5"/>
  <c r="Q195" i="5" s="1"/>
  <c r="R195" i="5"/>
  <c r="R143" i="5"/>
  <c r="O143" i="5"/>
  <c r="Q143" i="5" s="1"/>
  <c r="S228" i="5"/>
  <c r="P189" i="5"/>
  <c r="P208" i="5"/>
  <c r="O202" i="5"/>
  <c r="Q202" i="5" s="1"/>
  <c r="R202" i="5"/>
  <c r="R228" i="5"/>
  <c r="O228" i="5"/>
  <c r="Q228" i="5" s="1"/>
  <c r="S218" i="5"/>
  <c r="R186" i="5"/>
  <c r="O186" i="5"/>
  <c r="Q186" i="5" s="1"/>
  <c r="S154" i="5"/>
  <c r="O39" i="5"/>
  <c r="Q39" i="5" s="1"/>
  <c r="R39" i="5"/>
  <c r="K8" i="5"/>
  <c r="H8" i="5"/>
  <c r="G8" i="5"/>
  <c r="J8" i="5"/>
  <c r="I8" i="5"/>
  <c r="L8" i="5"/>
  <c r="U83" i="9" l="1"/>
  <c r="Q32" i="9"/>
  <c r="Z77" i="7"/>
  <c r="Z137" i="7"/>
  <c r="Q80" i="9"/>
  <c r="Z99" i="7"/>
  <c r="Z213" i="7"/>
  <c r="Q117" i="7"/>
  <c r="Z195" i="7"/>
  <c r="Z69" i="7"/>
  <c r="Z84" i="7"/>
  <c r="Z148" i="7"/>
  <c r="Z139" i="7"/>
  <c r="Z54" i="7"/>
  <c r="Z104" i="7"/>
  <c r="Z196" i="7"/>
  <c r="Z173" i="7"/>
  <c r="Z134" i="7"/>
  <c r="Z113" i="7"/>
  <c r="Z155" i="7"/>
  <c r="Z223" i="7"/>
  <c r="Z186" i="7"/>
  <c r="Z174" i="7"/>
  <c r="Z225" i="7"/>
  <c r="Z215" i="7"/>
  <c r="Z94" i="7"/>
  <c r="Z178" i="7"/>
  <c r="Z207" i="7"/>
  <c r="Z49" i="7"/>
  <c r="Z131" i="7"/>
  <c r="Z59" i="7"/>
  <c r="Z35" i="7"/>
  <c r="Z65" i="7"/>
  <c r="Z169" i="7"/>
  <c r="Z52" i="5"/>
  <c r="Z171" i="5"/>
  <c r="Z45" i="5"/>
  <c r="Z85" i="5"/>
  <c r="Z80" i="5"/>
  <c r="Z143" i="5"/>
  <c r="Z59" i="5"/>
  <c r="Z193" i="5"/>
  <c r="Z75" i="5"/>
  <c r="Z172" i="5"/>
  <c r="Z56" i="5"/>
  <c r="Z71" i="5"/>
  <c r="Z127" i="5"/>
  <c r="Z215" i="5"/>
  <c r="Z39" i="5"/>
  <c r="Z55" i="5"/>
  <c r="Z106" i="5"/>
  <c r="Z46" i="5"/>
  <c r="Z36" i="5"/>
  <c r="Z98" i="5"/>
  <c r="Z161" i="5"/>
  <c r="Z151" i="5"/>
  <c r="Z125" i="5"/>
  <c r="Q46" i="6"/>
  <c r="Z181" i="5"/>
  <c r="Z218" i="5"/>
  <c r="Z117" i="5"/>
  <c r="Q25" i="6"/>
  <c r="Z70" i="5"/>
  <c r="Z163" i="5"/>
  <c r="Z135" i="5"/>
  <c r="Z111" i="5"/>
  <c r="Z43" i="5"/>
  <c r="O30" i="5"/>
  <c r="Q30" i="5" s="1"/>
  <c r="Z205" i="5"/>
  <c r="Z147" i="5"/>
  <c r="Z170" i="5"/>
  <c r="Q36" i="6"/>
  <c r="Z200" i="5"/>
  <c r="Z195" i="5"/>
  <c r="Z105" i="5"/>
  <c r="Z66" i="5"/>
  <c r="Z90" i="5"/>
  <c r="Z191" i="5"/>
  <c r="Z226" i="5"/>
  <c r="U40" i="6"/>
  <c r="Z196" i="5"/>
  <c r="Z197" i="5"/>
  <c r="Z54" i="5"/>
  <c r="Z182" i="5"/>
  <c r="Z153" i="5"/>
  <c r="Z114" i="5"/>
  <c r="Z133" i="5"/>
  <c r="Z202" i="5"/>
  <c r="Z91" i="5"/>
  <c r="Z93" i="5"/>
  <c r="Z176" i="5"/>
  <c r="Z213" i="5"/>
  <c r="Z95" i="5"/>
  <c r="Z72" i="5"/>
  <c r="Z124" i="5"/>
  <c r="Z198" i="5"/>
  <c r="Z81" i="5"/>
  <c r="Z183" i="5"/>
  <c r="Z63" i="5"/>
  <c r="Z67" i="5"/>
  <c r="Z121" i="5"/>
  <c r="Q34" i="6"/>
  <c r="Z223" i="5"/>
  <c r="Z96" i="5"/>
  <c r="Z222" i="5"/>
  <c r="Z146" i="5"/>
  <c r="Z99" i="5"/>
  <c r="Z169" i="5"/>
  <c r="Z122" i="5"/>
  <c r="Z188" i="5"/>
  <c r="Z131" i="5"/>
  <c r="Z58" i="5"/>
  <c r="Z61" i="5"/>
  <c r="Z177" i="5"/>
  <c r="Z168" i="5"/>
  <c r="Z229" i="5"/>
  <c r="Z57" i="5"/>
  <c r="Z144" i="5"/>
  <c r="Z192" i="5"/>
  <c r="Z201" i="5"/>
  <c r="Z92" i="5"/>
  <c r="Z110" i="5"/>
  <c r="Z50" i="5"/>
  <c r="Z104" i="5"/>
  <c r="X11" i="7"/>
  <c r="Q106" i="7"/>
  <c r="Z106" i="7"/>
  <c r="X23" i="7"/>
  <c r="Z156" i="7"/>
  <c r="H8" i="7"/>
  <c r="L8" i="7"/>
  <c r="I8" i="7"/>
  <c r="K8" i="7"/>
  <c r="N8" i="7" s="1"/>
  <c r="J8" i="7"/>
  <c r="G8" i="7"/>
  <c r="P13" i="7" s="1"/>
  <c r="H7" i="7"/>
  <c r="G7" i="7"/>
  <c r="M7" i="7" s="1"/>
  <c r="K7" i="7"/>
  <c r="I7" i="7"/>
  <c r="L7" i="7"/>
  <c r="J7" i="7"/>
  <c r="X7" i="7" s="1"/>
  <c r="Z96" i="7"/>
  <c r="N6" i="7"/>
  <c r="Z206" i="7"/>
  <c r="Z189" i="7"/>
  <c r="N72" i="9"/>
  <c r="Q72" i="9" s="1" a="1"/>
  <c r="Q72" i="9" s="1"/>
  <c r="N73" i="9"/>
  <c r="Q73" i="9" s="1"/>
  <c r="N75" i="9"/>
  <c r="N74" i="9"/>
  <c r="Q74" i="9" s="1"/>
  <c r="Y70" i="9"/>
  <c r="N71" i="9"/>
  <c r="Z53" i="7"/>
  <c r="Z171" i="7"/>
  <c r="Z66" i="7"/>
  <c r="Z36" i="7"/>
  <c r="Q28" i="9"/>
  <c r="Z126" i="7"/>
  <c r="Q78" i="9"/>
  <c r="Z197" i="7"/>
  <c r="Z147" i="7"/>
  <c r="Z149" i="7"/>
  <c r="Z193" i="7"/>
  <c r="L6" i="7"/>
  <c r="N62" i="9"/>
  <c r="N65" i="9"/>
  <c r="Q65" i="9" s="1"/>
  <c r="N66" i="9"/>
  <c r="Q66" i="9" s="1"/>
  <c r="N68" i="9"/>
  <c r="Q68" i="9" s="1"/>
  <c r="N64" i="9"/>
  <c r="Q64" i="9" s="1"/>
  <c r="Y69" i="9"/>
  <c r="N63" i="9"/>
  <c r="Q63" i="9" s="1" a="1"/>
  <c r="Q63" i="9" s="1"/>
  <c r="N67" i="9"/>
  <c r="Q67" i="9" s="1"/>
  <c r="N59" i="9"/>
  <c r="Q59" i="9" s="1"/>
  <c r="N58" i="9"/>
  <c r="N57" i="9"/>
  <c r="Q57" i="9" s="1"/>
  <c r="N52" i="9"/>
  <c r="N56" i="9"/>
  <c r="Q56" i="9" s="1"/>
  <c r="N54" i="9"/>
  <c r="Q54" i="9" s="1"/>
  <c r="N51" i="9"/>
  <c r="Q51" i="9" s="1" a="1"/>
  <c r="Q51" i="9" s="1"/>
  <c r="N53" i="9"/>
  <c r="Q53" i="9" s="1"/>
  <c r="N55" i="9"/>
  <c r="Q55" i="9" s="1"/>
  <c r="N50" i="9"/>
  <c r="Y68" i="9"/>
  <c r="Z111" i="7"/>
  <c r="Z182" i="7"/>
  <c r="Q120" i="7"/>
  <c r="Z120" i="7"/>
  <c r="Z211" i="7"/>
  <c r="Q110" i="7"/>
  <c r="Z110" i="7"/>
  <c r="Z145" i="7"/>
  <c r="Z97" i="7"/>
  <c r="O20" i="7"/>
  <c r="X20" i="7"/>
  <c r="Z115" i="7"/>
  <c r="Z203" i="7"/>
  <c r="Q85" i="9"/>
  <c r="Z220" i="7"/>
  <c r="Z229" i="7"/>
  <c r="Z214" i="7"/>
  <c r="G6" i="7"/>
  <c r="Z44" i="7"/>
  <c r="Z73" i="7"/>
  <c r="Z192" i="7"/>
  <c r="X10" i="7"/>
  <c r="Z202" i="7"/>
  <c r="Z63" i="7"/>
  <c r="H6" i="7"/>
  <c r="Z128" i="7"/>
  <c r="J9" i="7"/>
  <c r="I9" i="7"/>
  <c r="L9" i="7"/>
  <c r="G9" i="7"/>
  <c r="K9" i="7"/>
  <c r="N9" i="7" s="1"/>
  <c r="H9" i="7"/>
  <c r="Q8" i="7" s="1"/>
  <c r="Q90" i="7"/>
  <c r="Z90" i="7"/>
  <c r="Q81" i="9"/>
  <c r="Q100" i="7"/>
  <c r="Z100" i="7"/>
  <c r="Z70" i="7"/>
  <c r="Z136" i="7"/>
  <c r="Z219" i="7"/>
  <c r="Z143" i="7"/>
  <c r="Z39" i="7"/>
  <c r="Z166" i="7"/>
  <c r="Z92" i="7"/>
  <c r="Q194" i="7"/>
  <c r="Z194" i="7"/>
  <c r="Q29" i="9"/>
  <c r="Z217" i="7"/>
  <c r="Z222" i="7"/>
  <c r="Z227" i="7"/>
  <c r="Q14" i="9"/>
  <c r="Q84" i="9"/>
  <c r="Z61" i="7"/>
  <c r="M4" i="7"/>
  <c r="Q12" i="9" s="1"/>
  <c r="C35" i="9"/>
  <c r="P30" i="7"/>
  <c r="Q167" i="7"/>
  <c r="Z167" i="7"/>
  <c r="Q64" i="7"/>
  <c r="Z64" i="7"/>
  <c r="Z32" i="7"/>
  <c r="Q42" i="9"/>
  <c r="Q188" i="7"/>
  <c r="Z188" i="7"/>
  <c r="X12" i="7"/>
  <c r="Q172" i="7"/>
  <c r="Z172" i="7"/>
  <c r="Z209" i="7"/>
  <c r="Z142" i="7"/>
  <c r="N4" i="7"/>
  <c r="Z37" i="7"/>
  <c r="Z157" i="7"/>
  <c r="Z141" i="7"/>
  <c r="Q163" i="7"/>
  <c r="Z163" i="7"/>
  <c r="Q170" i="7"/>
  <c r="Z170" i="7"/>
  <c r="Z205" i="7"/>
  <c r="Z68" i="7"/>
  <c r="Q80" i="7"/>
  <c r="Z80" i="7"/>
  <c r="Q22" i="9"/>
  <c r="Q38" i="9"/>
  <c r="Z71" i="7"/>
  <c r="Q46" i="7"/>
  <c r="Z46" i="7"/>
  <c r="Q164" i="7"/>
  <c r="Z164" i="7"/>
  <c r="Q200" i="7"/>
  <c r="Z200" i="7"/>
  <c r="Q46" i="9"/>
  <c r="Z87" i="7"/>
  <c r="Q87" i="7"/>
  <c r="D34" i="9"/>
  <c r="Z162" i="7"/>
  <c r="Q16" i="9"/>
  <c r="Z57" i="7"/>
  <c r="Z226" i="7"/>
  <c r="Z224" i="7"/>
  <c r="Q40" i="7"/>
  <c r="Z40" i="7"/>
  <c r="Z82" i="7"/>
  <c r="Q82" i="7"/>
  <c r="Q19" i="9"/>
  <c r="Q48" i="7"/>
  <c r="Z48" i="7"/>
  <c r="Z72" i="7"/>
  <c r="Q41" i="7"/>
  <c r="Z41" i="7"/>
  <c r="Q187" i="7"/>
  <c r="Z187" i="7"/>
  <c r="Q15" i="9"/>
  <c r="Q47" i="9"/>
  <c r="Z76" i="7"/>
  <c r="Z228" i="7"/>
  <c r="Q199" i="7"/>
  <c r="Z199" i="7"/>
  <c r="Q17" i="9"/>
  <c r="Z212" i="7"/>
  <c r="Q105" i="7"/>
  <c r="Z105" i="7"/>
  <c r="Q33" i="7"/>
  <c r="Z33" i="7"/>
  <c r="Q60" i="7"/>
  <c r="Z60" i="7"/>
  <c r="M5" i="7"/>
  <c r="X5" i="7" s="1"/>
  <c r="D35" i="9"/>
  <c r="Z52" i="7"/>
  <c r="Q56" i="7"/>
  <c r="Z56" i="7"/>
  <c r="Q45" i="7"/>
  <c r="Z45" i="7"/>
  <c r="Z179" i="7"/>
  <c r="Q21" i="9"/>
  <c r="Q43" i="9"/>
  <c r="Q6" i="7"/>
  <c r="Q52" i="9"/>
  <c r="Q75" i="9"/>
  <c r="Z130" i="7"/>
  <c r="C34" i="9"/>
  <c r="Q30" i="9"/>
  <c r="Z165" i="7"/>
  <c r="Q165" i="7"/>
  <c r="Z122" i="7"/>
  <c r="Q208" i="7"/>
  <c r="Z208" i="7"/>
  <c r="Q38" i="7"/>
  <c r="Z38" i="7"/>
  <c r="Z58" i="7"/>
  <c r="Q23" i="9"/>
  <c r="Q40" i="9"/>
  <c r="Z185" i="7"/>
  <c r="Q138" i="7"/>
  <c r="Z138" i="7"/>
  <c r="Q50" i="7"/>
  <c r="Z50" i="7"/>
  <c r="Q161" i="7"/>
  <c r="Z161" i="7"/>
  <c r="X22" i="7"/>
  <c r="Z210" i="7"/>
  <c r="R30" i="7"/>
  <c r="Q152" i="7"/>
  <c r="Z152" i="7"/>
  <c r="Q79" i="7"/>
  <c r="Z79" i="7"/>
  <c r="Q39" i="9"/>
  <c r="Q18" i="9"/>
  <c r="Q20" i="9" a="1"/>
  <c r="Q20" i="9" s="1"/>
  <c r="Q13" i="9" a="1"/>
  <c r="Q13" i="9" s="1"/>
  <c r="Q37" i="9" a="1"/>
  <c r="Q37" i="9" s="1"/>
  <c r="Q79" i="9" a="1"/>
  <c r="Q79" i="9" s="1"/>
  <c r="Q58" i="9" a="1"/>
  <c r="Q58" i="9" s="1"/>
  <c r="Q27" i="9" a="1"/>
  <c r="Q27" i="9" s="1"/>
  <c r="Q45" i="9" a="1"/>
  <c r="Q45" i="9" s="1"/>
  <c r="Q32" i="7"/>
  <c r="Q74" i="7"/>
  <c r="Z74" i="7"/>
  <c r="X21" i="7"/>
  <c r="Q47" i="7"/>
  <c r="Z47" i="7"/>
  <c r="Q81" i="7"/>
  <c r="Z81" i="7"/>
  <c r="Q33" i="9"/>
  <c r="Z218" i="7"/>
  <c r="Z75" i="7"/>
  <c r="Z129" i="7"/>
  <c r="Q93" i="7"/>
  <c r="Z93" i="7"/>
  <c r="Z190" i="7"/>
  <c r="Q67" i="7"/>
  <c r="Z67" i="7"/>
  <c r="Z55" i="7"/>
  <c r="Z221" i="7"/>
  <c r="Q41" i="9"/>
  <c r="Q101" i="7"/>
  <c r="Z101" i="7"/>
  <c r="M6" i="7"/>
  <c r="O6" i="7" s="1"/>
  <c r="Z180" i="7"/>
  <c r="Z201" i="7"/>
  <c r="Z177" i="7"/>
  <c r="Z159" i="7"/>
  <c r="Z154" i="7"/>
  <c r="Q42" i="7"/>
  <c r="Z42" i="7"/>
  <c r="O30" i="7"/>
  <c r="Q30" i="7" s="1"/>
  <c r="L24" i="7"/>
  <c r="Q82" i="9"/>
  <c r="Q151" i="7"/>
  <c r="Z151" i="7"/>
  <c r="Z198" i="7"/>
  <c r="N5" i="7"/>
  <c r="Z125" i="7"/>
  <c r="Z89" i="7"/>
  <c r="Q109" i="7"/>
  <c r="Z109" i="7"/>
  <c r="Z62" i="7"/>
  <c r="Z204" i="7"/>
  <c r="T51" i="7"/>
  <c r="AI51" i="7" s="1"/>
  <c r="U34" i="7"/>
  <c r="T58" i="7"/>
  <c r="AI58" i="7" s="1"/>
  <c r="T56" i="7"/>
  <c r="AI56" i="7" s="1"/>
  <c r="T54" i="7"/>
  <c r="AI54" i="7" s="1"/>
  <c r="U74" i="7"/>
  <c r="U59" i="7"/>
  <c r="U57" i="7"/>
  <c r="U55" i="7"/>
  <c r="U53" i="7"/>
  <c r="T35" i="7"/>
  <c r="AI35" i="7" s="1"/>
  <c r="T59" i="7"/>
  <c r="AI59" i="7" s="1"/>
  <c r="T57" i="7"/>
  <c r="AI57" i="7" s="1"/>
  <c r="T55" i="7"/>
  <c r="AI55" i="7" s="1"/>
  <c r="T53" i="7"/>
  <c r="AI53" i="7" s="1"/>
  <c r="U35" i="7"/>
  <c r="U54" i="7"/>
  <c r="U56" i="7"/>
  <c r="T52" i="7"/>
  <c r="AI52" i="7" s="1"/>
  <c r="U58" i="7"/>
  <c r="U49" i="7"/>
  <c r="T34" i="7"/>
  <c r="AI34" i="7" s="1"/>
  <c r="U36" i="7"/>
  <c r="U51" i="7"/>
  <c r="T74" i="7"/>
  <c r="AI74" i="7" s="1"/>
  <c r="U37" i="7"/>
  <c r="T36" i="7"/>
  <c r="AI36" i="7" s="1"/>
  <c r="U52" i="7"/>
  <c r="T76" i="7"/>
  <c r="AI76" i="7" s="1"/>
  <c r="T37" i="7"/>
  <c r="AI37" i="7" s="1"/>
  <c r="U76" i="7"/>
  <c r="U75" i="7"/>
  <c r="T75" i="7"/>
  <c r="AI75" i="7" s="1"/>
  <c r="T33" i="7"/>
  <c r="AI33" i="7" s="1"/>
  <c r="U33" i="7"/>
  <c r="Z119" i="7"/>
  <c r="Q44" i="9"/>
  <c r="Z146" i="7"/>
  <c r="Z175" i="7"/>
  <c r="Q58" i="6"/>
  <c r="Q33" i="5"/>
  <c r="Z33" i="5"/>
  <c r="BA5" i="5"/>
  <c r="AB68" i="6" s="1"/>
  <c r="BA6" i="5"/>
  <c r="AB69" i="6" s="1"/>
  <c r="BA7" i="5"/>
  <c r="AB70" i="6" s="1"/>
  <c r="BA15" i="5"/>
  <c r="BA9" i="5"/>
  <c r="AB72" i="6" s="1"/>
  <c r="BA17" i="5"/>
  <c r="BA20" i="5"/>
  <c r="BA13" i="5"/>
  <c r="BA21" i="5"/>
  <c r="BA10" i="5"/>
  <c r="BA14" i="5"/>
  <c r="BA23" i="5"/>
  <c r="O5" i="5"/>
  <c r="BA19" i="5"/>
  <c r="BA18" i="5"/>
  <c r="BA12" i="5"/>
  <c r="BA22" i="5"/>
  <c r="BA11" i="5"/>
  <c r="BA16" i="5"/>
  <c r="X22" i="5"/>
  <c r="Q48" i="5"/>
  <c r="Z48" i="5"/>
  <c r="O14" i="5"/>
  <c r="X14" i="5"/>
  <c r="Z79" i="5"/>
  <c r="Z159" i="5"/>
  <c r="Q8" i="5"/>
  <c r="Z94" i="5"/>
  <c r="L4" i="5"/>
  <c r="L24" i="5" s="1"/>
  <c r="G4" i="5"/>
  <c r="K4" i="5"/>
  <c r="H4" i="5"/>
  <c r="Q9" i="5" s="1"/>
  <c r="J4" i="5"/>
  <c r="I4" i="5"/>
  <c r="Z206" i="5"/>
  <c r="Z225" i="5"/>
  <c r="Z227" i="5"/>
  <c r="Q47" i="6"/>
  <c r="Q73" i="5"/>
  <c r="Z73" i="5"/>
  <c r="Q62" i="6"/>
  <c r="P30" i="5"/>
  <c r="Z194" i="5"/>
  <c r="Q45" i="6"/>
  <c r="X20" i="5"/>
  <c r="Z185" i="5"/>
  <c r="X18" i="5"/>
  <c r="Z130" i="5"/>
  <c r="Z139" i="5"/>
  <c r="Z107" i="5"/>
  <c r="Z78" i="5"/>
  <c r="Q54" i="6"/>
  <c r="Z155" i="5"/>
  <c r="Z113" i="5"/>
  <c r="Z165" i="5"/>
  <c r="Z126" i="5"/>
  <c r="Z175" i="5"/>
  <c r="Z148" i="5"/>
  <c r="Q44" i="6" a="1"/>
  <c r="Q44" i="6" s="1"/>
  <c r="Q39" i="6" a="1"/>
  <c r="Q39" i="6" s="1"/>
  <c r="Q24" i="6" a="1"/>
  <c r="Q24" i="6" s="1"/>
  <c r="Q32" i="6" a="1"/>
  <c r="Q32" i="6" s="1"/>
  <c r="Q51" i="6" a="1"/>
  <c r="Q51" i="6" s="1"/>
  <c r="Q59" i="6" a="1"/>
  <c r="Q59" i="6" s="1"/>
  <c r="Q32" i="5"/>
  <c r="P8" i="5"/>
  <c r="M8" i="5"/>
  <c r="O8" i="5" s="1"/>
  <c r="Z173" i="5"/>
  <c r="Z157" i="5"/>
  <c r="Z209" i="5"/>
  <c r="Z219" i="5"/>
  <c r="Q74" i="5"/>
  <c r="Z74" i="5"/>
  <c r="Z115" i="5"/>
  <c r="Z108" i="5"/>
  <c r="Z203" i="5"/>
  <c r="Z32" i="5"/>
  <c r="Q88" i="5"/>
  <c r="Z88" i="5"/>
  <c r="Z152" i="5"/>
  <c r="Z51" i="5"/>
  <c r="X9" i="5"/>
  <c r="Z207" i="5"/>
  <c r="Z228" i="5"/>
  <c r="Z86" i="5"/>
  <c r="R30" i="5"/>
  <c r="Q38" i="6"/>
  <c r="Z212" i="5"/>
  <c r="Z164" i="5"/>
  <c r="Z145" i="5"/>
  <c r="Z208" i="5"/>
  <c r="Q52" i="6"/>
  <c r="Z44" i="5"/>
  <c r="Z204" i="5"/>
  <c r="Q35" i="6"/>
  <c r="Z120" i="5"/>
  <c r="Z221" i="5"/>
  <c r="Z83" i="5"/>
  <c r="Z100" i="5"/>
  <c r="Q61" i="6"/>
  <c r="Z158" i="5"/>
  <c r="Z156" i="5"/>
  <c r="Q53" i="6"/>
  <c r="Z128" i="5"/>
  <c r="Z103" i="5"/>
  <c r="Z65" i="5"/>
  <c r="Z60" i="5"/>
  <c r="Q37" i="5"/>
  <c r="Z37" i="5"/>
  <c r="Q27" i="6"/>
  <c r="Z118" i="5"/>
  <c r="Z137" i="5"/>
  <c r="Z69" i="5"/>
  <c r="Z150" i="5"/>
  <c r="Z84" i="5"/>
  <c r="Z187" i="5"/>
  <c r="Z136" i="5"/>
  <c r="Z102" i="5"/>
  <c r="Q26" i="6"/>
  <c r="Z119" i="5"/>
  <c r="Z167" i="5"/>
  <c r="Z154" i="5"/>
  <c r="Z138" i="5"/>
  <c r="Q33" i="6"/>
  <c r="Z224" i="5"/>
  <c r="Z220" i="5"/>
  <c r="Z184" i="5"/>
  <c r="X19" i="5"/>
  <c r="Z134" i="5"/>
  <c r="Q55" i="6"/>
  <c r="Z47" i="5"/>
  <c r="Q37" i="6"/>
  <c r="Z87" i="5"/>
  <c r="Z82" i="5"/>
  <c r="Z166" i="5"/>
  <c r="Z179" i="5"/>
  <c r="Z89" i="5"/>
  <c r="Q38" i="5"/>
  <c r="Z38" i="5"/>
  <c r="Z109" i="5"/>
  <c r="Z160" i="5"/>
  <c r="Q28" i="6"/>
  <c r="Z101" i="5"/>
  <c r="Z64" i="5"/>
  <c r="Z42" i="5"/>
  <c r="Z216" i="5"/>
  <c r="Q50" i="6"/>
  <c r="Z41" i="5"/>
  <c r="N18" i="6"/>
  <c r="N16" i="6"/>
  <c r="N15" i="6"/>
  <c r="Y67" i="6"/>
  <c r="N12" i="6"/>
  <c r="N14" i="6"/>
  <c r="N20" i="6"/>
  <c r="Z65" i="6"/>
  <c r="N19" i="6"/>
  <c r="N17" i="6"/>
  <c r="Q17" i="6" s="1" a="1"/>
  <c r="Q17" i="6" s="1"/>
  <c r="N13" i="6"/>
  <c r="Q13" i="6" s="1" a="1"/>
  <c r="Q13" i="6" s="1"/>
  <c r="X23" i="5"/>
  <c r="Q63" i="6"/>
  <c r="Z211" i="5"/>
  <c r="Z129" i="5"/>
  <c r="Z77" i="5"/>
  <c r="Z76" i="5"/>
  <c r="Z62" i="5"/>
  <c r="Z180" i="5"/>
  <c r="Z190" i="5"/>
  <c r="Z123" i="5"/>
  <c r="D41" i="6"/>
  <c r="N8" i="5"/>
  <c r="Z140" i="5"/>
  <c r="Z49" i="5"/>
  <c r="Q34" i="5"/>
  <c r="Z34" i="5"/>
  <c r="Z210" i="5"/>
  <c r="Z162" i="5"/>
  <c r="Z199" i="5"/>
  <c r="Z40" i="5"/>
  <c r="Z141" i="5"/>
  <c r="Q60" i="6"/>
  <c r="Z68" i="5"/>
  <c r="Z189" i="5"/>
  <c r="P9" i="5"/>
  <c r="M9" i="5"/>
  <c r="O9" i="5" s="1"/>
  <c r="Z132" i="5"/>
  <c r="X16" i="5"/>
  <c r="Z116" i="5"/>
  <c r="Z214" i="5"/>
  <c r="Z97" i="5"/>
  <c r="X11" i="5"/>
  <c r="Z178" i="5"/>
  <c r="X7" i="5"/>
  <c r="U109" i="7" l="1"/>
  <c r="U80" i="9"/>
  <c r="U63" i="7"/>
  <c r="U36" i="6"/>
  <c r="U46" i="6"/>
  <c r="U25" i="6"/>
  <c r="AH189" i="7"/>
  <c r="AK189" i="7" s="1"/>
  <c r="AL189" i="7" s="1"/>
  <c r="AR189" i="7" s="1"/>
  <c r="T214" i="7"/>
  <c r="AI214" i="7" s="1"/>
  <c r="T77" i="7"/>
  <c r="U77" i="7"/>
  <c r="T78" i="7"/>
  <c r="AI78" i="7" s="1"/>
  <c r="T150" i="7"/>
  <c r="T181" i="7"/>
  <c r="U200" i="7"/>
  <c r="AJ200" i="7" s="1"/>
  <c r="U79" i="7"/>
  <c r="AJ79" i="7" s="1"/>
  <c r="U83" i="7"/>
  <c r="AJ83" i="7" s="1"/>
  <c r="T178" i="7"/>
  <c r="AH78" i="7"/>
  <c r="AK78" i="7" s="1"/>
  <c r="AL78" i="7" s="1"/>
  <c r="AR78" i="7" s="1"/>
  <c r="AH194" i="7"/>
  <c r="AK194" i="7" s="1"/>
  <c r="AL194" i="7" s="1"/>
  <c r="AR194" i="7" s="1"/>
  <c r="T70" i="7"/>
  <c r="AI70" i="7" s="1"/>
  <c r="T79" i="7"/>
  <c r="T158" i="7"/>
  <c r="AH196" i="7"/>
  <c r="AK196" i="7" s="1"/>
  <c r="AL196" i="7" s="1"/>
  <c r="AR196" i="7" s="1"/>
  <c r="U62" i="7"/>
  <c r="AJ62" i="7" s="1"/>
  <c r="U148" i="7"/>
  <c r="AJ148" i="7" s="1"/>
  <c r="T61" i="7"/>
  <c r="U78" i="7"/>
  <c r="AJ78" i="7" s="1"/>
  <c r="AH77" i="7"/>
  <c r="AK77" i="7" s="1"/>
  <c r="AL77" i="7" s="1"/>
  <c r="AR77" i="7" s="1"/>
  <c r="U130" i="7"/>
  <c r="AJ130" i="7" s="1"/>
  <c r="AH158" i="7"/>
  <c r="AK158" i="7" s="1"/>
  <c r="AL158" i="7" s="1"/>
  <c r="AR158" i="7" s="1"/>
  <c r="T63" i="7"/>
  <c r="T60" i="7"/>
  <c r="AI60" i="7" s="1"/>
  <c r="AH140" i="7"/>
  <c r="AK140" i="7" s="1"/>
  <c r="AL140" i="7" s="1"/>
  <c r="AR140" i="7" s="1"/>
  <c r="U220" i="7"/>
  <c r="AJ220" i="7" s="1"/>
  <c r="T62" i="7"/>
  <c r="T148" i="7"/>
  <c r="AH117" i="7"/>
  <c r="AK117" i="7" s="1"/>
  <c r="AL117" i="7" s="1"/>
  <c r="AR117" i="7" s="1"/>
  <c r="AH208" i="7"/>
  <c r="AK208" i="7" s="1"/>
  <c r="AL208" i="7" s="1"/>
  <c r="AR208" i="7" s="1"/>
  <c r="U97" i="7"/>
  <c r="AJ97" i="7" s="1"/>
  <c r="T184" i="7"/>
  <c r="U169" i="7"/>
  <c r="AJ169" i="7" s="1"/>
  <c r="U195" i="7"/>
  <c r="AJ195" i="7" s="1"/>
  <c r="U60" i="7"/>
  <c r="AJ60" i="7" s="1"/>
  <c r="U61" i="7"/>
  <c r="AJ61" i="7" s="1"/>
  <c r="U16" i="9"/>
  <c r="U38" i="9"/>
  <c r="U32" i="9"/>
  <c r="U55" i="9"/>
  <c r="U64" i="9"/>
  <c r="U59" i="9"/>
  <c r="AH33" i="7"/>
  <c r="AK33" i="7" s="1"/>
  <c r="AL33" i="7" s="1"/>
  <c r="AR33" i="7" s="1"/>
  <c r="U65" i="9"/>
  <c r="U82" i="9"/>
  <c r="U75" i="9"/>
  <c r="U31" i="9"/>
  <c r="AH79" i="7"/>
  <c r="AK79" i="7" s="1"/>
  <c r="AL79" i="7" s="1"/>
  <c r="AR79" i="7" s="1"/>
  <c r="U43" i="9"/>
  <c r="U74" i="9"/>
  <c r="AH70" i="7"/>
  <c r="AK70" i="7" s="1"/>
  <c r="AL70" i="7" s="1"/>
  <c r="AR70" i="7" s="1"/>
  <c r="AH52" i="7"/>
  <c r="AK52" i="7" s="1"/>
  <c r="AL52" i="7" s="1"/>
  <c r="AR52" i="7" s="1"/>
  <c r="U17" i="9"/>
  <c r="U40" i="9"/>
  <c r="U54" i="9"/>
  <c r="U84" i="9"/>
  <c r="U21" i="9"/>
  <c r="U85" i="9"/>
  <c r="U18" i="9"/>
  <c r="AH75" i="7"/>
  <c r="AK75" i="7" s="1"/>
  <c r="AL75" i="7" s="1"/>
  <c r="AR75" i="7" s="1"/>
  <c r="AH76" i="7"/>
  <c r="AH46" i="7"/>
  <c r="AK46" i="7" s="1"/>
  <c r="AL46" i="7" s="1"/>
  <c r="AR46" i="7" s="1"/>
  <c r="U68" i="9"/>
  <c r="U66" i="9"/>
  <c r="AH57" i="7"/>
  <c r="AH37" i="7"/>
  <c r="AH34" i="7"/>
  <c r="AK34" i="7" s="1"/>
  <c r="AL34" i="7" s="1"/>
  <c r="AR34" i="7" s="1"/>
  <c r="U15" i="9"/>
  <c r="U57" i="9"/>
  <c r="U67" i="9"/>
  <c r="U73" i="9"/>
  <c r="U61" i="6"/>
  <c r="U54" i="6"/>
  <c r="U47" i="6"/>
  <c r="U37" i="6"/>
  <c r="AH43" i="5"/>
  <c r="AH51" i="5"/>
  <c r="U38" i="6"/>
  <c r="U45" i="6"/>
  <c r="AH55" i="5"/>
  <c r="AH61" i="5"/>
  <c r="U62" i="6"/>
  <c r="U28" i="6"/>
  <c r="U55" i="6"/>
  <c r="AH60" i="5"/>
  <c r="U53" i="6"/>
  <c r="U63" i="6"/>
  <c r="U33" i="6"/>
  <c r="AH203" i="7"/>
  <c r="AK203" i="7" s="1"/>
  <c r="AL203" i="7" s="1"/>
  <c r="AR203" i="7" s="1"/>
  <c r="T44" i="7"/>
  <c r="T203" i="7"/>
  <c r="AH150" i="7"/>
  <c r="AK150" i="7" s="1"/>
  <c r="AL150" i="7" s="1"/>
  <c r="AR150" i="7" s="1"/>
  <c r="Q50" i="9"/>
  <c r="T215" i="7"/>
  <c r="T193" i="7"/>
  <c r="T182" i="7"/>
  <c r="T216" i="7"/>
  <c r="U116" i="7"/>
  <c r="AJ116" i="7" s="1"/>
  <c r="U92" i="7"/>
  <c r="AJ92" i="7" s="1"/>
  <c r="AH110" i="7"/>
  <c r="AK110" i="7" s="1"/>
  <c r="AL110" i="7" s="1"/>
  <c r="T192" i="7"/>
  <c r="U155" i="7"/>
  <c r="AJ155" i="7" s="1"/>
  <c r="AH136" i="7"/>
  <c r="AK136" i="7" s="1"/>
  <c r="AL136" i="7" s="1"/>
  <c r="AR136" i="7" s="1"/>
  <c r="AH132" i="7"/>
  <c r="AK132" i="7" s="1"/>
  <c r="AL132" i="7" s="1"/>
  <c r="AR132" i="7" s="1"/>
  <c r="T136" i="7"/>
  <c r="T50" i="7"/>
  <c r="AH120" i="7"/>
  <c r="AK120" i="7" s="1"/>
  <c r="AL120" i="7" s="1"/>
  <c r="U156" i="7"/>
  <c r="AJ156" i="7" s="1"/>
  <c r="T43" i="7"/>
  <c r="T47" i="7"/>
  <c r="T129" i="7"/>
  <c r="T80" i="7"/>
  <c r="U42" i="7"/>
  <c r="AJ42" i="7" s="1"/>
  <c r="T48" i="7"/>
  <c r="AH123" i="7"/>
  <c r="AK123" i="7" s="1"/>
  <c r="AL123" i="7" s="1"/>
  <c r="T116" i="7"/>
  <c r="AH163" i="7"/>
  <c r="AK163" i="7" s="1"/>
  <c r="AL163" i="7" s="1"/>
  <c r="AH145" i="7"/>
  <c r="AK145" i="7" s="1"/>
  <c r="AL145" i="7" s="1"/>
  <c r="AR145" i="7" s="1"/>
  <c r="U163" i="7"/>
  <c r="AJ163" i="7" s="1"/>
  <c r="T127" i="7"/>
  <c r="U173" i="7"/>
  <c r="AJ173" i="7" s="1"/>
  <c r="AH172" i="7"/>
  <c r="U167" i="7"/>
  <c r="AJ167" i="7" s="1"/>
  <c r="AH207" i="7"/>
  <c r="AK207" i="7" s="1"/>
  <c r="AL207" i="7" s="1"/>
  <c r="AR207" i="7" s="1"/>
  <c r="T72" i="7"/>
  <c r="U137" i="7"/>
  <c r="AJ137" i="7" s="1"/>
  <c r="U227" i="7"/>
  <c r="AJ227" i="7" s="1"/>
  <c r="T207" i="7"/>
  <c r="T219" i="7"/>
  <c r="U128" i="7"/>
  <c r="T68" i="7"/>
  <c r="U132" i="7"/>
  <c r="U131" i="7"/>
  <c r="U44" i="7"/>
  <c r="AJ44" i="7" s="1"/>
  <c r="AH138" i="7"/>
  <c r="AK138" i="7" s="1"/>
  <c r="AL138" i="7" s="1"/>
  <c r="U166" i="7"/>
  <c r="AJ166" i="7" s="1"/>
  <c r="AH195" i="7"/>
  <c r="AK195" i="7" s="1"/>
  <c r="AL195" i="7" s="1"/>
  <c r="AR195" i="7" s="1"/>
  <c r="AH164" i="7"/>
  <c r="AK164" i="7" s="1"/>
  <c r="AL164" i="7" s="1"/>
  <c r="AR164" i="7" s="1"/>
  <c r="T205" i="7"/>
  <c r="U87" i="7"/>
  <c r="AJ87" i="7" s="1"/>
  <c r="U68" i="7"/>
  <c r="AJ68" i="7" s="1"/>
  <c r="T188" i="7"/>
  <c r="T119" i="7"/>
  <c r="AH157" i="7"/>
  <c r="AK157" i="7" s="1"/>
  <c r="AL157" i="7" s="1"/>
  <c r="T211" i="7"/>
  <c r="U225" i="7"/>
  <c r="AJ225" i="7" s="1"/>
  <c r="AH228" i="7"/>
  <c r="AK228" i="7" s="1"/>
  <c r="AL228" i="7" s="1"/>
  <c r="T213" i="7"/>
  <c r="T167" i="7"/>
  <c r="AH104" i="7"/>
  <c r="AK104" i="7" s="1"/>
  <c r="AL104" i="7" s="1"/>
  <c r="AR104" i="7" s="1"/>
  <c r="T66" i="7"/>
  <c r="T32" i="7"/>
  <c r="U196" i="7"/>
  <c r="AJ196" i="7" s="1"/>
  <c r="U119" i="7"/>
  <c r="AH131" i="7"/>
  <c r="T90" i="7"/>
  <c r="T104" i="7"/>
  <c r="AH175" i="7"/>
  <c r="U99" i="7"/>
  <c r="T228" i="7"/>
  <c r="AH198" i="7"/>
  <c r="AK198" i="7" s="1"/>
  <c r="AL198" i="7" s="1"/>
  <c r="AR198" i="7" s="1"/>
  <c r="T187" i="7"/>
  <c r="T164" i="7"/>
  <c r="AH205" i="7"/>
  <c r="AK205" i="7" s="1"/>
  <c r="AL205" i="7" s="1"/>
  <c r="AR205" i="7" s="1"/>
  <c r="U114" i="7"/>
  <c r="AJ114" i="7" s="1"/>
  <c r="U90" i="7"/>
  <c r="AJ90" i="7" s="1"/>
  <c r="AH102" i="7"/>
  <c r="AK102" i="7" s="1"/>
  <c r="AL102" i="7" s="1"/>
  <c r="T191" i="7"/>
  <c r="AH148" i="7"/>
  <c r="AK148" i="7" s="1"/>
  <c r="AL148" i="7" s="1"/>
  <c r="AR148" i="7" s="1"/>
  <c r="AH116" i="7"/>
  <c r="T125" i="7"/>
  <c r="AH128" i="7"/>
  <c r="AK128" i="7" s="1"/>
  <c r="AL128" i="7" s="1"/>
  <c r="AR128" i="7" s="1"/>
  <c r="T38" i="7"/>
  <c r="T45" i="7"/>
  <c r="AH149" i="7"/>
  <c r="AK149" i="7" s="1"/>
  <c r="AL149" i="7" s="1"/>
  <c r="AR149" i="7" s="1"/>
  <c r="U45" i="7"/>
  <c r="AJ45" i="7" s="1"/>
  <c r="AH100" i="7"/>
  <c r="AK100" i="7" s="1"/>
  <c r="AL100" i="7" s="1"/>
  <c r="AR100" i="7" s="1"/>
  <c r="U115" i="7"/>
  <c r="U186" i="7"/>
  <c r="AJ186" i="7" s="1"/>
  <c r="AH97" i="7"/>
  <c r="AK97" i="7" s="1"/>
  <c r="AL97" i="7" s="1"/>
  <c r="T149" i="7"/>
  <c r="AH176" i="7"/>
  <c r="AK176" i="7" s="1"/>
  <c r="AL176" i="7" s="1"/>
  <c r="AH165" i="7"/>
  <c r="AK165" i="7" s="1"/>
  <c r="AL165" i="7" s="1"/>
  <c r="AR165" i="7" s="1"/>
  <c r="T227" i="7"/>
  <c r="U158" i="7"/>
  <c r="AJ158" i="7" s="1"/>
  <c r="U147" i="7"/>
  <c r="AJ147" i="7" s="1"/>
  <c r="T156" i="7"/>
  <c r="T195" i="7"/>
  <c r="AH137" i="7"/>
  <c r="AK137" i="7" s="1"/>
  <c r="AL137" i="7" s="1"/>
  <c r="AR137" i="7" s="1"/>
  <c r="AH143" i="7"/>
  <c r="AK143" i="7" s="1"/>
  <c r="AL143" i="7" s="1"/>
  <c r="T95" i="7"/>
  <c r="AH113" i="7"/>
  <c r="AK113" i="7" s="1"/>
  <c r="AL113" i="7" s="1"/>
  <c r="AR113" i="7" s="1"/>
  <c r="U171" i="7"/>
  <c r="AH178" i="7"/>
  <c r="AK178" i="7" s="1"/>
  <c r="AL178" i="7" s="1"/>
  <c r="AR178" i="7" s="1"/>
  <c r="T71" i="7"/>
  <c r="U150" i="7"/>
  <c r="T131" i="7"/>
  <c r="T175" i="7"/>
  <c r="T139" i="7"/>
  <c r="T41" i="7"/>
  <c r="U140" i="7"/>
  <c r="AJ140" i="7" s="1"/>
  <c r="U144" i="7"/>
  <c r="T166" i="7"/>
  <c r="T200" i="7"/>
  <c r="U106" i="7"/>
  <c r="T141" i="7"/>
  <c r="AH118" i="7"/>
  <c r="AK118" i="7" s="1"/>
  <c r="AL118" i="7" s="1"/>
  <c r="AR118" i="7" s="1"/>
  <c r="U82" i="7"/>
  <c r="AJ82" i="7" s="1"/>
  <c r="T151" i="7"/>
  <c r="AH105" i="7"/>
  <c r="AK105" i="7" s="1"/>
  <c r="AL105" i="7" s="1"/>
  <c r="AR105" i="7" s="1"/>
  <c r="AH214" i="7"/>
  <c r="AK214" i="7" s="1"/>
  <c r="AL214" i="7" s="1"/>
  <c r="AR214" i="7" s="1"/>
  <c r="U190" i="7"/>
  <c r="AJ190" i="7" s="1"/>
  <c r="AH185" i="7"/>
  <c r="AK185" i="7" s="1"/>
  <c r="AL185" i="7" s="1"/>
  <c r="AR185" i="7" s="1"/>
  <c r="T204" i="7"/>
  <c r="U229" i="7"/>
  <c r="AJ229" i="7" s="1"/>
  <c r="T209" i="7"/>
  <c r="T82" i="7"/>
  <c r="T87" i="7"/>
  <c r="AH111" i="7"/>
  <c r="AK111" i="7" s="1"/>
  <c r="AL111" i="7" s="1"/>
  <c r="T162" i="7"/>
  <c r="AH133" i="7"/>
  <c r="AK133" i="7" s="1"/>
  <c r="AL133" i="7" s="1"/>
  <c r="AR133" i="7" s="1"/>
  <c r="U223" i="7"/>
  <c r="AH154" i="7"/>
  <c r="AK154" i="7" s="1"/>
  <c r="AL154" i="7" s="1"/>
  <c r="AH227" i="7"/>
  <c r="AK227" i="7" s="1"/>
  <c r="AL227" i="7" s="1"/>
  <c r="U205" i="7"/>
  <c r="AJ205" i="7" s="1"/>
  <c r="T197" i="7"/>
  <c r="AH199" i="7"/>
  <c r="AK199" i="7" s="1"/>
  <c r="AL199" i="7" s="1"/>
  <c r="AH80" i="7"/>
  <c r="AK80" i="7" s="1"/>
  <c r="AL80" i="7" s="1"/>
  <c r="AR80" i="7" s="1"/>
  <c r="T134" i="7"/>
  <c r="AH161" i="7"/>
  <c r="AK161" i="7" s="1"/>
  <c r="AL161" i="7" s="1"/>
  <c r="AR161" i="7" s="1"/>
  <c r="U124" i="7"/>
  <c r="AJ124" i="7" s="1"/>
  <c r="U32" i="7"/>
  <c r="AJ32" i="7" s="1"/>
  <c r="T91" i="7"/>
  <c r="T110" i="7"/>
  <c r="AH186" i="7"/>
  <c r="AK186" i="7" s="1"/>
  <c r="AL186" i="7" s="1"/>
  <c r="AH223" i="7"/>
  <c r="AK223" i="7" s="1"/>
  <c r="AL223" i="7" s="1"/>
  <c r="AR223" i="7" s="1"/>
  <c r="AH225" i="7"/>
  <c r="AK225" i="7" s="1"/>
  <c r="AL225" i="7" s="1"/>
  <c r="U174" i="7"/>
  <c r="T210" i="7"/>
  <c r="U204" i="7"/>
  <c r="AJ204" i="7" s="1"/>
  <c r="U112" i="7"/>
  <c r="AJ112" i="7" s="1"/>
  <c r="U88" i="7"/>
  <c r="AJ88" i="7" s="1"/>
  <c r="AH94" i="7"/>
  <c r="AK94" i="7" s="1"/>
  <c r="AL94" i="7" s="1"/>
  <c r="AR94" i="7" s="1"/>
  <c r="U189" i="7"/>
  <c r="AJ189" i="7" s="1"/>
  <c r="T128" i="7"/>
  <c r="AH114" i="7"/>
  <c r="AK114" i="7" s="1"/>
  <c r="AL114" i="7" s="1"/>
  <c r="AR114" i="7" s="1"/>
  <c r="U81" i="7"/>
  <c r="AH92" i="7"/>
  <c r="AK92" i="7" s="1"/>
  <c r="AL92" i="7" s="1"/>
  <c r="AR92" i="7" s="1"/>
  <c r="T39" i="7"/>
  <c r="T140" i="7"/>
  <c r="U193" i="7"/>
  <c r="AJ193" i="7" s="1"/>
  <c r="T40" i="7"/>
  <c r="U66" i="7"/>
  <c r="AJ66" i="7" s="1"/>
  <c r="U64" i="7"/>
  <c r="AJ64" i="7" s="1"/>
  <c r="AH153" i="7"/>
  <c r="AK153" i="7" s="1"/>
  <c r="AL153" i="7" s="1"/>
  <c r="T49" i="7"/>
  <c r="AH107" i="7"/>
  <c r="AK107" i="7" s="1"/>
  <c r="AL107" i="7" s="1"/>
  <c r="AR107" i="7" s="1"/>
  <c r="U86" i="7"/>
  <c r="AJ86" i="7" s="1"/>
  <c r="T229" i="7"/>
  <c r="U224" i="7"/>
  <c r="AJ224" i="7" s="1"/>
  <c r="AH127" i="7"/>
  <c r="U165" i="7"/>
  <c r="AJ165" i="7" s="1"/>
  <c r="T103" i="7"/>
  <c r="T102" i="7"/>
  <c r="T194" i="7"/>
  <c r="T123" i="7"/>
  <c r="U84" i="7"/>
  <c r="T161" i="7"/>
  <c r="U105" i="7"/>
  <c r="AJ105" i="7" s="1"/>
  <c r="T106" i="7"/>
  <c r="T94" i="7"/>
  <c r="U206" i="7"/>
  <c r="AJ206" i="7" s="1"/>
  <c r="AH184" i="7"/>
  <c r="AK184" i="7" s="1"/>
  <c r="AL184" i="7" s="1"/>
  <c r="AH126" i="7"/>
  <c r="AK126" i="7" s="1"/>
  <c r="AL126" i="7" s="1"/>
  <c r="AR126" i="7" s="1"/>
  <c r="T108" i="7"/>
  <c r="T171" i="7"/>
  <c r="U73" i="7"/>
  <c r="AJ73" i="7" s="1"/>
  <c r="T112" i="7"/>
  <c r="T114" i="7"/>
  <c r="T118" i="7"/>
  <c r="U181" i="7"/>
  <c r="AJ181" i="7" s="1"/>
  <c r="U198" i="7"/>
  <c r="AJ198" i="7" s="1"/>
  <c r="AH99" i="7"/>
  <c r="AK99" i="7" s="1"/>
  <c r="AL99" i="7" s="1"/>
  <c r="AH134" i="7"/>
  <c r="AK134" i="7" s="1"/>
  <c r="AL134" i="7" s="1"/>
  <c r="AR134" i="7" s="1"/>
  <c r="T84" i="7"/>
  <c r="T157" i="7"/>
  <c r="AH213" i="7"/>
  <c r="AK213" i="7" s="1"/>
  <c r="AL213" i="7" s="1"/>
  <c r="AR213" i="7" s="1"/>
  <c r="U102" i="7"/>
  <c r="AJ102" i="7" s="1"/>
  <c r="AH204" i="7"/>
  <c r="AK204" i="7" s="1"/>
  <c r="AL204" i="7" s="1"/>
  <c r="AR204" i="7" s="1"/>
  <c r="AH95" i="7"/>
  <c r="AK95" i="7" s="1"/>
  <c r="AL95" i="7" s="1"/>
  <c r="T117" i="7"/>
  <c r="AH220" i="7"/>
  <c r="AK220" i="7" s="1"/>
  <c r="AL220" i="7" s="1"/>
  <c r="AR220" i="7" s="1"/>
  <c r="T206" i="7"/>
  <c r="T97" i="7"/>
  <c r="U180" i="7"/>
  <c r="AJ180" i="7" s="1"/>
  <c r="T221" i="7"/>
  <c r="T145" i="7"/>
  <c r="T198" i="7"/>
  <c r="AH219" i="7"/>
  <c r="AK219" i="7" s="1"/>
  <c r="AL219" i="7" s="1"/>
  <c r="AR219" i="7" s="1"/>
  <c r="U222" i="7"/>
  <c r="AJ222" i="7" s="1"/>
  <c r="T220" i="7"/>
  <c r="U184" i="7"/>
  <c r="U192" i="7"/>
  <c r="AJ192" i="7" s="1"/>
  <c r="U110" i="7"/>
  <c r="AJ110" i="7" s="1"/>
  <c r="AH215" i="7"/>
  <c r="AK215" i="7" s="1"/>
  <c r="AL215" i="7" s="1"/>
  <c r="AH124" i="7"/>
  <c r="AH182" i="7"/>
  <c r="AK182" i="7" s="1"/>
  <c r="AL182" i="7" s="1"/>
  <c r="AR182" i="7" s="1"/>
  <c r="AH108" i="7"/>
  <c r="AK108" i="7" s="1"/>
  <c r="AL108" i="7" s="1"/>
  <c r="AR108" i="7" s="1"/>
  <c r="AH93" i="7"/>
  <c r="AK93" i="7" s="1"/>
  <c r="AL93" i="7" s="1"/>
  <c r="AR93" i="7" s="1"/>
  <c r="AH166" i="7"/>
  <c r="AK166" i="7" s="1"/>
  <c r="AL166" i="7" s="1"/>
  <c r="AR166" i="7" s="1"/>
  <c r="AH192" i="7"/>
  <c r="AK192" i="7" s="1"/>
  <c r="AL192" i="7" s="1"/>
  <c r="AR192" i="7" s="1"/>
  <c r="T168" i="7"/>
  <c r="U207" i="7"/>
  <c r="AJ207" i="7" s="1"/>
  <c r="T160" i="7"/>
  <c r="T67" i="7"/>
  <c r="U188" i="7"/>
  <c r="AJ188" i="7" s="1"/>
  <c r="T143" i="7"/>
  <c r="T99" i="7"/>
  <c r="AH155" i="7"/>
  <c r="AK155" i="7" s="1"/>
  <c r="AL155" i="7" s="1"/>
  <c r="AR155" i="7" s="1"/>
  <c r="U218" i="7"/>
  <c r="AJ218" i="7" s="1"/>
  <c r="T212" i="7"/>
  <c r="T147" i="7"/>
  <c r="T224" i="7"/>
  <c r="U126" i="7"/>
  <c r="AJ126" i="7" s="1"/>
  <c r="U221" i="7"/>
  <c r="AJ221" i="7" s="1"/>
  <c r="T88" i="7"/>
  <c r="AH141" i="7"/>
  <c r="AK141" i="7" s="1"/>
  <c r="AL141" i="7" s="1"/>
  <c r="AR141" i="7" s="1"/>
  <c r="U89" i="7"/>
  <c r="AJ89" i="7" s="1"/>
  <c r="AH201" i="7"/>
  <c r="AK201" i="7" s="1"/>
  <c r="AL201" i="7" s="1"/>
  <c r="AR201" i="7" s="1"/>
  <c r="U39" i="7"/>
  <c r="AJ39" i="7" s="1"/>
  <c r="AH193" i="7"/>
  <c r="AK193" i="7" s="1"/>
  <c r="AL193" i="7" s="1"/>
  <c r="AR193" i="7" s="1"/>
  <c r="AH221" i="7"/>
  <c r="AK221" i="7" s="1"/>
  <c r="AL221" i="7" s="1"/>
  <c r="AR221" i="7" s="1"/>
  <c r="T105" i="7"/>
  <c r="T155" i="7"/>
  <c r="T173" i="7"/>
  <c r="U182" i="7"/>
  <c r="AJ182" i="7" s="1"/>
  <c r="T222" i="7"/>
  <c r="U183" i="7"/>
  <c r="AJ183" i="7" s="1"/>
  <c r="AH112" i="7"/>
  <c r="AK112" i="7" s="1"/>
  <c r="AL112" i="7" s="1"/>
  <c r="U125" i="7"/>
  <c r="AJ125" i="7" s="1"/>
  <c r="AH122" i="7"/>
  <c r="AK122" i="7" s="1"/>
  <c r="AL122" i="7" s="1"/>
  <c r="AR122" i="7" s="1"/>
  <c r="AH202" i="7"/>
  <c r="AK202" i="7" s="1"/>
  <c r="AL202" i="7" s="1"/>
  <c r="AR202" i="7" s="1"/>
  <c r="AH224" i="7"/>
  <c r="AK224" i="7" s="1"/>
  <c r="AL224" i="7" s="1"/>
  <c r="AR224" i="7" s="1"/>
  <c r="AH142" i="7"/>
  <c r="AK142" i="7" s="1"/>
  <c r="AL142" i="7" s="1"/>
  <c r="AR142" i="7" s="1"/>
  <c r="U154" i="7"/>
  <c r="AJ154" i="7" s="1"/>
  <c r="T107" i="7"/>
  <c r="T174" i="7"/>
  <c r="U104" i="7"/>
  <c r="T93" i="7"/>
  <c r="AH98" i="7"/>
  <c r="AK98" i="7" s="1"/>
  <c r="AL98" i="7" s="1"/>
  <c r="AH85" i="7"/>
  <c r="AK85" i="7" s="1"/>
  <c r="AL85" i="7" s="1"/>
  <c r="U151" i="7"/>
  <c r="AJ151" i="7" s="1"/>
  <c r="AH147" i="7"/>
  <c r="AK147" i="7" s="1"/>
  <c r="AL147" i="7" s="1"/>
  <c r="U201" i="7"/>
  <c r="AJ201" i="7" s="1"/>
  <c r="AH167" i="7"/>
  <c r="AK167" i="7" s="1"/>
  <c r="AL167" i="7" s="1"/>
  <c r="AR167" i="7" s="1"/>
  <c r="T120" i="7"/>
  <c r="U162" i="7"/>
  <c r="AJ162" i="7" s="1"/>
  <c r="U157" i="7"/>
  <c r="AJ157" i="7" s="1"/>
  <c r="T199" i="7"/>
  <c r="U199" i="7"/>
  <c r="U152" i="7"/>
  <c r="AJ152" i="7" s="1"/>
  <c r="AH87" i="7"/>
  <c r="AK87" i="7" s="1"/>
  <c r="AL87" i="7" s="1"/>
  <c r="AR87" i="7" s="1"/>
  <c r="T81" i="7"/>
  <c r="T83" i="7"/>
  <c r="T64" i="7"/>
  <c r="T42" i="7"/>
  <c r="U135" i="7"/>
  <c r="AJ135" i="7" s="1"/>
  <c r="U48" i="7"/>
  <c r="AJ48" i="7" s="1"/>
  <c r="U123" i="7"/>
  <c r="AJ123" i="7" s="1"/>
  <c r="U40" i="7"/>
  <c r="AJ40" i="7" s="1"/>
  <c r="U46" i="7"/>
  <c r="AJ46" i="7" s="1"/>
  <c r="AH226" i="7"/>
  <c r="AK226" i="7" s="1"/>
  <c r="AL226" i="7" s="1"/>
  <c r="AR226" i="7" s="1"/>
  <c r="AH200" i="7"/>
  <c r="AK200" i="7" s="1"/>
  <c r="AL200" i="7" s="1"/>
  <c r="AR200" i="7" s="1"/>
  <c r="U208" i="7"/>
  <c r="AJ208" i="7" s="1"/>
  <c r="AH197" i="7"/>
  <c r="AK197" i="7" s="1"/>
  <c r="AL197" i="7" s="1"/>
  <c r="T179" i="7"/>
  <c r="U160" i="7"/>
  <c r="AJ160" i="7" s="1"/>
  <c r="U108" i="7"/>
  <c r="AJ108" i="7" s="1"/>
  <c r="T208" i="7"/>
  <c r="AH160" i="7"/>
  <c r="AK160" i="7" s="1"/>
  <c r="AL160" i="7" s="1"/>
  <c r="AR160" i="7" s="1"/>
  <c r="AH96" i="7"/>
  <c r="AK96" i="7" s="1"/>
  <c r="AL96" i="7" s="1"/>
  <c r="AR96" i="7" s="1"/>
  <c r="AH90" i="7"/>
  <c r="AK90" i="7" s="1"/>
  <c r="AL90" i="7" s="1"/>
  <c r="AR90" i="7" s="1"/>
  <c r="T138" i="7"/>
  <c r="AH144" i="7"/>
  <c r="AK144" i="7" s="1"/>
  <c r="AL144" i="7" s="1"/>
  <c r="T144" i="7"/>
  <c r="AH83" i="7"/>
  <c r="AK83" i="7" s="1"/>
  <c r="AL83" i="7" s="1"/>
  <c r="T137" i="7"/>
  <c r="U65" i="7"/>
  <c r="T65" i="7"/>
  <c r="U43" i="7"/>
  <c r="AJ43" i="7" s="1"/>
  <c r="T113" i="7"/>
  <c r="T46" i="7"/>
  <c r="U41" i="7"/>
  <c r="AJ41" i="7" s="1"/>
  <c r="U185" i="7"/>
  <c r="AJ185" i="7" s="1"/>
  <c r="AH115" i="7"/>
  <c r="AK115" i="7" s="1"/>
  <c r="AL115" i="7" s="1"/>
  <c r="T186" i="7"/>
  <c r="T201" i="7"/>
  <c r="T98" i="7"/>
  <c r="U103" i="7"/>
  <c r="AJ103" i="7" s="1"/>
  <c r="T100" i="7"/>
  <c r="U95" i="7"/>
  <c r="AJ95" i="7" s="1"/>
  <c r="U216" i="7"/>
  <c r="AJ216" i="7" s="1"/>
  <c r="U210" i="7"/>
  <c r="AJ210" i="7" s="1"/>
  <c r="AH212" i="7"/>
  <c r="AK212" i="7" s="1"/>
  <c r="AL212" i="7" s="1"/>
  <c r="AR212" i="7" s="1"/>
  <c r="T122" i="7"/>
  <c r="U129" i="7"/>
  <c r="AJ129" i="7" s="1"/>
  <c r="U211" i="7"/>
  <c r="AJ211" i="7" s="1"/>
  <c r="AH216" i="7"/>
  <c r="AK216" i="7" s="1"/>
  <c r="AL216" i="7" s="1"/>
  <c r="U228" i="7"/>
  <c r="AJ228" i="7" s="1"/>
  <c r="T196" i="7"/>
  <c r="U164" i="7"/>
  <c r="T202" i="7"/>
  <c r="U142" i="7"/>
  <c r="AJ142" i="7" s="1"/>
  <c r="T135" i="7"/>
  <c r="U85" i="7"/>
  <c r="AJ85" i="7" s="1"/>
  <c r="U226" i="7"/>
  <c r="AJ226" i="7" s="1"/>
  <c r="AH222" i="7"/>
  <c r="AK222" i="7" s="1"/>
  <c r="AL222" i="7" s="1"/>
  <c r="AR222" i="7" s="1"/>
  <c r="AH151" i="7"/>
  <c r="AK151" i="7" s="1"/>
  <c r="AL151" i="7" s="1"/>
  <c r="AR151" i="7" s="1"/>
  <c r="AH129" i="7"/>
  <c r="AK129" i="7" s="1"/>
  <c r="AL129" i="7" s="1"/>
  <c r="T109" i="7"/>
  <c r="U153" i="7"/>
  <c r="AJ153" i="7" s="1"/>
  <c r="U213" i="7"/>
  <c r="AJ213" i="7" s="1"/>
  <c r="U215" i="7"/>
  <c r="AJ215" i="7" s="1"/>
  <c r="U177" i="7"/>
  <c r="AJ177" i="7" s="1"/>
  <c r="T217" i="7"/>
  <c r="U136" i="7"/>
  <c r="AJ136" i="7" s="1"/>
  <c r="T115" i="7"/>
  <c r="T153" i="7"/>
  <c r="T172" i="7"/>
  <c r="AH130" i="7"/>
  <c r="AK130" i="7" s="1"/>
  <c r="AL130" i="7" s="1"/>
  <c r="AH119" i="7"/>
  <c r="AK119" i="7" s="1"/>
  <c r="AL119" i="7" s="1"/>
  <c r="U139" i="7"/>
  <c r="AJ139" i="7" s="1"/>
  <c r="U101" i="7"/>
  <c r="AH209" i="7"/>
  <c r="AK209" i="7" s="1"/>
  <c r="AL209" i="7" s="1"/>
  <c r="X8" i="7"/>
  <c r="AH211" i="7"/>
  <c r="AK211" i="7" s="1"/>
  <c r="AL211" i="7" s="1"/>
  <c r="AR211" i="7" s="1"/>
  <c r="T121" i="7"/>
  <c r="U143" i="7"/>
  <c r="AJ143" i="7" s="1"/>
  <c r="U138" i="7"/>
  <c r="AJ138" i="7" s="1"/>
  <c r="AH218" i="7"/>
  <c r="AK218" i="7" s="1"/>
  <c r="AL218" i="7" s="1"/>
  <c r="AR218" i="7" s="1"/>
  <c r="AH88" i="7"/>
  <c r="AK88" i="7" s="1"/>
  <c r="AL88" i="7" s="1"/>
  <c r="AR88" i="7" s="1"/>
  <c r="T85" i="7"/>
  <c r="U187" i="7"/>
  <c r="AJ187" i="7" s="1"/>
  <c r="U141" i="7"/>
  <c r="U214" i="7"/>
  <c r="T189" i="7"/>
  <c r="AH89" i="7"/>
  <c r="T69" i="7"/>
  <c r="AH168" i="7"/>
  <c r="AK168" i="7" s="1"/>
  <c r="AL168" i="7" s="1"/>
  <c r="U100" i="7"/>
  <c r="AJ100" i="7" s="1"/>
  <c r="T190" i="7"/>
  <c r="Q21" i="7"/>
  <c r="P5" i="7"/>
  <c r="D39" i="9" s="1"/>
  <c r="AH135" i="7"/>
  <c r="AK135" i="7" s="1"/>
  <c r="AL135" i="7" s="1"/>
  <c r="AH179" i="7"/>
  <c r="AK179" i="7" s="1"/>
  <c r="AL179" i="7" s="1"/>
  <c r="T73" i="7"/>
  <c r="U202" i="7"/>
  <c r="U122" i="7"/>
  <c r="U80" i="7"/>
  <c r="AJ80" i="7" s="1"/>
  <c r="AH174" i="7"/>
  <c r="AK174" i="7" s="1"/>
  <c r="AL174" i="7" s="1"/>
  <c r="AR174" i="7" s="1"/>
  <c r="U118" i="7"/>
  <c r="AJ118" i="7" s="1"/>
  <c r="AH187" i="7"/>
  <c r="AK187" i="7" s="1"/>
  <c r="AL187" i="7" s="1"/>
  <c r="AR187" i="7" s="1"/>
  <c r="P4" i="7"/>
  <c r="C39" i="9" s="1"/>
  <c r="P15" i="7"/>
  <c r="T126" i="7"/>
  <c r="AH229" i="7"/>
  <c r="AK229" i="7" s="1"/>
  <c r="AL229" i="7" s="1"/>
  <c r="T130" i="7"/>
  <c r="T177" i="7"/>
  <c r="U127" i="7"/>
  <c r="AJ127" i="7" s="1"/>
  <c r="AH86" i="7"/>
  <c r="AK86" i="7" s="1"/>
  <c r="AL86" i="7" s="1"/>
  <c r="AH173" i="7"/>
  <c r="AK173" i="7" s="1"/>
  <c r="AL173" i="7" s="1"/>
  <c r="AR173" i="7" s="1"/>
  <c r="T111" i="7"/>
  <c r="U71" i="7"/>
  <c r="AJ71" i="7" s="1"/>
  <c r="U91" i="7"/>
  <c r="AJ91" i="7" s="1"/>
  <c r="T89" i="7"/>
  <c r="T163" i="7"/>
  <c r="T124" i="7"/>
  <c r="AH81" i="7"/>
  <c r="AK81" i="7" s="1"/>
  <c r="AL81" i="7" s="1"/>
  <c r="AR81" i="7" s="1"/>
  <c r="U175" i="7"/>
  <c r="U120" i="7"/>
  <c r="AJ120" i="7" s="1"/>
  <c r="U191" i="7"/>
  <c r="AJ191" i="7" s="1"/>
  <c r="AH170" i="7"/>
  <c r="AK170" i="7" s="1"/>
  <c r="AL170" i="7" s="1"/>
  <c r="AR170" i="7" s="1"/>
  <c r="AH101" i="7"/>
  <c r="AK101" i="7" s="1"/>
  <c r="AL101" i="7" s="1"/>
  <c r="T165" i="7"/>
  <c r="AH171" i="7"/>
  <c r="AK171" i="7" s="1"/>
  <c r="AL171" i="7" s="1"/>
  <c r="AR171" i="7" s="1"/>
  <c r="T146" i="7"/>
  <c r="AH103" i="7"/>
  <c r="AK103" i="7" s="1"/>
  <c r="AL103" i="7" s="1"/>
  <c r="U94" i="7"/>
  <c r="U209" i="7"/>
  <c r="AJ209" i="7" s="1"/>
  <c r="T96" i="7"/>
  <c r="AH152" i="7"/>
  <c r="U194" i="7"/>
  <c r="U117" i="7"/>
  <c r="AJ117" i="7" s="1"/>
  <c r="AH156" i="7"/>
  <c r="AK156" i="7" s="1"/>
  <c r="AL156" i="7" s="1"/>
  <c r="AR156" i="7" s="1"/>
  <c r="P14" i="7"/>
  <c r="AH146" i="7"/>
  <c r="AK146" i="7" s="1"/>
  <c r="AL146" i="7" s="1"/>
  <c r="AR146" i="7" s="1"/>
  <c r="AH169" i="7"/>
  <c r="AK169" i="7" s="1"/>
  <c r="AL169" i="7" s="1"/>
  <c r="AR169" i="7" s="1"/>
  <c r="U70" i="7"/>
  <c r="U170" i="7"/>
  <c r="T176" i="7"/>
  <c r="U107" i="7"/>
  <c r="AH180" i="7"/>
  <c r="U38" i="7"/>
  <c r="AJ38" i="7" s="1"/>
  <c r="U161" i="7"/>
  <c r="AJ161" i="7" s="1"/>
  <c r="U67" i="7"/>
  <c r="AJ67" i="7" s="1"/>
  <c r="U134" i="7"/>
  <c r="AJ134" i="7" s="1"/>
  <c r="U176" i="7"/>
  <c r="AJ176" i="7" s="1"/>
  <c r="AH188" i="7"/>
  <c r="AK188" i="7" s="1"/>
  <c r="AL188" i="7" s="1"/>
  <c r="AR188" i="7" s="1"/>
  <c r="U179" i="7"/>
  <c r="AJ179" i="7" s="1"/>
  <c r="U178" i="7"/>
  <c r="AJ178" i="7" s="1"/>
  <c r="AH106" i="7"/>
  <c r="T152" i="7"/>
  <c r="T223" i="7"/>
  <c r="Q9" i="7"/>
  <c r="P8" i="7"/>
  <c r="M8" i="7"/>
  <c r="O8" i="7" s="1"/>
  <c r="P16" i="7"/>
  <c r="G24" i="7"/>
  <c r="U168" i="7"/>
  <c r="AJ168" i="7" s="1"/>
  <c r="AH181" i="7"/>
  <c r="AK181" i="7" s="1"/>
  <c r="AL181" i="7" s="1"/>
  <c r="AR181" i="7" s="1"/>
  <c r="T169" i="7"/>
  <c r="T101" i="7"/>
  <c r="AH191" i="7"/>
  <c r="AK191" i="7" s="1"/>
  <c r="AL191" i="7" s="1"/>
  <c r="AH125" i="7"/>
  <c r="AK125" i="7" s="1"/>
  <c r="AL125" i="7" s="1"/>
  <c r="U111" i="7"/>
  <c r="U69" i="7"/>
  <c r="AJ69" i="7" s="1"/>
  <c r="AH183" i="7"/>
  <c r="AK183" i="7" s="1"/>
  <c r="AL183" i="7" s="1"/>
  <c r="AR183" i="7" s="1"/>
  <c r="U28" i="9"/>
  <c r="AH74" i="7"/>
  <c r="AK74" i="7" s="1"/>
  <c r="AL74" i="7" s="1"/>
  <c r="T170" i="7"/>
  <c r="AH139" i="7"/>
  <c r="AK139" i="7" s="1"/>
  <c r="AL139" i="7" s="1"/>
  <c r="AR139" i="7" s="1"/>
  <c r="T183" i="7"/>
  <c r="AH121" i="7"/>
  <c r="AK121" i="7" s="1"/>
  <c r="AL121" i="7" s="1"/>
  <c r="AR121" i="7" s="1"/>
  <c r="AH217" i="7"/>
  <c r="U217" i="7"/>
  <c r="AJ217" i="7" s="1"/>
  <c r="T133" i="7"/>
  <c r="U98" i="7"/>
  <c r="AJ98" i="7" s="1"/>
  <c r="Q23" i="7"/>
  <c r="Q7" i="7"/>
  <c r="Q18" i="7"/>
  <c r="Q14" i="7"/>
  <c r="Q16" i="7"/>
  <c r="T218" i="7"/>
  <c r="AH91" i="7"/>
  <c r="AK91" i="7" s="1"/>
  <c r="AL91" i="7" s="1"/>
  <c r="U172" i="7"/>
  <c r="AJ172" i="7" s="1"/>
  <c r="AH84" i="7"/>
  <c r="AK84" i="7" s="1"/>
  <c r="AL84" i="7" s="1"/>
  <c r="U145" i="7"/>
  <c r="AJ145" i="7" s="1"/>
  <c r="T180" i="7"/>
  <c r="U72" i="7"/>
  <c r="AJ72" i="7" s="1"/>
  <c r="U203" i="7"/>
  <c r="AJ203" i="7" s="1"/>
  <c r="T92" i="7"/>
  <c r="U146" i="7"/>
  <c r="AJ146" i="7" s="1"/>
  <c r="U197" i="7"/>
  <c r="AJ197" i="7" s="1"/>
  <c r="AH109" i="7"/>
  <c r="AK109" i="7" s="1"/>
  <c r="AL109" i="7" s="1"/>
  <c r="U159" i="7"/>
  <c r="AJ159" i="7" s="1"/>
  <c r="T226" i="7"/>
  <c r="Q22" i="7"/>
  <c r="U19" i="9"/>
  <c r="U93" i="7"/>
  <c r="AJ93" i="7" s="1"/>
  <c r="U113" i="7"/>
  <c r="AJ113" i="7" s="1"/>
  <c r="U47" i="7"/>
  <c r="AJ47" i="7" s="1"/>
  <c r="U96" i="7"/>
  <c r="AJ96" i="7" s="1"/>
  <c r="U149" i="7"/>
  <c r="AJ149" i="7" s="1"/>
  <c r="AH206" i="7"/>
  <c r="AK206" i="7" s="1"/>
  <c r="AL206" i="7" s="1"/>
  <c r="AR206" i="7" s="1"/>
  <c r="AH159" i="7"/>
  <c r="AK159" i="7" s="1"/>
  <c r="AL159" i="7" s="1"/>
  <c r="AH190" i="7"/>
  <c r="AK190" i="7" s="1"/>
  <c r="AL190" i="7" s="1"/>
  <c r="T154" i="7"/>
  <c r="T142" i="7"/>
  <c r="AH210" i="7"/>
  <c r="AK210" i="7" s="1"/>
  <c r="AL210" i="7" s="1"/>
  <c r="AR210" i="7" s="1"/>
  <c r="U50" i="7"/>
  <c r="AJ50" i="7" s="1"/>
  <c r="T86" i="7"/>
  <c r="U133" i="7"/>
  <c r="AJ133" i="7" s="1"/>
  <c r="AH162" i="7"/>
  <c r="AK162" i="7" s="1"/>
  <c r="AL162" i="7" s="1"/>
  <c r="AR162" i="7" s="1"/>
  <c r="U121" i="7"/>
  <c r="AJ121" i="7" s="1"/>
  <c r="U212" i="7"/>
  <c r="AJ212" i="7" s="1"/>
  <c r="T185" i="7"/>
  <c r="AH177" i="7"/>
  <c r="AK177" i="7" s="1"/>
  <c r="AL177" i="7" s="1"/>
  <c r="AR177" i="7" s="1"/>
  <c r="T159" i="7"/>
  <c r="T132" i="7"/>
  <c r="U219" i="7"/>
  <c r="T225" i="7"/>
  <c r="E34" i="9"/>
  <c r="Q5" i="7"/>
  <c r="D40" i="9" s="1"/>
  <c r="U22" i="9"/>
  <c r="AH36" i="7"/>
  <c r="AK36" i="7" s="1"/>
  <c r="AL36" i="7" s="1"/>
  <c r="AR36" i="7" s="1"/>
  <c r="K24" i="7"/>
  <c r="P22" i="7"/>
  <c r="Q4" i="7"/>
  <c r="Q24" i="7" s="1"/>
  <c r="Q13" i="7"/>
  <c r="Q19" i="7"/>
  <c r="Q20" i="7"/>
  <c r="Q71" i="9"/>
  <c r="P19" i="7"/>
  <c r="P10" i="7"/>
  <c r="Q17" i="7"/>
  <c r="P17" i="7"/>
  <c r="Q11" i="7"/>
  <c r="H24" i="7"/>
  <c r="P7" i="7"/>
  <c r="N7" i="7"/>
  <c r="Q10" i="7"/>
  <c r="P11" i="7"/>
  <c r="Q12" i="7"/>
  <c r="Q15" i="7"/>
  <c r="P23" i="7"/>
  <c r="O7" i="7"/>
  <c r="P9" i="7"/>
  <c r="M9" i="7"/>
  <c r="Q62" i="9"/>
  <c r="P6" i="7"/>
  <c r="P21" i="7"/>
  <c r="P12" i="7"/>
  <c r="P20" i="7"/>
  <c r="P18" i="7"/>
  <c r="AJ52" i="7"/>
  <c r="AJ36" i="7"/>
  <c r="V36" i="7"/>
  <c r="W36" i="7" s="1"/>
  <c r="V74" i="7"/>
  <c r="AJ63" i="7"/>
  <c r="AJ59" i="7"/>
  <c r="AJ58" i="7"/>
  <c r="V53" i="7"/>
  <c r="W53" i="7" s="1"/>
  <c r="AZ7" i="7"/>
  <c r="Z68" i="9" s="1"/>
  <c r="AZ9" i="7"/>
  <c r="Z70" i="9" s="1"/>
  <c r="AZ23" i="7"/>
  <c r="AZ17" i="7"/>
  <c r="AZ14" i="7"/>
  <c r="AZ10" i="7"/>
  <c r="AZ20" i="7"/>
  <c r="AZ11" i="7"/>
  <c r="AZ21" i="7"/>
  <c r="AZ4" i="7"/>
  <c r="Z65" i="9" s="1"/>
  <c r="AZ19" i="7"/>
  <c r="AZ12" i="7"/>
  <c r="AZ22" i="7"/>
  <c r="AZ18" i="7"/>
  <c r="AZ6" i="7"/>
  <c r="Z67" i="9" s="1"/>
  <c r="AZ8" i="7"/>
  <c r="Z69" i="9" s="1"/>
  <c r="O4" i="7"/>
  <c r="AZ16" i="7"/>
  <c r="AZ15" i="7"/>
  <c r="AZ5" i="7"/>
  <c r="Z66" i="9" s="1"/>
  <c r="AZ13" i="7"/>
  <c r="V59" i="7"/>
  <c r="W59" i="7" s="1"/>
  <c r="Z30" i="7"/>
  <c r="AA42" i="7" s="1"/>
  <c r="V33" i="7"/>
  <c r="AJ34" i="7"/>
  <c r="V37" i="7"/>
  <c r="W37" i="7" s="1"/>
  <c r="AJ56" i="7"/>
  <c r="V35" i="7"/>
  <c r="N24" i="7"/>
  <c r="AJ51" i="7"/>
  <c r="V57" i="7"/>
  <c r="AJ35" i="7"/>
  <c r="AJ75" i="7"/>
  <c r="AJ109" i="7"/>
  <c r="V34" i="7"/>
  <c r="W34" i="7" s="1"/>
  <c r="V54" i="7"/>
  <c r="W54" i="7" s="1"/>
  <c r="V51" i="7"/>
  <c r="W51" i="7" s="1"/>
  <c r="X4" i="7"/>
  <c r="D41" i="9"/>
  <c r="V75" i="7"/>
  <c r="AJ54" i="7"/>
  <c r="AJ76" i="7"/>
  <c r="AJ49" i="7"/>
  <c r="V56" i="7"/>
  <c r="W56" i="7" s="1"/>
  <c r="AH51" i="7"/>
  <c r="Q36" i="9"/>
  <c r="BA8" i="7"/>
  <c r="AB69" i="9" s="1"/>
  <c r="BA23" i="7"/>
  <c r="BA20" i="7"/>
  <c r="BA17" i="7"/>
  <c r="BA14" i="7"/>
  <c r="BA11" i="7"/>
  <c r="BA10" i="7"/>
  <c r="BA22" i="7"/>
  <c r="BA19" i="7"/>
  <c r="BA16" i="7"/>
  <c r="BA13" i="7"/>
  <c r="BA18" i="7"/>
  <c r="BA15" i="7"/>
  <c r="BA7" i="7"/>
  <c r="AB68" i="9" s="1"/>
  <c r="BA9" i="7"/>
  <c r="AB70" i="9" s="1"/>
  <c r="BA4" i="7"/>
  <c r="AB65" i="9" s="1"/>
  <c r="O5" i="7"/>
  <c r="BA12" i="7"/>
  <c r="BA21" i="7"/>
  <c r="BA6" i="7"/>
  <c r="AB67" i="9" s="1"/>
  <c r="BA5" i="7"/>
  <c r="AB66" i="9" s="1"/>
  <c r="Q26" i="9"/>
  <c r="AJ55" i="7"/>
  <c r="X6" i="7"/>
  <c r="AJ57" i="7"/>
  <c r="AJ37" i="7"/>
  <c r="V52" i="7"/>
  <c r="W52" i="7" s="1"/>
  <c r="P24" i="7"/>
  <c r="M24" i="7"/>
  <c r="O24" i="7" s="1"/>
  <c r="AJ33" i="7"/>
  <c r="V76" i="7"/>
  <c r="W76" i="7" s="1"/>
  <c r="V55" i="7"/>
  <c r="AJ53" i="7"/>
  <c r="AJ74" i="7"/>
  <c r="V58" i="7"/>
  <c r="AJ77" i="7"/>
  <c r="E35" i="9"/>
  <c r="C41" i="9"/>
  <c r="Q14" i="6"/>
  <c r="Q15" i="6"/>
  <c r="X4" i="5"/>
  <c r="N4" i="5"/>
  <c r="K24" i="5"/>
  <c r="N24" i="5" s="1"/>
  <c r="P4" i="5"/>
  <c r="C39" i="6" s="1"/>
  <c r="G24" i="5"/>
  <c r="M4" i="5"/>
  <c r="P15" i="5"/>
  <c r="P7" i="5"/>
  <c r="P11" i="5"/>
  <c r="P23" i="5"/>
  <c r="P22" i="5"/>
  <c r="P5" i="5"/>
  <c r="D39" i="6" s="1"/>
  <c r="P10" i="5"/>
  <c r="P6" i="5"/>
  <c r="P21" i="5"/>
  <c r="P19" i="5"/>
  <c r="P13" i="5"/>
  <c r="P17" i="5"/>
  <c r="C35" i="6"/>
  <c r="P12" i="5"/>
  <c r="P18" i="5"/>
  <c r="P14" i="5"/>
  <c r="P20" i="5"/>
  <c r="P16" i="5"/>
  <c r="U228" i="5"/>
  <c r="U218" i="5"/>
  <c r="U222" i="5"/>
  <c r="T213" i="5"/>
  <c r="AI213" i="5" s="1"/>
  <c r="AH217" i="5"/>
  <c r="U216" i="5"/>
  <c r="U206" i="5"/>
  <c r="T216" i="5"/>
  <c r="AI216" i="5" s="1"/>
  <c r="AH213" i="5"/>
  <c r="U226" i="5"/>
  <c r="U219" i="5"/>
  <c r="U214" i="5"/>
  <c r="AH222" i="5"/>
  <c r="AH216" i="5"/>
  <c r="T217" i="5"/>
  <c r="AI217" i="5" s="1"/>
  <c r="AH218" i="5"/>
  <c r="U198" i="5"/>
  <c r="T197" i="5"/>
  <c r="AI197" i="5" s="1"/>
  <c r="AH228" i="5"/>
  <c r="AH225" i="5"/>
  <c r="U211" i="5"/>
  <c r="T198" i="5"/>
  <c r="AI198" i="5" s="1"/>
  <c r="T211" i="5"/>
  <c r="AI211" i="5" s="1"/>
  <c r="U210" i="5"/>
  <c r="U204" i="5"/>
  <c r="AH198" i="5"/>
  <c r="T212" i="5"/>
  <c r="AI212" i="5" s="1"/>
  <c r="T210" i="5"/>
  <c r="AI210" i="5" s="1"/>
  <c r="T199" i="5"/>
  <c r="AI199" i="5" s="1"/>
  <c r="T220" i="5"/>
  <c r="AI220" i="5" s="1"/>
  <c r="T219" i="5"/>
  <c r="AI219" i="5" s="1"/>
  <c r="U227" i="5"/>
  <c r="U202" i="5"/>
  <c r="AH195" i="5"/>
  <c r="AH188" i="5"/>
  <c r="T188" i="5"/>
  <c r="AI188" i="5" s="1"/>
  <c r="T227" i="5"/>
  <c r="AI227" i="5" s="1"/>
  <c r="AH206" i="5"/>
  <c r="T202" i="5"/>
  <c r="AI202" i="5" s="1"/>
  <c r="AH212" i="5"/>
  <c r="U196" i="5"/>
  <c r="AH210" i="5"/>
  <c r="U191" i="5"/>
  <c r="AH196" i="5"/>
  <c r="U217" i="5"/>
  <c r="AH204" i="5"/>
  <c r="AH193" i="5"/>
  <c r="U164" i="5"/>
  <c r="AH156" i="5"/>
  <c r="T156" i="5"/>
  <c r="AI156" i="5" s="1"/>
  <c r="U223" i="5"/>
  <c r="U195" i="5"/>
  <c r="AH189" i="5"/>
  <c r="U176" i="5"/>
  <c r="T164" i="5"/>
  <c r="AI164" i="5" s="1"/>
  <c r="U161" i="5"/>
  <c r="T215" i="5"/>
  <c r="AI215" i="5" s="1"/>
  <c r="AH211" i="5"/>
  <c r="U203" i="5"/>
  <c r="T203" i="5"/>
  <c r="AI203" i="5" s="1"/>
  <c r="U193" i="5"/>
  <c r="AH164" i="5"/>
  <c r="AH161" i="5"/>
  <c r="AH199" i="5"/>
  <c r="U194" i="5"/>
  <c r="AH191" i="5"/>
  <c r="U178" i="5"/>
  <c r="T176" i="5"/>
  <c r="AI176" i="5" s="1"/>
  <c r="U142" i="5"/>
  <c r="AH137" i="5"/>
  <c r="T137" i="5"/>
  <c r="AI137" i="5" s="1"/>
  <c r="AH182" i="5"/>
  <c r="T178" i="5"/>
  <c r="AI178" i="5" s="1"/>
  <c r="T142" i="5"/>
  <c r="AI142" i="5" s="1"/>
  <c r="T214" i="5"/>
  <c r="AI214" i="5" s="1"/>
  <c r="U200" i="5"/>
  <c r="T182" i="5"/>
  <c r="AI182" i="5" s="1"/>
  <c r="AH165" i="5"/>
  <c r="T161" i="5"/>
  <c r="AI161" i="5" s="1"/>
  <c r="AH208" i="5"/>
  <c r="T205" i="5"/>
  <c r="AI205" i="5" s="1"/>
  <c r="T200" i="5"/>
  <c r="AI200" i="5" s="1"/>
  <c r="U189" i="5"/>
  <c r="T181" i="5"/>
  <c r="AI181" i="5" s="1"/>
  <c r="T165" i="5"/>
  <c r="AI165" i="5" s="1"/>
  <c r="U150" i="5"/>
  <c r="AH146" i="5"/>
  <c r="AH143" i="5"/>
  <c r="AH215" i="5"/>
  <c r="T196" i="5"/>
  <c r="AI196" i="5" s="1"/>
  <c r="T150" i="5"/>
  <c r="AI150" i="5" s="1"/>
  <c r="AH111" i="5"/>
  <c r="T111" i="5"/>
  <c r="AI111" i="5" s="1"/>
  <c r="AH106" i="5"/>
  <c r="T106" i="5"/>
  <c r="AI106" i="5" s="1"/>
  <c r="U208" i="5"/>
  <c r="T152" i="5"/>
  <c r="AI152" i="5" s="1"/>
  <c r="U121" i="5"/>
  <c r="T120" i="5"/>
  <c r="AI120" i="5" s="1"/>
  <c r="AH226" i="5"/>
  <c r="T223" i="5"/>
  <c r="AI223" i="5" s="1"/>
  <c r="T124" i="5"/>
  <c r="AI124" i="5" s="1"/>
  <c r="AH197" i="5"/>
  <c r="AH178" i="5"/>
  <c r="T173" i="5"/>
  <c r="AI173" i="5" s="1"/>
  <c r="T146" i="5"/>
  <c r="AI146" i="5" s="1"/>
  <c r="T136" i="5"/>
  <c r="AI136" i="5" s="1"/>
  <c r="T133" i="5"/>
  <c r="AI133" i="5" s="1"/>
  <c r="T122" i="5"/>
  <c r="AI122" i="5" s="1"/>
  <c r="Q12" i="6"/>
  <c r="AH155" i="5"/>
  <c r="T128" i="5"/>
  <c r="AI128" i="5" s="1"/>
  <c r="U229" i="5"/>
  <c r="AH219" i="5"/>
  <c r="AH194" i="5"/>
  <c r="U168" i="5"/>
  <c r="AH152" i="5"/>
  <c r="U151" i="5"/>
  <c r="U149" i="5"/>
  <c r="U133" i="5"/>
  <c r="AH127" i="5"/>
  <c r="T222" i="5"/>
  <c r="AI222" i="5" s="1"/>
  <c r="T168" i="5"/>
  <c r="AI168" i="5" s="1"/>
  <c r="T151" i="5"/>
  <c r="AI151" i="5" s="1"/>
  <c r="T149" i="5"/>
  <c r="AI149" i="5" s="1"/>
  <c r="U147" i="5"/>
  <c r="U146" i="5"/>
  <c r="U98" i="5"/>
  <c r="U97" i="5"/>
  <c r="U205" i="5"/>
  <c r="T155" i="5"/>
  <c r="AI155" i="5" s="1"/>
  <c r="T147" i="5"/>
  <c r="AI147" i="5" s="1"/>
  <c r="U99" i="5"/>
  <c r="T98" i="5"/>
  <c r="AI98" i="5" s="1"/>
  <c r="T175" i="5"/>
  <c r="AI175" i="5" s="1"/>
  <c r="U127" i="5"/>
  <c r="T119" i="5"/>
  <c r="AI119" i="5" s="1"/>
  <c r="T117" i="5"/>
  <c r="AI117" i="5" s="1"/>
  <c r="AH104" i="5"/>
  <c r="T101" i="5"/>
  <c r="AI101" i="5" s="1"/>
  <c r="AH184" i="5"/>
  <c r="U182" i="5"/>
  <c r="T180" i="5"/>
  <c r="AI180" i="5" s="1"/>
  <c r="AH147" i="5"/>
  <c r="AH139" i="5"/>
  <c r="AH118" i="5"/>
  <c r="T100" i="5"/>
  <c r="AI100" i="5" s="1"/>
  <c r="AH202" i="5"/>
  <c r="AH150" i="5"/>
  <c r="U139" i="5"/>
  <c r="T104" i="5"/>
  <c r="AI104" i="5" s="1"/>
  <c r="T74" i="5"/>
  <c r="AI74" i="5" s="1"/>
  <c r="T207" i="5"/>
  <c r="AI207" i="5" s="1"/>
  <c r="U144" i="5"/>
  <c r="U140" i="5"/>
  <c r="T139" i="5"/>
  <c r="AI139" i="5" s="1"/>
  <c r="AH133" i="5"/>
  <c r="AH105" i="5"/>
  <c r="AH69" i="5"/>
  <c r="T69" i="5"/>
  <c r="AI69" i="5" s="1"/>
  <c r="T64" i="5"/>
  <c r="AI64" i="5" s="1"/>
  <c r="T171" i="5"/>
  <c r="AI171" i="5" s="1"/>
  <c r="U166" i="5"/>
  <c r="AH142" i="5"/>
  <c r="T140" i="5"/>
  <c r="AI140" i="5" s="1"/>
  <c r="AH136" i="5"/>
  <c r="T130" i="5"/>
  <c r="AI130" i="5" s="1"/>
  <c r="T118" i="5"/>
  <c r="AI118" i="5" s="1"/>
  <c r="U109" i="5"/>
  <c r="AH102" i="5"/>
  <c r="U101" i="5"/>
  <c r="AH98" i="5"/>
  <c r="AH97" i="5"/>
  <c r="T177" i="5"/>
  <c r="AI177" i="5" s="1"/>
  <c r="T127" i="5"/>
  <c r="AI127" i="5" s="1"/>
  <c r="AH117" i="5"/>
  <c r="T105" i="5"/>
  <c r="AI105" i="5" s="1"/>
  <c r="AH100" i="5"/>
  <c r="T91" i="5"/>
  <c r="AI91" i="5" s="1"/>
  <c r="T85" i="5"/>
  <c r="AI85" i="5" s="1"/>
  <c r="T125" i="5"/>
  <c r="AI125" i="5" s="1"/>
  <c r="U119" i="5"/>
  <c r="AH112" i="5"/>
  <c r="T132" i="5"/>
  <c r="AI132" i="5" s="1"/>
  <c r="T73" i="5"/>
  <c r="AI73" i="5" s="1"/>
  <c r="U56" i="5"/>
  <c r="U48" i="5"/>
  <c r="T114" i="5"/>
  <c r="AI114" i="5" s="1"/>
  <c r="AH67" i="5"/>
  <c r="U50" i="5"/>
  <c r="T36" i="5"/>
  <c r="AI36" i="5" s="1"/>
  <c r="T113" i="5"/>
  <c r="AI113" i="5" s="1"/>
  <c r="AH114" i="5"/>
  <c r="AH113" i="5"/>
  <c r="T37" i="5"/>
  <c r="AI37" i="5" s="1"/>
  <c r="T53" i="5"/>
  <c r="AI53" i="5" s="1"/>
  <c r="AH176" i="5"/>
  <c r="U95" i="5"/>
  <c r="U53" i="5"/>
  <c r="AH138" i="5"/>
  <c r="AH73" i="5"/>
  <c r="U55" i="5"/>
  <c r="U47" i="5"/>
  <c r="AH168" i="5"/>
  <c r="U136" i="5"/>
  <c r="T67" i="5"/>
  <c r="AI67" i="5" s="1"/>
  <c r="T57" i="5"/>
  <c r="AI57" i="5" s="1"/>
  <c r="T62" i="5"/>
  <c r="AI62" i="5" s="1"/>
  <c r="U46" i="5"/>
  <c r="AH75" i="5"/>
  <c r="T78" i="5"/>
  <c r="AI78" i="5" s="1"/>
  <c r="T58" i="5"/>
  <c r="AI58" i="5" s="1"/>
  <c r="U117" i="5"/>
  <c r="U57" i="5"/>
  <c r="U38" i="5"/>
  <c r="U165" i="5"/>
  <c r="AH101" i="5"/>
  <c r="AH95" i="5"/>
  <c r="T89" i="5"/>
  <c r="AI89" i="5" s="1"/>
  <c r="T66" i="5"/>
  <c r="AI66" i="5" s="1"/>
  <c r="U65" i="5"/>
  <c r="U44" i="5"/>
  <c r="T109" i="5"/>
  <c r="AI109" i="5" s="1"/>
  <c r="U52" i="5"/>
  <c r="T102" i="5"/>
  <c r="AI102" i="5" s="1"/>
  <c r="U49" i="5"/>
  <c r="T32" i="5"/>
  <c r="AI32" i="5" s="1"/>
  <c r="U77" i="5"/>
  <c r="T226" i="5"/>
  <c r="AI226" i="5" s="1"/>
  <c r="AH119" i="5"/>
  <c r="U45" i="5"/>
  <c r="T81" i="5"/>
  <c r="AI81" i="5" s="1"/>
  <c r="AH96" i="5"/>
  <c r="T44" i="5"/>
  <c r="AI44" i="5" s="1"/>
  <c r="U42" i="5"/>
  <c r="T35" i="5"/>
  <c r="AI35" i="5" s="1"/>
  <c r="AH125" i="5"/>
  <c r="T55" i="5"/>
  <c r="AI55" i="5" s="1"/>
  <c r="AH56" i="5"/>
  <c r="U54" i="5"/>
  <c r="T68" i="5"/>
  <c r="AI68" i="5" s="1"/>
  <c r="T34" i="5"/>
  <c r="AI34" i="5" s="1"/>
  <c r="U143" i="5"/>
  <c r="AH99" i="5"/>
  <c r="U102" i="5"/>
  <c r="T43" i="5"/>
  <c r="AI43" i="5" s="1"/>
  <c r="U34" i="5"/>
  <c r="AH121" i="5"/>
  <c r="T49" i="5"/>
  <c r="AI49" i="5" s="1"/>
  <c r="U125" i="5"/>
  <c r="U107" i="5"/>
  <c r="AH53" i="5"/>
  <c r="U33" i="5"/>
  <c r="T107" i="5"/>
  <c r="AI107" i="5" s="1"/>
  <c r="U43" i="5"/>
  <c r="T45" i="5"/>
  <c r="AI45" i="5" s="1"/>
  <c r="U41" i="5"/>
  <c r="T47" i="5"/>
  <c r="AI47" i="5" s="1"/>
  <c r="AH32" i="5"/>
  <c r="T41" i="5"/>
  <c r="AI41" i="5" s="1"/>
  <c r="U148" i="5"/>
  <c r="AH129" i="5"/>
  <c r="U78" i="5"/>
  <c r="AH169" i="5"/>
  <c r="AH62" i="5"/>
  <c r="AH103" i="5"/>
  <c r="T48" i="5"/>
  <c r="AI48" i="5" s="1"/>
  <c r="U73" i="5"/>
  <c r="T123" i="5"/>
  <c r="AI123" i="5" s="1"/>
  <c r="AH132" i="5"/>
  <c r="T185" i="5"/>
  <c r="AI185" i="5" s="1"/>
  <c r="U110" i="5"/>
  <c r="AH180" i="5"/>
  <c r="AH151" i="5"/>
  <c r="T167" i="5"/>
  <c r="AI167" i="5" s="1"/>
  <c r="U199" i="5"/>
  <c r="AH227" i="5"/>
  <c r="U104" i="5"/>
  <c r="AH174" i="5"/>
  <c r="U157" i="5"/>
  <c r="U154" i="5"/>
  <c r="AH135" i="5"/>
  <c r="U51" i="5"/>
  <c r="T63" i="5"/>
  <c r="AI63" i="5" s="1"/>
  <c r="T38" i="5"/>
  <c r="AI38" i="5" s="1"/>
  <c r="T42" i="5"/>
  <c r="AI42" i="5" s="1"/>
  <c r="T148" i="5"/>
  <c r="AI148" i="5" s="1"/>
  <c r="U169" i="5"/>
  <c r="T87" i="5"/>
  <c r="AI87" i="5" s="1"/>
  <c r="T83" i="5"/>
  <c r="AI83" i="5" s="1"/>
  <c r="U145" i="5"/>
  <c r="U62" i="5"/>
  <c r="T50" i="5"/>
  <c r="AI50" i="5" s="1"/>
  <c r="AH123" i="5"/>
  <c r="U225" i="5"/>
  <c r="U82" i="5"/>
  <c r="U94" i="5"/>
  <c r="AH120" i="5"/>
  <c r="U132" i="5"/>
  <c r="U105" i="5"/>
  <c r="AH130" i="5"/>
  <c r="U115" i="5"/>
  <c r="T183" i="5"/>
  <c r="AI183" i="5" s="1"/>
  <c r="AH167" i="5"/>
  <c r="T187" i="5"/>
  <c r="AI187" i="5" s="1"/>
  <c r="AH203" i="5"/>
  <c r="T135" i="5"/>
  <c r="AI135" i="5" s="1"/>
  <c r="AH144" i="5"/>
  <c r="T86" i="5"/>
  <c r="AI86" i="5" s="1"/>
  <c r="U118" i="5"/>
  <c r="AH186" i="5"/>
  <c r="AH72" i="5"/>
  <c r="AH65" i="5"/>
  <c r="AH63" i="5"/>
  <c r="AH92" i="5"/>
  <c r="AH148" i="5"/>
  <c r="T169" i="5"/>
  <c r="AI169" i="5" s="1"/>
  <c r="U159" i="5"/>
  <c r="T145" i="5"/>
  <c r="AI145" i="5" s="1"/>
  <c r="T52" i="5"/>
  <c r="AI52" i="5" s="1"/>
  <c r="AH84" i="5"/>
  <c r="AH64" i="5"/>
  <c r="AH85" i="5"/>
  <c r="T143" i="5"/>
  <c r="AI143" i="5" s="1"/>
  <c r="AH134" i="5"/>
  <c r="T121" i="5"/>
  <c r="AI121" i="5" s="1"/>
  <c r="T110" i="5"/>
  <c r="AI110" i="5" s="1"/>
  <c r="U130" i="5"/>
  <c r="T166" i="5"/>
  <c r="AI166" i="5" s="1"/>
  <c r="U170" i="5"/>
  <c r="U187" i="5"/>
  <c r="T208" i="5"/>
  <c r="AI208" i="5" s="1"/>
  <c r="T77" i="5"/>
  <c r="AI77" i="5" s="1"/>
  <c r="U36" i="5"/>
  <c r="AH81" i="5"/>
  <c r="U160" i="5"/>
  <c r="AH71" i="5"/>
  <c r="U63" i="5"/>
  <c r="U72" i="5"/>
  <c r="T65" i="5"/>
  <c r="AI65" i="5" s="1"/>
  <c r="AH89" i="5"/>
  <c r="T51" i="5"/>
  <c r="AI51" i="5" s="1"/>
  <c r="T33" i="5"/>
  <c r="AI33" i="5" s="1"/>
  <c r="T95" i="5"/>
  <c r="AI95" i="5" s="1"/>
  <c r="U60" i="5"/>
  <c r="AH88" i="5"/>
  <c r="AH145" i="5"/>
  <c r="U67" i="5"/>
  <c r="T54" i="5"/>
  <c r="AI54" i="5" s="1"/>
  <c r="AH90" i="5"/>
  <c r="U64" i="5"/>
  <c r="U85" i="5"/>
  <c r="U174" i="5"/>
  <c r="U134" i="5"/>
  <c r="T80" i="5"/>
  <c r="AI80" i="5" s="1"/>
  <c r="U84" i="5"/>
  <c r="U162" i="5"/>
  <c r="AH110" i="5"/>
  <c r="U153" i="5"/>
  <c r="T170" i="5"/>
  <c r="AI170" i="5" s="1"/>
  <c r="AH205" i="5"/>
  <c r="U224" i="5"/>
  <c r="T206" i="5"/>
  <c r="AI206" i="5" s="1"/>
  <c r="U213" i="5"/>
  <c r="AH177" i="5"/>
  <c r="T131" i="5"/>
  <c r="AI131" i="5" s="1"/>
  <c r="T172" i="5"/>
  <c r="AI172" i="5" s="1"/>
  <c r="U177" i="5"/>
  <c r="U71" i="5"/>
  <c r="T154" i="5"/>
  <c r="AI154" i="5" s="1"/>
  <c r="T163" i="5"/>
  <c r="AI163" i="5" s="1"/>
  <c r="T204" i="5"/>
  <c r="AI204" i="5" s="1"/>
  <c r="U89" i="5"/>
  <c r="T76" i="5"/>
  <c r="AI76" i="5" s="1"/>
  <c r="AH141" i="5"/>
  <c r="U112" i="5"/>
  <c r="T56" i="5"/>
  <c r="AI56" i="5" s="1"/>
  <c r="U123" i="5"/>
  <c r="U59" i="5"/>
  <c r="AH74" i="5"/>
  <c r="T174" i="5"/>
  <c r="AI174" i="5" s="1"/>
  <c r="T82" i="5"/>
  <c r="AI82" i="5" s="1"/>
  <c r="T190" i="5"/>
  <c r="AI190" i="5" s="1"/>
  <c r="AH157" i="5"/>
  <c r="T162" i="5"/>
  <c r="AI162" i="5" s="1"/>
  <c r="T115" i="5"/>
  <c r="AI115" i="5" s="1"/>
  <c r="T153" i="5"/>
  <c r="AI153" i="5" s="1"/>
  <c r="U120" i="5"/>
  <c r="AH149" i="5"/>
  <c r="U180" i="5"/>
  <c r="U106" i="5"/>
  <c r="T194" i="5"/>
  <c r="AI194" i="5" s="1"/>
  <c r="AH170" i="5"/>
  <c r="AH187" i="5"/>
  <c r="T195" i="5"/>
  <c r="AI195" i="5" s="1"/>
  <c r="U152" i="5"/>
  <c r="U209" i="5"/>
  <c r="AH220" i="5"/>
  <c r="U163" i="5"/>
  <c r="AH159" i="5"/>
  <c r="U37" i="5"/>
  <c r="U141" i="5"/>
  <c r="T201" i="5"/>
  <c r="AI201" i="5" s="1"/>
  <c r="U186" i="5"/>
  <c r="T71" i="5"/>
  <c r="AI71" i="5" s="1"/>
  <c r="U135" i="5"/>
  <c r="AH163" i="5"/>
  <c r="AH94" i="5"/>
  <c r="AH77" i="5"/>
  <c r="U131" i="5"/>
  <c r="U75" i="5"/>
  <c r="U58" i="5"/>
  <c r="T159" i="5"/>
  <c r="AI159" i="5" s="1"/>
  <c r="T60" i="5"/>
  <c r="AI60" i="5" s="1"/>
  <c r="T96" i="5"/>
  <c r="AI96" i="5" s="1"/>
  <c r="U96" i="5"/>
  <c r="U172" i="5"/>
  <c r="T112" i="5"/>
  <c r="AI112" i="5" s="1"/>
  <c r="T59" i="5"/>
  <c r="AI59" i="5" s="1"/>
  <c r="T191" i="5"/>
  <c r="AI191" i="5" s="1"/>
  <c r="U114" i="5"/>
  <c r="U74" i="5"/>
  <c r="U138" i="5"/>
  <c r="T134" i="5"/>
  <c r="AI134" i="5" s="1"/>
  <c r="T84" i="5"/>
  <c r="AI84" i="5" s="1"/>
  <c r="U86" i="5"/>
  <c r="T157" i="5"/>
  <c r="AI157" i="5" s="1"/>
  <c r="AH115" i="5"/>
  <c r="T228" i="5"/>
  <c r="AI228" i="5" s="1"/>
  <c r="U201" i="5"/>
  <c r="U188" i="5"/>
  <c r="AH223" i="5"/>
  <c r="T70" i="5"/>
  <c r="AI70" i="5" s="1"/>
  <c r="T209" i="5"/>
  <c r="AI209" i="5" s="1"/>
  <c r="AH207" i="5"/>
  <c r="AH66" i="5"/>
  <c r="T61" i="5"/>
  <c r="AI61" i="5" s="1"/>
  <c r="U61" i="5"/>
  <c r="AH116" i="5"/>
  <c r="T90" i="5"/>
  <c r="AI90" i="5" s="1"/>
  <c r="U92" i="5"/>
  <c r="U179" i="5"/>
  <c r="U137" i="5"/>
  <c r="AH160" i="5"/>
  <c r="AH173" i="5"/>
  <c r="AH200" i="5"/>
  <c r="U215" i="5"/>
  <c r="U197" i="5"/>
  <c r="U126" i="5"/>
  <c r="U122" i="5"/>
  <c r="U111" i="5"/>
  <c r="T225" i="5"/>
  <c r="AI225" i="5" s="1"/>
  <c r="T40" i="5"/>
  <c r="AI40" i="5" s="1"/>
  <c r="AH185" i="5"/>
  <c r="U220" i="5"/>
  <c r="T88" i="5"/>
  <c r="AI88" i="5" s="1"/>
  <c r="T193" i="5"/>
  <c r="AI193" i="5" s="1"/>
  <c r="U40" i="5"/>
  <c r="AH86" i="5"/>
  <c r="AH87" i="5"/>
  <c r="AH107" i="5"/>
  <c r="T116" i="5"/>
  <c r="AI116" i="5" s="1"/>
  <c r="U108" i="5"/>
  <c r="T92" i="5"/>
  <c r="AI92" i="5" s="1"/>
  <c r="T138" i="5"/>
  <c r="AI138" i="5" s="1"/>
  <c r="U190" i="5"/>
  <c r="U192" i="5"/>
  <c r="U167" i="5"/>
  <c r="U173" i="5"/>
  <c r="T229" i="5"/>
  <c r="AI229" i="5" s="1"/>
  <c r="T94" i="5"/>
  <c r="AI94" i="5" s="1"/>
  <c r="AH192" i="5"/>
  <c r="AH128" i="5"/>
  <c r="U221" i="5"/>
  <c r="U66" i="5"/>
  <c r="AH91" i="5"/>
  <c r="T221" i="5"/>
  <c r="AI221" i="5" s="1"/>
  <c r="U171" i="5"/>
  <c r="AH79" i="5"/>
  <c r="T218" i="5"/>
  <c r="AI218" i="5" s="1"/>
  <c r="AH109" i="5"/>
  <c r="T186" i="5"/>
  <c r="AI186" i="5" s="1"/>
  <c r="U87" i="5"/>
  <c r="U81" i="5"/>
  <c r="T108" i="5"/>
  <c r="AI108" i="5" s="1"/>
  <c r="T144" i="5"/>
  <c r="AI144" i="5" s="1"/>
  <c r="AH183" i="5"/>
  <c r="T179" i="5"/>
  <c r="AI179" i="5" s="1"/>
  <c r="U93" i="5"/>
  <c r="U116" i="5"/>
  <c r="AH124" i="5"/>
  <c r="T184" i="5"/>
  <c r="AI184" i="5" s="1"/>
  <c r="AH154" i="5"/>
  <c r="U128" i="5"/>
  <c r="U124" i="5"/>
  <c r="AH229" i="5"/>
  <c r="U155" i="5"/>
  <c r="U185" i="5"/>
  <c r="AH179" i="5"/>
  <c r="T160" i="5"/>
  <c r="AI160" i="5" s="1"/>
  <c r="U100" i="5"/>
  <c r="T39" i="5"/>
  <c r="AI39" i="5" s="1"/>
  <c r="U113" i="5"/>
  <c r="AH93" i="5"/>
  <c r="T46" i="5"/>
  <c r="AI46" i="5" s="1"/>
  <c r="AH108" i="5"/>
  <c r="AH126" i="5"/>
  <c r="T158" i="5"/>
  <c r="AI158" i="5" s="1"/>
  <c r="T97" i="5"/>
  <c r="AI97" i="5" s="1"/>
  <c r="AH140" i="5"/>
  <c r="U80" i="5"/>
  <c r="AH122" i="5"/>
  <c r="AH166" i="5"/>
  <c r="T192" i="5"/>
  <c r="AI192" i="5" s="1"/>
  <c r="U183" i="5"/>
  <c r="U184" i="5"/>
  <c r="AH201" i="5"/>
  <c r="T224" i="5"/>
  <c r="AI224" i="5" s="1"/>
  <c r="AH158" i="5"/>
  <c r="AH224" i="5"/>
  <c r="T72" i="5"/>
  <c r="AI72" i="5" s="1"/>
  <c r="U103" i="5"/>
  <c r="U207" i="5"/>
  <c r="AH214" i="5"/>
  <c r="AH76" i="5"/>
  <c r="U76" i="5"/>
  <c r="T141" i="5"/>
  <c r="AI141" i="5" s="1"/>
  <c r="AH190" i="5"/>
  <c r="T189" i="5"/>
  <c r="AI189" i="5" s="1"/>
  <c r="AH57" i="5"/>
  <c r="T93" i="5"/>
  <c r="AI93" i="5" s="1"/>
  <c r="T103" i="5"/>
  <c r="AI103" i="5" s="1"/>
  <c r="AH68" i="5"/>
  <c r="U69" i="5"/>
  <c r="U91" i="5"/>
  <c r="T126" i="5"/>
  <c r="AI126" i="5" s="1"/>
  <c r="AH153" i="5"/>
  <c r="U158" i="5"/>
  <c r="AH162" i="5"/>
  <c r="AH221" i="5"/>
  <c r="AH175" i="5"/>
  <c r="T75" i="5"/>
  <c r="AI75" i="5" s="1"/>
  <c r="AH70" i="5"/>
  <c r="U212" i="5"/>
  <c r="AH78" i="5"/>
  <c r="AH83" i="5"/>
  <c r="AH172" i="5"/>
  <c r="U68" i="5"/>
  <c r="U175" i="5"/>
  <c r="AH209" i="5"/>
  <c r="AH131" i="5"/>
  <c r="U79" i="5"/>
  <c r="U70" i="5"/>
  <c r="U129" i="5"/>
  <c r="U83" i="5"/>
  <c r="AH80" i="5"/>
  <c r="T99" i="5"/>
  <c r="AI99" i="5" s="1"/>
  <c r="U88" i="5"/>
  <c r="U156" i="5"/>
  <c r="AH181" i="5"/>
  <c r="AH171" i="5"/>
  <c r="U39" i="5"/>
  <c r="T79" i="5"/>
  <c r="AI79" i="5" s="1"/>
  <c r="U32" i="5"/>
  <c r="T129" i="5"/>
  <c r="AI129" i="5" s="1"/>
  <c r="AH82" i="5"/>
  <c r="U181" i="5"/>
  <c r="U35" i="5"/>
  <c r="U90" i="5"/>
  <c r="Q16" i="6"/>
  <c r="Q19" i="6"/>
  <c r="X8" i="5"/>
  <c r="Q20" i="6"/>
  <c r="Z30" i="5"/>
  <c r="Q4" i="5"/>
  <c r="H24" i="5"/>
  <c r="Q15" i="5"/>
  <c r="Q20" i="5"/>
  <c r="C34" i="6"/>
  <c r="E34" i="6" s="1"/>
  <c r="Q11" i="5"/>
  <c r="Q14" i="5"/>
  <c r="Q6" i="5"/>
  <c r="Q23" i="5"/>
  <c r="Q17" i="5"/>
  <c r="Q22" i="5"/>
  <c r="Q21" i="5"/>
  <c r="Q19" i="5"/>
  <c r="Q12" i="5"/>
  <c r="Q7" i="5"/>
  <c r="Q5" i="5"/>
  <c r="D40" i="6" s="1"/>
  <c r="Q16" i="5"/>
  <c r="Q13" i="5"/>
  <c r="Q18" i="5"/>
  <c r="Q10" i="5"/>
  <c r="Q18" i="6"/>
  <c r="BA8" i="5"/>
  <c r="AB71" i="6" s="1"/>
  <c r="V78" i="7" l="1"/>
  <c r="V214" i="7"/>
  <c r="E39" i="6"/>
  <c r="V70" i="7"/>
  <c r="V60" i="7"/>
  <c r="V96" i="7"/>
  <c r="W96" i="7" s="1"/>
  <c r="X96" i="7" s="1"/>
  <c r="Y96" i="7" s="1"/>
  <c r="AI96" i="7"/>
  <c r="V85" i="7"/>
  <c r="W85" i="7" s="1"/>
  <c r="X85" i="7" s="1"/>
  <c r="Y85" i="7" s="1"/>
  <c r="AI85" i="7"/>
  <c r="V155" i="7"/>
  <c r="W155" i="7" s="1"/>
  <c r="X155" i="7" s="1"/>
  <c r="Y155" i="7" s="1"/>
  <c r="AI155" i="7"/>
  <c r="V198" i="7"/>
  <c r="W198" i="7" s="1"/>
  <c r="X198" i="7" s="1"/>
  <c r="Y198" i="7" s="1"/>
  <c r="AI198" i="7"/>
  <c r="V204" i="7"/>
  <c r="W204" i="7" s="1"/>
  <c r="X204" i="7" s="1"/>
  <c r="Y204" i="7" s="1"/>
  <c r="AI204" i="7"/>
  <c r="V223" i="7"/>
  <c r="W223" i="7" s="1"/>
  <c r="X223" i="7" s="1"/>
  <c r="Y223" i="7" s="1"/>
  <c r="AI223" i="7"/>
  <c r="V126" i="7"/>
  <c r="AI126" i="7"/>
  <c r="V105" i="7"/>
  <c r="W105" i="7" s="1"/>
  <c r="X105" i="7" s="1"/>
  <c r="Y105" i="7" s="1"/>
  <c r="AI105" i="7"/>
  <c r="V145" i="7"/>
  <c r="W145" i="7" s="1"/>
  <c r="X145" i="7" s="1"/>
  <c r="Y145" i="7" s="1"/>
  <c r="AI145" i="7"/>
  <c r="V84" i="7"/>
  <c r="W84" i="7" s="1"/>
  <c r="X84" i="7" s="1"/>
  <c r="Y84" i="7" s="1"/>
  <c r="AI84" i="7"/>
  <c r="V178" i="7"/>
  <c r="W178" i="7" s="1"/>
  <c r="X178" i="7" s="1"/>
  <c r="Y178" i="7" s="1"/>
  <c r="AI178" i="7"/>
  <c r="V133" i="7"/>
  <c r="W133" i="7" s="1"/>
  <c r="X133" i="7" s="1"/>
  <c r="Y133" i="7" s="1"/>
  <c r="AI133" i="7"/>
  <c r="V176" i="7"/>
  <c r="W176" i="7" s="1"/>
  <c r="X176" i="7" s="1"/>
  <c r="Y176" i="7" s="1"/>
  <c r="AI176" i="7"/>
  <c r="V163" i="7"/>
  <c r="W163" i="7" s="1"/>
  <c r="X163" i="7" s="1"/>
  <c r="Y163" i="7" s="1"/>
  <c r="AI163" i="7"/>
  <c r="V41" i="7"/>
  <c r="W41" i="7" s="1"/>
  <c r="X41" i="7" s="1"/>
  <c r="Y41" i="7" s="1"/>
  <c r="AI41" i="7"/>
  <c r="V116" i="7"/>
  <c r="W116" i="7" s="1"/>
  <c r="X116" i="7" s="1"/>
  <c r="Y116" i="7" s="1"/>
  <c r="AI116" i="7"/>
  <c r="V86" i="7"/>
  <c r="W86" i="7" s="1"/>
  <c r="X86" i="7" s="1"/>
  <c r="Y86" i="7" s="1"/>
  <c r="AI86" i="7"/>
  <c r="V89" i="7"/>
  <c r="W89" i="7" s="1"/>
  <c r="X89" i="7" s="1"/>
  <c r="Y89" i="7" s="1"/>
  <c r="AI89" i="7"/>
  <c r="V190" i="7"/>
  <c r="W190" i="7" s="1"/>
  <c r="X190" i="7" s="1"/>
  <c r="Y190" i="7" s="1"/>
  <c r="AI190" i="7"/>
  <c r="V113" i="7"/>
  <c r="W113" i="7" s="1"/>
  <c r="X113" i="7" s="1"/>
  <c r="Y113" i="7" s="1"/>
  <c r="AI113" i="7"/>
  <c r="V208" i="7"/>
  <c r="W208" i="7" s="1"/>
  <c r="X208" i="7" s="1"/>
  <c r="Y208" i="7" s="1"/>
  <c r="AI208" i="7"/>
  <c r="V229" i="7"/>
  <c r="W229" i="7" s="1"/>
  <c r="X229" i="7" s="1"/>
  <c r="Y229" i="7" s="1"/>
  <c r="AI229" i="7"/>
  <c r="V139" i="7"/>
  <c r="W139" i="7" s="1"/>
  <c r="X139" i="7" s="1"/>
  <c r="Y139" i="7" s="1"/>
  <c r="AI139" i="7"/>
  <c r="V164" i="7"/>
  <c r="W164" i="7" s="1"/>
  <c r="X164" i="7" s="1"/>
  <c r="Y164" i="7" s="1"/>
  <c r="AI164" i="7"/>
  <c r="V205" i="7"/>
  <c r="AI205" i="7"/>
  <c r="V203" i="7"/>
  <c r="W203" i="7" s="1"/>
  <c r="X203" i="7" s="1"/>
  <c r="Y203" i="7" s="1"/>
  <c r="AI203" i="7"/>
  <c r="V101" i="7"/>
  <c r="W101" i="7" s="1"/>
  <c r="X101" i="7" s="1"/>
  <c r="Y101" i="7" s="1"/>
  <c r="AI101" i="7"/>
  <c r="V135" i="7"/>
  <c r="W135" i="7" s="1"/>
  <c r="X135" i="7" s="1"/>
  <c r="Y135" i="7" s="1"/>
  <c r="AI135" i="7"/>
  <c r="V42" i="7"/>
  <c r="W42" i="7" s="1"/>
  <c r="X42" i="7" s="1"/>
  <c r="Y42" i="7" s="1"/>
  <c r="AI42" i="7"/>
  <c r="V187" i="7"/>
  <c r="W187" i="7" s="1"/>
  <c r="X187" i="7" s="1"/>
  <c r="Y187" i="7" s="1"/>
  <c r="AI187" i="7"/>
  <c r="V61" i="7"/>
  <c r="W61" i="7" s="1"/>
  <c r="X61" i="7" s="1"/>
  <c r="Y61" i="7" s="1"/>
  <c r="AI61" i="7"/>
  <c r="V217" i="7"/>
  <c r="W217" i="7" s="1"/>
  <c r="X217" i="7" s="1"/>
  <c r="Y217" i="7" s="1"/>
  <c r="AI217" i="7"/>
  <c r="V143" i="7"/>
  <c r="W143" i="7" s="1"/>
  <c r="X143" i="7" s="1"/>
  <c r="Y143" i="7" s="1"/>
  <c r="AI143" i="7"/>
  <c r="V128" i="7"/>
  <c r="W128" i="7" s="1"/>
  <c r="X128" i="7" s="1"/>
  <c r="Y128" i="7" s="1"/>
  <c r="AI128" i="7"/>
  <c r="V151" i="7"/>
  <c r="W151" i="7" s="1"/>
  <c r="X151" i="7" s="1"/>
  <c r="Y151" i="7" s="1"/>
  <c r="AI151" i="7"/>
  <c r="V167" i="7"/>
  <c r="W167" i="7" s="1"/>
  <c r="X167" i="7" s="1"/>
  <c r="Y167" i="7" s="1"/>
  <c r="AI167" i="7"/>
  <c r="V226" i="7"/>
  <c r="W226" i="7" s="1"/>
  <c r="X226" i="7" s="1"/>
  <c r="Y226" i="7" s="1"/>
  <c r="AI226" i="7"/>
  <c r="V165" i="7"/>
  <c r="W165" i="7" s="1"/>
  <c r="X165" i="7" s="1"/>
  <c r="Y165" i="7" s="1"/>
  <c r="AI165" i="7"/>
  <c r="V69" i="7"/>
  <c r="W69" i="7" s="1"/>
  <c r="X69" i="7" s="1"/>
  <c r="Y69" i="7" s="1"/>
  <c r="AI69" i="7"/>
  <c r="V202" i="7"/>
  <c r="W202" i="7" s="1"/>
  <c r="X202" i="7" s="1"/>
  <c r="Y202" i="7" s="1"/>
  <c r="AI202" i="7"/>
  <c r="V83" i="7"/>
  <c r="W83" i="7" s="1"/>
  <c r="X83" i="7" s="1"/>
  <c r="Y83" i="7" s="1"/>
  <c r="AI83" i="7"/>
  <c r="V118" i="7"/>
  <c r="W118" i="7" s="1"/>
  <c r="X118" i="7" s="1"/>
  <c r="Y118" i="7" s="1"/>
  <c r="AI118" i="7"/>
  <c r="V49" i="7"/>
  <c r="W49" i="7" s="1"/>
  <c r="AI49" i="7"/>
  <c r="V227" i="7"/>
  <c r="W227" i="7" s="1"/>
  <c r="X227" i="7" s="1"/>
  <c r="Y227" i="7" s="1"/>
  <c r="AI227" i="7"/>
  <c r="V80" i="7"/>
  <c r="W80" i="7" s="1"/>
  <c r="X80" i="7" s="1"/>
  <c r="Y80" i="7" s="1"/>
  <c r="AI80" i="7"/>
  <c r="V154" i="7"/>
  <c r="W154" i="7" s="1"/>
  <c r="X154" i="7" s="1"/>
  <c r="Y154" i="7" s="1"/>
  <c r="AI154" i="7"/>
  <c r="V218" i="7"/>
  <c r="W218" i="7" s="1"/>
  <c r="X218" i="7" s="1"/>
  <c r="Y218" i="7" s="1"/>
  <c r="AI218" i="7"/>
  <c r="V137" i="7"/>
  <c r="W137" i="7" s="1"/>
  <c r="X137" i="7" s="1"/>
  <c r="Y137" i="7" s="1"/>
  <c r="AI137" i="7"/>
  <c r="V117" i="7"/>
  <c r="W117" i="7" s="1"/>
  <c r="X117" i="7" s="1"/>
  <c r="Y117" i="7" s="1"/>
  <c r="AI117" i="7"/>
  <c r="V71" i="7"/>
  <c r="W71" i="7" s="1"/>
  <c r="X71" i="7" s="1"/>
  <c r="Y71" i="7" s="1"/>
  <c r="AI71" i="7"/>
  <c r="V129" i="7"/>
  <c r="W129" i="7" s="1"/>
  <c r="X129" i="7" s="1"/>
  <c r="Y129" i="7" s="1"/>
  <c r="AI129" i="7"/>
  <c r="V62" i="7"/>
  <c r="W62" i="7" s="1"/>
  <c r="X62" i="7" s="1"/>
  <c r="Y62" i="7" s="1"/>
  <c r="AI62" i="7"/>
  <c r="V170" i="7"/>
  <c r="W170" i="7" s="1"/>
  <c r="X170" i="7" s="1"/>
  <c r="Y170" i="7" s="1"/>
  <c r="AI170" i="7"/>
  <c r="V189" i="7"/>
  <c r="W189" i="7" s="1"/>
  <c r="X189" i="7" s="1"/>
  <c r="Y189" i="7" s="1"/>
  <c r="AI189" i="7"/>
  <c r="V196" i="7"/>
  <c r="W196" i="7" s="1"/>
  <c r="X196" i="7" s="1"/>
  <c r="Y196" i="7" s="1"/>
  <c r="AI196" i="7"/>
  <c r="V88" i="7"/>
  <c r="W88" i="7" s="1"/>
  <c r="X88" i="7" s="1"/>
  <c r="Y88" i="7" s="1"/>
  <c r="AI88" i="7"/>
  <c r="V123" i="7"/>
  <c r="W123" i="7" s="1"/>
  <c r="X123" i="7" s="1"/>
  <c r="Y123" i="7" s="1"/>
  <c r="AI123" i="7"/>
  <c r="V141" i="7"/>
  <c r="W141" i="7" s="1"/>
  <c r="X141" i="7" s="1"/>
  <c r="Y141" i="7" s="1"/>
  <c r="AI141" i="7"/>
  <c r="V158" i="7"/>
  <c r="W158" i="7" s="1"/>
  <c r="X158" i="7" s="1"/>
  <c r="Y158" i="7" s="1"/>
  <c r="AI158" i="7"/>
  <c r="V201" i="7"/>
  <c r="W201" i="7" s="1"/>
  <c r="X201" i="7" s="1"/>
  <c r="Y201" i="7" s="1"/>
  <c r="AI201" i="7"/>
  <c r="V222" i="7"/>
  <c r="W222" i="7" s="1"/>
  <c r="X222" i="7" s="1"/>
  <c r="Y222" i="7" s="1"/>
  <c r="AI222" i="7"/>
  <c r="V194" i="7"/>
  <c r="W194" i="7" s="1"/>
  <c r="X194" i="7" s="1"/>
  <c r="Y194" i="7" s="1"/>
  <c r="AI194" i="7"/>
  <c r="V82" i="7"/>
  <c r="W82" i="7" s="1"/>
  <c r="X82" i="7" s="1"/>
  <c r="Y82" i="7" s="1"/>
  <c r="AI82" i="7"/>
  <c r="V211" i="7"/>
  <c r="W211" i="7" s="1"/>
  <c r="X211" i="7" s="1"/>
  <c r="Y211" i="7" s="1"/>
  <c r="AI211" i="7"/>
  <c r="V216" i="7"/>
  <c r="W216" i="7" s="1"/>
  <c r="X216" i="7" s="1"/>
  <c r="Y216" i="7" s="1"/>
  <c r="AI216" i="7"/>
  <c r="V77" i="7"/>
  <c r="T15" i="7" s="1"/>
  <c r="AI77" i="7"/>
  <c r="V185" i="7"/>
  <c r="W185" i="7" s="1"/>
  <c r="X185" i="7" s="1"/>
  <c r="Y185" i="7" s="1"/>
  <c r="AI185" i="7"/>
  <c r="V177" i="7"/>
  <c r="W177" i="7" s="1"/>
  <c r="X177" i="7" s="1"/>
  <c r="Y177" i="7" s="1"/>
  <c r="AI177" i="7"/>
  <c r="V73" i="7"/>
  <c r="W73" i="7" s="1"/>
  <c r="X73" i="7" s="1"/>
  <c r="Y73" i="7" s="1"/>
  <c r="AI73" i="7"/>
  <c r="V109" i="7"/>
  <c r="W109" i="7" s="1"/>
  <c r="AI109" i="7"/>
  <c r="V186" i="7"/>
  <c r="W186" i="7" s="1"/>
  <c r="X186" i="7" s="1"/>
  <c r="Y186" i="7" s="1"/>
  <c r="AI186" i="7"/>
  <c r="V168" i="7"/>
  <c r="W168" i="7" s="1"/>
  <c r="X168" i="7" s="1"/>
  <c r="Y168" i="7" s="1"/>
  <c r="AI168" i="7"/>
  <c r="V171" i="7"/>
  <c r="W171" i="7" s="1"/>
  <c r="X171" i="7" s="1"/>
  <c r="Y171" i="7" s="1"/>
  <c r="AI171" i="7"/>
  <c r="V102" i="7"/>
  <c r="W102" i="7" s="1"/>
  <c r="X102" i="7" s="1"/>
  <c r="Y102" i="7" s="1"/>
  <c r="AI102" i="7"/>
  <c r="V40" i="7"/>
  <c r="W40" i="7" s="1"/>
  <c r="X40" i="7" s="1"/>
  <c r="Y40" i="7" s="1"/>
  <c r="AI40" i="7"/>
  <c r="V209" i="7"/>
  <c r="W209" i="7" s="1"/>
  <c r="X209" i="7" s="1"/>
  <c r="Y209" i="7" s="1"/>
  <c r="AI209" i="7"/>
  <c r="V200" i="7"/>
  <c r="W200" i="7" s="1"/>
  <c r="X200" i="7" s="1"/>
  <c r="Y200" i="7" s="1"/>
  <c r="AI200" i="7"/>
  <c r="V191" i="7"/>
  <c r="W191" i="7" s="1"/>
  <c r="X191" i="7" s="1"/>
  <c r="Y191" i="7" s="1"/>
  <c r="AI191" i="7"/>
  <c r="V90" i="7"/>
  <c r="W90" i="7" s="1"/>
  <c r="X90" i="7" s="1"/>
  <c r="Y90" i="7" s="1"/>
  <c r="AI90" i="7"/>
  <c r="V127" i="7"/>
  <c r="W127" i="7" s="1"/>
  <c r="X127" i="7" s="1"/>
  <c r="Y127" i="7" s="1"/>
  <c r="AI127" i="7"/>
  <c r="V182" i="7"/>
  <c r="W182" i="7" s="1"/>
  <c r="X182" i="7" s="1"/>
  <c r="Y182" i="7" s="1"/>
  <c r="AI182" i="7"/>
  <c r="V107" i="7"/>
  <c r="W107" i="7" s="1"/>
  <c r="X107" i="7" s="1"/>
  <c r="Y107" i="7" s="1"/>
  <c r="AI107" i="7"/>
  <c r="V147" i="7"/>
  <c r="W147" i="7" s="1"/>
  <c r="AI147" i="7"/>
  <c r="V157" i="7"/>
  <c r="W157" i="7" s="1"/>
  <c r="X157" i="7" s="1"/>
  <c r="Y157" i="7" s="1"/>
  <c r="AI157" i="7"/>
  <c r="V140" i="7"/>
  <c r="W140" i="7" s="1"/>
  <c r="X140" i="7" s="1"/>
  <c r="Y140" i="7" s="1"/>
  <c r="AI140" i="7"/>
  <c r="V197" i="7"/>
  <c r="W197" i="7" s="1"/>
  <c r="X197" i="7" s="1"/>
  <c r="Y197" i="7" s="1"/>
  <c r="AI197" i="7"/>
  <c r="V188" i="7"/>
  <c r="W188" i="7" s="1"/>
  <c r="X188" i="7" s="1"/>
  <c r="Y188" i="7" s="1"/>
  <c r="AI188" i="7"/>
  <c r="V50" i="7"/>
  <c r="W50" i="7" s="1"/>
  <c r="X50" i="7" s="1"/>
  <c r="Y50" i="7" s="1"/>
  <c r="AI50" i="7"/>
  <c r="V215" i="7"/>
  <c r="W215" i="7" s="1"/>
  <c r="X215" i="7" s="1"/>
  <c r="Y215" i="7" s="1"/>
  <c r="AI215" i="7"/>
  <c r="V124" i="7"/>
  <c r="W124" i="7" s="1"/>
  <c r="X124" i="7" s="1"/>
  <c r="Y124" i="7" s="1"/>
  <c r="AI124" i="7"/>
  <c r="V172" i="7"/>
  <c r="W172" i="7" s="1"/>
  <c r="X172" i="7" s="1"/>
  <c r="Y172" i="7" s="1"/>
  <c r="AI172" i="7"/>
  <c r="V122" i="7"/>
  <c r="W122" i="7" s="1"/>
  <c r="X122" i="7" s="1"/>
  <c r="Y122" i="7" s="1"/>
  <c r="AI122" i="7"/>
  <c r="V212" i="7"/>
  <c r="W212" i="7" s="1"/>
  <c r="X212" i="7" s="1"/>
  <c r="Y212" i="7" s="1"/>
  <c r="AI212" i="7"/>
  <c r="V39" i="7"/>
  <c r="AI39" i="7"/>
  <c r="V219" i="7"/>
  <c r="W219" i="7" s="1"/>
  <c r="X219" i="7" s="1"/>
  <c r="Y219" i="7" s="1"/>
  <c r="AI219" i="7"/>
  <c r="V136" i="7"/>
  <c r="W136" i="7" s="1"/>
  <c r="X136" i="7" s="1"/>
  <c r="Y136" i="7" s="1"/>
  <c r="AI136" i="7"/>
  <c r="V180" i="7"/>
  <c r="W180" i="7" s="1"/>
  <c r="X180" i="7" s="1"/>
  <c r="Y180" i="7" s="1"/>
  <c r="AI180" i="7"/>
  <c r="V152" i="7"/>
  <c r="W152" i="7" s="1"/>
  <c r="X152" i="7" s="1"/>
  <c r="Y152" i="7" s="1"/>
  <c r="AI152" i="7"/>
  <c r="V153" i="7"/>
  <c r="W153" i="7" s="1"/>
  <c r="X153" i="7" s="1"/>
  <c r="Y153" i="7" s="1"/>
  <c r="AI153" i="7"/>
  <c r="V46" i="7"/>
  <c r="W46" i="7" s="1"/>
  <c r="X46" i="7" s="1"/>
  <c r="Y46" i="7" s="1"/>
  <c r="AI46" i="7"/>
  <c r="V120" i="7"/>
  <c r="W120" i="7" s="1"/>
  <c r="X120" i="7" s="1"/>
  <c r="Y120" i="7" s="1"/>
  <c r="AI120" i="7"/>
  <c r="V221" i="7"/>
  <c r="W221" i="7" s="1"/>
  <c r="X221" i="7" s="1"/>
  <c r="Y221" i="7" s="1"/>
  <c r="AI221" i="7"/>
  <c r="V195" i="7"/>
  <c r="W195" i="7" s="1"/>
  <c r="X195" i="7" s="1"/>
  <c r="Y195" i="7" s="1"/>
  <c r="AI195" i="7"/>
  <c r="V32" i="7"/>
  <c r="W32" i="7" s="1"/>
  <c r="AI32" i="7"/>
  <c r="V207" i="7"/>
  <c r="W207" i="7" s="1"/>
  <c r="X207" i="7" s="1"/>
  <c r="Y207" i="7" s="1"/>
  <c r="AI207" i="7"/>
  <c r="V184" i="7"/>
  <c r="W184" i="7" s="1"/>
  <c r="X184" i="7" s="1"/>
  <c r="Y184" i="7" s="1"/>
  <c r="AI184" i="7"/>
  <c r="V115" i="7"/>
  <c r="W115" i="7" s="1"/>
  <c r="X115" i="7" s="1"/>
  <c r="Y115" i="7" s="1"/>
  <c r="AI115" i="7"/>
  <c r="V94" i="7"/>
  <c r="W94" i="7" s="1"/>
  <c r="X94" i="7" s="1"/>
  <c r="Y94" i="7" s="1"/>
  <c r="AI94" i="7"/>
  <c r="V156" i="7"/>
  <c r="W156" i="7" s="1"/>
  <c r="X156" i="7" s="1"/>
  <c r="Y156" i="7" s="1"/>
  <c r="AI156" i="7"/>
  <c r="V66" i="7"/>
  <c r="W66" i="7" s="1"/>
  <c r="X66" i="7" s="1"/>
  <c r="Y66" i="7" s="1"/>
  <c r="AI66" i="7"/>
  <c r="V146" i="7"/>
  <c r="W146" i="7" s="1"/>
  <c r="X146" i="7" s="1"/>
  <c r="Y146" i="7" s="1"/>
  <c r="AI146" i="7"/>
  <c r="V99" i="7"/>
  <c r="W99" i="7" s="1"/>
  <c r="X99" i="7" s="1"/>
  <c r="Y99" i="7" s="1"/>
  <c r="AI99" i="7"/>
  <c r="V97" i="7"/>
  <c r="W97" i="7" s="1"/>
  <c r="X97" i="7" s="1"/>
  <c r="Y97" i="7" s="1"/>
  <c r="AI97" i="7"/>
  <c r="V106" i="7"/>
  <c r="W106" i="7" s="1"/>
  <c r="X106" i="7" s="1"/>
  <c r="Y106" i="7" s="1"/>
  <c r="AI106" i="7"/>
  <c r="V110" i="7"/>
  <c r="W110" i="7" s="1"/>
  <c r="X110" i="7" s="1"/>
  <c r="Y110" i="7" s="1"/>
  <c r="AI110" i="7"/>
  <c r="V175" i="7"/>
  <c r="W175" i="7" s="1"/>
  <c r="X175" i="7" s="1"/>
  <c r="Y175" i="7" s="1"/>
  <c r="AI175" i="7"/>
  <c r="V45" i="7"/>
  <c r="W45" i="7" s="1"/>
  <c r="X45" i="7" s="1"/>
  <c r="Y45" i="7" s="1"/>
  <c r="AI45" i="7"/>
  <c r="V48" i="7"/>
  <c r="W48" i="7" s="1"/>
  <c r="X48" i="7" s="1"/>
  <c r="Y48" i="7" s="1"/>
  <c r="AI48" i="7"/>
  <c r="V44" i="7"/>
  <c r="W44" i="7" s="1"/>
  <c r="X44" i="7" s="1"/>
  <c r="Y44" i="7" s="1"/>
  <c r="AI44" i="7"/>
  <c r="V225" i="7"/>
  <c r="W225" i="7" s="1"/>
  <c r="X225" i="7" s="1"/>
  <c r="Y225" i="7" s="1"/>
  <c r="AI225" i="7"/>
  <c r="V169" i="7"/>
  <c r="W169" i="7" s="1"/>
  <c r="X169" i="7" s="1"/>
  <c r="Y169" i="7" s="1"/>
  <c r="AI169" i="7"/>
  <c r="V121" i="7"/>
  <c r="W121" i="7" s="1"/>
  <c r="X121" i="7" s="1"/>
  <c r="Y121" i="7" s="1"/>
  <c r="AI121" i="7"/>
  <c r="V65" i="7"/>
  <c r="W65" i="7" s="1"/>
  <c r="X65" i="7" s="1"/>
  <c r="Y65" i="7" s="1"/>
  <c r="AI65" i="7"/>
  <c r="V64" i="7"/>
  <c r="W64" i="7" s="1"/>
  <c r="X64" i="7" s="1"/>
  <c r="Y64" i="7" s="1"/>
  <c r="AI64" i="7"/>
  <c r="V206" i="7"/>
  <c r="W206" i="7" s="1"/>
  <c r="X206" i="7" s="1"/>
  <c r="Y206" i="7" s="1"/>
  <c r="AI206" i="7"/>
  <c r="V91" i="7"/>
  <c r="W91" i="7" s="1"/>
  <c r="X91" i="7" s="1"/>
  <c r="Y91" i="7" s="1"/>
  <c r="AI91" i="7"/>
  <c r="V131" i="7"/>
  <c r="W131" i="7" s="1"/>
  <c r="X131" i="7" s="1"/>
  <c r="Y131" i="7" s="1"/>
  <c r="AI131" i="7"/>
  <c r="V38" i="7"/>
  <c r="W38" i="7" s="1"/>
  <c r="AI38" i="7"/>
  <c r="V72" i="7"/>
  <c r="W72" i="7" s="1"/>
  <c r="X72" i="7" s="1"/>
  <c r="Y72" i="7" s="1"/>
  <c r="AI72" i="7"/>
  <c r="V192" i="7"/>
  <c r="W192" i="7" s="1"/>
  <c r="X192" i="7" s="1"/>
  <c r="Y192" i="7" s="1"/>
  <c r="AI192" i="7"/>
  <c r="V181" i="7"/>
  <c r="W181" i="7" s="1"/>
  <c r="X181" i="7" s="1"/>
  <c r="Y181" i="7" s="1"/>
  <c r="AI181" i="7"/>
  <c r="V142" i="7"/>
  <c r="W142" i="7" s="1"/>
  <c r="X142" i="7" s="1"/>
  <c r="Y142" i="7" s="1"/>
  <c r="AI142" i="7"/>
  <c r="V183" i="7"/>
  <c r="W183" i="7" s="1"/>
  <c r="X183" i="7" s="1"/>
  <c r="Y183" i="7" s="1"/>
  <c r="AI183" i="7"/>
  <c r="V111" i="7"/>
  <c r="W111" i="7" s="1"/>
  <c r="X111" i="7" s="1"/>
  <c r="Y111" i="7" s="1"/>
  <c r="AI111" i="7"/>
  <c r="V100" i="7"/>
  <c r="W100" i="7" s="1"/>
  <c r="X100" i="7" s="1"/>
  <c r="Y100" i="7" s="1"/>
  <c r="AI100" i="7"/>
  <c r="V179" i="7"/>
  <c r="W179" i="7" s="1"/>
  <c r="X179" i="7" s="1"/>
  <c r="Y179" i="7" s="1"/>
  <c r="AI179" i="7"/>
  <c r="V161" i="7"/>
  <c r="W161" i="7" s="1"/>
  <c r="X161" i="7" s="1"/>
  <c r="Y161" i="7" s="1"/>
  <c r="AI161" i="7"/>
  <c r="V162" i="7"/>
  <c r="W162" i="7" s="1"/>
  <c r="X162" i="7" s="1"/>
  <c r="Y162" i="7" s="1"/>
  <c r="AI162" i="7"/>
  <c r="V228" i="7"/>
  <c r="W228" i="7" s="1"/>
  <c r="X228" i="7" s="1"/>
  <c r="Y228" i="7" s="1"/>
  <c r="AI228" i="7"/>
  <c r="V213" i="7"/>
  <c r="W213" i="7" s="1"/>
  <c r="X213" i="7" s="1"/>
  <c r="Y213" i="7" s="1"/>
  <c r="AI213" i="7"/>
  <c r="V148" i="7"/>
  <c r="W148" i="7" s="1"/>
  <c r="X148" i="7" s="1"/>
  <c r="Y148" i="7" s="1"/>
  <c r="AI148" i="7"/>
  <c r="V150" i="7"/>
  <c r="W150" i="7" s="1"/>
  <c r="X150" i="7" s="1"/>
  <c r="Y150" i="7" s="1"/>
  <c r="AI150" i="7"/>
  <c r="V132" i="7"/>
  <c r="W132" i="7" s="1"/>
  <c r="X132" i="7" s="1"/>
  <c r="Y132" i="7" s="1"/>
  <c r="AI132" i="7"/>
  <c r="V81" i="7"/>
  <c r="W81" i="7" s="1"/>
  <c r="X81" i="7" s="1"/>
  <c r="Y81" i="7" s="1"/>
  <c r="AI81" i="7"/>
  <c r="V67" i="7"/>
  <c r="W67" i="7" s="1"/>
  <c r="X67" i="7" s="1"/>
  <c r="Y67" i="7" s="1"/>
  <c r="AI67" i="7"/>
  <c r="V114" i="7"/>
  <c r="W114" i="7" s="1"/>
  <c r="X114" i="7" s="1"/>
  <c r="Y114" i="7" s="1"/>
  <c r="AI114" i="7"/>
  <c r="V125" i="7"/>
  <c r="W125" i="7" s="1"/>
  <c r="X125" i="7" s="1"/>
  <c r="Y125" i="7" s="1"/>
  <c r="AI125" i="7"/>
  <c r="V159" i="7"/>
  <c r="W159" i="7" s="1"/>
  <c r="X159" i="7" s="1"/>
  <c r="Y159" i="7" s="1"/>
  <c r="AI159" i="7"/>
  <c r="V98" i="7"/>
  <c r="W98" i="7" s="1"/>
  <c r="X98" i="7" s="1"/>
  <c r="Y98" i="7" s="1"/>
  <c r="AI98" i="7"/>
  <c r="V160" i="7"/>
  <c r="W160" i="7" s="1"/>
  <c r="X160" i="7" s="1"/>
  <c r="Y160" i="7" s="1"/>
  <c r="AI160" i="7"/>
  <c r="V112" i="7"/>
  <c r="W112" i="7" s="1"/>
  <c r="X112" i="7" s="1"/>
  <c r="Y112" i="7" s="1"/>
  <c r="AI112" i="7"/>
  <c r="V87" i="7"/>
  <c r="W87" i="7" s="1"/>
  <c r="X87" i="7" s="1"/>
  <c r="Y87" i="7" s="1"/>
  <c r="AI87" i="7"/>
  <c r="V47" i="7"/>
  <c r="AI47" i="7"/>
  <c r="V144" i="7"/>
  <c r="W144" i="7" s="1"/>
  <c r="X144" i="7" s="1"/>
  <c r="Y144" i="7" s="1"/>
  <c r="AI144" i="7"/>
  <c r="V93" i="7"/>
  <c r="W93" i="7" s="1"/>
  <c r="X93" i="7" s="1"/>
  <c r="Y93" i="7" s="1"/>
  <c r="AI93" i="7"/>
  <c r="V220" i="7"/>
  <c r="W220" i="7" s="1"/>
  <c r="X220" i="7" s="1"/>
  <c r="Y220" i="7" s="1"/>
  <c r="AI220" i="7"/>
  <c r="V134" i="7"/>
  <c r="W134" i="7" s="1"/>
  <c r="X134" i="7" s="1"/>
  <c r="Y134" i="7" s="1"/>
  <c r="AI134" i="7"/>
  <c r="V149" i="7"/>
  <c r="W149" i="7" s="1"/>
  <c r="X149" i="7" s="1"/>
  <c r="Y149" i="7" s="1"/>
  <c r="AI149" i="7"/>
  <c r="V104" i="7"/>
  <c r="W104" i="7" s="1"/>
  <c r="X104" i="7" s="1"/>
  <c r="Y104" i="7" s="1"/>
  <c r="AI104" i="7"/>
  <c r="V43" i="7"/>
  <c r="W43" i="7" s="1"/>
  <c r="X43" i="7" s="1"/>
  <c r="Y43" i="7" s="1"/>
  <c r="AI43" i="7"/>
  <c r="V79" i="7"/>
  <c r="W79" i="7" s="1"/>
  <c r="X79" i="7" s="1"/>
  <c r="Y79" i="7" s="1"/>
  <c r="AI79" i="7"/>
  <c r="V92" i="7"/>
  <c r="W92" i="7" s="1"/>
  <c r="X92" i="7" s="1"/>
  <c r="Y92" i="7" s="1"/>
  <c r="AI92" i="7"/>
  <c r="V130" i="7"/>
  <c r="W130" i="7" s="1"/>
  <c r="X130" i="7" s="1"/>
  <c r="Y130" i="7" s="1"/>
  <c r="AI130" i="7"/>
  <c r="V138" i="7"/>
  <c r="W138" i="7" s="1"/>
  <c r="X138" i="7" s="1"/>
  <c r="Y138" i="7" s="1"/>
  <c r="AI138" i="7"/>
  <c r="V199" i="7"/>
  <c r="W199" i="7" s="1"/>
  <c r="X199" i="7" s="1"/>
  <c r="Y199" i="7" s="1"/>
  <c r="AI199" i="7"/>
  <c r="V174" i="7"/>
  <c r="W174" i="7" s="1"/>
  <c r="X174" i="7" s="1"/>
  <c r="Y174" i="7" s="1"/>
  <c r="AI174" i="7"/>
  <c r="V173" i="7"/>
  <c r="W173" i="7" s="1"/>
  <c r="X173" i="7" s="1"/>
  <c r="Y173" i="7" s="1"/>
  <c r="AI173" i="7"/>
  <c r="V224" i="7"/>
  <c r="W224" i="7" s="1"/>
  <c r="X224" i="7" s="1"/>
  <c r="Y224" i="7" s="1"/>
  <c r="AI224" i="7"/>
  <c r="V108" i="7"/>
  <c r="W108" i="7" s="1"/>
  <c r="X108" i="7" s="1"/>
  <c r="Y108" i="7" s="1"/>
  <c r="AI108" i="7"/>
  <c r="V103" i="7"/>
  <c r="W103" i="7" s="1"/>
  <c r="X103" i="7" s="1"/>
  <c r="Y103" i="7" s="1"/>
  <c r="AI103" i="7"/>
  <c r="V210" i="7"/>
  <c r="W210" i="7" s="1"/>
  <c r="X210" i="7" s="1"/>
  <c r="Y210" i="7" s="1"/>
  <c r="AI210" i="7"/>
  <c r="V166" i="7"/>
  <c r="W166" i="7" s="1"/>
  <c r="X166" i="7" s="1"/>
  <c r="Y166" i="7" s="1"/>
  <c r="AI166" i="7"/>
  <c r="V95" i="7"/>
  <c r="W95" i="7" s="1"/>
  <c r="X95" i="7" s="1"/>
  <c r="Y95" i="7" s="1"/>
  <c r="AI95" i="7"/>
  <c r="V119" i="7"/>
  <c r="W119" i="7" s="1"/>
  <c r="X119" i="7" s="1"/>
  <c r="Y119" i="7" s="1"/>
  <c r="AI119" i="7"/>
  <c r="V68" i="7"/>
  <c r="W68" i="7" s="1"/>
  <c r="X68" i="7" s="1"/>
  <c r="Y68" i="7" s="1"/>
  <c r="AI68" i="7"/>
  <c r="V193" i="7"/>
  <c r="W193" i="7" s="1"/>
  <c r="X193" i="7" s="1"/>
  <c r="Y193" i="7" s="1"/>
  <c r="AI193" i="7"/>
  <c r="V63" i="7"/>
  <c r="W63" i="7" s="1"/>
  <c r="AI63" i="7"/>
  <c r="AH48" i="7"/>
  <c r="AK48" i="7" s="1"/>
  <c r="AL48" i="7" s="1"/>
  <c r="AR48" i="7" s="1"/>
  <c r="AH49" i="7"/>
  <c r="AK49" i="7" s="1"/>
  <c r="AL49" i="7" s="1"/>
  <c r="AR49" i="7" s="1"/>
  <c r="AH67" i="7"/>
  <c r="AK67" i="7" s="1"/>
  <c r="AL67" i="7" s="1"/>
  <c r="AR67" i="7" s="1"/>
  <c r="W78" i="7"/>
  <c r="X78" i="7" s="1"/>
  <c r="Y78" i="7" s="1"/>
  <c r="AH63" i="7"/>
  <c r="AK63" i="7" s="1"/>
  <c r="AL63" i="7" s="1"/>
  <c r="E39" i="9"/>
  <c r="AH69" i="7"/>
  <c r="AK69" i="7" s="1"/>
  <c r="AL69" i="7" s="1"/>
  <c r="AH58" i="7"/>
  <c r="AK58" i="7" s="1"/>
  <c r="AL58" i="7" s="1"/>
  <c r="AR58" i="7" s="1"/>
  <c r="AH60" i="7"/>
  <c r="AK60" i="7" s="1"/>
  <c r="AL60" i="7" s="1"/>
  <c r="AR60" i="7" s="1"/>
  <c r="AH42" i="7"/>
  <c r="AK42" i="7" s="1"/>
  <c r="AL42" i="7" s="1"/>
  <c r="AR42" i="7" s="1"/>
  <c r="AH55" i="7"/>
  <c r="AK55" i="7" s="1"/>
  <c r="AL55" i="7" s="1"/>
  <c r="AR55" i="7" s="1"/>
  <c r="AH54" i="7"/>
  <c r="AK54" i="7" s="1"/>
  <c r="AL54" i="7" s="1"/>
  <c r="AR54" i="7" s="1"/>
  <c r="AH43" i="7"/>
  <c r="AK43" i="7" s="1"/>
  <c r="AL43" i="7" s="1"/>
  <c r="AH45" i="7"/>
  <c r="AK45" i="7" s="1"/>
  <c r="AL45" i="7" s="1"/>
  <c r="AR45" i="7" s="1"/>
  <c r="AH41" i="7"/>
  <c r="AK41" i="7" s="1"/>
  <c r="AL41" i="7" s="1"/>
  <c r="AR41" i="7" s="1"/>
  <c r="AH72" i="7"/>
  <c r="AK72" i="7" s="1"/>
  <c r="AL72" i="7" s="1"/>
  <c r="AR72" i="7" s="1"/>
  <c r="AH47" i="7"/>
  <c r="AK47" i="7" s="1"/>
  <c r="AL47" i="7" s="1"/>
  <c r="AR47" i="7" s="1"/>
  <c r="AH61" i="7"/>
  <c r="AK61" i="7" s="1"/>
  <c r="AL61" i="7" s="1"/>
  <c r="AR61" i="7" s="1"/>
  <c r="AH82" i="7"/>
  <c r="AK82" i="7" s="1"/>
  <c r="AL82" i="7" s="1"/>
  <c r="AR82" i="7" s="1"/>
  <c r="AH71" i="7"/>
  <c r="AK71" i="7" s="1"/>
  <c r="AL71" i="7" s="1"/>
  <c r="AH68" i="7"/>
  <c r="AK68" i="7" s="1"/>
  <c r="AL68" i="7" s="1"/>
  <c r="AR68" i="7" s="1"/>
  <c r="AH62" i="7"/>
  <c r="AK62" i="7" s="1"/>
  <c r="AL62" i="7" s="1"/>
  <c r="AR62" i="7" s="1"/>
  <c r="U46" i="9"/>
  <c r="AH73" i="7"/>
  <c r="AK73" i="7" s="1"/>
  <c r="AL73" i="7" s="1"/>
  <c r="AR73" i="7" s="1"/>
  <c r="AH66" i="7"/>
  <c r="AK66" i="7" s="1"/>
  <c r="AL66" i="7" s="1"/>
  <c r="AR66" i="7" s="1"/>
  <c r="AH59" i="7"/>
  <c r="AK59" i="7" s="1"/>
  <c r="AL59" i="7" s="1"/>
  <c r="AR59" i="7" s="1"/>
  <c r="U33" i="9"/>
  <c r="AH64" i="7"/>
  <c r="AK64" i="7" s="1"/>
  <c r="AL64" i="7" s="1"/>
  <c r="AH53" i="7"/>
  <c r="AK53" i="7" s="1"/>
  <c r="AL53" i="7" s="1"/>
  <c r="AR53" i="7" s="1"/>
  <c r="AH56" i="7"/>
  <c r="AK56" i="7" s="1"/>
  <c r="AL56" i="7" s="1"/>
  <c r="AR56" i="7" s="1"/>
  <c r="AH40" i="7"/>
  <c r="AK40" i="7" s="1"/>
  <c r="AL40" i="7" s="1"/>
  <c r="U53" i="9"/>
  <c r="U39" i="9"/>
  <c r="AH32" i="7"/>
  <c r="AK32" i="7" s="1"/>
  <c r="AL32" i="7" s="1"/>
  <c r="R58" i="9" s="1" a="1"/>
  <c r="R58" i="9" s="1"/>
  <c r="U58" i="9" s="1"/>
  <c r="AA74" i="7"/>
  <c r="AC74" i="7" s="1"/>
  <c r="U52" i="9"/>
  <c r="U81" i="9"/>
  <c r="AA221" i="7"/>
  <c r="AB221" i="7" s="1"/>
  <c r="AH35" i="7"/>
  <c r="AK35" i="7" s="1"/>
  <c r="AL35" i="7" s="1"/>
  <c r="U56" i="9"/>
  <c r="AH38" i="7"/>
  <c r="AK38" i="7" s="1"/>
  <c r="AL38" i="7" s="1"/>
  <c r="AR38" i="7" s="1"/>
  <c r="U29" i="9"/>
  <c r="AA217" i="7"/>
  <c r="AC217" i="7" s="1"/>
  <c r="AA67" i="7"/>
  <c r="AH50" i="7"/>
  <c r="AK50" i="7" s="1"/>
  <c r="AL50" i="7" s="1"/>
  <c r="AR50" i="7" s="1"/>
  <c r="AH39" i="7"/>
  <c r="AK39" i="7" s="1"/>
  <c r="AL39" i="7" s="1"/>
  <c r="AR39" i="7" s="1"/>
  <c r="AH65" i="7"/>
  <c r="AK65" i="7" s="1"/>
  <c r="AL65" i="7" s="1"/>
  <c r="AR65" i="7" s="1"/>
  <c r="U47" i="9"/>
  <c r="U41" i="9"/>
  <c r="AA56" i="7"/>
  <c r="AB56" i="7" s="1"/>
  <c r="U30" i="9"/>
  <c r="AA151" i="7"/>
  <c r="AC151" i="7" s="1"/>
  <c r="AH44" i="7"/>
  <c r="AK44" i="7" s="1"/>
  <c r="AL44" i="7" s="1"/>
  <c r="AR44" i="7" s="1"/>
  <c r="U23" i="9"/>
  <c r="U44" i="9"/>
  <c r="U14" i="9"/>
  <c r="U42" i="9"/>
  <c r="AH40" i="5"/>
  <c r="AK40" i="5" s="1"/>
  <c r="AL40" i="5" s="1"/>
  <c r="AR40" i="5" s="1"/>
  <c r="AH59" i="5"/>
  <c r="AK59" i="5" s="1"/>
  <c r="AL59" i="5" s="1"/>
  <c r="AR59" i="5" s="1"/>
  <c r="AH54" i="5"/>
  <c r="AK54" i="5" s="1"/>
  <c r="AL54" i="5" s="1"/>
  <c r="AR54" i="5" s="1"/>
  <c r="AH44" i="5"/>
  <c r="AK44" i="5" s="1"/>
  <c r="AL44" i="5" s="1"/>
  <c r="AR44" i="5" s="1"/>
  <c r="AH41" i="5"/>
  <c r="AK41" i="5" s="1"/>
  <c r="AL41" i="5" s="1"/>
  <c r="AR41" i="5" s="1"/>
  <c r="AH36" i="5"/>
  <c r="AK36" i="5" s="1"/>
  <c r="AL36" i="5" s="1"/>
  <c r="AR36" i="5" s="1"/>
  <c r="AH42" i="5"/>
  <c r="AK42" i="5" s="1"/>
  <c r="AL42" i="5" s="1"/>
  <c r="AR42" i="5" s="1"/>
  <c r="AH39" i="5"/>
  <c r="AK39" i="5" s="1"/>
  <c r="AL39" i="5" s="1"/>
  <c r="AR39" i="5" s="1"/>
  <c r="AH58" i="5"/>
  <c r="AK58" i="5" s="1"/>
  <c r="AL58" i="5" s="1"/>
  <c r="AR58" i="5" s="1"/>
  <c r="AH37" i="5"/>
  <c r="AK37" i="5" s="1"/>
  <c r="AL37" i="5" s="1"/>
  <c r="AR37" i="5" s="1"/>
  <c r="U52" i="6"/>
  <c r="AH38" i="5"/>
  <c r="AK38" i="5" s="1"/>
  <c r="AL38" i="5" s="1"/>
  <c r="AR38" i="5" s="1"/>
  <c r="U34" i="6"/>
  <c r="AH49" i="5"/>
  <c r="AK49" i="5" s="1"/>
  <c r="AL49" i="5" s="1"/>
  <c r="AR49" i="5" s="1"/>
  <c r="U27" i="6"/>
  <c r="AH33" i="5"/>
  <c r="U35" i="6"/>
  <c r="AH52" i="5"/>
  <c r="AK52" i="5" s="1"/>
  <c r="AL52" i="5" s="1"/>
  <c r="AR52" i="5" s="1"/>
  <c r="U26" i="6"/>
  <c r="AH34" i="5"/>
  <c r="U60" i="6"/>
  <c r="AH35" i="5"/>
  <c r="AH50" i="5"/>
  <c r="AK50" i="5" s="1"/>
  <c r="AL50" i="5" s="1"/>
  <c r="AR50" i="5" s="1"/>
  <c r="W214" i="7"/>
  <c r="X214" i="7" s="1"/>
  <c r="Y214" i="7" s="1"/>
  <c r="W126" i="7"/>
  <c r="X126" i="7" s="1"/>
  <c r="Y126" i="7" s="1"/>
  <c r="W70" i="7"/>
  <c r="X70" i="7" s="1"/>
  <c r="Y70" i="7" s="1"/>
  <c r="AJ70" i="7"/>
  <c r="AJ175" i="7"/>
  <c r="AJ131" i="7"/>
  <c r="AJ141" i="7"/>
  <c r="AJ164" i="7"/>
  <c r="AJ184" i="7"/>
  <c r="AJ128" i="7"/>
  <c r="AJ150" i="7"/>
  <c r="AJ94" i="7"/>
  <c r="AR176" i="7"/>
  <c r="AR101" i="7"/>
  <c r="AR109" i="7"/>
  <c r="AR120" i="7"/>
  <c r="AR103" i="7"/>
  <c r="AR216" i="7"/>
  <c r="AR168" i="7"/>
  <c r="AR186" i="7"/>
  <c r="AK106" i="7"/>
  <c r="AL106" i="7" s="1"/>
  <c r="AR106" i="7" s="1"/>
  <c r="AR135" i="7"/>
  <c r="AR144" i="7"/>
  <c r="AR154" i="7"/>
  <c r="AR129" i="7"/>
  <c r="AR111" i="7"/>
  <c r="AK172" i="7"/>
  <c r="AL172" i="7" s="1"/>
  <c r="AR143" i="7"/>
  <c r="AK116" i="7"/>
  <c r="AL116" i="7" s="1"/>
  <c r="AR116" i="7" s="1"/>
  <c r="AR190" i="7"/>
  <c r="AR84" i="7"/>
  <c r="AR123" i="7"/>
  <c r="AR159" i="7"/>
  <c r="R45" i="9" a="1"/>
  <c r="R45" i="9" s="1"/>
  <c r="U45" i="9" s="1"/>
  <c r="AR227" i="7"/>
  <c r="AR102" i="7"/>
  <c r="AR215" i="7"/>
  <c r="AR229" i="7"/>
  <c r="AR91" i="7"/>
  <c r="AR115" i="7"/>
  <c r="AR83" i="7"/>
  <c r="AK131" i="7"/>
  <c r="AL131" i="7" s="1"/>
  <c r="AR131" i="7" s="1"/>
  <c r="AK89" i="7"/>
  <c r="AL89" i="7" s="1"/>
  <c r="AR191" i="7"/>
  <c r="AR125" i="7"/>
  <c r="AR184" i="7"/>
  <c r="AR85" i="7"/>
  <c r="AJ119" i="7"/>
  <c r="AK217" i="7"/>
  <c r="AL217" i="7" s="1"/>
  <c r="AR217" i="7" s="1"/>
  <c r="AJ107" i="7"/>
  <c r="AA87" i="7"/>
  <c r="AC87" i="7" s="1"/>
  <c r="AR95" i="7"/>
  <c r="AK180" i="7"/>
  <c r="AL180" i="7" s="1"/>
  <c r="AR138" i="7"/>
  <c r="AR147" i="7"/>
  <c r="AJ219" i="7"/>
  <c r="AK152" i="7"/>
  <c r="AL152" i="7" s="1"/>
  <c r="AR152" i="7" s="1"/>
  <c r="AK127" i="7"/>
  <c r="AL127" i="7" s="1"/>
  <c r="AR127" i="7" s="1"/>
  <c r="AJ171" i="7"/>
  <c r="AJ144" i="7"/>
  <c r="AA188" i="7"/>
  <c r="AB188" i="7" s="1"/>
  <c r="AR110" i="7"/>
  <c r="AR112" i="7"/>
  <c r="AA47" i="7"/>
  <c r="AC47" i="7" s="1"/>
  <c r="AJ111" i="7"/>
  <c r="AR97" i="7"/>
  <c r="AR197" i="7"/>
  <c r="AK175" i="7"/>
  <c r="AL175" i="7" s="1"/>
  <c r="AR175" i="7" s="1"/>
  <c r="AJ99" i="7"/>
  <c r="AK124" i="7"/>
  <c r="AL124" i="7" s="1"/>
  <c r="AR124" i="7" s="1"/>
  <c r="AJ132" i="7"/>
  <c r="AA60" i="7"/>
  <c r="AB60" i="7" s="1"/>
  <c r="AJ174" i="7"/>
  <c r="AR119" i="7"/>
  <c r="AJ202" i="7"/>
  <c r="AJ81" i="7"/>
  <c r="AA142" i="7"/>
  <c r="AB142" i="7" s="1"/>
  <c r="AJ170" i="7"/>
  <c r="AA200" i="7"/>
  <c r="AC200" i="7" s="1"/>
  <c r="BA24" i="7"/>
  <c r="AB71" i="9" s="1"/>
  <c r="AJ104" i="7"/>
  <c r="AJ214" i="7"/>
  <c r="AA167" i="7"/>
  <c r="AC167" i="7" s="1"/>
  <c r="AR130" i="7"/>
  <c r="AR209" i="7"/>
  <c r="AA205" i="7"/>
  <c r="AC205" i="7" s="1"/>
  <c r="AJ194" i="7"/>
  <c r="AJ122" i="7"/>
  <c r="AA141" i="7"/>
  <c r="AB141" i="7" s="1"/>
  <c r="AA101" i="7"/>
  <c r="AB101" i="7" s="1"/>
  <c r="AJ65" i="7"/>
  <c r="AJ106" i="7"/>
  <c r="AA68" i="7"/>
  <c r="AC68" i="7" s="1"/>
  <c r="AA227" i="7"/>
  <c r="AC227" i="7" s="1"/>
  <c r="AA50" i="7"/>
  <c r="AC50" i="7" s="1"/>
  <c r="AA82" i="7"/>
  <c r="AC82" i="7" s="1"/>
  <c r="C40" i="9"/>
  <c r="E40" i="9" s="1"/>
  <c r="AJ101" i="7"/>
  <c r="AA55" i="7"/>
  <c r="AC55" i="7" s="1"/>
  <c r="AJ115" i="7"/>
  <c r="AR98" i="7"/>
  <c r="AR179" i="7"/>
  <c r="AR157" i="7"/>
  <c r="AA71" i="7"/>
  <c r="AB71" i="7" s="1"/>
  <c r="AA177" i="7"/>
  <c r="AC177" i="7" s="1"/>
  <c r="AJ84" i="7"/>
  <c r="O9" i="7"/>
  <c r="X9" i="7"/>
  <c r="X24" i="7" s="1"/>
  <c r="AA210" i="7"/>
  <c r="AB210" i="7" s="1"/>
  <c r="AR228" i="7"/>
  <c r="AR163" i="7"/>
  <c r="AA162" i="7"/>
  <c r="AB162" i="7" s="1"/>
  <c r="AJ223" i="7"/>
  <c r="AJ199" i="7"/>
  <c r="AA76" i="7"/>
  <c r="AC76" i="7" s="1"/>
  <c r="AR153" i="7"/>
  <c r="AR225" i="7"/>
  <c r="AR199" i="7"/>
  <c r="AR99" i="7"/>
  <c r="AA172" i="7"/>
  <c r="AC172" i="7" s="1"/>
  <c r="AA45" i="7"/>
  <c r="AB45" i="7" s="1"/>
  <c r="AA81" i="7"/>
  <c r="AC81" i="7" s="1"/>
  <c r="AR86" i="7"/>
  <c r="AB42" i="7"/>
  <c r="AC42" i="7"/>
  <c r="X59" i="7"/>
  <c r="Y59" i="7" s="1"/>
  <c r="AA122" i="7"/>
  <c r="AA62" i="7"/>
  <c r="AA228" i="7"/>
  <c r="AA105" i="7"/>
  <c r="AA204" i="7"/>
  <c r="AK76" i="7"/>
  <c r="AL76" i="7" s="1"/>
  <c r="AA46" i="7"/>
  <c r="AA79" i="7"/>
  <c r="AA185" i="7"/>
  <c r="X51" i="7"/>
  <c r="Y51" i="7" s="1"/>
  <c r="AA138" i="7"/>
  <c r="AZ24" i="7"/>
  <c r="Z71" i="9" s="1"/>
  <c r="X53" i="7"/>
  <c r="Y53" i="7" s="1"/>
  <c r="AA146" i="7"/>
  <c r="AA224" i="7"/>
  <c r="X36" i="7"/>
  <c r="Y36" i="7" s="1"/>
  <c r="AA175" i="7"/>
  <c r="AR74" i="7"/>
  <c r="AK51" i="7"/>
  <c r="AL51" i="7" s="1"/>
  <c r="AR51" i="7" s="1"/>
  <c r="X56" i="7"/>
  <c r="Y56" i="7" s="1"/>
  <c r="AA165" i="7"/>
  <c r="AA164" i="7"/>
  <c r="AA187" i="7"/>
  <c r="AA64" i="7"/>
  <c r="AA41" i="7"/>
  <c r="AA32" i="7"/>
  <c r="AK57" i="7"/>
  <c r="AL57" i="7" s="1"/>
  <c r="AR57" i="7" s="1"/>
  <c r="AA209" i="7"/>
  <c r="AA52" i="7"/>
  <c r="W55" i="7"/>
  <c r="X55" i="7" s="1"/>
  <c r="Y55" i="7" s="1"/>
  <c r="AA125" i="7"/>
  <c r="W75" i="7"/>
  <c r="X75" i="7" s="1"/>
  <c r="Y75" i="7" s="1"/>
  <c r="T4" i="7"/>
  <c r="AA129" i="7"/>
  <c r="AA72" i="7"/>
  <c r="AA226" i="7"/>
  <c r="W60" i="7"/>
  <c r="X60" i="7" s="1"/>
  <c r="Y60" i="7" s="1"/>
  <c r="AA163" i="7"/>
  <c r="AA38" i="7"/>
  <c r="AA58" i="7"/>
  <c r="AA40" i="7"/>
  <c r="AA75" i="7"/>
  <c r="AA109" i="7"/>
  <c r="AK37" i="7"/>
  <c r="AL37" i="7" s="1"/>
  <c r="W35" i="7"/>
  <c r="X35" i="7" s="1"/>
  <c r="Y35" i="7" s="1"/>
  <c r="AA37" i="7"/>
  <c r="AA201" i="7"/>
  <c r="AA198" i="7"/>
  <c r="AA48" i="7"/>
  <c r="AA161" i="7"/>
  <c r="AA152" i="7"/>
  <c r="AC67" i="7"/>
  <c r="AB67" i="7"/>
  <c r="X52" i="7"/>
  <c r="Y52" i="7" s="1"/>
  <c r="X54" i="7"/>
  <c r="Y54" i="7" s="1"/>
  <c r="AA34" i="7"/>
  <c r="AA140" i="7"/>
  <c r="AA104" i="7"/>
  <c r="AA39" i="7"/>
  <c r="AA35" i="7"/>
  <c r="AA166" i="7"/>
  <c r="AA135" i="7"/>
  <c r="AA90" i="7"/>
  <c r="AA120" i="7"/>
  <c r="AA100" i="7"/>
  <c r="AA85" i="7"/>
  <c r="AA136" i="7"/>
  <c r="AA116" i="7"/>
  <c r="AA132" i="7"/>
  <c r="AA112" i="7"/>
  <c r="AA106" i="7"/>
  <c r="AA95" i="7"/>
  <c r="AA118" i="7"/>
  <c r="AA128" i="7"/>
  <c r="AA88" i="7"/>
  <c r="AA69" i="7"/>
  <c r="AA78" i="7"/>
  <c r="AA111" i="7"/>
  <c r="AA98" i="7"/>
  <c r="AA114" i="7"/>
  <c r="AA96" i="7"/>
  <c r="AA51" i="7"/>
  <c r="AA110" i="7"/>
  <c r="AA103" i="7"/>
  <c r="AA92" i="7"/>
  <c r="AA131" i="7"/>
  <c r="AA73" i="7"/>
  <c r="AA186" i="7"/>
  <c r="AA94" i="7"/>
  <c r="AA59" i="7"/>
  <c r="AA173" i="7"/>
  <c r="AA84" i="7"/>
  <c r="AA139" i="7"/>
  <c r="AA91" i="7"/>
  <c r="AA65" i="7"/>
  <c r="AA202" i="7"/>
  <c r="AA203" i="7"/>
  <c r="AA215" i="7"/>
  <c r="AA143" i="7"/>
  <c r="AA156" i="7"/>
  <c r="AA181" i="7"/>
  <c r="AA148" i="7"/>
  <c r="AA123" i="7"/>
  <c r="AA150" i="7"/>
  <c r="AA206" i="7"/>
  <c r="AA107" i="7"/>
  <c r="AA108" i="7"/>
  <c r="AA184" i="7"/>
  <c r="AA225" i="7"/>
  <c r="AA53" i="7"/>
  <c r="AA137" i="7"/>
  <c r="AA145" i="7"/>
  <c r="AA44" i="7"/>
  <c r="AA43" i="7"/>
  <c r="AA220" i="7"/>
  <c r="AA54" i="7"/>
  <c r="AA147" i="7"/>
  <c r="AA213" i="7"/>
  <c r="AA102" i="7"/>
  <c r="AA117" i="7"/>
  <c r="AA160" i="7"/>
  <c r="AA113" i="7"/>
  <c r="AA83" i="7"/>
  <c r="AA193" i="7"/>
  <c r="AA86" i="7"/>
  <c r="AA121" i="7"/>
  <c r="AA158" i="7"/>
  <c r="AA153" i="7"/>
  <c r="AA182" i="7"/>
  <c r="AA134" i="7"/>
  <c r="AA223" i="7"/>
  <c r="AA124" i="7"/>
  <c r="AA174" i="7"/>
  <c r="AA192" i="7"/>
  <c r="AA126" i="7"/>
  <c r="AA155" i="7"/>
  <c r="AA183" i="7"/>
  <c r="AA36" i="7"/>
  <c r="AA99" i="7"/>
  <c r="AA149" i="7"/>
  <c r="AA216" i="7"/>
  <c r="AA115" i="7"/>
  <c r="AA229" i="7"/>
  <c r="AA63" i="7"/>
  <c r="AA169" i="7"/>
  <c r="AA195" i="7"/>
  <c r="AA191" i="7"/>
  <c r="AA196" i="7"/>
  <c r="AA144" i="7"/>
  <c r="AA77" i="7"/>
  <c r="AA219" i="7"/>
  <c r="AA70" i="7"/>
  <c r="AA133" i="7"/>
  <c r="AA207" i="7"/>
  <c r="AA127" i="7"/>
  <c r="AA197" i="7"/>
  <c r="AA171" i="7"/>
  <c r="AA211" i="7"/>
  <c r="AA97" i="7"/>
  <c r="AA189" i="7"/>
  <c r="AA214" i="7"/>
  <c r="AA49" i="7"/>
  <c r="AA178" i="7"/>
  <c r="AA176" i="7"/>
  <c r="AA66" i="7"/>
  <c r="AA168" i="7"/>
  <c r="X34" i="7"/>
  <c r="Y34" i="7" s="1"/>
  <c r="AA180" i="7"/>
  <c r="AA157" i="7"/>
  <c r="W205" i="7"/>
  <c r="X205" i="7" s="1"/>
  <c r="Y205" i="7" s="1"/>
  <c r="AA89" i="7"/>
  <c r="AA154" i="7"/>
  <c r="AA222" i="7"/>
  <c r="AA57" i="7"/>
  <c r="AA199" i="7"/>
  <c r="W58" i="7"/>
  <c r="X58" i="7" s="1"/>
  <c r="Y58" i="7" s="1"/>
  <c r="AA190" i="7"/>
  <c r="AA218" i="7"/>
  <c r="AA194" i="7"/>
  <c r="AA80" i="7"/>
  <c r="AA130" i="7"/>
  <c r="X37" i="7"/>
  <c r="Y37" i="7" s="1"/>
  <c r="AA119" i="7"/>
  <c r="AA170" i="7"/>
  <c r="X76" i="7"/>
  <c r="Y76" i="7" s="1"/>
  <c r="W57" i="7"/>
  <c r="X57" i="7" s="1"/>
  <c r="Y57" i="7" s="1"/>
  <c r="AA212" i="7"/>
  <c r="W74" i="7"/>
  <c r="W33" i="7"/>
  <c r="AA208" i="7"/>
  <c r="AA179" i="7"/>
  <c r="AA61" i="7"/>
  <c r="AA33" i="7"/>
  <c r="AA93" i="7"/>
  <c r="AA159" i="7"/>
  <c r="AA70" i="5"/>
  <c r="AA200" i="5"/>
  <c r="AA80" i="5"/>
  <c r="AA39" i="5"/>
  <c r="AA193" i="5"/>
  <c r="AA104" i="5"/>
  <c r="AA191" i="5"/>
  <c r="AA35" i="5"/>
  <c r="AA106" i="5"/>
  <c r="AA124" i="5"/>
  <c r="AA122" i="5"/>
  <c r="AA169" i="5"/>
  <c r="AA90" i="5"/>
  <c r="AA198" i="5"/>
  <c r="AA112" i="5"/>
  <c r="AA95" i="5"/>
  <c r="AA92" i="5"/>
  <c r="AA229" i="5"/>
  <c r="AA182" i="5"/>
  <c r="AA172" i="5"/>
  <c r="AA213" i="5"/>
  <c r="AA195" i="5"/>
  <c r="AA71" i="5"/>
  <c r="AA72" i="5"/>
  <c r="AA127" i="5"/>
  <c r="AA218" i="5"/>
  <c r="AA201" i="5"/>
  <c r="AA36" i="5"/>
  <c r="AA183" i="5"/>
  <c r="AA149" i="5"/>
  <c r="AA197" i="5"/>
  <c r="AA222" i="5"/>
  <c r="AA133" i="5"/>
  <c r="AA61" i="5"/>
  <c r="AA81" i="5"/>
  <c r="AA131" i="5"/>
  <c r="AA217" i="5"/>
  <c r="AA171" i="5"/>
  <c r="AA57" i="5"/>
  <c r="AA43" i="5"/>
  <c r="AA99" i="5"/>
  <c r="AA177" i="5"/>
  <c r="AA161" i="5"/>
  <c r="AA143" i="5"/>
  <c r="AA58" i="5"/>
  <c r="AA121" i="5"/>
  <c r="AA91" i="5"/>
  <c r="AA176" i="5"/>
  <c r="AA114" i="5"/>
  <c r="AA98" i="5"/>
  <c r="AA93" i="5"/>
  <c r="AA54" i="5"/>
  <c r="AA63" i="5"/>
  <c r="AA45" i="5"/>
  <c r="AA168" i="5"/>
  <c r="AA186" i="5"/>
  <c r="AA144" i="5"/>
  <c r="AA163" i="5"/>
  <c r="AA202" i="5"/>
  <c r="AA205" i="5"/>
  <c r="AA188" i="5"/>
  <c r="AA146" i="5"/>
  <c r="AA215" i="5"/>
  <c r="AA135" i="5"/>
  <c r="AA223" i="5"/>
  <c r="AA53" i="5"/>
  <c r="AA46" i="5"/>
  <c r="AA181" i="5"/>
  <c r="AA142" i="5"/>
  <c r="AA226" i="5"/>
  <c r="AA196" i="5"/>
  <c r="AA170" i="5"/>
  <c r="AA151" i="5"/>
  <c r="AA147" i="5"/>
  <c r="AA192" i="5"/>
  <c r="AA105" i="5"/>
  <c r="AA85" i="5"/>
  <c r="AA75" i="5"/>
  <c r="AA66" i="5"/>
  <c r="AA125" i="5"/>
  <c r="AA117" i="5"/>
  <c r="AA67" i="5"/>
  <c r="AA96" i="5"/>
  <c r="AA174" i="5"/>
  <c r="AA56" i="5"/>
  <c r="AA110" i="5"/>
  <c r="AA59" i="5"/>
  <c r="AA52" i="5"/>
  <c r="AA55" i="5"/>
  <c r="AA111" i="5"/>
  <c r="AA50" i="5"/>
  <c r="AA153" i="5"/>
  <c r="AA211" i="5"/>
  <c r="V93" i="5"/>
  <c r="W93" i="5" s="1"/>
  <c r="AJ87" i="5"/>
  <c r="V159" i="5"/>
  <c r="W159" i="5" s="1"/>
  <c r="V33" i="5"/>
  <c r="W33" i="5" s="1"/>
  <c r="V42" i="5"/>
  <c r="W42" i="5" s="1"/>
  <c r="V128" i="5"/>
  <c r="W128" i="5" s="1"/>
  <c r="AK212" i="5"/>
  <c r="AL212" i="5" s="1"/>
  <c r="AR212" i="5" s="1"/>
  <c r="V75" i="5"/>
  <c r="V94" i="5"/>
  <c r="W94" i="5" s="1"/>
  <c r="AJ37" i="5"/>
  <c r="AJ170" i="5"/>
  <c r="AJ148" i="5"/>
  <c r="AK113" i="5"/>
  <c r="AL113" i="5" s="1"/>
  <c r="AR113" i="5" s="1"/>
  <c r="V175" i="5"/>
  <c r="W175" i="5" s="1"/>
  <c r="AK161" i="5"/>
  <c r="AL161" i="5" s="1"/>
  <c r="AR161" i="5" s="1"/>
  <c r="AA68" i="5"/>
  <c r="AK175" i="5"/>
  <c r="AL175" i="5" s="1"/>
  <c r="AR175" i="5" s="1"/>
  <c r="V229" i="5"/>
  <c r="AK159" i="5"/>
  <c r="AL159" i="5" s="1"/>
  <c r="AR159" i="5" s="1"/>
  <c r="V166" i="5"/>
  <c r="W166" i="5" s="1"/>
  <c r="V41" i="5"/>
  <c r="AK118" i="5"/>
  <c r="AL118" i="5" s="1"/>
  <c r="AR118" i="5" s="1"/>
  <c r="V142" i="5"/>
  <c r="W142" i="5" s="1"/>
  <c r="AJ218" i="5"/>
  <c r="V79" i="5"/>
  <c r="W79" i="5" s="1"/>
  <c r="AK93" i="5"/>
  <c r="AL93" i="5" s="1"/>
  <c r="AR93" i="5" s="1"/>
  <c r="AJ74" i="5"/>
  <c r="V65" i="5"/>
  <c r="W65" i="5" s="1"/>
  <c r="V185" i="5"/>
  <c r="W185" i="5" s="1"/>
  <c r="AK73" i="5"/>
  <c r="AL73" i="5" s="1"/>
  <c r="AR73" i="5" s="1"/>
  <c r="AJ99" i="5"/>
  <c r="AJ193" i="5"/>
  <c r="C41" i="6"/>
  <c r="E35" i="6"/>
  <c r="AK124" i="5"/>
  <c r="AL124" i="5" s="1"/>
  <c r="AR124" i="5" s="1"/>
  <c r="AJ114" i="5"/>
  <c r="V206" i="5"/>
  <c r="W206" i="5" s="1"/>
  <c r="AK135" i="5"/>
  <c r="AL135" i="5" s="1"/>
  <c r="AR135" i="5" s="1"/>
  <c r="AJ44" i="5"/>
  <c r="V139" i="5"/>
  <c r="W139" i="5" s="1"/>
  <c r="V181" i="5"/>
  <c r="W181" i="5" s="1"/>
  <c r="AJ210" i="5"/>
  <c r="AA162" i="5"/>
  <c r="AA108" i="5"/>
  <c r="V192" i="5"/>
  <c r="W192" i="5" s="1"/>
  <c r="AJ137" i="5"/>
  <c r="AJ224" i="5"/>
  <c r="V123" i="5"/>
  <c r="W123" i="5" s="1"/>
  <c r="V78" i="5"/>
  <c r="W78" i="5" s="1"/>
  <c r="AJ140" i="5"/>
  <c r="V137" i="5"/>
  <c r="W137" i="5" s="1"/>
  <c r="V211" i="5"/>
  <c r="AA64" i="5"/>
  <c r="AA128" i="5"/>
  <c r="AA123" i="5"/>
  <c r="AA113" i="5"/>
  <c r="AA221" i="5"/>
  <c r="AJ175" i="5"/>
  <c r="AK153" i="5"/>
  <c r="AL153" i="5" s="1"/>
  <c r="AR153" i="5" s="1"/>
  <c r="AK76" i="5"/>
  <c r="AL76" i="5" s="1"/>
  <c r="AR76" i="5" s="1"/>
  <c r="AK166" i="5"/>
  <c r="AL166" i="5" s="1"/>
  <c r="AR166" i="5" s="1"/>
  <c r="AJ100" i="5"/>
  <c r="AJ93" i="5"/>
  <c r="AJ171" i="5"/>
  <c r="AJ190" i="5"/>
  <c r="AK185" i="5"/>
  <c r="AL185" i="5" s="1"/>
  <c r="AR185" i="5" s="1"/>
  <c r="AJ179" i="5"/>
  <c r="AJ188" i="5"/>
  <c r="V59" i="5"/>
  <c r="W59" i="5" s="1"/>
  <c r="AK163" i="5"/>
  <c r="AL163" i="5" s="1"/>
  <c r="AR163" i="5" s="1"/>
  <c r="AJ152" i="5"/>
  <c r="AK157" i="5"/>
  <c r="AL157" i="5" s="1"/>
  <c r="AR157" i="5" s="1"/>
  <c r="AJ89" i="5"/>
  <c r="AK205" i="5"/>
  <c r="AL205" i="5" s="1"/>
  <c r="AR205" i="5" s="1"/>
  <c r="V54" i="5"/>
  <c r="AK71" i="5"/>
  <c r="AL71" i="5" s="1"/>
  <c r="AR71" i="5" s="1"/>
  <c r="AK134" i="5"/>
  <c r="AL134" i="5" s="1"/>
  <c r="AR134" i="5" s="1"/>
  <c r="AK63" i="5"/>
  <c r="AL63" i="5" s="1"/>
  <c r="AR63" i="5" s="1"/>
  <c r="AK167" i="5"/>
  <c r="AL167" i="5" s="1"/>
  <c r="AR167" i="5" s="1"/>
  <c r="AJ62" i="5"/>
  <c r="AJ157" i="5"/>
  <c r="AJ73" i="5"/>
  <c r="AJ41" i="5"/>
  <c r="AJ34" i="5"/>
  <c r="AJ54" i="5"/>
  <c r="AK119" i="5"/>
  <c r="AL119" i="5" s="1"/>
  <c r="AR119" i="5" s="1"/>
  <c r="V66" i="5"/>
  <c r="W66" i="5" s="1"/>
  <c r="AK75" i="5"/>
  <c r="AL75" i="5" s="1"/>
  <c r="AR75" i="5" s="1"/>
  <c r="AJ95" i="5"/>
  <c r="AK67" i="5"/>
  <c r="AL67" i="5" s="1"/>
  <c r="AR67" i="5" s="1"/>
  <c r="AK100" i="5"/>
  <c r="AL100" i="5" s="1"/>
  <c r="AR100" i="5" s="1"/>
  <c r="AK136" i="5"/>
  <c r="AL136" i="5" s="1"/>
  <c r="AR136" i="5" s="1"/>
  <c r="AJ144" i="5"/>
  <c r="AJ182" i="5"/>
  <c r="AJ205" i="5"/>
  <c r="AJ151" i="5"/>
  <c r="V146" i="5"/>
  <c r="AK106" i="5"/>
  <c r="AL106" i="5" s="1"/>
  <c r="AR106" i="5" s="1"/>
  <c r="V200" i="5"/>
  <c r="W200" i="5" s="1"/>
  <c r="AK137" i="5"/>
  <c r="AL137" i="5" s="1"/>
  <c r="AR137" i="5" s="1"/>
  <c r="AK211" i="5"/>
  <c r="AL211" i="5" s="1"/>
  <c r="AR211" i="5" s="1"/>
  <c r="AK204" i="5"/>
  <c r="AL204" i="5" s="1"/>
  <c r="AR204" i="5" s="1"/>
  <c r="AK195" i="5"/>
  <c r="AL195" i="5" s="1"/>
  <c r="AR195" i="5" s="1"/>
  <c r="V198" i="5"/>
  <c r="W198" i="5" s="1"/>
  <c r="AJ226" i="5"/>
  <c r="AA140" i="5"/>
  <c r="AA150" i="5"/>
  <c r="AA187" i="5"/>
  <c r="AK82" i="5"/>
  <c r="AL82" i="5" s="1"/>
  <c r="AR82" i="5" s="1"/>
  <c r="AJ124" i="5"/>
  <c r="AK192" i="5"/>
  <c r="AL192" i="5" s="1"/>
  <c r="AR192" i="5" s="1"/>
  <c r="AJ141" i="5"/>
  <c r="AJ187" i="5"/>
  <c r="AK129" i="5"/>
  <c r="AL129" i="5" s="1"/>
  <c r="AR129" i="5" s="1"/>
  <c r="AJ57" i="5"/>
  <c r="AK202" i="5"/>
  <c r="AL202" i="5" s="1"/>
  <c r="AR202" i="5" s="1"/>
  <c r="AK143" i="5"/>
  <c r="AL143" i="5" s="1"/>
  <c r="AR143" i="5" s="1"/>
  <c r="V210" i="5"/>
  <c r="AA74" i="5"/>
  <c r="AA62" i="5"/>
  <c r="V129" i="5"/>
  <c r="W129" i="5" s="1"/>
  <c r="AJ128" i="5"/>
  <c r="AK207" i="5"/>
  <c r="AL207" i="5" s="1"/>
  <c r="AR207" i="5" s="1"/>
  <c r="AK149" i="5"/>
  <c r="AL149" i="5" s="1"/>
  <c r="AR149" i="5" s="1"/>
  <c r="V51" i="5"/>
  <c r="W51" i="5" s="1"/>
  <c r="AK180" i="5"/>
  <c r="AL180" i="5" s="1"/>
  <c r="AR180" i="5" s="1"/>
  <c r="AJ117" i="5"/>
  <c r="AK69" i="5"/>
  <c r="AL69" i="5" s="1"/>
  <c r="AR69" i="5" s="1"/>
  <c r="AK146" i="5"/>
  <c r="AL146" i="5" s="1"/>
  <c r="AR146" i="5" s="1"/>
  <c r="V217" i="5"/>
  <c r="W217" i="5" s="1"/>
  <c r="AA51" i="5"/>
  <c r="AA65" i="5"/>
  <c r="AA178" i="5"/>
  <c r="AA33" i="5"/>
  <c r="AK154" i="5"/>
  <c r="AL154" i="5" s="1"/>
  <c r="AR154" i="5" s="1"/>
  <c r="AJ138" i="5"/>
  <c r="AJ174" i="5"/>
  <c r="V63" i="5"/>
  <c r="W63" i="5" s="1"/>
  <c r="AJ52" i="5"/>
  <c r="AK105" i="5"/>
  <c r="AL105" i="5" s="1"/>
  <c r="AR105" i="5" s="1"/>
  <c r="AK164" i="5"/>
  <c r="AL164" i="5" s="1"/>
  <c r="AR164" i="5" s="1"/>
  <c r="AA210" i="5"/>
  <c r="AJ184" i="5"/>
  <c r="AJ173" i="5"/>
  <c r="AJ213" i="5"/>
  <c r="AJ225" i="5"/>
  <c r="AK61" i="5"/>
  <c r="AL61" i="5" s="1"/>
  <c r="AR61" i="5" s="1"/>
  <c r="AK139" i="5"/>
  <c r="AL139" i="5" s="1"/>
  <c r="AR139" i="5" s="1"/>
  <c r="V165" i="5"/>
  <c r="W165" i="5" s="1"/>
  <c r="AJ204" i="5"/>
  <c r="AA69" i="5"/>
  <c r="AA34" i="5"/>
  <c r="AK162" i="5"/>
  <c r="AL162" i="5" s="1"/>
  <c r="AR162" i="5" s="1"/>
  <c r="AJ167" i="5"/>
  <c r="AK220" i="5"/>
  <c r="AL220" i="5" s="1"/>
  <c r="AR220" i="5" s="1"/>
  <c r="AJ72" i="5"/>
  <c r="AK123" i="5"/>
  <c r="AL123" i="5" s="1"/>
  <c r="AR123" i="5" s="1"/>
  <c r="V49" i="5"/>
  <c r="W49" i="5" s="1"/>
  <c r="AK138" i="5"/>
  <c r="AL138" i="5" s="1"/>
  <c r="AR138" i="5" s="1"/>
  <c r="AK147" i="5"/>
  <c r="AL147" i="5" s="1"/>
  <c r="AR147" i="5" s="1"/>
  <c r="AK182" i="5"/>
  <c r="AL182" i="5" s="1"/>
  <c r="AR182" i="5" s="1"/>
  <c r="AJ214" i="5"/>
  <c r="AA120" i="5"/>
  <c r="AA175" i="5"/>
  <c r="AJ39" i="5"/>
  <c r="V39" i="5"/>
  <c r="AK223" i="5"/>
  <c r="AL223" i="5" s="1"/>
  <c r="AR223" i="5" s="1"/>
  <c r="V76" i="5"/>
  <c r="W76" i="5" s="1"/>
  <c r="V187" i="5"/>
  <c r="V68" i="5"/>
  <c r="W68" i="5" s="1"/>
  <c r="V91" i="5"/>
  <c r="W91" i="5" s="1"/>
  <c r="V136" i="5"/>
  <c r="W136" i="5" s="1"/>
  <c r="AK188" i="5"/>
  <c r="AL188" i="5" s="1"/>
  <c r="AR188" i="5" s="1"/>
  <c r="AA204" i="5"/>
  <c r="AA100" i="5"/>
  <c r="AA48" i="5"/>
  <c r="AA167" i="5"/>
  <c r="AA40" i="5"/>
  <c r="AA76" i="5"/>
  <c r="AA212" i="5"/>
  <c r="AA220" i="5"/>
  <c r="AA60" i="5"/>
  <c r="AK181" i="5"/>
  <c r="AL181" i="5" s="1"/>
  <c r="AR181" i="5" s="1"/>
  <c r="AJ68" i="5"/>
  <c r="V126" i="5"/>
  <c r="W126" i="5" s="1"/>
  <c r="AK214" i="5"/>
  <c r="AL214" i="5" s="1"/>
  <c r="AR214" i="5" s="1"/>
  <c r="AK122" i="5"/>
  <c r="AL122" i="5" s="1"/>
  <c r="AR122" i="5" s="1"/>
  <c r="V160" i="5"/>
  <c r="W160" i="5" s="1"/>
  <c r="V179" i="5"/>
  <c r="W179" i="5" s="1"/>
  <c r="V221" i="5"/>
  <c r="W221" i="5" s="1"/>
  <c r="V138" i="5"/>
  <c r="W138" i="5" s="1"/>
  <c r="V40" i="5"/>
  <c r="AJ92" i="5"/>
  <c r="AJ201" i="5"/>
  <c r="V112" i="5"/>
  <c r="W112" i="5" s="1"/>
  <c r="AJ135" i="5"/>
  <c r="V195" i="5"/>
  <c r="W195" i="5" s="1"/>
  <c r="V190" i="5"/>
  <c r="W190" i="5" s="1"/>
  <c r="V204" i="5"/>
  <c r="W204" i="5" s="1"/>
  <c r="V170" i="5"/>
  <c r="W170" i="5" s="1"/>
  <c r="AJ67" i="5"/>
  <c r="AJ160" i="5"/>
  <c r="V143" i="5"/>
  <c r="V183" i="5"/>
  <c r="W183" i="5" s="1"/>
  <c r="AJ145" i="5"/>
  <c r="AK174" i="5"/>
  <c r="AL174" i="5" s="1"/>
  <c r="AR174" i="5" s="1"/>
  <c r="V48" i="5"/>
  <c r="W48" i="5" s="1"/>
  <c r="V45" i="5"/>
  <c r="W45" i="5" s="1"/>
  <c r="V43" i="5"/>
  <c r="W43" i="5" s="1"/>
  <c r="AK56" i="5"/>
  <c r="AL56" i="5" s="1"/>
  <c r="AR56" i="5" s="1"/>
  <c r="V226" i="5"/>
  <c r="W226" i="5" s="1"/>
  <c r="V89" i="5"/>
  <c r="W89" i="5" s="1"/>
  <c r="AJ46" i="5"/>
  <c r="AK176" i="5"/>
  <c r="AL176" i="5" s="1"/>
  <c r="AR176" i="5" s="1"/>
  <c r="V114" i="5"/>
  <c r="V105" i="5"/>
  <c r="W105" i="5" s="1"/>
  <c r="V140" i="5"/>
  <c r="W140" i="5" s="1"/>
  <c r="V207" i="5"/>
  <c r="AK184" i="5"/>
  <c r="AL184" i="5" s="1"/>
  <c r="AR184" i="5" s="1"/>
  <c r="AJ97" i="5"/>
  <c r="AK152" i="5"/>
  <c r="AL152" i="5" s="1"/>
  <c r="AR152" i="5" s="1"/>
  <c r="V173" i="5"/>
  <c r="V111" i="5"/>
  <c r="W111" i="5" s="1"/>
  <c r="V205" i="5"/>
  <c r="AJ142" i="5"/>
  <c r="V215" i="5"/>
  <c r="AJ217" i="5"/>
  <c r="AJ202" i="5"/>
  <c r="AJ211" i="5"/>
  <c r="AK213" i="5"/>
  <c r="AL213" i="5" s="1"/>
  <c r="AR213" i="5" s="1"/>
  <c r="AA155" i="5"/>
  <c r="AA41" i="5"/>
  <c r="AA179" i="5"/>
  <c r="AK158" i="5"/>
  <c r="AL158" i="5" s="1"/>
  <c r="AR158" i="5" s="1"/>
  <c r="V84" i="5"/>
  <c r="W84" i="5" s="1"/>
  <c r="V80" i="5"/>
  <c r="W80" i="5" s="1"/>
  <c r="AK151" i="5"/>
  <c r="AL151" i="5" s="1"/>
  <c r="AR151" i="5" s="1"/>
  <c r="AK168" i="5"/>
  <c r="AL168" i="5" s="1"/>
  <c r="AR168" i="5" s="1"/>
  <c r="AJ127" i="5"/>
  <c r="AK199" i="5"/>
  <c r="AL199" i="5" s="1"/>
  <c r="AR199" i="5" s="1"/>
  <c r="X24" i="5"/>
  <c r="Y4" i="5"/>
  <c r="AK57" i="5"/>
  <c r="AL57" i="5" s="1"/>
  <c r="AR57" i="5" s="1"/>
  <c r="AJ215" i="5"/>
  <c r="V131" i="5"/>
  <c r="W131" i="5" s="1"/>
  <c r="V38" i="5"/>
  <c r="AK43" i="5"/>
  <c r="AL43" i="5" s="1"/>
  <c r="AR43" i="5" s="1"/>
  <c r="V100" i="5"/>
  <c r="V214" i="5"/>
  <c r="W214" i="5" s="1"/>
  <c r="AJ222" i="5"/>
  <c r="V189" i="5"/>
  <c r="W189" i="5" s="1"/>
  <c r="AJ40" i="5"/>
  <c r="AJ120" i="5"/>
  <c r="AK144" i="5"/>
  <c r="AL144" i="5" s="1"/>
  <c r="AR144" i="5" s="1"/>
  <c r="AJ107" i="5"/>
  <c r="AK114" i="5"/>
  <c r="AL114" i="5" s="1"/>
  <c r="AR114" i="5" s="1"/>
  <c r="V222" i="5"/>
  <c r="W222" i="5" s="1"/>
  <c r="AK206" i="5"/>
  <c r="AL206" i="5" s="1"/>
  <c r="AR206" i="5" s="1"/>
  <c r="AA184" i="5"/>
  <c r="AK190" i="5"/>
  <c r="AL190" i="5" s="1"/>
  <c r="AR190" i="5" s="1"/>
  <c r="AJ163" i="5"/>
  <c r="AJ130" i="5"/>
  <c r="AJ125" i="5"/>
  <c r="V113" i="5"/>
  <c r="V122" i="5"/>
  <c r="V227" i="5"/>
  <c r="AA203" i="5"/>
  <c r="AA145" i="5"/>
  <c r="AA37" i="5"/>
  <c r="V141" i="5"/>
  <c r="W141" i="5" s="1"/>
  <c r="AK160" i="5"/>
  <c r="AL160" i="5" s="1"/>
  <c r="AR160" i="5" s="1"/>
  <c r="AK203" i="5"/>
  <c r="AL203" i="5" s="1"/>
  <c r="AR203" i="5" s="1"/>
  <c r="V58" i="5"/>
  <c r="W58" i="5" s="1"/>
  <c r="AJ133" i="5"/>
  <c r="AA189" i="5"/>
  <c r="AJ76" i="5"/>
  <c r="AJ220" i="5"/>
  <c r="V162" i="5"/>
  <c r="AK92" i="5"/>
  <c r="AL92" i="5" s="1"/>
  <c r="AR92" i="5" s="1"/>
  <c r="AK121" i="5"/>
  <c r="AL121" i="5" s="1"/>
  <c r="AR121" i="5" s="1"/>
  <c r="V130" i="5"/>
  <c r="W130" i="5" s="1"/>
  <c r="V106" i="5"/>
  <c r="W106" i="5" s="1"/>
  <c r="AA44" i="5"/>
  <c r="AK172" i="5"/>
  <c r="AL172" i="5" s="1"/>
  <c r="AR172" i="5" s="1"/>
  <c r="AJ91" i="5"/>
  <c r="AJ207" i="5"/>
  <c r="AJ80" i="5"/>
  <c r="AK179" i="5"/>
  <c r="AL179" i="5" s="1"/>
  <c r="AR179" i="5" s="1"/>
  <c r="AK183" i="5"/>
  <c r="AL183" i="5" s="1"/>
  <c r="AR183" i="5" s="1"/>
  <c r="AK91" i="5"/>
  <c r="AL91" i="5" s="1"/>
  <c r="AR91" i="5" s="1"/>
  <c r="V92" i="5"/>
  <c r="V225" i="5"/>
  <c r="W225" i="5" s="1"/>
  <c r="V90" i="5"/>
  <c r="W90" i="5" s="1"/>
  <c r="V228" i="5"/>
  <c r="W228" i="5" s="1"/>
  <c r="AJ172" i="5"/>
  <c r="AK187" i="5"/>
  <c r="AL187" i="5" s="1"/>
  <c r="AR187" i="5" s="1"/>
  <c r="V82" i="5"/>
  <c r="W82" i="5" s="1"/>
  <c r="V163" i="5"/>
  <c r="AJ153" i="5"/>
  <c r="AK145" i="5"/>
  <c r="AL145" i="5" s="1"/>
  <c r="AR145" i="5" s="1"/>
  <c r="AK81" i="5"/>
  <c r="AL81" i="5" s="1"/>
  <c r="AR81" i="5" s="1"/>
  <c r="AK85" i="5"/>
  <c r="AL85" i="5" s="1"/>
  <c r="AR85" i="5" s="1"/>
  <c r="AK51" i="5"/>
  <c r="AL51" i="5" s="1"/>
  <c r="AR51" i="5" s="1"/>
  <c r="AJ115" i="5"/>
  <c r="V83" i="5"/>
  <c r="W83" i="5" s="1"/>
  <c r="AJ104" i="5"/>
  <c r="AK103" i="5"/>
  <c r="AL103" i="5" s="1"/>
  <c r="AR103" i="5" s="1"/>
  <c r="V55" i="5"/>
  <c r="W55" i="5" s="1"/>
  <c r="AK95" i="5"/>
  <c r="AL95" i="5" s="1"/>
  <c r="AR95" i="5" s="1"/>
  <c r="V62" i="5"/>
  <c r="W62" i="5" s="1"/>
  <c r="V53" i="5"/>
  <c r="W53" i="5" s="1"/>
  <c r="AJ48" i="5"/>
  <c r="AK117" i="5"/>
  <c r="AL117" i="5" s="1"/>
  <c r="AR117" i="5" s="1"/>
  <c r="AK142" i="5"/>
  <c r="AL142" i="5" s="1"/>
  <c r="AR142" i="5" s="1"/>
  <c r="V74" i="5"/>
  <c r="W74" i="5" s="1"/>
  <c r="V101" i="5"/>
  <c r="W101" i="5" s="1"/>
  <c r="AJ98" i="5"/>
  <c r="AJ168" i="5"/>
  <c r="AK178" i="5"/>
  <c r="AL178" i="5" s="1"/>
  <c r="AR178" i="5" s="1"/>
  <c r="AK111" i="5"/>
  <c r="AL111" i="5" s="1"/>
  <c r="AR111" i="5" s="1"/>
  <c r="AK208" i="5"/>
  <c r="AL208" i="5" s="1"/>
  <c r="AR208" i="5" s="1"/>
  <c r="V176" i="5"/>
  <c r="W176" i="5" s="1"/>
  <c r="AJ161" i="5"/>
  <c r="AK196" i="5"/>
  <c r="AL196" i="5" s="1"/>
  <c r="AR196" i="5" s="1"/>
  <c r="AJ227" i="5"/>
  <c r="AK225" i="5"/>
  <c r="AL225" i="5" s="1"/>
  <c r="AR225" i="5" s="1"/>
  <c r="V216" i="5"/>
  <c r="AA180" i="5"/>
  <c r="AA227" i="5"/>
  <c r="AA86" i="5"/>
  <c r="AA42" i="5"/>
  <c r="AA118" i="5"/>
  <c r="AK126" i="5"/>
  <c r="AL126" i="5" s="1"/>
  <c r="AR126" i="5" s="1"/>
  <c r="AK66" i="5"/>
  <c r="AL66" i="5" s="1"/>
  <c r="AR66" i="5" s="1"/>
  <c r="V172" i="5"/>
  <c r="W172" i="5" s="1"/>
  <c r="AK120" i="5"/>
  <c r="AL120" i="5" s="1"/>
  <c r="AR120" i="5" s="1"/>
  <c r="V44" i="5"/>
  <c r="W44" i="5" s="1"/>
  <c r="AK98" i="5"/>
  <c r="AL98" i="5" s="1"/>
  <c r="AR98" i="5" s="1"/>
  <c r="AK226" i="5"/>
  <c r="AL226" i="5" s="1"/>
  <c r="AR226" i="5" s="1"/>
  <c r="AK218" i="5"/>
  <c r="AL218" i="5" s="1"/>
  <c r="AR218" i="5" s="1"/>
  <c r="AA73" i="5"/>
  <c r="AA84" i="5"/>
  <c r="AA207" i="5"/>
  <c r="AA102" i="5"/>
  <c r="AA199" i="5"/>
  <c r="AK108" i="5"/>
  <c r="AL108" i="5" s="1"/>
  <c r="AR108" i="5" s="1"/>
  <c r="V134" i="5"/>
  <c r="AJ134" i="5"/>
  <c r="AJ94" i="5"/>
  <c r="AK112" i="5"/>
  <c r="AL112" i="5" s="1"/>
  <c r="AR112" i="5" s="1"/>
  <c r="AK155" i="5"/>
  <c r="AL155" i="5" s="1"/>
  <c r="AR155" i="5" s="1"/>
  <c r="V212" i="5"/>
  <c r="W212" i="5" s="1"/>
  <c r="AA126" i="5"/>
  <c r="AK201" i="5"/>
  <c r="AL201" i="5" s="1"/>
  <c r="AR201" i="5" s="1"/>
  <c r="AK200" i="5"/>
  <c r="AL200" i="5" s="1"/>
  <c r="AR200" i="5" s="1"/>
  <c r="AJ112" i="5"/>
  <c r="AJ82" i="5"/>
  <c r="AK99" i="5"/>
  <c r="AL99" i="5" s="1"/>
  <c r="AR99" i="5" s="1"/>
  <c r="AK102" i="5"/>
  <c r="AL102" i="5" s="1"/>
  <c r="AR102" i="5" s="1"/>
  <c r="AJ150" i="5"/>
  <c r="AK216" i="5"/>
  <c r="AL216" i="5" s="1"/>
  <c r="AR216" i="5" s="1"/>
  <c r="AA164" i="5"/>
  <c r="AA82" i="5"/>
  <c r="AK221" i="5"/>
  <c r="AL221" i="5" s="1"/>
  <c r="AR221" i="5" s="1"/>
  <c r="V193" i="5"/>
  <c r="W193" i="5" s="1"/>
  <c r="V153" i="5"/>
  <c r="W153" i="5" s="1"/>
  <c r="V169" i="5"/>
  <c r="W169" i="5" s="1"/>
  <c r="AJ143" i="5"/>
  <c r="V125" i="5"/>
  <c r="AK127" i="5"/>
  <c r="AL127" i="5" s="1"/>
  <c r="AR127" i="5" s="1"/>
  <c r="AK156" i="5"/>
  <c r="AL156" i="5" s="1"/>
  <c r="AR156" i="5" s="1"/>
  <c r="AA89" i="5"/>
  <c r="AA209" i="5"/>
  <c r="AJ113" i="5"/>
  <c r="V70" i="5"/>
  <c r="W70" i="5" s="1"/>
  <c r="AJ64" i="5"/>
  <c r="AK132" i="5"/>
  <c r="AL132" i="5" s="1"/>
  <c r="AR132" i="5" s="1"/>
  <c r="V34" i="5"/>
  <c r="W34" i="5" s="1"/>
  <c r="V118" i="5"/>
  <c r="W118" i="5" s="1"/>
  <c r="AJ208" i="5"/>
  <c r="V188" i="5"/>
  <c r="W188" i="5" s="1"/>
  <c r="AA38" i="5"/>
  <c r="AA83" i="5"/>
  <c r="AJ158" i="5"/>
  <c r="AJ192" i="5"/>
  <c r="AJ209" i="5"/>
  <c r="V121" i="5"/>
  <c r="W121" i="5" s="1"/>
  <c r="V47" i="5"/>
  <c r="W47" i="5" s="1"/>
  <c r="AJ53" i="5"/>
  <c r="V155" i="5"/>
  <c r="AJ203" i="5"/>
  <c r="AA103" i="5"/>
  <c r="AJ156" i="5"/>
  <c r="AA136" i="5"/>
  <c r="AA132" i="5"/>
  <c r="AA130" i="5"/>
  <c r="AA141" i="5"/>
  <c r="AA194" i="5"/>
  <c r="AA137" i="5"/>
  <c r="AA160" i="5"/>
  <c r="AJ90" i="5"/>
  <c r="AJ88" i="5"/>
  <c r="AK83" i="5"/>
  <c r="AL83" i="5" s="1"/>
  <c r="AR83" i="5" s="1"/>
  <c r="AJ69" i="5"/>
  <c r="AJ103" i="5"/>
  <c r="AK140" i="5"/>
  <c r="AL140" i="5" s="1"/>
  <c r="AR140" i="5" s="1"/>
  <c r="AJ185" i="5"/>
  <c r="V144" i="5"/>
  <c r="AJ66" i="5"/>
  <c r="AJ108" i="5"/>
  <c r="AJ111" i="5"/>
  <c r="AK116" i="5"/>
  <c r="AL116" i="5" s="1"/>
  <c r="AR116" i="5" s="1"/>
  <c r="AK115" i="5"/>
  <c r="AL115" i="5" s="1"/>
  <c r="AR115" i="5" s="1"/>
  <c r="AJ96" i="5"/>
  <c r="V71" i="5"/>
  <c r="AK170" i="5"/>
  <c r="AL170" i="5" s="1"/>
  <c r="AR170" i="5" s="1"/>
  <c r="V174" i="5"/>
  <c r="W174" i="5" s="1"/>
  <c r="V154" i="5"/>
  <c r="W154" i="5" s="1"/>
  <c r="AK110" i="5"/>
  <c r="AL110" i="5" s="1"/>
  <c r="AR110" i="5" s="1"/>
  <c r="AK88" i="5"/>
  <c r="AL88" i="5" s="1"/>
  <c r="AR88" i="5" s="1"/>
  <c r="AJ36" i="5"/>
  <c r="AK64" i="5"/>
  <c r="AL64" i="5" s="1"/>
  <c r="AK65" i="5"/>
  <c r="AL65" i="5" s="1"/>
  <c r="AR65" i="5" s="1"/>
  <c r="AK130" i="5"/>
  <c r="AL130" i="5" s="1"/>
  <c r="AR130" i="5" s="1"/>
  <c r="V87" i="5"/>
  <c r="W87" i="5" s="1"/>
  <c r="AK227" i="5"/>
  <c r="AL227" i="5" s="1"/>
  <c r="AR227" i="5" s="1"/>
  <c r="AK62" i="5"/>
  <c r="AL62" i="5" s="1"/>
  <c r="AR62" i="5" s="1"/>
  <c r="AJ43" i="5"/>
  <c r="AK125" i="5"/>
  <c r="AL125" i="5" s="1"/>
  <c r="AR125" i="5" s="1"/>
  <c r="AJ77" i="5"/>
  <c r="AK101" i="5"/>
  <c r="AL101" i="5" s="1"/>
  <c r="AR101" i="5" s="1"/>
  <c r="V57" i="5"/>
  <c r="W57" i="5" s="1"/>
  <c r="V37" i="5"/>
  <c r="W37" i="5" s="1"/>
  <c r="AJ56" i="5"/>
  <c r="V127" i="5"/>
  <c r="AJ166" i="5"/>
  <c r="V104" i="5"/>
  <c r="AK104" i="5"/>
  <c r="AL104" i="5" s="1"/>
  <c r="AR104" i="5" s="1"/>
  <c r="AJ146" i="5"/>
  <c r="AK194" i="5"/>
  <c r="AL194" i="5" s="1"/>
  <c r="AR194" i="5" s="1"/>
  <c r="AK197" i="5"/>
  <c r="AL197" i="5" s="1"/>
  <c r="AR197" i="5" s="1"/>
  <c r="V150" i="5"/>
  <c r="V161" i="5"/>
  <c r="W161" i="5" s="1"/>
  <c r="AJ178" i="5"/>
  <c r="V164" i="5"/>
  <c r="W164" i="5" s="1"/>
  <c r="AJ191" i="5"/>
  <c r="V219" i="5"/>
  <c r="W219" i="5" s="1"/>
  <c r="AK228" i="5"/>
  <c r="AL228" i="5" s="1"/>
  <c r="AR228" i="5" s="1"/>
  <c r="AJ206" i="5"/>
  <c r="AA107" i="5"/>
  <c r="AA185" i="5"/>
  <c r="AA154" i="5"/>
  <c r="AA208" i="5"/>
  <c r="AA165" i="5"/>
  <c r="AJ83" i="5"/>
  <c r="AJ197" i="5"/>
  <c r="AJ180" i="5"/>
  <c r="V145" i="5"/>
  <c r="W145" i="5" s="1"/>
  <c r="AJ102" i="5"/>
  <c r="V151" i="5"/>
  <c r="AJ195" i="5"/>
  <c r="V224" i="5"/>
  <c r="AK86" i="5"/>
  <c r="AL86" i="5" s="1"/>
  <c r="AR86" i="5" s="1"/>
  <c r="V56" i="5"/>
  <c r="W56" i="5" s="1"/>
  <c r="V86" i="5"/>
  <c r="W86" i="5" s="1"/>
  <c r="AJ101" i="5"/>
  <c r="V120" i="5"/>
  <c r="V202" i="5"/>
  <c r="W202" i="5" s="1"/>
  <c r="AJ32" i="5"/>
  <c r="V46" i="5"/>
  <c r="W46" i="5" s="1"/>
  <c r="V209" i="5"/>
  <c r="AK177" i="5"/>
  <c r="AL177" i="5" s="1"/>
  <c r="AR177" i="5" s="1"/>
  <c r="AK60" i="5"/>
  <c r="AL60" i="5" s="1"/>
  <c r="AR60" i="5" s="1"/>
  <c r="AK55" i="5"/>
  <c r="AL55" i="5" s="1"/>
  <c r="AR55" i="5" s="1"/>
  <c r="AJ119" i="5"/>
  <c r="AJ121" i="5"/>
  <c r="AK198" i="5"/>
  <c r="AL198" i="5" s="1"/>
  <c r="AR198" i="5" s="1"/>
  <c r="AA173" i="5"/>
  <c r="AJ79" i="5"/>
  <c r="AK173" i="5"/>
  <c r="AL173" i="5" s="1"/>
  <c r="AR173" i="5" s="1"/>
  <c r="AK141" i="5"/>
  <c r="AL141" i="5" s="1"/>
  <c r="AR141" i="5" s="1"/>
  <c r="V135" i="5"/>
  <c r="W135" i="5" s="1"/>
  <c r="AK96" i="5"/>
  <c r="AL96" i="5" s="1"/>
  <c r="AR96" i="5" s="1"/>
  <c r="AJ109" i="5"/>
  <c r="V152" i="5"/>
  <c r="AK222" i="5"/>
  <c r="AL222" i="5" s="1"/>
  <c r="AR222" i="5" s="1"/>
  <c r="AA88" i="5"/>
  <c r="AA78" i="5"/>
  <c r="Q24" i="5"/>
  <c r="C40" i="6"/>
  <c r="E40" i="6" s="1"/>
  <c r="AA119" i="5"/>
  <c r="AJ183" i="5"/>
  <c r="V88" i="5"/>
  <c r="V115" i="5"/>
  <c r="AK148" i="5"/>
  <c r="AL148" i="5" s="1"/>
  <c r="AR148" i="5" s="1"/>
  <c r="V81" i="5"/>
  <c r="W81" i="5" s="1"/>
  <c r="V85" i="5"/>
  <c r="W85" i="5" s="1"/>
  <c r="V133" i="5"/>
  <c r="AJ164" i="5"/>
  <c r="AK209" i="5"/>
  <c r="AL209" i="5" s="1"/>
  <c r="AR209" i="5" s="1"/>
  <c r="AK79" i="5"/>
  <c r="AL79" i="5" s="1"/>
  <c r="AR79" i="5" s="1"/>
  <c r="AK94" i="5"/>
  <c r="AL94" i="5" s="1"/>
  <c r="AR94" i="5" s="1"/>
  <c r="AK90" i="5"/>
  <c r="AL90" i="5" s="1"/>
  <c r="AR90" i="5" s="1"/>
  <c r="AJ154" i="5"/>
  <c r="AJ45" i="5"/>
  <c r="AJ50" i="5"/>
  <c r="AJ149" i="5"/>
  <c r="AK193" i="5"/>
  <c r="AL193" i="5" s="1"/>
  <c r="AR193" i="5" s="1"/>
  <c r="AA77" i="5"/>
  <c r="AA152" i="5"/>
  <c r="AA206" i="5"/>
  <c r="AA225" i="5"/>
  <c r="AA101" i="5"/>
  <c r="AA138" i="5"/>
  <c r="AA115" i="5"/>
  <c r="AA157" i="5"/>
  <c r="AA97" i="5"/>
  <c r="AA148" i="5"/>
  <c r="AJ35" i="5"/>
  <c r="V99" i="5"/>
  <c r="AK78" i="5"/>
  <c r="AL78" i="5" s="1"/>
  <c r="AR78" i="5" s="1"/>
  <c r="AK68" i="5"/>
  <c r="AL68" i="5" s="1"/>
  <c r="AR68" i="5" s="1"/>
  <c r="V72" i="5"/>
  <c r="W72" i="5" s="1"/>
  <c r="V97" i="5"/>
  <c r="W97" i="5" s="1"/>
  <c r="AJ155" i="5"/>
  <c r="V108" i="5"/>
  <c r="AJ221" i="5"/>
  <c r="V116" i="5"/>
  <c r="W116" i="5" s="1"/>
  <c r="AJ122" i="5"/>
  <c r="AJ61" i="5"/>
  <c r="V157" i="5"/>
  <c r="V96" i="5"/>
  <c r="AJ186" i="5"/>
  <c r="V194" i="5"/>
  <c r="AK74" i="5"/>
  <c r="AL74" i="5" s="1"/>
  <c r="AR74" i="5" s="1"/>
  <c r="AJ71" i="5"/>
  <c r="AJ162" i="5"/>
  <c r="AJ60" i="5"/>
  <c r="V77" i="5"/>
  <c r="W77" i="5" s="1"/>
  <c r="AK84" i="5"/>
  <c r="AL84" i="5" s="1"/>
  <c r="AR84" i="5" s="1"/>
  <c r="AK72" i="5"/>
  <c r="AL72" i="5" s="1"/>
  <c r="AR72" i="5" s="1"/>
  <c r="AJ105" i="5"/>
  <c r="AJ169" i="5"/>
  <c r="AJ199" i="5"/>
  <c r="AK169" i="5"/>
  <c r="AL169" i="5" s="1"/>
  <c r="AR169" i="5" s="1"/>
  <c r="V107" i="5"/>
  <c r="V35" i="5"/>
  <c r="W35" i="5" s="1"/>
  <c r="V32" i="5"/>
  <c r="W32" i="5" s="1"/>
  <c r="AJ165" i="5"/>
  <c r="V67" i="5"/>
  <c r="W67" i="5" s="1"/>
  <c r="V73" i="5"/>
  <c r="V177" i="5"/>
  <c r="W177" i="5" s="1"/>
  <c r="V171" i="5"/>
  <c r="AJ139" i="5"/>
  <c r="V117" i="5"/>
  <c r="AJ147" i="5"/>
  <c r="AK219" i="5"/>
  <c r="AL219" i="5" s="1"/>
  <c r="AR219" i="5" s="1"/>
  <c r="V124" i="5"/>
  <c r="W124" i="5" s="1"/>
  <c r="V196" i="5"/>
  <c r="W196" i="5" s="1"/>
  <c r="AK165" i="5"/>
  <c r="AL165" i="5" s="1"/>
  <c r="AR165" i="5" s="1"/>
  <c r="AK191" i="5"/>
  <c r="AL191" i="5" s="1"/>
  <c r="AR191" i="5" s="1"/>
  <c r="AJ176" i="5"/>
  <c r="AK210" i="5"/>
  <c r="AL210" i="5" s="1"/>
  <c r="AR210" i="5" s="1"/>
  <c r="V220" i="5"/>
  <c r="W220" i="5" s="1"/>
  <c r="V197" i="5"/>
  <c r="W197" i="5" s="1"/>
  <c r="AJ216" i="5"/>
  <c r="AA116" i="5"/>
  <c r="AA129" i="5"/>
  <c r="AA109" i="5"/>
  <c r="AA87" i="5"/>
  <c r="AK70" i="5"/>
  <c r="AL70" i="5" s="1"/>
  <c r="AR70" i="5" s="1"/>
  <c r="AK87" i="5"/>
  <c r="AL87" i="5" s="1"/>
  <c r="AR87" i="5" s="1"/>
  <c r="AJ123" i="5"/>
  <c r="AJ118" i="5"/>
  <c r="V102" i="5"/>
  <c r="V69" i="5"/>
  <c r="W69" i="5" s="1"/>
  <c r="AJ200" i="5"/>
  <c r="V213" i="5"/>
  <c r="W213" i="5" s="1"/>
  <c r="AJ129" i="5"/>
  <c r="V186" i="5"/>
  <c r="W186" i="5" s="1"/>
  <c r="AJ58" i="5"/>
  <c r="AJ159" i="5"/>
  <c r="AK53" i="5"/>
  <c r="AL53" i="5" s="1"/>
  <c r="AR53" i="5" s="1"/>
  <c r="AJ47" i="5"/>
  <c r="V168" i="5"/>
  <c r="W168" i="5" s="1"/>
  <c r="AJ223" i="5"/>
  <c r="AA224" i="5"/>
  <c r="AJ70" i="5"/>
  <c r="AK109" i="5"/>
  <c r="AL109" i="5" s="1"/>
  <c r="AR109" i="5" s="1"/>
  <c r="AJ75" i="5"/>
  <c r="AK89" i="5"/>
  <c r="AL89" i="5" s="1"/>
  <c r="AR89" i="5" s="1"/>
  <c r="AJ110" i="5"/>
  <c r="AJ55" i="5"/>
  <c r="V98" i="5"/>
  <c r="W98" i="5" s="1"/>
  <c r="V156" i="5"/>
  <c r="AA219" i="5"/>
  <c r="AA94" i="5"/>
  <c r="AA158" i="5"/>
  <c r="AA216" i="5"/>
  <c r="AA79" i="5"/>
  <c r="V184" i="5"/>
  <c r="AJ131" i="5"/>
  <c r="AJ85" i="5"/>
  <c r="AJ51" i="5"/>
  <c r="V109" i="5"/>
  <c r="W109" i="5" s="1"/>
  <c r="AK133" i="5"/>
  <c r="AL133" i="5" s="1"/>
  <c r="AR133" i="5" s="1"/>
  <c r="V178" i="5"/>
  <c r="AJ228" i="5"/>
  <c r="AK131" i="5"/>
  <c r="AL131" i="5" s="1"/>
  <c r="AR131" i="5" s="1"/>
  <c r="V218" i="5"/>
  <c r="AK77" i="5"/>
  <c r="AL77" i="5" s="1"/>
  <c r="AR77" i="5" s="1"/>
  <c r="V110" i="5"/>
  <c r="W110" i="5" s="1"/>
  <c r="AK32" i="5"/>
  <c r="AL32" i="5" s="1"/>
  <c r="R39" i="6" s="1" a="1"/>
  <c r="R39" i="6" s="1"/>
  <c r="U39" i="6" s="1"/>
  <c r="V36" i="5"/>
  <c r="W36" i="5" s="1"/>
  <c r="V147" i="5"/>
  <c r="W147" i="5" s="1"/>
  <c r="V203" i="5"/>
  <c r="W203" i="5" s="1"/>
  <c r="AZ7" i="5"/>
  <c r="Z70" i="6" s="1"/>
  <c r="AZ4" i="5"/>
  <c r="Z67" i="6" s="1"/>
  <c r="AZ5" i="5"/>
  <c r="Z68" i="6" s="1"/>
  <c r="AZ6" i="5"/>
  <c r="Z69" i="6" s="1"/>
  <c r="O4" i="5"/>
  <c r="AZ22" i="5"/>
  <c r="AZ21" i="5"/>
  <c r="AZ20" i="5"/>
  <c r="AZ19" i="5"/>
  <c r="AZ18" i="5"/>
  <c r="AZ17" i="5"/>
  <c r="AZ16" i="5"/>
  <c r="AZ15" i="5"/>
  <c r="AZ14" i="5"/>
  <c r="AZ13" i="5"/>
  <c r="AZ12" i="5"/>
  <c r="AZ11" i="5"/>
  <c r="AZ10" i="5"/>
  <c r="AZ9" i="5"/>
  <c r="Z72" i="6" s="1"/>
  <c r="AZ8" i="5"/>
  <c r="Z71" i="6" s="1"/>
  <c r="AZ23" i="5"/>
  <c r="BA4" i="5"/>
  <c r="AB67" i="6" s="1"/>
  <c r="AA228" i="5"/>
  <c r="AJ116" i="5"/>
  <c r="V191" i="5"/>
  <c r="W191" i="5" s="1"/>
  <c r="AJ63" i="5"/>
  <c r="V50" i="5"/>
  <c r="W50" i="5" s="1"/>
  <c r="AJ65" i="5"/>
  <c r="V180" i="5"/>
  <c r="W180" i="5" s="1"/>
  <c r="AJ189" i="5"/>
  <c r="AJ219" i="5"/>
  <c r="M24" i="5"/>
  <c r="P24" i="5"/>
  <c r="AK171" i="5"/>
  <c r="AL171" i="5" s="1"/>
  <c r="AR171" i="5" s="1"/>
  <c r="AA190" i="5"/>
  <c r="AA214" i="5"/>
  <c r="AA166" i="5"/>
  <c r="AA47" i="5"/>
  <c r="AA32" i="5"/>
  <c r="AA139" i="5"/>
  <c r="AA156" i="5"/>
  <c r="AA134" i="5"/>
  <c r="AJ181" i="5"/>
  <c r="AK80" i="5"/>
  <c r="AL80" i="5" s="1"/>
  <c r="AR80" i="5" s="1"/>
  <c r="AJ212" i="5"/>
  <c r="V103" i="5"/>
  <c r="W103" i="5" s="1"/>
  <c r="AK224" i="5"/>
  <c r="AL224" i="5" s="1"/>
  <c r="AR224" i="5" s="1"/>
  <c r="V158" i="5"/>
  <c r="AK229" i="5"/>
  <c r="AL229" i="5" s="1"/>
  <c r="AR229" i="5" s="1"/>
  <c r="AJ81" i="5"/>
  <c r="AK128" i="5"/>
  <c r="AL128" i="5" s="1"/>
  <c r="AR128" i="5" s="1"/>
  <c r="AK107" i="5"/>
  <c r="AL107" i="5" s="1"/>
  <c r="AR107" i="5" s="1"/>
  <c r="AJ126" i="5"/>
  <c r="V61" i="5"/>
  <c r="W61" i="5" s="1"/>
  <c r="AJ86" i="5"/>
  <c r="V60" i="5"/>
  <c r="W60" i="5" s="1"/>
  <c r="V201" i="5"/>
  <c r="AJ106" i="5"/>
  <c r="AJ59" i="5"/>
  <c r="AJ177" i="5"/>
  <c r="AJ84" i="5"/>
  <c r="V95" i="5"/>
  <c r="W95" i="5" s="1"/>
  <c r="V208" i="5"/>
  <c r="V52" i="5"/>
  <c r="W52" i="5" s="1"/>
  <c r="AK186" i="5"/>
  <c r="AL186" i="5" s="1"/>
  <c r="AR186" i="5" s="1"/>
  <c r="AJ132" i="5"/>
  <c r="V148" i="5"/>
  <c r="V167" i="5"/>
  <c r="W167" i="5" s="1"/>
  <c r="AJ78" i="5"/>
  <c r="AJ33" i="5"/>
  <c r="AJ42" i="5"/>
  <c r="AJ49" i="5"/>
  <c r="AJ38" i="5"/>
  <c r="AJ136" i="5"/>
  <c r="V132" i="5"/>
  <c r="W132" i="5" s="1"/>
  <c r="AK97" i="5"/>
  <c r="AL97" i="5" s="1"/>
  <c r="AR97" i="5" s="1"/>
  <c r="V64" i="5"/>
  <c r="AK150" i="5"/>
  <c r="AL150" i="5" s="1"/>
  <c r="AR150" i="5" s="1"/>
  <c r="V119" i="5"/>
  <c r="V149" i="5"/>
  <c r="AJ229" i="5"/>
  <c r="V223" i="5"/>
  <c r="W223" i="5" s="1"/>
  <c r="AK215" i="5"/>
  <c r="AL215" i="5" s="1"/>
  <c r="AR215" i="5" s="1"/>
  <c r="V182" i="5"/>
  <c r="AJ194" i="5"/>
  <c r="AK189" i="5"/>
  <c r="AL189" i="5" s="1"/>
  <c r="AR189" i="5" s="1"/>
  <c r="AJ196" i="5"/>
  <c r="V199" i="5"/>
  <c r="W199" i="5" s="1"/>
  <c r="AJ198" i="5"/>
  <c r="AK217" i="5"/>
  <c r="AL217" i="5" s="1"/>
  <c r="AR217" i="5" s="1"/>
  <c r="AA159" i="5"/>
  <c r="AA49" i="5"/>
  <c r="X49" i="7" l="1"/>
  <c r="Y49" i="7" s="1"/>
  <c r="T10" i="7"/>
  <c r="R10" i="7" s="1"/>
  <c r="T9" i="7"/>
  <c r="R9" i="7" s="1"/>
  <c r="T8" i="7"/>
  <c r="R8" i="7" s="1"/>
  <c r="T6" i="7"/>
  <c r="R6" i="7" s="1"/>
  <c r="T5" i="7"/>
  <c r="D36" i="9" s="1"/>
  <c r="W47" i="7"/>
  <c r="X47" i="7" s="1"/>
  <c r="Y47" i="7" s="1"/>
  <c r="W39" i="7"/>
  <c r="X39" i="7" s="1"/>
  <c r="Y39" i="7" s="1"/>
  <c r="T21" i="7"/>
  <c r="R21" i="7" s="1"/>
  <c r="T7" i="7"/>
  <c r="R7" i="7" s="1"/>
  <c r="T11" i="7"/>
  <c r="R11" i="7" s="1"/>
  <c r="X63" i="7"/>
  <c r="Y63" i="7" s="1"/>
  <c r="X147" i="7"/>
  <c r="Y147" i="7" s="1"/>
  <c r="T14" i="7"/>
  <c r="R14" i="7" s="1"/>
  <c r="T12" i="7"/>
  <c r="R12" i="7" s="1"/>
  <c r="T18" i="7"/>
  <c r="T22" i="7"/>
  <c r="T20" i="7"/>
  <c r="X109" i="7"/>
  <c r="Y109" i="7" s="1"/>
  <c r="T19" i="7"/>
  <c r="T13" i="7"/>
  <c r="T23" i="7"/>
  <c r="R23" i="7" s="1"/>
  <c r="T16" i="7"/>
  <c r="R16" i="7" s="1"/>
  <c r="W77" i="7"/>
  <c r="U18" i="7" s="1"/>
  <c r="S18" i="7" s="1"/>
  <c r="T17" i="7"/>
  <c r="AR63" i="7"/>
  <c r="AR40" i="7"/>
  <c r="AR69" i="7"/>
  <c r="R27" i="9" a="1"/>
  <c r="R27" i="9" s="1"/>
  <c r="U27" i="9" s="1"/>
  <c r="AR32" i="7"/>
  <c r="AB55" i="7"/>
  <c r="AC141" i="7"/>
  <c r="AC71" i="7"/>
  <c r="AE71" i="7" s="1"/>
  <c r="AB68" i="7"/>
  <c r="AB81" i="7"/>
  <c r="AB74" i="7"/>
  <c r="AC188" i="7"/>
  <c r="AD188" i="7" s="1"/>
  <c r="AB172" i="7"/>
  <c r="AC162" i="7"/>
  <c r="AD162" i="7" s="1"/>
  <c r="AC60" i="7"/>
  <c r="AD60" i="7" s="1"/>
  <c r="R72" i="9" a="1"/>
  <c r="R72" i="9" s="1"/>
  <c r="U72" i="9" s="1"/>
  <c r="AR64" i="7"/>
  <c r="AB177" i="7"/>
  <c r="AR71" i="7"/>
  <c r="AF9" i="7" a="1"/>
  <c r="AF9" i="7" s="1"/>
  <c r="AI9" i="7" s="1"/>
  <c r="AJ9" i="7" s="1"/>
  <c r="AC142" i="7"/>
  <c r="AC45" i="7"/>
  <c r="AB167" i="7"/>
  <c r="AB151" i="7"/>
  <c r="AB205" i="7"/>
  <c r="AB50" i="7"/>
  <c r="AR35" i="7"/>
  <c r="AC56" i="7"/>
  <c r="AD56" i="7" s="1"/>
  <c r="R20" i="9" a="1"/>
  <c r="R20" i="9" s="1"/>
  <c r="U20" i="9" s="1"/>
  <c r="AC221" i="7"/>
  <c r="AD221" i="7" s="1"/>
  <c r="AB227" i="7"/>
  <c r="AB217" i="7"/>
  <c r="AH46" i="5"/>
  <c r="AK46" i="5" s="1"/>
  <c r="AL46" i="5" s="1"/>
  <c r="AR46" i="5" s="1"/>
  <c r="AH47" i="5"/>
  <c r="AK47" i="5" s="1"/>
  <c r="AL47" i="5" s="1"/>
  <c r="AR47" i="5" s="1"/>
  <c r="AH48" i="5"/>
  <c r="AK48" i="5" s="1"/>
  <c r="AL48" i="5" s="1"/>
  <c r="AR48" i="5" s="1"/>
  <c r="AH45" i="5"/>
  <c r="AK45" i="5" s="1"/>
  <c r="AL45" i="5" s="1"/>
  <c r="AR45" i="5" s="1"/>
  <c r="U14" i="6"/>
  <c r="U19" i="6"/>
  <c r="U15" i="6"/>
  <c r="U18" i="6"/>
  <c r="U16" i="6"/>
  <c r="U20" i="6"/>
  <c r="AR76" i="7"/>
  <c r="U5" i="5"/>
  <c r="AR32" i="5"/>
  <c r="R32" i="6" a="1"/>
  <c r="R32" i="6" s="1"/>
  <c r="U32" i="6" s="1"/>
  <c r="AF7" i="5" a="1"/>
  <c r="AF7" i="5" s="1"/>
  <c r="AX7" i="5" s="1"/>
  <c r="AF13" i="5" a="1"/>
  <c r="AF13" i="5" s="1"/>
  <c r="AI13" i="5" s="1"/>
  <c r="AJ13" i="5" s="1"/>
  <c r="AP13" i="5" s="1"/>
  <c r="AF14" i="5" a="1"/>
  <c r="AF14" i="5" s="1"/>
  <c r="AI14" i="5" s="1"/>
  <c r="AJ14" i="5" s="1"/>
  <c r="AP14" i="5" s="1"/>
  <c r="AF20" i="5" a="1"/>
  <c r="AF20" i="5" s="1"/>
  <c r="AI20" i="5" s="1"/>
  <c r="AJ20" i="5" s="1"/>
  <c r="AP20" i="5" s="1"/>
  <c r="AF6" i="5" a="1"/>
  <c r="AF6" i="5" s="1"/>
  <c r="AI6" i="5" s="1"/>
  <c r="AJ6" i="5" s="1"/>
  <c r="AP6" i="5" s="1"/>
  <c r="AF9" i="5" a="1"/>
  <c r="AF9" i="5" s="1"/>
  <c r="AI9" i="5" s="1"/>
  <c r="AJ9" i="5" s="1"/>
  <c r="AF10" i="5" a="1"/>
  <c r="AF10" i="5" s="1"/>
  <c r="AI10" i="5" s="1"/>
  <c r="AJ10" i="5" s="1"/>
  <c r="AP10" i="5" s="1"/>
  <c r="R24" i="6" a="1"/>
  <c r="R24" i="6" s="1"/>
  <c r="U24" i="6" s="1"/>
  <c r="AF19" i="5" a="1"/>
  <c r="AF19" i="5" s="1"/>
  <c r="AI19" i="5" s="1"/>
  <c r="AJ19" i="5" s="1"/>
  <c r="R44" i="6" a="1"/>
  <c r="R44" i="6" s="1"/>
  <c r="U44" i="6" s="1"/>
  <c r="U7" i="7"/>
  <c r="U5" i="7"/>
  <c r="S5" i="7" s="1"/>
  <c r="T26" i="9" s="1"/>
  <c r="AF18" i="7" a="1"/>
  <c r="AF18" i="7" s="1"/>
  <c r="AX18" i="7" s="1"/>
  <c r="AF11" i="7" a="1"/>
  <c r="AF11" i="7" s="1"/>
  <c r="AX11" i="7" s="1"/>
  <c r="AF5" i="7" a="1"/>
  <c r="AF5" i="7" s="1"/>
  <c r="AR172" i="7"/>
  <c r="AF6" i="7" a="1"/>
  <c r="AF6" i="7" s="1"/>
  <c r="AI6" i="7" s="1"/>
  <c r="AJ6" i="7" s="1"/>
  <c r="AP6" i="7" s="1"/>
  <c r="R79" i="9" a="1"/>
  <c r="R79" i="9" s="1"/>
  <c r="U79" i="9" s="1"/>
  <c r="AF10" i="7" a="1"/>
  <c r="AF10" i="7" s="1"/>
  <c r="AX10" i="7" s="1"/>
  <c r="R37" i="9" a="1"/>
  <c r="R37" i="9" s="1"/>
  <c r="U37" i="9" s="1"/>
  <c r="AF12" i="7" a="1"/>
  <c r="AF12" i="7" s="1"/>
  <c r="AX12" i="7" s="1"/>
  <c r="AF20" i="7" a="1"/>
  <c r="AF20" i="7" s="1"/>
  <c r="R51" i="9" a="1"/>
  <c r="R51" i="9" s="1"/>
  <c r="U51" i="9" s="1"/>
  <c r="AF21" i="7" a="1"/>
  <c r="AF21" i="7" s="1"/>
  <c r="AX21" i="7" s="1"/>
  <c r="Y4" i="7"/>
  <c r="AA4" i="7" s="1"/>
  <c r="Y6" i="7"/>
  <c r="Z6" i="7" s="1"/>
  <c r="AC210" i="7"/>
  <c r="AR43" i="7"/>
  <c r="AC101" i="7"/>
  <c r="AE101" i="7" s="1"/>
  <c r="AF15" i="7" a="1"/>
  <c r="AF15" i="7" s="1"/>
  <c r="U10" i="7"/>
  <c r="AF14" i="7" a="1"/>
  <c r="AF14" i="7" s="1"/>
  <c r="AF13" i="7" a="1"/>
  <c r="AF13" i="7" s="1"/>
  <c r="AB76" i="7"/>
  <c r="AR89" i="7"/>
  <c r="AF22" i="7" a="1"/>
  <c r="AF22" i="7" s="1"/>
  <c r="U8" i="7"/>
  <c r="S8" i="7" s="1"/>
  <c r="AF23" i="7" a="1"/>
  <c r="AF23" i="7" s="1"/>
  <c r="AF19" i="7" a="1"/>
  <c r="AF19" i="7" s="1"/>
  <c r="AF17" i="7" a="1"/>
  <c r="AF17" i="7" s="1"/>
  <c r="AF4" i="7" a="1"/>
  <c r="AF4" i="7" s="1"/>
  <c r="AF16" i="7" a="1"/>
  <c r="AF16" i="7" s="1"/>
  <c r="AI16" i="7" s="1"/>
  <c r="AJ16" i="7" s="1"/>
  <c r="AP16" i="7" s="1"/>
  <c r="AB200" i="7"/>
  <c r="AB47" i="7"/>
  <c r="AB82" i="7"/>
  <c r="AB87" i="7"/>
  <c r="AR180" i="7"/>
  <c r="AC80" i="7"/>
  <c r="AB80" i="7"/>
  <c r="AC154" i="7"/>
  <c r="AB154" i="7"/>
  <c r="AC88" i="7"/>
  <c r="AB88" i="7"/>
  <c r="AD151" i="7"/>
  <c r="AE151" i="7"/>
  <c r="AD42" i="7"/>
  <c r="AE42" i="7"/>
  <c r="AB117" i="7"/>
  <c r="AC117" i="7"/>
  <c r="AC127" i="7"/>
  <c r="AB127" i="7"/>
  <c r="AC229" i="7"/>
  <c r="AB229" i="7"/>
  <c r="AC223" i="7"/>
  <c r="AB223" i="7"/>
  <c r="AC102" i="7"/>
  <c r="AB102" i="7"/>
  <c r="AC108" i="7"/>
  <c r="AB108" i="7"/>
  <c r="AC65" i="7"/>
  <c r="AB65" i="7"/>
  <c r="AC110" i="7"/>
  <c r="AB110" i="7"/>
  <c r="AB106" i="7"/>
  <c r="AC106" i="7"/>
  <c r="AC39" i="7"/>
  <c r="AB39" i="7"/>
  <c r="AD205" i="7"/>
  <c r="AE205" i="7"/>
  <c r="U4" i="7"/>
  <c r="AB109" i="7"/>
  <c r="AC109" i="7"/>
  <c r="AC41" i="7"/>
  <c r="AB41" i="7"/>
  <c r="R5" i="7"/>
  <c r="AF7" i="7" a="1"/>
  <c r="AF7" i="7" s="1"/>
  <c r="R13" i="9" a="1"/>
  <c r="R13" i="9" s="1"/>
  <c r="U13" i="9" s="1"/>
  <c r="AC168" i="7"/>
  <c r="AB168" i="7"/>
  <c r="AC207" i="7"/>
  <c r="AB207" i="7"/>
  <c r="AB115" i="7"/>
  <c r="AC115" i="7"/>
  <c r="AB134" i="7"/>
  <c r="AC134" i="7"/>
  <c r="AC213" i="7"/>
  <c r="AB213" i="7"/>
  <c r="AC107" i="7"/>
  <c r="AB107" i="7"/>
  <c r="AC91" i="7"/>
  <c r="AB91" i="7"/>
  <c r="AB51" i="7"/>
  <c r="AC51" i="7"/>
  <c r="AC112" i="7"/>
  <c r="AB112" i="7"/>
  <c r="AC104" i="7"/>
  <c r="AB104" i="7"/>
  <c r="AC48" i="7"/>
  <c r="AB48" i="7"/>
  <c r="AR37" i="7"/>
  <c r="AB38" i="7"/>
  <c r="AC38" i="7"/>
  <c r="R4" i="7"/>
  <c r="C36" i="9"/>
  <c r="AM32" i="7"/>
  <c r="AN32" i="7" s="1"/>
  <c r="AO32" i="7" s="1"/>
  <c r="AP32" i="7" s="1"/>
  <c r="AQ32" i="7" s="1"/>
  <c r="AD55" i="7"/>
  <c r="AE55" i="7"/>
  <c r="X74" i="7"/>
  <c r="Y74" i="7" s="1"/>
  <c r="AD71" i="7"/>
  <c r="AD82" i="7"/>
  <c r="AE82" i="7"/>
  <c r="AB79" i="7"/>
  <c r="AC79" i="7"/>
  <c r="AD210" i="7"/>
  <c r="AE210" i="7"/>
  <c r="AB37" i="7"/>
  <c r="AC37" i="7"/>
  <c r="X33" i="7"/>
  <c r="Y33" i="7" s="1"/>
  <c r="AC187" i="7"/>
  <c r="AB187" i="7"/>
  <c r="AC197" i="7"/>
  <c r="AB197" i="7"/>
  <c r="AC124" i="7"/>
  <c r="AB124" i="7"/>
  <c r="AC202" i="7"/>
  <c r="AB202" i="7"/>
  <c r="AC95" i="7"/>
  <c r="AB95" i="7"/>
  <c r="AC218" i="7"/>
  <c r="AB218" i="7"/>
  <c r="AC150" i="7"/>
  <c r="AB150" i="7"/>
  <c r="AD177" i="7"/>
  <c r="AE177" i="7"/>
  <c r="X38" i="7"/>
  <c r="Y38" i="7" s="1"/>
  <c r="AC175" i="7"/>
  <c r="AB175" i="7"/>
  <c r="AC185" i="7"/>
  <c r="AB185" i="7"/>
  <c r="AC179" i="7"/>
  <c r="AB179" i="7"/>
  <c r="AC130" i="7"/>
  <c r="AB130" i="7"/>
  <c r="AB89" i="7"/>
  <c r="AC89" i="7"/>
  <c r="AB178" i="7"/>
  <c r="AC178" i="7"/>
  <c r="AB219" i="7"/>
  <c r="AC219" i="7"/>
  <c r="AC99" i="7"/>
  <c r="AB99" i="7"/>
  <c r="AB158" i="7"/>
  <c r="AC158" i="7"/>
  <c r="AC220" i="7"/>
  <c r="AB220" i="7"/>
  <c r="AC123" i="7"/>
  <c r="AB123" i="7"/>
  <c r="AC173" i="7"/>
  <c r="AB173" i="7"/>
  <c r="AC98" i="7"/>
  <c r="AB98" i="7"/>
  <c r="AC136" i="7"/>
  <c r="AB136" i="7"/>
  <c r="AD172" i="7"/>
  <c r="AE172" i="7"/>
  <c r="AC138" i="7"/>
  <c r="AB138" i="7"/>
  <c r="AD141" i="7"/>
  <c r="AE141" i="7"/>
  <c r="AD76" i="7"/>
  <c r="AE76" i="7"/>
  <c r="AF76" i="7" s="1"/>
  <c r="AC171" i="7"/>
  <c r="AB171" i="7"/>
  <c r="AC169" i="7"/>
  <c r="AB169" i="7"/>
  <c r="AC174" i="7"/>
  <c r="AB174" i="7"/>
  <c r="AB160" i="7"/>
  <c r="AC160" i="7"/>
  <c r="AC225" i="7"/>
  <c r="AB225" i="7"/>
  <c r="AC203" i="7"/>
  <c r="AB203" i="7"/>
  <c r="AB92" i="7"/>
  <c r="AC92" i="7"/>
  <c r="AB118" i="7"/>
  <c r="AC118" i="7"/>
  <c r="AC166" i="7"/>
  <c r="AB166" i="7"/>
  <c r="AD200" i="7"/>
  <c r="AE200" i="7"/>
  <c r="AC58" i="7"/>
  <c r="AB58" i="7"/>
  <c r="AD227" i="7"/>
  <c r="AE227" i="7"/>
  <c r="AD87" i="7"/>
  <c r="AE87" i="7"/>
  <c r="AC63" i="7"/>
  <c r="AB63" i="7"/>
  <c r="AC184" i="7"/>
  <c r="AB184" i="7"/>
  <c r="AC103" i="7"/>
  <c r="AB103" i="7"/>
  <c r="AC35" i="7"/>
  <c r="AB35" i="7"/>
  <c r="AD142" i="7"/>
  <c r="AE142" i="7"/>
  <c r="AC129" i="7"/>
  <c r="AB129" i="7"/>
  <c r="AB190" i="7"/>
  <c r="AC190" i="7"/>
  <c r="AC66" i="7"/>
  <c r="AB66" i="7"/>
  <c r="AC133" i="7"/>
  <c r="AB133" i="7"/>
  <c r="AC182" i="7"/>
  <c r="AB182" i="7"/>
  <c r="AC147" i="7"/>
  <c r="AB147" i="7"/>
  <c r="AC206" i="7"/>
  <c r="AB206" i="7"/>
  <c r="AC139" i="7"/>
  <c r="AB139" i="7"/>
  <c r="AC96" i="7"/>
  <c r="AB96" i="7"/>
  <c r="AC132" i="7"/>
  <c r="AB132" i="7"/>
  <c r="AD67" i="7"/>
  <c r="AE67" i="7"/>
  <c r="AC152" i="7"/>
  <c r="AB152" i="7"/>
  <c r="AB75" i="7"/>
  <c r="AC75" i="7"/>
  <c r="AB163" i="7"/>
  <c r="AC163" i="7"/>
  <c r="AC164" i="7"/>
  <c r="AB164" i="7"/>
  <c r="AD45" i="7"/>
  <c r="AE45" i="7"/>
  <c r="AC204" i="7"/>
  <c r="AB204" i="7"/>
  <c r="AC153" i="7"/>
  <c r="AB153" i="7"/>
  <c r="AB114" i="7"/>
  <c r="AC114" i="7"/>
  <c r="AB34" i="7"/>
  <c r="AC34" i="7"/>
  <c r="X32" i="7"/>
  <c r="Y32" i="7" s="1"/>
  <c r="AC105" i="7"/>
  <c r="AB105" i="7"/>
  <c r="AC125" i="7"/>
  <c r="AB125" i="7"/>
  <c r="AC165" i="7"/>
  <c r="AB165" i="7"/>
  <c r="AD217" i="7"/>
  <c r="AE217" i="7"/>
  <c r="AD74" i="7"/>
  <c r="AE74" i="7"/>
  <c r="AC62" i="7"/>
  <c r="AB62" i="7"/>
  <c r="AC61" i="7"/>
  <c r="AB61" i="7"/>
  <c r="AC208" i="7"/>
  <c r="AB208" i="7"/>
  <c r="AC170" i="7"/>
  <c r="AB170" i="7"/>
  <c r="AC49" i="7"/>
  <c r="AB49" i="7"/>
  <c r="AB77" i="7"/>
  <c r="AC77" i="7"/>
  <c r="AC36" i="7"/>
  <c r="AB36" i="7"/>
  <c r="AC121" i="7"/>
  <c r="AB121" i="7"/>
  <c r="AB43" i="7"/>
  <c r="AC43" i="7"/>
  <c r="AC148" i="7"/>
  <c r="AB148" i="7"/>
  <c r="AC59" i="7"/>
  <c r="AB59" i="7"/>
  <c r="AC111" i="7"/>
  <c r="AB111" i="7"/>
  <c r="AC85" i="7"/>
  <c r="AB85" i="7"/>
  <c r="AC201" i="7"/>
  <c r="AB201" i="7"/>
  <c r="Z4" i="7"/>
  <c r="G39" i="9"/>
  <c r="AC214" i="7"/>
  <c r="AB214" i="7"/>
  <c r="AC144" i="7"/>
  <c r="AB144" i="7"/>
  <c r="AC183" i="7"/>
  <c r="AB183" i="7"/>
  <c r="AB86" i="7"/>
  <c r="AC86" i="7"/>
  <c r="AB44" i="7"/>
  <c r="AC44" i="7"/>
  <c r="AC181" i="7"/>
  <c r="AB181" i="7"/>
  <c r="AC94" i="7"/>
  <c r="AB94" i="7"/>
  <c r="AC78" i="7"/>
  <c r="AB78" i="7"/>
  <c r="AC100" i="7"/>
  <c r="AB100" i="7"/>
  <c r="AD167" i="7"/>
  <c r="AE167" i="7"/>
  <c r="AD50" i="7"/>
  <c r="AE50" i="7"/>
  <c r="Y17" i="7"/>
  <c r="Y14" i="7"/>
  <c r="Y23" i="7"/>
  <c r="Y20" i="7"/>
  <c r="Y18" i="7"/>
  <c r="Y7" i="7"/>
  <c r="Y10" i="7"/>
  <c r="Y13" i="7"/>
  <c r="Y19" i="7"/>
  <c r="Y11" i="7"/>
  <c r="Y15" i="7"/>
  <c r="Y16" i="7"/>
  <c r="Y9" i="7"/>
  <c r="Y12" i="7"/>
  <c r="Y21" i="7"/>
  <c r="Y5" i="7"/>
  <c r="Y22" i="7"/>
  <c r="Y8" i="7"/>
  <c r="AC40" i="7"/>
  <c r="AB40" i="7"/>
  <c r="AC64" i="7"/>
  <c r="AB64" i="7"/>
  <c r="R63" i="9" a="1"/>
  <c r="R63" i="9" s="1"/>
  <c r="U63" i="9" s="1"/>
  <c r="AF8" i="7" a="1"/>
  <c r="AF8" i="7" s="1"/>
  <c r="AB46" i="7"/>
  <c r="AC46" i="7"/>
  <c r="AC122" i="7"/>
  <c r="AB122" i="7"/>
  <c r="AB180" i="7"/>
  <c r="AC180" i="7"/>
  <c r="AC97" i="7"/>
  <c r="AB97" i="7"/>
  <c r="AC191" i="7"/>
  <c r="AB191" i="7"/>
  <c r="AC126" i="7"/>
  <c r="AB126" i="7"/>
  <c r="AB83" i="7"/>
  <c r="AC83" i="7"/>
  <c r="AC137" i="7"/>
  <c r="AB137" i="7"/>
  <c r="AC143" i="7"/>
  <c r="AB143" i="7"/>
  <c r="AB73" i="7"/>
  <c r="AC73" i="7"/>
  <c r="AC90" i="7"/>
  <c r="AB90" i="7"/>
  <c r="AC52" i="7"/>
  <c r="AB52" i="7"/>
  <c r="AC32" i="7"/>
  <c r="AB32" i="7"/>
  <c r="AC146" i="7"/>
  <c r="AB146" i="7"/>
  <c r="AC228" i="7"/>
  <c r="AB228" i="7"/>
  <c r="AC194" i="7"/>
  <c r="AB194" i="7"/>
  <c r="AC57" i="7"/>
  <c r="AB57" i="7"/>
  <c r="AC211" i="7"/>
  <c r="AB211" i="7"/>
  <c r="AC195" i="7"/>
  <c r="AB195" i="7"/>
  <c r="AC192" i="7"/>
  <c r="AB192" i="7"/>
  <c r="AB113" i="7"/>
  <c r="AC113" i="7"/>
  <c r="AC53" i="7"/>
  <c r="AB53" i="7"/>
  <c r="AC215" i="7"/>
  <c r="AB215" i="7"/>
  <c r="AC131" i="7"/>
  <c r="AB131" i="7"/>
  <c r="AC128" i="7"/>
  <c r="AB128" i="7"/>
  <c r="AC135" i="7"/>
  <c r="AB135" i="7"/>
  <c r="AD81" i="7"/>
  <c r="AE81" i="7"/>
  <c r="AB72" i="7"/>
  <c r="AC72" i="7"/>
  <c r="AB209" i="7"/>
  <c r="AC209" i="7"/>
  <c r="AB33" i="7"/>
  <c r="AC33" i="7"/>
  <c r="AC212" i="7"/>
  <c r="AB212" i="7"/>
  <c r="AD47" i="7"/>
  <c r="AE47" i="7"/>
  <c r="AC159" i="7"/>
  <c r="AB159" i="7"/>
  <c r="AC199" i="7"/>
  <c r="AB199" i="7"/>
  <c r="AC216" i="7"/>
  <c r="AB216" i="7"/>
  <c r="AC140" i="7"/>
  <c r="AB140" i="7"/>
  <c r="AA6" i="7"/>
  <c r="AB6" i="7" s="1"/>
  <c r="AC222" i="7"/>
  <c r="AB222" i="7"/>
  <c r="AC176" i="7"/>
  <c r="AB176" i="7"/>
  <c r="AC70" i="7"/>
  <c r="AB70" i="7"/>
  <c r="AC149" i="7"/>
  <c r="AB149" i="7"/>
  <c r="AC54" i="7"/>
  <c r="AB54" i="7"/>
  <c r="AC84" i="7"/>
  <c r="AB84" i="7"/>
  <c r="AB116" i="7"/>
  <c r="AC116" i="7"/>
  <c r="AC198" i="7"/>
  <c r="AB198" i="7"/>
  <c r="AB93" i="7"/>
  <c r="AC93" i="7"/>
  <c r="AB119" i="7"/>
  <c r="AC119" i="7"/>
  <c r="AC157" i="7"/>
  <c r="AB157" i="7"/>
  <c r="AC189" i="7"/>
  <c r="AB189" i="7"/>
  <c r="AB196" i="7"/>
  <c r="AC196" i="7"/>
  <c r="AC155" i="7"/>
  <c r="AB155" i="7"/>
  <c r="AC193" i="7"/>
  <c r="AB193" i="7"/>
  <c r="AC145" i="7"/>
  <c r="AB145" i="7"/>
  <c r="AC156" i="7"/>
  <c r="AB156" i="7"/>
  <c r="AC186" i="7"/>
  <c r="AB186" i="7"/>
  <c r="AB69" i="7"/>
  <c r="AC69" i="7"/>
  <c r="AB120" i="7"/>
  <c r="AC120" i="7"/>
  <c r="AC161" i="7"/>
  <c r="AB161" i="7"/>
  <c r="AC226" i="7"/>
  <c r="AB226" i="7"/>
  <c r="R15" i="7"/>
  <c r="AD68" i="7"/>
  <c r="AE68" i="7"/>
  <c r="AC224" i="7"/>
  <c r="AB224" i="7"/>
  <c r="O24" i="5"/>
  <c r="BA24" i="5"/>
  <c r="AB73" i="6" s="1"/>
  <c r="U17" i="5"/>
  <c r="U11" i="5"/>
  <c r="U20" i="5"/>
  <c r="U21" i="5"/>
  <c r="U22" i="5"/>
  <c r="U15" i="5"/>
  <c r="U13" i="5"/>
  <c r="U23" i="5"/>
  <c r="U10" i="5"/>
  <c r="U19" i="5"/>
  <c r="U14" i="5"/>
  <c r="U18" i="5"/>
  <c r="U12" i="5"/>
  <c r="U16" i="5"/>
  <c r="AC87" i="5"/>
  <c r="AB87" i="5"/>
  <c r="AB115" i="5"/>
  <c r="AC115" i="5"/>
  <c r="AB123" i="5"/>
  <c r="AC123" i="5"/>
  <c r="AB81" i="5"/>
  <c r="AC81" i="5"/>
  <c r="AF17" i="5" a="1"/>
  <c r="AF17" i="5" s="1"/>
  <c r="AC227" i="5"/>
  <c r="AB227" i="5"/>
  <c r="X126" i="5"/>
  <c r="Y126" i="5" s="1"/>
  <c r="X87" i="5"/>
  <c r="Y87" i="5" s="1"/>
  <c r="AB42" i="5"/>
  <c r="AC42" i="5"/>
  <c r="Y17" i="5"/>
  <c r="Y15" i="5"/>
  <c r="Y21" i="5"/>
  <c r="Y12" i="5"/>
  <c r="Y5" i="5"/>
  <c r="Y13" i="5"/>
  <c r="Y6" i="5"/>
  <c r="Y10" i="5"/>
  <c r="Y20" i="5"/>
  <c r="Y9" i="5"/>
  <c r="Y14" i="5"/>
  <c r="Y7" i="5"/>
  <c r="Y22" i="5"/>
  <c r="Y23" i="5"/>
  <c r="Y11" i="5"/>
  <c r="Y16" i="5"/>
  <c r="Y18" i="5"/>
  <c r="Y19" i="5"/>
  <c r="AK33" i="5"/>
  <c r="AL33" i="5" s="1"/>
  <c r="AC167" i="5"/>
  <c r="AB167" i="5"/>
  <c r="AC96" i="5"/>
  <c r="AB96" i="5"/>
  <c r="AC202" i="5"/>
  <c r="AB202" i="5"/>
  <c r="AC71" i="5"/>
  <c r="AB71" i="5"/>
  <c r="AF12" i="5" a="1"/>
  <c r="AF12" i="5" s="1"/>
  <c r="AB129" i="5"/>
  <c r="AC129" i="5"/>
  <c r="X77" i="5"/>
  <c r="Y77" i="5" s="1"/>
  <c r="AB224" i="5"/>
  <c r="AC224" i="5"/>
  <c r="AC102" i="5"/>
  <c r="AB102" i="5"/>
  <c r="X101" i="5"/>
  <c r="Y101" i="5" s="1"/>
  <c r="AB206" i="5"/>
  <c r="AC206" i="5"/>
  <c r="AK34" i="5"/>
  <c r="AL34" i="5" s="1"/>
  <c r="AR34" i="5" s="1"/>
  <c r="AB141" i="5"/>
  <c r="AC141" i="5"/>
  <c r="AB38" i="5"/>
  <c r="AC38" i="5"/>
  <c r="W64" i="5"/>
  <c r="X64" i="5" s="1"/>
  <c r="Y64" i="5" s="1"/>
  <c r="AB164" i="5"/>
  <c r="AC164" i="5"/>
  <c r="AC207" i="5"/>
  <c r="AB207" i="5"/>
  <c r="W125" i="5"/>
  <c r="X125" i="5" s="1"/>
  <c r="Y125" i="5" s="1"/>
  <c r="W40" i="5"/>
  <c r="X40" i="5" s="1"/>
  <c r="Y40" i="5" s="1"/>
  <c r="AC41" i="5"/>
  <c r="AB41" i="5"/>
  <c r="X221" i="5"/>
  <c r="Y221" i="5" s="1"/>
  <c r="X94" i="5"/>
  <c r="Y94" i="5" s="1"/>
  <c r="AC50" i="5"/>
  <c r="AB50" i="5"/>
  <c r="AC66" i="5"/>
  <c r="AB66" i="5"/>
  <c r="AC46" i="5"/>
  <c r="AB46" i="5"/>
  <c r="AB168" i="5"/>
  <c r="AC168" i="5"/>
  <c r="AB161" i="5"/>
  <c r="AC161" i="5"/>
  <c r="AC197" i="5"/>
  <c r="AB197" i="5"/>
  <c r="AC182" i="5"/>
  <c r="AB182" i="5"/>
  <c r="AB191" i="5"/>
  <c r="AC191" i="5"/>
  <c r="AF18" i="5" a="1"/>
  <c r="AF18" i="5" s="1"/>
  <c r="W216" i="5"/>
  <c r="X216" i="5" s="1"/>
  <c r="Y216" i="5" s="1"/>
  <c r="AC152" i="5"/>
  <c r="AB152" i="5"/>
  <c r="X85" i="5"/>
  <c r="Y85" i="5" s="1"/>
  <c r="AB119" i="5"/>
  <c r="AC119" i="5"/>
  <c r="X86" i="5"/>
  <c r="Y86" i="5" s="1"/>
  <c r="AC165" i="5"/>
  <c r="AB165" i="5"/>
  <c r="AR64" i="5"/>
  <c r="W108" i="5"/>
  <c r="X108" i="5" s="1"/>
  <c r="Y108" i="5" s="1"/>
  <c r="AB130" i="5"/>
  <c r="AC130" i="5"/>
  <c r="X47" i="5"/>
  <c r="Y47" i="5" s="1"/>
  <c r="X70" i="5"/>
  <c r="Y70" i="5" s="1"/>
  <c r="AC84" i="5"/>
  <c r="AB84" i="5"/>
  <c r="X172" i="5"/>
  <c r="Y172" i="5" s="1"/>
  <c r="X74" i="5"/>
  <c r="Y74" i="5" s="1"/>
  <c r="X83" i="5"/>
  <c r="Y83" i="5" s="1"/>
  <c r="X228" i="5"/>
  <c r="Y228" i="5" s="1"/>
  <c r="X106" i="5"/>
  <c r="Y106" i="5" s="1"/>
  <c r="X141" i="5"/>
  <c r="Y141" i="5" s="1"/>
  <c r="X222" i="5"/>
  <c r="Y222" i="5" s="1"/>
  <c r="X189" i="5"/>
  <c r="Y189" i="5" s="1"/>
  <c r="AC155" i="5"/>
  <c r="AB155" i="5"/>
  <c r="X48" i="5"/>
  <c r="Y48" i="5" s="1"/>
  <c r="W184" i="5"/>
  <c r="X184" i="5" s="1"/>
  <c r="Y184" i="5" s="1"/>
  <c r="W151" i="5"/>
  <c r="X151" i="5" s="1"/>
  <c r="Y151" i="5" s="1"/>
  <c r="X42" i="5"/>
  <c r="Y42" i="5" s="1"/>
  <c r="AB111" i="5"/>
  <c r="AC111" i="5"/>
  <c r="AC75" i="5"/>
  <c r="AB75" i="5"/>
  <c r="AC53" i="5"/>
  <c r="AB53" i="5"/>
  <c r="AC45" i="5"/>
  <c r="AB45" i="5"/>
  <c r="AC177" i="5"/>
  <c r="AB177" i="5"/>
  <c r="AB149" i="5"/>
  <c r="AC149" i="5"/>
  <c r="AC229" i="5"/>
  <c r="AB229" i="5"/>
  <c r="AB104" i="5"/>
  <c r="AC104" i="5"/>
  <c r="X72" i="5"/>
  <c r="Y72" i="5" s="1"/>
  <c r="X183" i="5"/>
  <c r="Y183" i="5" s="1"/>
  <c r="AC65" i="5"/>
  <c r="AB65" i="5"/>
  <c r="AB174" i="5"/>
  <c r="AC174" i="5"/>
  <c r="AC169" i="5"/>
  <c r="AB169" i="5"/>
  <c r="R59" i="6" a="1"/>
  <c r="R59" i="6" s="1"/>
  <c r="U59" i="6" s="1"/>
  <c r="X67" i="5"/>
  <c r="Y67" i="5" s="1"/>
  <c r="AB101" i="5"/>
  <c r="AC101" i="5"/>
  <c r="AC173" i="5"/>
  <c r="AB173" i="5"/>
  <c r="AC199" i="5"/>
  <c r="AB199" i="5"/>
  <c r="AC100" i="5"/>
  <c r="AB100" i="5"/>
  <c r="AB117" i="5"/>
  <c r="AC117" i="5"/>
  <c r="AC144" i="5"/>
  <c r="AB144" i="5"/>
  <c r="AB58" i="5"/>
  <c r="AC58" i="5"/>
  <c r="AC106" i="5"/>
  <c r="AB106" i="5"/>
  <c r="AB32" i="5"/>
  <c r="AC32" i="5"/>
  <c r="X219" i="5"/>
  <c r="Y219" i="5" s="1"/>
  <c r="X174" i="5"/>
  <c r="Y174" i="5" s="1"/>
  <c r="AC179" i="5"/>
  <c r="AB179" i="5"/>
  <c r="AF16" i="5" a="1"/>
  <c r="AF16" i="5" s="1"/>
  <c r="X186" i="5"/>
  <c r="Y186" i="5" s="1"/>
  <c r="X52" i="5"/>
  <c r="Y52" i="5" s="1"/>
  <c r="X103" i="5"/>
  <c r="Y103" i="5" s="1"/>
  <c r="AB166" i="5"/>
  <c r="AC166" i="5"/>
  <c r="X203" i="5"/>
  <c r="Y203" i="5" s="1"/>
  <c r="AC49" i="5"/>
  <c r="AB49" i="5"/>
  <c r="AB208" i="5"/>
  <c r="AC208" i="5"/>
  <c r="AB73" i="5"/>
  <c r="AC73" i="5"/>
  <c r="X137" i="5"/>
  <c r="Y137" i="5" s="1"/>
  <c r="AC55" i="5"/>
  <c r="AB55" i="5"/>
  <c r="AC63" i="5"/>
  <c r="AB63" i="5"/>
  <c r="AC92" i="5"/>
  <c r="AB92" i="5"/>
  <c r="AC51" i="5"/>
  <c r="AB51" i="5"/>
  <c r="X123" i="5"/>
  <c r="Y123" i="5" s="1"/>
  <c r="X181" i="5"/>
  <c r="Y181" i="5" s="1"/>
  <c r="X185" i="5"/>
  <c r="Y185" i="5" s="1"/>
  <c r="AC196" i="5"/>
  <c r="AB196" i="5"/>
  <c r="AC91" i="5"/>
  <c r="AB91" i="5"/>
  <c r="AB122" i="5"/>
  <c r="AC122" i="5"/>
  <c r="X199" i="5"/>
  <c r="Y199" i="5" s="1"/>
  <c r="X223" i="5"/>
  <c r="Y223" i="5" s="1"/>
  <c r="AC156" i="5"/>
  <c r="AB156" i="5"/>
  <c r="X191" i="5"/>
  <c r="Y191" i="5" s="1"/>
  <c r="AC138" i="5"/>
  <c r="AB138" i="5"/>
  <c r="X53" i="5"/>
  <c r="Y53" i="5" s="1"/>
  <c r="X195" i="5"/>
  <c r="Y195" i="5" s="1"/>
  <c r="AC48" i="5"/>
  <c r="AB48" i="5"/>
  <c r="W100" i="5"/>
  <c r="X100" i="5" s="1"/>
  <c r="Y100" i="5" s="1"/>
  <c r="W224" i="5"/>
  <c r="X224" i="5" s="1"/>
  <c r="Y224" i="5" s="1"/>
  <c r="AB67" i="5"/>
  <c r="AC67" i="5"/>
  <c r="AC195" i="5"/>
  <c r="AB195" i="5"/>
  <c r="W229" i="5"/>
  <c r="X229" i="5" s="1"/>
  <c r="Y229" i="5" s="1"/>
  <c r="AC139" i="5"/>
  <c r="AB139" i="5"/>
  <c r="AF15" i="5" a="1"/>
  <c r="AF15" i="5" s="1"/>
  <c r="AC194" i="5"/>
  <c r="AB194" i="5"/>
  <c r="AC82" i="5"/>
  <c r="AB82" i="5"/>
  <c r="X62" i="5"/>
  <c r="Y62" i="5" s="1"/>
  <c r="W104" i="5"/>
  <c r="X104" i="5" s="1"/>
  <c r="Y104" i="5" s="1"/>
  <c r="AC44" i="5"/>
  <c r="AB44" i="5"/>
  <c r="W54" i="5"/>
  <c r="U8" i="5" s="1"/>
  <c r="AB68" i="5"/>
  <c r="AC68" i="5"/>
  <c r="AC153" i="5"/>
  <c r="AB153" i="5"/>
  <c r="AB125" i="5"/>
  <c r="AC125" i="5"/>
  <c r="AC181" i="5"/>
  <c r="AB181" i="5"/>
  <c r="AC186" i="5"/>
  <c r="AB186" i="5"/>
  <c r="AC143" i="5"/>
  <c r="AB143" i="5"/>
  <c r="AB172" i="5"/>
  <c r="AC172" i="5"/>
  <c r="X168" i="5"/>
  <c r="Y168" i="5" s="1"/>
  <c r="X46" i="5"/>
  <c r="Y46" i="5" s="1"/>
  <c r="X164" i="5"/>
  <c r="Y164" i="5" s="1"/>
  <c r="AB132" i="5"/>
  <c r="AC132" i="5"/>
  <c r="AC189" i="5"/>
  <c r="AB189" i="5"/>
  <c r="X131" i="5"/>
  <c r="Y131" i="5" s="1"/>
  <c r="X89" i="5"/>
  <c r="Y89" i="5" s="1"/>
  <c r="X112" i="5"/>
  <c r="Y112" i="5" s="1"/>
  <c r="X179" i="5"/>
  <c r="Y179" i="5" s="1"/>
  <c r="X136" i="5"/>
  <c r="Y136" i="5" s="1"/>
  <c r="T7" i="5"/>
  <c r="AC210" i="5"/>
  <c r="AB210" i="5"/>
  <c r="W205" i="5"/>
  <c r="X205" i="5" s="1"/>
  <c r="Y205" i="5" s="1"/>
  <c r="X192" i="5"/>
  <c r="Y192" i="5" s="1"/>
  <c r="X33" i="5"/>
  <c r="Y33" i="5" s="1"/>
  <c r="T4" i="5"/>
  <c r="AC85" i="5"/>
  <c r="AB85" i="5"/>
  <c r="AC223" i="5"/>
  <c r="AB223" i="5"/>
  <c r="AC99" i="5"/>
  <c r="AB99" i="5"/>
  <c r="AC183" i="5"/>
  <c r="AB183" i="5"/>
  <c r="AB193" i="5"/>
  <c r="AC193" i="5"/>
  <c r="AC159" i="5"/>
  <c r="AB159" i="5"/>
  <c r="AC190" i="5"/>
  <c r="AB190" i="5"/>
  <c r="AZ24" i="5"/>
  <c r="Z73" i="6" s="1"/>
  <c r="AF5" i="5" a="1"/>
  <c r="AF5" i="5" s="1"/>
  <c r="X110" i="5"/>
  <c r="Y110" i="5" s="1"/>
  <c r="AB216" i="5"/>
  <c r="AC216" i="5"/>
  <c r="X196" i="5"/>
  <c r="Y196" i="5" s="1"/>
  <c r="W155" i="5"/>
  <c r="X155" i="5" s="1"/>
  <c r="Y155" i="5" s="1"/>
  <c r="X81" i="5"/>
  <c r="Y81" i="5" s="1"/>
  <c r="X135" i="5"/>
  <c r="Y135" i="5" s="1"/>
  <c r="W102" i="5"/>
  <c r="X102" i="5" s="1"/>
  <c r="Y102" i="5" s="1"/>
  <c r="AC154" i="5"/>
  <c r="AB154" i="5"/>
  <c r="W146" i="5"/>
  <c r="X146" i="5" s="1"/>
  <c r="Y146" i="5" s="1"/>
  <c r="X37" i="5"/>
  <c r="Y37" i="5" s="1"/>
  <c r="AC136" i="5"/>
  <c r="AB136" i="5"/>
  <c r="X90" i="5"/>
  <c r="Y90" i="5" s="1"/>
  <c r="X130" i="5"/>
  <c r="Y130" i="5" s="1"/>
  <c r="W133" i="5"/>
  <c r="X133" i="5" s="1"/>
  <c r="Y133" i="5" s="1"/>
  <c r="AC37" i="5"/>
  <c r="AB37" i="5"/>
  <c r="W215" i="5"/>
  <c r="X215" i="5" s="1"/>
  <c r="Y215" i="5" s="1"/>
  <c r="X170" i="5"/>
  <c r="Y170" i="5" s="1"/>
  <c r="X160" i="5"/>
  <c r="Y160" i="5" s="1"/>
  <c r="AC60" i="5"/>
  <c r="AB60" i="5"/>
  <c r="AC187" i="5"/>
  <c r="AB187" i="5"/>
  <c r="W41" i="5"/>
  <c r="X41" i="5" s="1"/>
  <c r="Y41" i="5" s="1"/>
  <c r="W152" i="5"/>
  <c r="X152" i="5" s="1"/>
  <c r="Y152" i="5" s="1"/>
  <c r="AC108" i="5"/>
  <c r="AB108" i="5"/>
  <c r="X166" i="5"/>
  <c r="Y166" i="5" s="1"/>
  <c r="X175" i="5"/>
  <c r="Y175" i="5" s="1"/>
  <c r="AC52" i="5"/>
  <c r="AB52" i="5"/>
  <c r="AB105" i="5"/>
  <c r="AC105" i="5"/>
  <c r="AC135" i="5"/>
  <c r="AB135" i="5"/>
  <c r="AC54" i="5"/>
  <c r="AB54" i="5"/>
  <c r="AC43" i="5"/>
  <c r="AB43" i="5"/>
  <c r="AC36" i="5"/>
  <c r="AB36" i="5"/>
  <c r="AB95" i="5"/>
  <c r="AC95" i="5"/>
  <c r="AC39" i="5"/>
  <c r="AB39" i="5"/>
  <c r="X161" i="5"/>
  <c r="Y161" i="5" s="1"/>
  <c r="AB118" i="5"/>
  <c r="AC118" i="5"/>
  <c r="Z4" i="5"/>
  <c r="AA4" i="5"/>
  <c r="G39" i="6"/>
  <c r="X68" i="5"/>
  <c r="Y68" i="5" s="1"/>
  <c r="AB113" i="5"/>
  <c r="AC113" i="5"/>
  <c r="X142" i="5"/>
  <c r="Y142" i="5" s="1"/>
  <c r="W148" i="5"/>
  <c r="X148" i="5" s="1"/>
  <c r="Y148" i="5" s="1"/>
  <c r="AC205" i="5"/>
  <c r="AB205" i="5"/>
  <c r="AB176" i="5"/>
  <c r="AC176" i="5"/>
  <c r="AB131" i="5"/>
  <c r="AC131" i="5"/>
  <c r="AF21" i="5" a="1"/>
  <c r="AF21" i="5" s="1"/>
  <c r="AB109" i="5"/>
  <c r="AC109" i="5"/>
  <c r="X116" i="5"/>
  <c r="Y116" i="5" s="1"/>
  <c r="X43" i="5"/>
  <c r="Y43" i="5" s="1"/>
  <c r="X138" i="5"/>
  <c r="Y138" i="5" s="1"/>
  <c r="X165" i="5"/>
  <c r="Y165" i="5" s="1"/>
  <c r="AB128" i="5"/>
  <c r="AC128" i="5"/>
  <c r="X93" i="5"/>
  <c r="Y93" i="5" s="1"/>
  <c r="AC163" i="5"/>
  <c r="AB163" i="5"/>
  <c r="AC61" i="5"/>
  <c r="AB61" i="5"/>
  <c r="AC137" i="5"/>
  <c r="AB137" i="5"/>
  <c r="X44" i="5"/>
  <c r="Y44" i="5" s="1"/>
  <c r="X176" i="5"/>
  <c r="Y176" i="5" s="1"/>
  <c r="AC184" i="5"/>
  <c r="AB184" i="5"/>
  <c r="X45" i="5"/>
  <c r="Y45" i="5" s="1"/>
  <c r="W173" i="5"/>
  <c r="X173" i="5" s="1"/>
  <c r="Y173" i="5" s="1"/>
  <c r="X63" i="5"/>
  <c r="Y63" i="5" s="1"/>
  <c r="T22" i="5"/>
  <c r="T20" i="5"/>
  <c r="T15" i="5"/>
  <c r="T13" i="5"/>
  <c r="T11" i="5"/>
  <c r="T10" i="5"/>
  <c r="T18" i="5"/>
  <c r="T21" i="5"/>
  <c r="T16" i="5"/>
  <c r="T19" i="5"/>
  <c r="T12" i="5"/>
  <c r="T14" i="5"/>
  <c r="T23" i="5"/>
  <c r="T17" i="5"/>
  <c r="X217" i="5"/>
  <c r="Y217" i="5" s="1"/>
  <c r="AC64" i="5"/>
  <c r="AB64" i="5"/>
  <c r="AC211" i="5"/>
  <c r="AB211" i="5"/>
  <c r="AC142" i="5"/>
  <c r="AB142" i="5"/>
  <c r="AB133" i="5"/>
  <c r="AC133" i="5"/>
  <c r="AB213" i="5"/>
  <c r="AC213" i="5"/>
  <c r="X132" i="5"/>
  <c r="Y132" i="5" s="1"/>
  <c r="AC116" i="5"/>
  <c r="AB116" i="5"/>
  <c r="AC83" i="5"/>
  <c r="AB83" i="5"/>
  <c r="AC180" i="5"/>
  <c r="AB180" i="5"/>
  <c r="W127" i="5"/>
  <c r="X127" i="5" s="1"/>
  <c r="Y127" i="5" s="1"/>
  <c r="AC204" i="5"/>
  <c r="AB204" i="5"/>
  <c r="X76" i="5"/>
  <c r="Y76" i="5" s="1"/>
  <c r="AC35" i="5"/>
  <c r="AB35" i="5"/>
  <c r="X180" i="5"/>
  <c r="Y180" i="5" s="1"/>
  <c r="W194" i="5"/>
  <c r="X194" i="5" s="1"/>
  <c r="Y194" i="5" s="1"/>
  <c r="AC214" i="5"/>
  <c r="AB214" i="5"/>
  <c r="X147" i="5"/>
  <c r="Y147" i="5" s="1"/>
  <c r="AB79" i="5"/>
  <c r="AC79" i="5"/>
  <c r="X197" i="5"/>
  <c r="Y197" i="5" s="1"/>
  <c r="X60" i="5"/>
  <c r="Y60" i="5" s="1"/>
  <c r="AF22" i="5" a="1"/>
  <c r="AF22" i="5" s="1"/>
  <c r="X109" i="5"/>
  <c r="Y109" i="5" s="1"/>
  <c r="AB158" i="5"/>
  <c r="AC158" i="5"/>
  <c r="X213" i="5"/>
  <c r="Y213" i="5" s="1"/>
  <c r="X220" i="5"/>
  <c r="Y220" i="5" s="1"/>
  <c r="X35" i="5"/>
  <c r="Y35" i="5" s="1"/>
  <c r="Y8" i="5"/>
  <c r="AC78" i="5"/>
  <c r="AB78" i="5"/>
  <c r="W119" i="5"/>
  <c r="X119" i="5" s="1"/>
  <c r="Y119" i="5" s="1"/>
  <c r="X56" i="5"/>
  <c r="Y56" i="5" s="1"/>
  <c r="AC185" i="5"/>
  <c r="AB185" i="5"/>
  <c r="X57" i="5"/>
  <c r="Y57" i="5" s="1"/>
  <c r="X121" i="5"/>
  <c r="Y121" i="5" s="1"/>
  <c r="W208" i="5"/>
  <c r="X208" i="5" s="1"/>
  <c r="Y208" i="5" s="1"/>
  <c r="W113" i="5"/>
  <c r="X113" i="5" s="1"/>
  <c r="Y113" i="5" s="1"/>
  <c r="X169" i="5"/>
  <c r="Y169" i="5" s="1"/>
  <c r="W150" i="5"/>
  <c r="X150" i="5" s="1"/>
  <c r="Y150" i="5" s="1"/>
  <c r="W134" i="5"/>
  <c r="X134" i="5" s="1"/>
  <c r="Y134" i="5" s="1"/>
  <c r="W227" i="5"/>
  <c r="X227" i="5" s="1"/>
  <c r="Y227" i="5" s="1"/>
  <c r="X55" i="5"/>
  <c r="Y55" i="5" s="1"/>
  <c r="W115" i="5"/>
  <c r="X115" i="5" s="1"/>
  <c r="Y115" i="5" s="1"/>
  <c r="AB145" i="5"/>
  <c r="AC145" i="5"/>
  <c r="W163" i="5"/>
  <c r="X163" i="5" s="1"/>
  <c r="Y163" i="5" s="1"/>
  <c r="X111" i="5"/>
  <c r="Y111" i="5" s="1"/>
  <c r="X140" i="5"/>
  <c r="Y140" i="5" s="1"/>
  <c r="X226" i="5"/>
  <c r="Y226" i="5" s="1"/>
  <c r="W201" i="5"/>
  <c r="X201" i="5" s="1"/>
  <c r="Y201" i="5" s="1"/>
  <c r="AB220" i="5"/>
  <c r="AC220" i="5"/>
  <c r="X91" i="5"/>
  <c r="Y91" i="5" s="1"/>
  <c r="X49" i="5"/>
  <c r="Y49" i="5" s="1"/>
  <c r="AC34" i="5"/>
  <c r="AB34" i="5"/>
  <c r="W117" i="5"/>
  <c r="X117" i="5" s="1"/>
  <c r="Y117" i="5" s="1"/>
  <c r="X129" i="5"/>
  <c r="Y129" i="5" s="1"/>
  <c r="AC150" i="5"/>
  <c r="AB150" i="5"/>
  <c r="W171" i="5"/>
  <c r="X171" i="5" s="1"/>
  <c r="Y171" i="5" s="1"/>
  <c r="AB162" i="5"/>
  <c r="AC162" i="5"/>
  <c r="X206" i="5"/>
  <c r="Y206" i="5" s="1"/>
  <c r="W99" i="5"/>
  <c r="X99" i="5" s="1"/>
  <c r="Y99" i="5" s="1"/>
  <c r="X79" i="5"/>
  <c r="Y79" i="5" s="1"/>
  <c r="AC59" i="5"/>
  <c r="AB59" i="5"/>
  <c r="AC192" i="5"/>
  <c r="AB192" i="5"/>
  <c r="AC215" i="5"/>
  <c r="AB215" i="5"/>
  <c r="AC93" i="5"/>
  <c r="AB93" i="5"/>
  <c r="AC57" i="5"/>
  <c r="AB57" i="5"/>
  <c r="AC201" i="5"/>
  <c r="AB201" i="5"/>
  <c r="AC112" i="5"/>
  <c r="AB112" i="5"/>
  <c r="AC80" i="5"/>
  <c r="AB80" i="5"/>
  <c r="AC157" i="5"/>
  <c r="AB157" i="5"/>
  <c r="X34" i="5"/>
  <c r="Y34" i="5" s="1"/>
  <c r="X193" i="5"/>
  <c r="Y193" i="5" s="1"/>
  <c r="X84" i="5"/>
  <c r="Y84" i="5" s="1"/>
  <c r="X190" i="5"/>
  <c r="Y190" i="5" s="1"/>
  <c r="AC40" i="5"/>
  <c r="AB40" i="5"/>
  <c r="AB120" i="5"/>
  <c r="AC120" i="5"/>
  <c r="X51" i="5"/>
  <c r="Y51" i="5" s="1"/>
  <c r="T8" i="5"/>
  <c r="X59" i="5"/>
  <c r="Y59" i="5" s="1"/>
  <c r="T5" i="5"/>
  <c r="X128" i="5"/>
  <c r="Y128" i="5" s="1"/>
  <c r="AB170" i="5"/>
  <c r="AC170" i="5"/>
  <c r="AB72" i="5"/>
  <c r="AC72" i="5"/>
  <c r="X61" i="5"/>
  <c r="Y61" i="5" s="1"/>
  <c r="AB134" i="5"/>
  <c r="AC134" i="5"/>
  <c r="AF11" i="5" a="1"/>
  <c r="AF11" i="5" s="1"/>
  <c r="X69" i="5"/>
  <c r="Y69" i="5" s="1"/>
  <c r="X154" i="5"/>
  <c r="Y154" i="5" s="1"/>
  <c r="AB160" i="5"/>
  <c r="AC160" i="5"/>
  <c r="W158" i="5"/>
  <c r="X158" i="5" s="1"/>
  <c r="Y158" i="5" s="1"/>
  <c r="AB86" i="5"/>
  <c r="AC86" i="5"/>
  <c r="W120" i="5"/>
  <c r="X120" i="5" s="1"/>
  <c r="Y120" i="5" s="1"/>
  <c r="X198" i="5"/>
  <c r="Y198" i="5" s="1"/>
  <c r="X139" i="5"/>
  <c r="Y139" i="5" s="1"/>
  <c r="X65" i="5"/>
  <c r="Y65" i="5" s="1"/>
  <c r="AB226" i="5"/>
  <c r="AC226" i="5"/>
  <c r="AB121" i="5"/>
  <c r="AC121" i="5"/>
  <c r="AB124" i="5"/>
  <c r="AC124" i="5"/>
  <c r="X98" i="5"/>
  <c r="Y98" i="5" s="1"/>
  <c r="AB225" i="5"/>
  <c r="AC225" i="5"/>
  <c r="AB222" i="5"/>
  <c r="AC222" i="5"/>
  <c r="U4" i="5"/>
  <c r="AC47" i="5"/>
  <c r="AB47" i="5"/>
  <c r="AB228" i="5"/>
  <c r="AC228" i="5"/>
  <c r="X32" i="5"/>
  <c r="Y32" i="5" s="1"/>
  <c r="T6" i="5"/>
  <c r="W162" i="5"/>
  <c r="X162" i="5" s="1"/>
  <c r="Y162" i="5" s="1"/>
  <c r="AC77" i="5"/>
  <c r="AB77" i="5"/>
  <c r="X188" i="5"/>
  <c r="Y188" i="5" s="1"/>
  <c r="W143" i="5"/>
  <c r="X143" i="5" s="1"/>
  <c r="Y143" i="5" s="1"/>
  <c r="W38" i="5"/>
  <c r="X167" i="5"/>
  <c r="Y167" i="5" s="1"/>
  <c r="X95" i="5"/>
  <c r="Y95" i="5" s="1"/>
  <c r="X50" i="5"/>
  <c r="Y50" i="5" s="1"/>
  <c r="X36" i="5"/>
  <c r="Y36" i="5" s="1"/>
  <c r="T9" i="5"/>
  <c r="AF23" i="5" a="1"/>
  <c r="AF23" i="5" s="1"/>
  <c r="AB94" i="5"/>
  <c r="AC94" i="5"/>
  <c r="W75" i="5"/>
  <c r="X75" i="5" s="1"/>
  <c r="Y75" i="5" s="1"/>
  <c r="X124" i="5"/>
  <c r="Y124" i="5" s="1"/>
  <c r="X177" i="5"/>
  <c r="Y177" i="5" s="1"/>
  <c r="W71" i="5"/>
  <c r="X71" i="5" s="1"/>
  <c r="Y71" i="5" s="1"/>
  <c r="X97" i="5"/>
  <c r="Y97" i="5" s="1"/>
  <c r="AC148" i="5"/>
  <c r="AB148" i="5"/>
  <c r="AB88" i="5"/>
  <c r="AC88" i="5"/>
  <c r="X202" i="5"/>
  <c r="Y202" i="5" s="1"/>
  <c r="AB107" i="5"/>
  <c r="AC107" i="5"/>
  <c r="W178" i="5"/>
  <c r="X178" i="5" s="1"/>
  <c r="Y178" i="5" s="1"/>
  <c r="W88" i="5"/>
  <c r="X88" i="5" s="1"/>
  <c r="Y88" i="5" s="1"/>
  <c r="W156" i="5"/>
  <c r="X156" i="5" s="1"/>
  <c r="Y156" i="5" s="1"/>
  <c r="AC209" i="5"/>
  <c r="AB209" i="5"/>
  <c r="AB126" i="5"/>
  <c r="AC126" i="5"/>
  <c r="W207" i="5"/>
  <c r="X207" i="5" s="1"/>
  <c r="Y207" i="5" s="1"/>
  <c r="X58" i="5"/>
  <c r="Y58" i="5" s="1"/>
  <c r="AC203" i="5"/>
  <c r="AB203" i="5"/>
  <c r="W211" i="5"/>
  <c r="X211" i="5" s="1"/>
  <c r="Y211" i="5" s="1"/>
  <c r="AC212" i="5"/>
  <c r="AB212" i="5"/>
  <c r="W39" i="5"/>
  <c r="AC69" i="5"/>
  <c r="AB69" i="5"/>
  <c r="AC33" i="5"/>
  <c r="AB33" i="5"/>
  <c r="AB62" i="5"/>
  <c r="AC62" i="5"/>
  <c r="AC140" i="5"/>
  <c r="AB140" i="5"/>
  <c r="W182" i="5"/>
  <c r="X182" i="5" s="1"/>
  <c r="Y182" i="5" s="1"/>
  <c r="W73" i="5"/>
  <c r="X73" i="5" s="1"/>
  <c r="Y73" i="5" s="1"/>
  <c r="X78" i="5"/>
  <c r="Y78" i="5" s="1"/>
  <c r="W114" i="5"/>
  <c r="X114" i="5" s="1"/>
  <c r="Y114" i="5" s="1"/>
  <c r="X159" i="5"/>
  <c r="Y159" i="5" s="1"/>
  <c r="AB110" i="5"/>
  <c r="AC110" i="5"/>
  <c r="AC147" i="5"/>
  <c r="AB147" i="5"/>
  <c r="AC146" i="5"/>
  <c r="AB146" i="5"/>
  <c r="AC98" i="5"/>
  <c r="AB98" i="5"/>
  <c r="AC171" i="5"/>
  <c r="AB171" i="5"/>
  <c r="AB218" i="5"/>
  <c r="AC218" i="5"/>
  <c r="AC198" i="5"/>
  <c r="AB198" i="5"/>
  <c r="AC200" i="5"/>
  <c r="AB200" i="5"/>
  <c r="AC219" i="5"/>
  <c r="AB219" i="5"/>
  <c r="W122" i="5"/>
  <c r="X122" i="5" s="1"/>
  <c r="Y122" i="5" s="1"/>
  <c r="AC97" i="5"/>
  <c r="AB97" i="5"/>
  <c r="W149" i="5"/>
  <c r="X149" i="5" s="1"/>
  <c r="Y149" i="5" s="1"/>
  <c r="X145" i="5"/>
  <c r="Y145" i="5" s="1"/>
  <c r="W96" i="5"/>
  <c r="X96" i="5" s="1"/>
  <c r="Y96" i="5" s="1"/>
  <c r="AB103" i="5"/>
  <c r="AC103" i="5"/>
  <c r="W209" i="5"/>
  <c r="X209" i="5" s="1"/>
  <c r="Y209" i="5" s="1"/>
  <c r="X118" i="5"/>
  <c r="Y118" i="5" s="1"/>
  <c r="AC89" i="5"/>
  <c r="AB89" i="5"/>
  <c r="X153" i="5"/>
  <c r="Y153" i="5" s="1"/>
  <c r="X212" i="5"/>
  <c r="Y212" i="5" s="1"/>
  <c r="AK35" i="5"/>
  <c r="AL35" i="5" s="1"/>
  <c r="AR35" i="5" s="1"/>
  <c r="X82" i="5"/>
  <c r="Y82" i="5" s="1"/>
  <c r="X225" i="5"/>
  <c r="Y225" i="5" s="1"/>
  <c r="W107" i="5"/>
  <c r="X107" i="5" s="1"/>
  <c r="Y107" i="5" s="1"/>
  <c r="X214" i="5"/>
  <c r="Y214" i="5" s="1"/>
  <c r="X80" i="5"/>
  <c r="Y80" i="5" s="1"/>
  <c r="X105" i="5"/>
  <c r="Y105" i="5" s="1"/>
  <c r="X204" i="5"/>
  <c r="Y204" i="5" s="1"/>
  <c r="W92" i="5"/>
  <c r="X92" i="5" s="1"/>
  <c r="Y92" i="5" s="1"/>
  <c r="AC76" i="5"/>
  <c r="AB76" i="5"/>
  <c r="AC175" i="5"/>
  <c r="AB175" i="5"/>
  <c r="AB178" i="5"/>
  <c r="AC178" i="5"/>
  <c r="AB74" i="5"/>
  <c r="AC74" i="5"/>
  <c r="W187" i="5"/>
  <c r="X187" i="5" s="1"/>
  <c r="Y187" i="5" s="1"/>
  <c r="X200" i="5"/>
  <c r="Y200" i="5" s="1"/>
  <c r="W144" i="5"/>
  <c r="X144" i="5" s="1"/>
  <c r="Y144" i="5" s="1"/>
  <c r="X66" i="5"/>
  <c r="Y66" i="5" s="1"/>
  <c r="W157" i="5"/>
  <c r="X157" i="5" s="1"/>
  <c r="Y157" i="5" s="1"/>
  <c r="AC221" i="5"/>
  <c r="AB221" i="5"/>
  <c r="W210" i="5"/>
  <c r="X210" i="5" s="1"/>
  <c r="Y210" i="5" s="1"/>
  <c r="W218" i="5"/>
  <c r="X218" i="5" s="1"/>
  <c r="Y218" i="5" s="1"/>
  <c r="AC56" i="5"/>
  <c r="AB56" i="5"/>
  <c r="AC151" i="5"/>
  <c r="AB151" i="5"/>
  <c r="AC188" i="5"/>
  <c r="AB188" i="5"/>
  <c r="AC114" i="5"/>
  <c r="AB114" i="5"/>
  <c r="AB217" i="5"/>
  <c r="AC217" i="5"/>
  <c r="AB127" i="5"/>
  <c r="AC127" i="5"/>
  <c r="AC90" i="5"/>
  <c r="AB90" i="5"/>
  <c r="AC70" i="5"/>
  <c r="AB70" i="5"/>
  <c r="U6" i="5" l="1"/>
  <c r="S6" i="5" s="1"/>
  <c r="U9" i="5"/>
  <c r="S9" i="5" s="1"/>
  <c r="R51" i="6" a="1"/>
  <c r="R51" i="6" s="1"/>
  <c r="U51" i="6" s="1"/>
  <c r="U9" i="7"/>
  <c r="S9" i="7" s="1"/>
  <c r="S7" i="7"/>
  <c r="U12" i="7"/>
  <c r="V12" i="7" s="1"/>
  <c r="W12" i="7" s="1"/>
  <c r="S10" i="7"/>
  <c r="U6" i="7"/>
  <c r="S6" i="7" s="1"/>
  <c r="U23" i="7"/>
  <c r="V23" i="7" s="1"/>
  <c r="W23" i="7" s="1"/>
  <c r="U19" i="7"/>
  <c r="S19" i="7" s="1"/>
  <c r="V18" i="7"/>
  <c r="W18" i="7" s="1"/>
  <c r="U16" i="7"/>
  <c r="V16" i="7" s="1"/>
  <c r="W16" i="7" s="1"/>
  <c r="U22" i="7"/>
  <c r="S22" i="7" s="1"/>
  <c r="U17" i="7"/>
  <c r="S17" i="7" s="1"/>
  <c r="R18" i="7"/>
  <c r="AC18" i="7" s="1"/>
  <c r="R17" i="7"/>
  <c r="T24" i="7"/>
  <c r="R13" i="7"/>
  <c r="AC13" i="7" s="1"/>
  <c r="R22" i="7"/>
  <c r="U11" i="7"/>
  <c r="U13" i="7"/>
  <c r="S13" i="7" s="1"/>
  <c r="U15" i="7"/>
  <c r="U14" i="7"/>
  <c r="X77" i="7"/>
  <c r="Y77" i="7" s="1"/>
  <c r="U21" i="7"/>
  <c r="R19" i="7"/>
  <c r="R20" i="7"/>
  <c r="U20" i="7"/>
  <c r="S20" i="7" s="1"/>
  <c r="AE188" i="7"/>
  <c r="AF188" i="7" s="1"/>
  <c r="AF68" i="7"/>
  <c r="AE60" i="7"/>
  <c r="AF60" i="7" s="1"/>
  <c r="AF87" i="7"/>
  <c r="AF172" i="7"/>
  <c r="AF45" i="7"/>
  <c r="AF67" i="7"/>
  <c r="AE162" i="7"/>
  <c r="AF162" i="7" s="1"/>
  <c r="AF167" i="7"/>
  <c r="AF200" i="7"/>
  <c r="AF47" i="7"/>
  <c r="AF81" i="7"/>
  <c r="AF82" i="7"/>
  <c r="AF42" i="7"/>
  <c r="AX9" i="7"/>
  <c r="AE56" i="7"/>
  <c r="AF56" i="7" s="1"/>
  <c r="AE221" i="7"/>
  <c r="AF221" i="7" s="1"/>
  <c r="AF71" i="7"/>
  <c r="AF205" i="7"/>
  <c r="R71" i="9"/>
  <c r="U70" i="9" s="1"/>
  <c r="AF217" i="7"/>
  <c r="AP9" i="7"/>
  <c r="AF8" i="5" a="1"/>
  <c r="AF8" i="5" s="1"/>
  <c r="AX8" i="5" s="1"/>
  <c r="R13" i="6" a="1"/>
  <c r="R13" i="6" s="1"/>
  <c r="U13" i="6" s="1"/>
  <c r="S5" i="5"/>
  <c r="T23" i="6" s="1"/>
  <c r="AI7" i="5"/>
  <c r="AJ7" i="5" s="1"/>
  <c r="AP7" i="5" s="1"/>
  <c r="S18" i="5"/>
  <c r="X38" i="5"/>
  <c r="Y38" i="5" s="1"/>
  <c r="S14" i="5"/>
  <c r="X54" i="5"/>
  <c r="Y54" i="5" s="1"/>
  <c r="U7" i="5"/>
  <c r="S7" i="5" s="1"/>
  <c r="S8" i="5"/>
  <c r="S19" i="5"/>
  <c r="S10" i="5"/>
  <c r="R43" i="6"/>
  <c r="U42" i="6" s="1"/>
  <c r="AX14" i="5"/>
  <c r="AX6" i="5"/>
  <c r="R31" i="6"/>
  <c r="U30" i="6" s="1"/>
  <c r="AM32" i="5"/>
  <c r="AN32" i="5" s="1"/>
  <c r="AO32" i="5" s="1"/>
  <c r="AP32" i="5" s="1"/>
  <c r="AQ32" i="5" s="1"/>
  <c r="AX13" i="5"/>
  <c r="AX20" i="5"/>
  <c r="AX10" i="5"/>
  <c r="AR33" i="5"/>
  <c r="AR30" i="5" s="1"/>
  <c r="AS35" i="5" s="1"/>
  <c r="AT35" i="5" s="1"/>
  <c r="AX9" i="5"/>
  <c r="R58" i="6"/>
  <c r="U57" i="6" s="1"/>
  <c r="AX19" i="5"/>
  <c r="AP9" i="5"/>
  <c r="AP19" i="5"/>
  <c r="BC17" i="7"/>
  <c r="BC23" i="7"/>
  <c r="BC4" i="7"/>
  <c r="AC65" i="9" s="1"/>
  <c r="V5" i="7"/>
  <c r="W5" i="7" s="1"/>
  <c r="V7" i="7"/>
  <c r="W7" i="7" s="1"/>
  <c r="V10" i="7"/>
  <c r="W10" i="7" s="1"/>
  <c r="BC22" i="7"/>
  <c r="AI11" i="7"/>
  <c r="AJ11" i="7" s="1"/>
  <c r="AP11" i="7" s="1"/>
  <c r="AI18" i="7"/>
  <c r="AJ18" i="7" s="1"/>
  <c r="AP18" i="7" s="1"/>
  <c r="BC18" i="7"/>
  <c r="AX5" i="7"/>
  <c r="R26" i="9"/>
  <c r="U25" i="9" s="1"/>
  <c r="AX22" i="7"/>
  <c r="BC9" i="7"/>
  <c r="AC70" i="9" s="1"/>
  <c r="R36" i="9"/>
  <c r="U35" i="9" s="1"/>
  <c r="AX6" i="7"/>
  <c r="BC5" i="7"/>
  <c r="AC66" i="9" s="1"/>
  <c r="AI22" i="7"/>
  <c r="AJ22" i="7" s="1"/>
  <c r="AP22" i="7" s="1"/>
  <c r="BC6" i="7"/>
  <c r="AC67" i="9" s="1"/>
  <c r="BC8" i="7"/>
  <c r="AC69" i="9" s="1"/>
  <c r="AI5" i="7"/>
  <c r="AJ5" i="7" s="1"/>
  <c r="AP5" i="7" s="1"/>
  <c r="BC10" i="7"/>
  <c r="R78" i="9"/>
  <c r="U77" i="9" s="1"/>
  <c r="BC11" i="7"/>
  <c r="AI10" i="7"/>
  <c r="AJ10" i="7" s="1"/>
  <c r="AP10" i="7" s="1"/>
  <c r="AI21" i="7"/>
  <c r="AJ21" i="7" s="1"/>
  <c r="AP21" i="7" s="1"/>
  <c r="BC7" i="7"/>
  <c r="AC68" i="9" s="1"/>
  <c r="BC12" i="7"/>
  <c r="BC13" i="7"/>
  <c r="AI12" i="7"/>
  <c r="AJ12" i="7" s="1"/>
  <c r="AP12" i="7" s="1"/>
  <c r="BC14" i="7"/>
  <c r="BB12" i="7"/>
  <c r="BB18" i="7"/>
  <c r="AX20" i="7"/>
  <c r="AX13" i="7"/>
  <c r="BB21" i="7"/>
  <c r="BB6" i="7"/>
  <c r="AA67" i="9" s="1"/>
  <c r="BC20" i="7"/>
  <c r="BC21" i="7"/>
  <c r="AX14" i="7"/>
  <c r="AI13" i="7"/>
  <c r="AJ13" i="7" s="1"/>
  <c r="AP13" i="7" s="1"/>
  <c r="AI14" i="7"/>
  <c r="AJ14" i="7" s="1"/>
  <c r="AP14" i="7" s="1"/>
  <c r="BB16" i="7"/>
  <c r="BB4" i="7"/>
  <c r="AA65" i="9" s="1"/>
  <c r="AI20" i="7"/>
  <c r="AJ20" i="7" s="1"/>
  <c r="AP20" i="7" s="1"/>
  <c r="AI4" i="7"/>
  <c r="AJ4" i="7" s="1"/>
  <c r="AP4" i="7" s="1"/>
  <c r="BB23" i="7"/>
  <c r="BB11" i="7"/>
  <c r="BB20" i="7"/>
  <c r="BB14" i="7"/>
  <c r="AX16" i="7"/>
  <c r="BB5" i="7"/>
  <c r="AA66" i="9" s="1"/>
  <c r="BB9" i="7"/>
  <c r="AA70" i="9" s="1"/>
  <c r="BC16" i="7"/>
  <c r="BB13" i="7"/>
  <c r="BB22" i="7"/>
  <c r="AX19" i="7"/>
  <c r="AI19" i="7"/>
  <c r="AJ19" i="7" s="1"/>
  <c r="AP19" i="7" s="1"/>
  <c r="V8" i="7"/>
  <c r="W8" i="7" s="1"/>
  <c r="AD101" i="7"/>
  <c r="AF101" i="7" s="1"/>
  <c r="R12" i="9"/>
  <c r="U11" i="9" s="1"/>
  <c r="BB10" i="7"/>
  <c r="AX23" i="7"/>
  <c r="AI23" i="7"/>
  <c r="AJ23" i="7" s="1"/>
  <c r="AP23" i="7" s="1"/>
  <c r="BC19" i="7"/>
  <c r="AX4" i="7"/>
  <c r="AX15" i="7"/>
  <c r="AI15" i="7"/>
  <c r="AJ15" i="7" s="1"/>
  <c r="AP15" i="7" s="1"/>
  <c r="BC15" i="7"/>
  <c r="AF55" i="7"/>
  <c r="AF151" i="7"/>
  <c r="BB19" i="7"/>
  <c r="AX17" i="7"/>
  <c r="AI17" i="7"/>
  <c r="AJ17" i="7" s="1"/>
  <c r="AP17" i="7" s="1"/>
  <c r="AF177" i="7"/>
  <c r="BB15" i="7"/>
  <c r="BB17" i="7"/>
  <c r="AD157" i="7"/>
  <c r="AE157" i="7"/>
  <c r="AD170" i="7"/>
  <c r="AE170" i="7"/>
  <c r="AD109" i="7"/>
  <c r="AE109" i="7"/>
  <c r="AF109" i="7" s="1"/>
  <c r="AD198" i="7"/>
  <c r="AE198" i="7"/>
  <c r="AD70" i="7"/>
  <c r="AE70" i="7"/>
  <c r="AD199" i="7"/>
  <c r="AE199" i="7"/>
  <c r="AD131" i="7"/>
  <c r="AE131" i="7"/>
  <c r="AD83" i="7"/>
  <c r="AE83" i="7"/>
  <c r="AD165" i="7"/>
  <c r="AE165" i="7"/>
  <c r="AF165" i="7" s="1"/>
  <c r="AD147" i="7"/>
  <c r="AE147" i="7"/>
  <c r="AD173" i="7"/>
  <c r="AE173" i="7"/>
  <c r="AD95" i="7"/>
  <c r="AE95" i="7"/>
  <c r="AD37" i="7"/>
  <c r="AE37" i="7"/>
  <c r="AD107" i="7"/>
  <c r="AE107" i="7"/>
  <c r="AD154" i="7"/>
  <c r="AE154" i="7"/>
  <c r="AF154" i="7" s="1"/>
  <c r="AC6" i="7"/>
  <c r="AD193" i="7"/>
  <c r="AE193" i="7"/>
  <c r="AD209" i="7"/>
  <c r="AE209" i="7"/>
  <c r="AD201" i="7"/>
  <c r="AE201" i="7"/>
  <c r="AD61" i="7"/>
  <c r="AE61" i="7"/>
  <c r="AI7" i="7"/>
  <c r="AJ7" i="7" s="1"/>
  <c r="AP7" i="7" s="1"/>
  <c r="AX7" i="7"/>
  <c r="R50" i="9"/>
  <c r="U49" i="9" s="1"/>
  <c r="AD102" i="7"/>
  <c r="AE102" i="7"/>
  <c r="AD156" i="7"/>
  <c r="AE156" i="7"/>
  <c r="AD148" i="7"/>
  <c r="AE148" i="7"/>
  <c r="AD212" i="7"/>
  <c r="AE212" i="7"/>
  <c r="AD195" i="7"/>
  <c r="AE195" i="7"/>
  <c r="AF195" i="7" s="1"/>
  <c r="AD43" i="7"/>
  <c r="AE43" i="7"/>
  <c r="AD168" i="7"/>
  <c r="AE168" i="7"/>
  <c r="AD145" i="7"/>
  <c r="AE145" i="7"/>
  <c r="AD137" i="7"/>
  <c r="AE137" i="7"/>
  <c r="AD64" i="7"/>
  <c r="AE64" i="7"/>
  <c r="AD86" i="7"/>
  <c r="AE86" i="7"/>
  <c r="AF86" i="7" s="1"/>
  <c r="AD208" i="7"/>
  <c r="AE208" i="7"/>
  <c r="AD152" i="7"/>
  <c r="AE152" i="7"/>
  <c r="AC12" i="7"/>
  <c r="AD63" i="7"/>
  <c r="AE63" i="7"/>
  <c r="AD160" i="7"/>
  <c r="AE160" i="7"/>
  <c r="AF160" i="7" s="1"/>
  <c r="AD178" i="7"/>
  <c r="AE178" i="7"/>
  <c r="S4" i="7"/>
  <c r="AD108" i="7"/>
  <c r="AE108" i="7"/>
  <c r="AD117" i="7"/>
  <c r="AE117" i="7"/>
  <c r="AD211" i="7"/>
  <c r="AE211" i="7"/>
  <c r="AF211" i="7" s="1"/>
  <c r="AD52" i="7"/>
  <c r="AE52" i="7"/>
  <c r="AA13" i="7"/>
  <c r="AB13" i="7" s="1"/>
  <c r="Z13" i="7"/>
  <c r="AD161" i="7"/>
  <c r="AE161" i="7"/>
  <c r="AD40" i="7"/>
  <c r="AE40" i="7"/>
  <c r="AA10" i="7"/>
  <c r="AB10" i="7" s="1"/>
  <c r="Z10" i="7"/>
  <c r="AD121" i="7"/>
  <c r="AE121" i="7"/>
  <c r="AF121" i="7" s="1"/>
  <c r="AD129" i="7"/>
  <c r="AE129" i="7"/>
  <c r="AD89" i="7"/>
  <c r="AE89" i="7"/>
  <c r="AD48" i="7"/>
  <c r="AE48" i="7"/>
  <c r="AD120" i="7"/>
  <c r="AE120" i="7"/>
  <c r="AD176" i="7"/>
  <c r="AE176" i="7"/>
  <c r="AD215" i="7"/>
  <c r="AE215" i="7"/>
  <c r="AF215" i="7" s="1"/>
  <c r="AD57" i="7"/>
  <c r="AE57" i="7"/>
  <c r="AA8" i="7"/>
  <c r="AB8" i="7" s="1"/>
  <c r="Z8" i="7"/>
  <c r="AA7" i="7"/>
  <c r="AB7" i="7" s="1"/>
  <c r="Z7" i="7"/>
  <c r="AD100" i="7"/>
  <c r="AE100" i="7"/>
  <c r="AD183" i="7"/>
  <c r="AE183" i="7"/>
  <c r="AD125" i="7"/>
  <c r="AE125" i="7"/>
  <c r="AF125" i="7" s="1"/>
  <c r="AD34" i="7"/>
  <c r="AE34" i="7"/>
  <c r="AD182" i="7"/>
  <c r="AE182" i="7"/>
  <c r="AF142" i="7"/>
  <c r="AF227" i="7"/>
  <c r="AD166" i="7"/>
  <c r="AE166" i="7"/>
  <c r="AD174" i="7"/>
  <c r="AE174" i="7"/>
  <c r="AF141" i="7"/>
  <c r="AD123" i="7"/>
  <c r="AE123" i="7"/>
  <c r="AD202" i="7"/>
  <c r="AE202" i="7"/>
  <c r="AF210" i="7"/>
  <c r="AD213" i="7"/>
  <c r="AE213" i="7"/>
  <c r="D37" i="9"/>
  <c r="D38" i="9"/>
  <c r="H39" i="9"/>
  <c r="AD204" i="7"/>
  <c r="AE204" i="7"/>
  <c r="AD219" i="7"/>
  <c r="AE219" i="7"/>
  <c r="AD65" i="7"/>
  <c r="AE65" i="7"/>
  <c r="AD216" i="7"/>
  <c r="AE216" i="7"/>
  <c r="AD32" i="7"/>
  <c r="AE32" i="7"/>
  <c r="AB4" i="7"/>
  <c r="G35" i="9"/>
  <c r="AD105" i="7"/>
  <c r="AE105" i="7"/>
  <c r="AD206" i="7"/>
  <c r="AE206" i="7"/>
  <c r="AD225" i="7"/>
  <c r="AE225" i="7"/>
  <c r="AD98" i="7"/>
  <c r="AE98" i="7"/>
  <c r="AD155" i="7"/>
  <c r="AE155" i="7"/>
  <c r="AA22" i="7"/>
  <c r="AB22" i="7" s="1"/>
  <c r="Z22" i="7"/>
  <c r="AD85" i="7"/>
  <c r="AE85" i="7"/>
  <c r="AD118" i="7"/>
  <c r="AE118" i="7"/>
  <c r="AC5" i="7"/>
  <c r="S26" i="9"/>
  <c r="AD223" i="7"/>
  <c r="AE223" i="7"/>
  <c r="AD224" i="7"/>
  <c r="AE224" i="7"/>
  <c r="AD196" i="7"/>
  <c r="AE196" i="7"/>
  <c r="AD159" i="7"/>
  <c r="AE159" i="7"/>
  <c r="AD46" i="7"/>
  <c r="AE46" i="7"/>
  <c r="AD144" i="7"/>
  <c r="AE144" i="7"/>
  <c r="AD132" i="7"/>
  <c r="AE132" i="7"/>
  <c r="AD169" i="7"/>
  <c r="AE169" i="7"/>
  <c r="AD220" i="7"/>
  <c r="AE220" i="7"/>
  <c r="AD130" i="7"/>
  <c r="AE130" i="7"/>
  <c r="AD150" i="7"/>
  <c r="AE150" i="7"/>
  <c r="AD124" i="7"/>
  <c r="AE124" i="7"/>
  <c r="AD79" i="7"/>
  <c r="AE79" i="7"/>
  <c r="AD104" i="7"/>
  <c r="AE104" i="7"/>
  <c r="AD106" i="7"/>
  <c r="AE106" i="7"/>
  <c r="AD113" i="7"/>
  <c r="AE113" i="7"/>
  <c r="AD90" i="7"/>
  <c r="AE90" i="7"/>
  <c r="AA21" i="7"/>
  <c r="AB21" i="7" s="1"/>
  <c r="Z21" i="7"/>
  <c r="AD111" i="7"/>
  <c r="AE111" i="7"/>
  <c r="AI8" i="7"/>
  <c r="AJ8" i="7" s="1"/>
  <c r="AP8" i="7" s="1"/>
  <c r="R62" i="9"/>
  <c r="U61" i="9" s="1"/>
  <c r="AX8" i="7"/>
  <c r="AA12" i="7"/>
  <c r="AB12" i="7" s="1"/>
  <c r="Z12" i="7"/>
  <c r="AA14" i="7"/>
  <c r="AB14" i="7" s="1"/>
  <c r="Z14" i="7"/>
  <c r="AD94" i="7"/>
  <c r="AE94" i="7"/>
  <c r="AD214" i="7"/>
  <c r="AE214" i="7"/>
  <c r="AD163" i="7"/>
  <c r="AE163" i="7"/>
  <c r="AD96" i="7"/>
  <c r="AE96" i="7"/>
  <c r="AD66" i="7"/>
  <c r="AE66" i="7"/>
  <c r="AD171" i="7"/>
  <c r="AE171" i="7"/>
  <c r="AD179" i="7"/>
  <c r="AE179" i="7"/>
  <c r="AD218" i="7"/>
  <c r="AE218" i="7"/>
  <c r="AD197" i="7"/>
  <c r="AE197" i="7"/>
  <c r="AC4" i="7"/>
  <c r="S12" i="9"/>
  <c r="AD112" i="7"/>
  <c r="AE112" i="7"/>
  <c r="BB8" i="7"/>
  <c r="AA69" i="9" s="1"/>
  <c r="AD143" i="7"/>
  <c r="AE143" i="7"/>
  <c r="AD184" i="7"/>
  <c r="AE184" i="7"/>
  <c r="AF184" i="7" s="1"/>
  <c r="AD38" i="7"/>
  <c r="AE38" i="7"/>
  <c r="AD149" i="7"/>
  <c r="AE149" i="7"/>
  <c r="AD128" i="7"/>
  <c r="AE128" i="7"/>
  <c r="AA11" i="7"/>
  <c r="AB11" i="7" s="1"/>
  <c r="Z11" i="7"/>
  <c r="AD175" i="7"/>
  <c r="AE175" i="7"/>
  <c r="AD91" i="7"/>
  <c r="AE91" i="7"/>
  <c r="AF91" i="7" s="1"/>
  <c r="AD88" i="7"/>
  <c r="AE88" i="7"/>
  <c r="AD116" i="7"/>
  <c r="AE116" i="7"/>
  <c r="AD122" i="7"/>
  <c r="AE122" i="7"/>
  <c r="AD36" i="7"/>
  <c r="AE36" i="7"/>
  <c r="AD62" i="7"/>
  <c r="AE62" i="7"/>
  <c r="AD80" i="7"/>
  <c r="AE80" i="7"/>
  <c r="AD69" i="7"/>
  <c r="AE69" i="7"/>
  <c r="AD222" i="7"/>
  <c r="AE222" i="7"/>
  <c r="AD194" i="7"/>
  <c r="AE194" i="7"/>
  <c r="AA20" i="7"/>
  <c r="AB20" i="7" s="1"/>
  <c r="Z20" i="7"/>
  <c r="AD77" i="7"/>
  <c r="AE77" i="7"/>
  <c r="AD114" i="7"/>
  <c r="AE114" i="7"/>
  <c r="AD133" i="7"/>
  <c r="AE133" i="7"/>
  <c r="Z9" i="7"/>
  <c r="AA9" i="7"/>
  <c r="AB9" i="7" s="1"/>
  <c r="AA17" i="7"/>
  <c r="AB17" i="7" s="1"/>
  <c r="Z17" i="7"/>
  <c r="AD59" i="7"/>
  <c r="AE59" i="7"/>
  <c r="AD49" i="7"/>
  <c r="AE49" i="7"/>
  <c r="AD153" i="7"/>
  <c r="AE153" i="7"/>
  <c r="AF153" i="7" s="1"/>
  <c r="AD190" i="7"/>
  <c r="AE190" i="7"/>
  <c r="AD103" i="7"/>
  <c r="AE103" i="7"/>
  <c r="V4" i="7"/>
  <c r="W4" i="7" s="1"/>
  <c r="AD51" i="7"/>
  <c r="AE51" i="7"/>
  <c r="AD110" i="7"/>
  <c r="AE110" i="7"/>
  <c r="AD127" i="7"/>
  <c r="AE127" i="7"/>
  <c r="AA15" i="7"/>
  <c r="AB15" i="7" s="1"/>
  <c r="Z15" i="7"/>
  <c r="AD44" i="7"/>
  <c r="AE44" i="7"/>
  <c r="AD58" i="7"/>
  <c r="AE58" i="7"/>
  <c r="AD226" i="7"/>
  <c r="AE226" i="7"/>
  <c r="AD33" i="7"/>
  <c r="AE33" i="7"/>
  <c r="AF33" i="7" s="1"/>
  <c r="AA19" i="7"/>
  <c r="AB19" i="7" s="1"/>
  <c r="Z19" i="7"/>
  <c r="AD72" i="7"/>
  <c r="AE72" i="7"/>
  <c r="AD126" i="7"/>
  <c r="AE126" i="7"/>
  <c r="AA18" i="7"/>
  <c r="AB18" i="7" s="1"/>
  <c r="Z18" i="7"/>
  <c r="AD134" i="7"/>
  <c r="AE134" i="7"/>
  <c r="AD39" i="7"/>
  <c r="AE39" i="7"/>
  <c r="AD53" i="7"/>
  <c r="AE53" i="7"/>
  <c r="Z5" i="7"/>
  <c r="AA5" i="7"/>
  <c r="I39" i="9"/>
  <c r="J39" i="9" s="1"/>
  <c r="AD78" i="7"/>
  <c r="AE78" i="7"/>
  <c r="AF74" i="7"/>
  <c r="AD119" i="7"/>
  <c r="AE119" i="7"/>
  <c r="AF119" i="7" s="1"/>
  <c r="AD191" i="7"/>
  <c r="AE191" i="7"/>
  <c r="AA23" i="7"/>
  <c r="AB23" i="7" s="1"/>
  <c r="Z23" i="7"/>
  <c r="AD164" i="7"/>
  <c r="AE164" i="7"/>
  <c r="AD35" i="7"/>
  <c r="AE35" i="7"/>
  <c r="AD92" i="7"/>
  <c r="AE92" i="7"/>
  <c r="AD158" i="7"/>
  <c r="AE158" i="7"/>
  <c r="AF158" i="7" s="1"/>
  <c r="E36" i="9"/>
  <c r="C38" i="9"/>
  <c r="C37" i="9"/>
  <c r="AD115" i="7"/>
  <c r="AE115" i="7"/>
  <c r="AD229" i="7"/>
  <c r="AE229" i="7"/>
  <c r="BB7" i="7"/>
  <c r="AA68" i="9" s="1"/>
  <c r="AD84" i="7"/>
  <c r="AE84" i="7"/>
  <c r="AD228" i="7"/>
  <c r="AE228" i="7"/>
  <c r="AF228" i="7" s="1"/>
  <c r="AD73" i="7"/>
  <c r="AE73" i="7"/>
  <c r="AD186" i="7"/>
  <c r="AE186" i="7"/>
  <c r="AD189" i="7"/>
  <c r="AE189" i="7"/>
  <c r="AD93" i="7"/>
  <c r="AE93" i="7"/>
  <c r="AD97" i="7"/>
  <c r="AE97" i="7"/>
  <c r="AD54" i="7"/>
  <c r="AE54" i="7"/>
  <c r="AF54" i="7" s="1"/>
  <c r="AD140" i="7"/>
  <c r="AE140" i="7"/>
  <c r="AD135" i="7"/>
  <c r="AE135" i="7"/>
  <c r="AD192" i="7"/>
  <c r="AE192" i="7"/>
  <c r="AD146" i="7"/>
  <c r="AE146" i="7"/>
  <c r="AD180" i="7"/>
  <c r="AE180" i="7"/>
  <c r="AA16" i="7"/>
  <c r="AB16" i="7" s="1"/>
  <c r="Z16" i="7"/>
  <c r="AF50" i="7"/>
  <c r="AD181" i="7"/>
  <c r="AE181" i="7"/>
  <c r="AR30" i="7"/>
  <c r="AS37" i="7" s="1"/>
  <c r="AT37" i="7" s="1"/>
  <c r="AD75" i="7"/>
  <c r="AE75" i="7"/>
  <c r="AD139" i="7"/>
  <c r="AE139" i="7"/>
  <c r="AD203" i="7"/>
  <c r="AE203" i="7"/>
  <c r="AD138" i="7"/>
  <c r="AE138" i="7"/>
  <c r="AF138" i="7" s="1"/>
  <c r="AD136" i="7"/>
  <c r="AE136" i="7"/>
  <c r="AD99" i="7"/>
  <c r="AE99" i="7"/>
  <c r="AD185" i="7"/>
  <c r="AE185" i="7"/>
  <c r="AD187" i="7"/>
  <c r="AE187" i="7"/>
  <c r="AD207" i="7"/>
  <c r="AE207" i="7"/>
  <c r="AD41" i="7"/>
  <c r="AE41" i="7"/>
  <c r="AF41" i="7" s="1"/>
  <c r="R13" i="5"/>
  <c r="V13" i="5"/>
  <c r="W13" i="5" s="1"/>
  <c r="AD187" i="5"/>
  <c r="AE187" i="5"/>
  <c r="AD67" i="5"/>
  <c r="AE67" i="5"/>
  <c r="AD93" i="5"/>
  <c r="AE93" i="5"/>
  <c r="AD34" i="5"/>
  <c r="AE34" i="5"/>
  <c r="AD213" i="5"/>
  <c r="AE213" i="5"/>
  <c r="AF213" i="5" s="1"/>
  <c r="AD105" i="5"/>
  <c r="AE105" i="5"/>
  <c r="AF105" i="5" s="1"/>
  <c r="AD100" i="5"/>
  <c r="AE100" i="5"/>
  <c r="R20" i="5"/>
  <c r="V20" i="5"/>
  <c r="W20" i="5" s="1"/>
  <c r="AD183" i="5"/>
  <c r="AE183" i="5"/>
  <c r="AD174" i="5"/>
  <c r="AE174" i="5"/>
  <c r="AF174" i="5" s="1"/>
  <c r="AD84" i="5"/>
  <c r="AE84" i="5"/>
  <c r="AF84" i="5" s="1"/>
  <c r="AD207" i="5"/>
  <c r="AE207" i="5"/>
  <c r="AF207" i="5" s="1"/>
  <c r="AA6" i="5"/>
  <c r="AB6" i="5" s="1"/>
  <c r="Z6" i="5"/>
  <c r="AI16" i="5"/>
  <c r="AJ16" i="5" s="1"/>
  <c r="AP16" i="5" s="1"/>
  <c r="AX16" i="5"/>
  <c r="AD144" i="5"/>
  <c r="AE144" i="5"/>
  <c r="AD199" i="5"/>
  <c r="AE199" i="5"/>
  <c r="AF199" i="5" s="1"/>
  <c r="AD45" i="5"/>
  <c r="AE45" i="5"/>
  <c r="AF45" i="5" s="1"/>
  <c r="AD155" i="5"/>
  <c r="AE155" i="5"/>
  <c r="AD152" i="5"/>
  <c r="AE152" i="5"/>
  <c r="AD197" i="5"/>
  <c r="AE197" i="5"/>
  <c r="AD164" i="5"/>
  <c r="AE164" i="5"/>
  <c r="AD202" i="5"/>
  <c r="AE202" i="5"/>
  <c r="AF202" i="5" s="1"/>
  <c r="Z18" i="5"/>
  <c r="AA18" i="5"/>
  <c r="AB18" i="5" s="1"/>
  <c r="Z5" i="5"/>
  <c r="AA5" i="5"/>
  <c r="I39" i="6"/>
  <c r="J39" i="6" s="1"/>
  <c r="S23" i="5"/>
  <c r="AD90" i="5"/>
  <c r="AE90" i="5"/>
  <c r="AD56" i="5"/>
  <c r="AE56" i="5"/>
  <c r="AD178" i="5"/>
  <c r="AE178" i="5"/>
  <c r="AF178" i="5" s="1"/>
  <c r="AD110" i="5"/>
  <c r="AE110" i="5"/>
  <c r="AF110" i="5" s="1"/>
  <c r="AD88" i="5"/>
  <c r="AE88" i="5"/>
  <c r="AF88" i="5" s="1"/>
  <c r="R9" i="5"/>
  <c r="AD80" i="5"/>
  <c r="AE80" i="5"/>
  <c r="AD192" i="5"/>
  <c r="AE192" i="5"/>
  <c r="AD158" i="5"/>
  <c r="AE158" i="5"/>
  <c r="AF158" i="5" s="1"/>
  <c r="AD180" i="5"/>
  <c r="AE180" i="5"/>
  <c r="AF180" i="5" s="1"/>
  <c r="R12" i="5"/>
  <c r="V12" i="5"/>
  <c r="W12" i="5" s="1"/>
  <c r="AD190" i="5"/>
  <c r="AE190" i="5"/>
  <c r="AI15" i="5"/>
  <c r="AJ15" i="5" s="1"/>
  <c r="AP15" i="5" s="1"/>
  <c r="AX15" i="5"/>
  <c r="AD138" i="5"/>
  <c r="AE138" i="5"/>
  <c r="AD196" i="5"/>
  <c r="AE196" i="5"/>
  <c r="AF196" i="5" s="1"/>
  <c r="AD117" i="5"/>
  <c r="AE117" i="5"/>
  <c r="AD130" i="5"/>
  <c r="AE130" i="5"/>
  <c r="AD161" i="5"/>
  <c r="AE161" i="5"/>
  <c r="AD206" i="5"/>
  <c r="AE206" i="5"/>
  <c r="Z16" i="5"/>
  <c r="AA16" i="5"/>
  <c r="AB16" i="5" s="1"/>
  <c r="AA12" i="5"/>
  <c r="AB12" i="5" s="1"/>
  <c r="Z12" i="5"/>
  <c r="AD123" i="5"/>
  <c r="AE123" i="5"/>
  <c r="AF123" i="5" s="1"/>
  <c r="S13" i="5"/>
  <c r="AD89" i="5"/>
  <c r="AE89" i="5"/>
  <c r="AF89" i="5" s="1"/>
  <c r="AD62" i="5"/>
  <c r="AE62" i="5"/>
  <c r="AD94" i="5"/>
  <c r="AE94" i="5"/>
  <c r="AD77" i="5"/>
  <c r="AE77" i="5"/>
  <c r="AD72" i="5"/>
  <c r="AE72" i="5"/>
  <c r="AD157" i="5"/>
  <c r="AE157" i="5"/>
  <c r="AD128" i="5"/>
  <c r="AE128" i="5"/>
  <c r="AF128" i="5" s="1"/>
  <c r="AI23" i="5"/>
  <c r="AJ23" i="5" s="1"/>
  <c r="AP23" i="5" s="1"/>
  <c r="AX23" i="5"/>
  <c r="AD109" i="5"/>
  <c r="AE109" i="5"/>
  <c r="AD52" i="5"/>
  <c r="AE52" i="5"/>
  <c r="AD154" i="5"/>
  <c r="AE154" i="5"/>
  <c r="AF154" i="5" s="1"/>
  <c r="AD99" i="5"/>
  <c r="AE99" i="5"/>
  <c r="AD127" i="5"/>
  <c r="AE127" i="5"/>
  <c r="AF127" i="5" s="1"/>
  <c r="AD198" i="5"/>
  <c r="AE198" i="5"/>
  <c r="AD33" i="5"/>
  <c r="AE33" i="5"/>
  <c r="AD126" i="5"/>
  <c r="AE126" i="5"/>
  <c r="AD228" i="5"/>
  <c r="AE228" i="5"/>
  <c r="AF228" i="5" s="1"/>
  <c r="AD185" i="5"/>
  <c r="AE185" i="5"/>
  <c r="AD35" i="5"/>
  <c r="AE35" i="5"/>
  <c r="AF35" i="5" s="1"/>
  <c r="AD142" i="5"/>
  <c r="AE142" i="5"/>
  <c r="R19" i="5"/>
  <c r="V19" i="5"/>
  <c r="W19" i="5" s="1"/>
  <c r="AD36" i="5"/>
  <c r="AE36" i="5"/>
  <c r="AD223" i="5"/>
  <c r="AE223" i="5"/>
  <c r="AF223" i="5" s="1"/>
  <c r="AD210" i="5"/>
  <c r="AE210" i="5"/>
  <c r="AD189" i="5"/>
  <c r="AE189" i="5"/>
  <c r="AF189" i="5" s="1"/>
  <c r="AD143" i="5"/>
  <c r="AE143" i="5"/>
  <c r="AD166" i="5"/>
  <c r="AE166" i="5"/>
  <c r="AD179" i="5"/>
  <c r="AE179" i="5"/>
  <c r="AD65" i="5"/>
  <c r="AE65" i="5"/>
  <c r="AF65" i="5" s="1"/>
  <c r="AD53" i="5"/>
  <c r="AE53" i="5"/>
  <c r="AD224" i="5"/>
  <c r="AE224" i="5"/>
  <c r="AF224" i="5" s="1"/>
  <c r="AD96" i="5"/>
  <c r="AE96" i="5"/>
  <c r="Z11" i="5"/>
  <c r="AA11" i="5"/>
  <c r="AB11" i="5" s="1"/>
  <c r="Z21" i="5"/>
  <c r="AA21" i="5"/>
  <c r="AB21" i="5" s="1"/>
  <c r="S15" i="5"/>
  <c r="AD218" i="5"/>
  <c r="AE218" i="5"/>
  <c r="AD124" i="5"/>
  <c r="AE124" i="5"/>
  <c r="AF124" i="5" s="1"/>
  <c r="AD112" i="5"/>
  <c r="AE112" i="5"/>
  <c r="AD59" i="5"/>
  <c r="AE59" i="5"/>
  <c r="AD79" i="5"/>
  <c r="AE79" i="5"/>
  <c r="AD83" i="5"/>
  <c r="AE83" i="5"/>
  <c r="AF83" i="5" s="1"/>
  <c r="R16" i="5"/>
  <c r="V16" i="5"/>
  <c r="W16" i="5" s="1"/>
  <c r="AD37" i="5"/>
  <c r="AE37" i="5"/>
  <c r="AF37" i="5" s="1"/>
  <c r="AD139" i="5"/>
  <c r="AE139" i="5"/>
  <c r="AD48" i="5"/>
  <c r="AE48" i="5"/>
  <c r="AD173" i="5"/>
  <c r="AE173" i="5"/>
  <c r="AD104" i="5"/>
  <c r="AE104" i="5"/>
  <c r="AF104" i="5" s="1"/>
  <c r="AD168" i="5"/>
  <c r="AE168" i="5"/>
  <c r="AD41" i="5"/>
  <c r="AE41" i="5"/>
  <c r="AF41" i="5" s="1"/>
  <c r="Z23" i="5"/>
  <c r="AA23" i="5"/>
  <c r="AB23" i="5" s="1"/>
  <c r="AA15" i="5"/>
  <c r="AB15" i="5" s="1"/>
  <c r="Z15" i="5"/>
  <c r="AD87" i="5"/>
  <c r="AE87" i="5"/>
  <c r="S22" i="5"/>
  <c r="AD98" i="5"/>
  <c r="AE98" i="5"/>
  <c r="AD122" i="5"/>
  <c r="AE122" i="5"/>
  <c r="AD106" i="5"/>
  <c r="AE106" i="5"/>
  <c r="AD119" i="5"/>
  <c r="AE119" i="5"/>
  <c r="AI17" i="5"/>
  <c r="AJ17" i="5" s="1"/>
  <c r="AP17" i="5" s="1"/>
  <c r="AX17" i="5"/>
  <c r="AD74" i="5"/>
  <c r="AE74" i="5"/>
  <c r="AD215" i="5"/>
  <c r="AE215" i="5"/>
  <c r="R23" i="5"/>
  <c r="V23" i="5"/>
  <c r="W23" i="5" s="1"/>
  <c r="AD137" i="5"/>
  <c r="AE137" i="5"/>
  <c r="AF137" i="5" s="1"/>
  <c r="AD95" i="5"/>
  <c r="AE95" i="5"/>
  <c r="AI21" i="5"/>
  <c r="AJ21" i="5" s="1"/>
  <c r="AP21" i="5" s="1"/>
  <c r="AX21" i="5"/>
  <c r="AD217" i="5"/>
  <c r="AE217" i="5"/>
  <c r="AD175" i="5"/>
  <c r="AE175" i="5"/>
  <c r="AF175" i="5" s="1"/>
  <c r="AD148" i="5"/>
  <c r="AE148" i="5"/>
  <c r="V5" i="5"/>
  <c r="W5" i="5" s="1"/>
  <c r="R5" i="5"/>
  <c r="D36" i="6"/>
  <c r="AD211" i="5"/>
  <c r="AE211" i="5"/>
  <c r="R21" i="5"/>
  <c r="V21" i="5"/>
  <c r="W21" i="5" s="1"/>
  <c r="AD61" i="5"/>
  <c r="AE61" i="5"/>
  <c r="AD131" i="5"/>
  <c r="AE131" i="5"/>
  <c r="AF131" i="5" s="1"/>
  <c r="H39" i="6"/>
  <c r="AD43" i="5"/>
  <c r="AE43" i="5"/>
  <c r="AD108" i="5"/>
  <c r="AE108" i="5"/>
  <c r="AD85" i="5"/>
  <c r="AE85" i="5"/>
  <c r="R7" i="5"/>
  <c r="AD186" i="5"/>
  <c r="AE186" i="5"/>
  <c r="AF186" i="5" s="1"/>
  <c r="AD44" i="5"/>
  <c r="AE44" i="5"/>
  <c r="AD101" i="5"/>
  <c r="AE101" i="5"/>
  <c r="AF101" i="5" s="1"/>
  <c r="AD75" i="5"/>
  <c r="AE75" i="5"/>
  <c r="AD38" i="5"/>
  <c r="AE38" i="5"/>
  <c r="Z22" i="5"/>
  <c r="AA22" i="5"/>
  <c r="AB22" i="5" s="1"/>
  <c r="Z17" i="5"/>
  <c r="AA17" i="5"/>
  <c r="AB17" i="5" s="1"/>
  <c r="S21" i="5"/>
  <c r="AD219" i="5"/>
  <c r="AE219" i="5"/>
  <c r="AF219" i="5" s="1"/>
  <c r="AA8" i="5"/>
  <c r="AB8" i="5" s="1"/>
  <c r="Z8" i="5"/>
  <c r="AD136" i="5"/>
  <c r="AE136" i="5"/>
  <c r="BC6" i="5"/>
  <c r="AC69" i="6" s="1"/>
  <c r="BC7" i="5"/>
  <c r="AC70" i="6" s="1"/>
  <c r="AI5" i="5"/>
  <c r="AJ5" i="5" s="1"/>
  <c r="AP5" i="5" s="1"/>
  <c r="BC22" i="5"/>
  <c r="BC21" i="5"/>
  <c r="BC20" i="5"/>
  <c r="BC19" i="5"/>
  <c r="BC18" i="5"/>
  <c r="BC17" i="5"/>
  <c r="BC16" i="5"/>
  <c r="BC15" i="5"/>
  <c r="BC14" i="5"/>
  <c r="BC13" i="5"/>
  <c r="BC12" i="5"/>
  <c r="BC11" i="5"/>
  <c r="BC10" i="5"/>
  <c r="BC9" i="5"/>
  <c r="AC72" i="6" s="1"/>
  <c r="BC23" i="5"/>
  <c r="BC5" i="5"/>
  <c r="AC68" i="6" s="1"/>
  <c r="AX5" i="5"/>
  <c r="R23" i="6"/>
  <c r="U22" i="6" s="1"/>
  <c r="AD177" i="5"/>
  <c r="AE177" i="5"/>
  <c r="AD50" i="5"/>
  <c r="AE50" i="5"/>
  <c r="AD71" i="5"/>
  <c r="AE71" i="5"/>
  <c r="AF71" i="5" s="1"/>
  <c r="R17" i="6" a="1"/>
  <c r="R17" i="6" s="1"/>
  <c r="U17" i="6" s="1"/>
  <c r="AD170" i="5"/>
  <c r="AE170" i="5"/>
  <c r="AD113" i="5"/>
  <c r="AE113" i="5"/>
  <c r="AF113" i="5" s="1"/>
  <c r="AI11" i="5"/>
  <c r="AJ11" i="5" s="1"/>
  <c r="AP11" i="5" s="1"/>
  <c r="AX11" i="5"/>
  <c r="AD201" i="5"/>
  <c r="AE201" i="5"/>
  <c r="AD150" i="5"/>
  <c r="AE150" i="5"/>
  <c r="R18" i="5"/>
  <c r="V18" i="5"/>
  <c r="W18" i="5" s="1"/>
  <c r="AB4" i="5"/>
  <c r="G35" i="6"/>
  <c r="R4" i="5"/>
  <c r="V4" i="5"/>
  <c r="W4" i="5" s="1"/>
  <c r="T24" i="5"/>
  <c r="C36" i="6"/>
  <c r="X39" i="5"/>
  <c r="Y39" i="5" s="1"/>
  <c r="AD156" i="5"/>
  <c r="AE156" i="5"/>
  <c r="AD92" i="5"/>
  <c r="AE92" i="5"/>
  <c r="AF92" i="5" s="1"/>
  <c r="AD73" i="5"/>
  <c r="AE73" i="5"/>
  <c r="AD32" i="5"/>
  <c r="AE32" i="5"/>
  <c r="AD111" i="5"/>
  <c r="AE111" i="5"/>
  <c r="AA7" i="5"/>
  <c r="AB7" i="5" s="1"/>
  <c r="Z7" i="5"/>
  <c r="AD42" i="5"/>
  <c r="AE42" i="5"/>
  <c r="S20" i="5"/>
  <c r="AI12" i="5"/>
  <c r="AJ12" i="5" s="1"/>
  <c r="AP12" i="5" s="1"/>
  <c r="AX12" i="5"/>
  <c r="AD188" i="5"/>
  <c r="AE188" i="5"/>
  <c r="AD140" i="5"/>
  <c r="AE140" i="5"/>
  <c r="AF140" i="5" s="1"/>
  <c r="AD162" i="5"/>
  <c r="AE162" i="5"/>
  <c r="R15" i="5"/>
  <c r="V15" i="5"/>
  <c r="W15" i="5" s="1"/>
  <c r="AD205" i="5"/>
  <c r="AE205" i="5"/>
  <c r="AD82" i="5"/>
  <c r="AE82" i="5"/>
  <c r="AD55" i="5"/>
  <c r="AE55" i="5"/>
  <c r="AD58" i="5"/>
  <c r="AE58" i="5"/>
  <c r="AF58" i="5" s="1"/>
  <c r="AD169" i="5"/>
  <c r="AE169" i="5"/>
  <c r="Z10" i="5"/>
  <c r="AA10" i="5"/>
  <c r="AB10" i="5" s="1"/>
  <c r="AD146" i="5"/>
  <c r="AE146" i="5"/>
  <c r="AD107" i="5"/>
  <c r="AE107" i="5"/>
  <c r="AD225" i="5"/>
  <c r="AE225" i="5"/>
  <c r="R17" i="5"/>
  <c r="V17" i="5"/>
  <c r="W17" i="5" s="1"/>
  <c r="AD118" i="5"/>
  <c r="AE118" i="5"/>
  <c r="AD39" i="5"/>
  <c r="AE39" i="5"/>
  <c r="AD60" i="5"/>
  <c r="AE60" i="5"/>
  <c r="AD153" i="5"/>
  <c r="AE153" i="5"/>
  <c r="AD182" i="5"/>
  <c r="AE182" i="5"/>
  <c r="AD70" i="5"/>
  <c r="AE70" i="5"/>
  <c r="AF70" i="5" s="1"/>
  <c r="AD103" i="5"/>
  <c r="AE103" i="5"/>
  <c r="AD203" i="5"/>
  <c r="AE203" i="5"/>
  <c r="AF203" i="5" s="1"/>
  <c r="AD68" i="5"/>
  <c r="AE68" i="5"/>
  <c r="AA13" i="5"/>
  <c r="AB13" i="5" s="1"/>
  <c r="Z13" i="5"/>
  <c r="AD81" i="5"/>
  <c r="AE81" i="5"/>
  <c r="AD200" i="5"/>
  <c r="AE200" i="5"/>
  <c r="AF200" i="5" s="1"/>
  <c r="AI22" i="5"/>
  <c r="AJ22" i="5" s="1"/>
  <c r="AP22" i="5" s="1"/>
  <c r="AX22" i="5"/>
  <c r="AD64" i="5"/>
  <c r="AE64" i="5"/>
  <c r="AF64" i="5" s="1"/>
  <c r="AD163" i="5"/>
  <c r="AE163" i="5"/>
  <c r="AD176" i="5"/>
  <c r="AE176" i="5"/>
  <c r="AF176" i="5" s="1"/>
  <c r="AD54" i="5"/>
  <c r="AE54" i="5"/>
  <c r="AD159" i="5"/>
  <c r="AE159" i="5"/>
  <c r="AF159" i="5" s="1"/>
  <c r="AD132" i="5"/>
  <c r="AE132" i="5"/>
  <c r="AD181" i="5"/>
  <c r="AE181" i="5"/>
  <c r="AF181" i="5" s="1"/>
  <c r="AD229" i="5"/>
  <c r="AE229" i="5"/>
  <c r="AD165" i="5"/>
  <c r="AE165" i="5"/>
  <c r="AF165" i="5" s="1"/>
  <c r="AI18" i="5"/>
  <c r="AJ18" i="5" s="1"/>
  <c r="AP18" i="5" s="1"/>
  <c r="AX18" i="5"/>
  <c r="AD46" i="5"/>
  <c r="AE46" i="5"/>
  <c r="AD141" i="5"/>
  <c r="AE141" i="5"/>
  <c r="AD129" i="5"/>
  <c r="AE129" i="5"/>
  <c r="AF129" i="5" s="1"/>
  <c r="AA14" i="5"/>
  <c r="AB14" i="5" s="1"/>
  <c r="Z14" i="5"/>
  <c r="AD227" i="5"/>
  <c r="AE227" i="5"/>
  <c r="AF227" i="5" s="1"/>
  <c r="S16" i="5"/>
  <c r="S11" i="5"/>
  <c r="AD212" i="5"/>
  <c r="AE212" i="5"/>
  <c r="AF212" i="5" s="1"/>
  <c r="AD120" i="5"/>
  <c r="AE120" i="5"/>
  <c r="AD135" i="5"/>
  <c r="AE135" i="5"/>
  <c r="AF135" i="5" s="1"/>
  <c r="AD66" i="5"/>
  <c r="AE66" i="5"/>
  <c r="AD167" i="5"/>
  <c r="AE167" i="5"/>
  <c r="AF167" i="5" s="1"/>
  <c r="Z20" i="5"/>
  <c r="AA20" i="5"/>
  <c r="AB20" i="5" s="1"/>
  <c r="AF4" i="5" a="1"/>
  <c r="AF4" i="5" s="1"/>
  <c r="BC4" i="5" s="1"/>
  <c r="AC67" i="6" s="1"/>
  <c r="AD151" i="5"/>
  <c r="AE151" i="5"/>
  <c r="AD160" i="5"/>
  <c r="AE160" i="5"/>
  <c r="AD40" i="5"/>
  <c r="AE40" i="5"/>
  <c r="AD133" i="5"/>
  <c r="AE133" i="5"/>
  <c r="R22" i="5"/>
  <c r="V22" i="5"/>
  <c r="W22" i="5" s="1"/>
  <c r="AD172" i="5"/>
  <c r="AE172" i="5"/>
  <c r="AF172" i="5" s="1"/>
  <c r="AD194" i="5"/>
  <c r="AE194" i="5"/>
  <c r="AD91" i="5"/>
  <c r="AE91" i="5"/>
  <c r="AD102" i="5"/>
  <c r="AE102" i="5"/>
  <c r="Z19" i="5"/>
  <c r="AA19" i="5"/>
  <c r="AB19" i="5" s="1"/>
  <c r="AD115" i="5"/>
  <c r="AE115" i="5"/>
  <c r="AF115" i="5" s="1"/>
  <c r="AD147" i="5"/>
  <c r="AE147" i="5"/>
  <c r="AF147" i="5" s="1"/>
  <c r="R6" i="5"/>
  <c r="AD220" i="5"/>
  <c r="AE220" i="5"/>
  <c r="R14" i="5"/>
  <c r="V14" i="5"/>
  <c r="W14" i="5" s="1"/>
  <c r="AD49" i="5"/>
  <c r="AE49" i="5"/>
  <c r="AD221" i="5"/>
  <c r="AE221" i="5"/>
  <c r="AF221" i="5" s="1"/>
  <c r="AD97" i="5"/>
  <c r="AE97" i="5"/>
  <c r="AF97" i="5" s="1"/>
  <c r="AD69" i="5"/>
  <c r="AE69" i="5"/>
  <c r="AD209" i="5"/>
  <c r="AE209" i="5"/>
  <c r="AD47" i="5"/>
  <c r="AE47" i="5"/>
  <c r="AD121" i="5"/>
  <c r="AE121" i="5"/>
  <c r="AD76" i="5"/>
  <c r="AE76" i="5"/>
  <c r="AF76" i="5" s="1"/>
  <c r="AD171" i="5"/>
  <c r="AE171" i="5"/>
  <c r="AF171" i="5" s="1"/>
  <c r="S4" i="5"/>
  <c r="AD134" i="5"/>
  <c r="AE134" i="5"/>
  <c r="V8" i="5"/>
  <c r="W8" i="5" s="1"/>
  <c r="R8" i="5"/>
  <c r="R10" i="5"/>
  <c r="V10" i="5"/>
  <c r="W10" i="5" s="1"/>
  <c r="AD184" i="5"/>
  <c r="AE184" i="5"/>
  <c r="AF184" i="5" s="1"/>
  <c r="AD114" i="5"/>
  <c r="AE114" i="5"/>
  <c r="AD222" i="5"/>
  <c r="AE222" i="5"/>
  <c r="AF222" i="5" s="1"/>
  <c r="AD226" i="5"/>
  <c r="AE226" i="5"/>
  <c r="AD86" i="5"/>
  <c r="AE86" i="5"/>
  <c r="AF86" i="5" s="1"/>
  <c r="AD57" i="5"/>
  <c r="AE57" i="5"/>
  <c r="AD145" i="5"/>
  <c r="AE145" i="5"/>
  <c r="AF145" i="5" s="1"/>
  <c r="AD78" i="5"/>
  <c r="AE78" i="5"/>
  <c r="AD214" i="5"/>
  <c r="AE214" i="5"/>
  <c r="AF214" i="5" s="1"/>
  <c r="AD204" i="5"/>
  <c r="AE204" i="5"/>
  <c r="AD116" i="5"/>
  <c r="AE116" i="5"/>
  <c r="AF116" i="5" s="1"/>
  <c r="R11" i="5"/>
  <c r="V11" i="5"/>
  <c r="W11" i="5" s="1"/>
  <c r="AD216" i="5"/>
  <c r="AE216" i="5"/>
  <c r="AF216" i="5" s="1"/>
  <c r="AD193" i="5"/>
  <c r="AE193" i="5"/>
  <c r="AD125" i="5"/>
  <c r="AE125" i="5"/>
  <c r="AF125" i="5" s="1"/>
  <c r="AD195" i="5"/>
  <c r="AE195" i="5"/>
  <c r="AD51" i="5"/>
  <c r="AE51" i="5"/>
  <c r="AF51" i="5" s="1"/>
  <c r="AD63" i="5"/>
  <c r="AE63" i="5"/>
  <c r="AD208" i="5"/>
  <c r="AE208" i="5"/>
  <c r="AF208" i="5" s="1"/>
  <c r="AD149" i="5"/>
  <c r="AE149" i="5"/>
  <c r="AD191" i="5"/>
  <c r="AE191" i="5"/>
  <c r="AF191" i="5" s="1"/>
  <c r="Z9" i="5"/>
  <c r="AA9" i="5"/>
  <c r="AB9" i="5" s="1"/>
  <c r="S12" i="5"/>
  <c r="S17" i="5"/>
  <c r="V6" i="7" l="1"/>
  <c r="W6" i="7" s="1"/>
  <c r="S23" i="7"/>
  <c r="V9" i="5"/>
  <c r="W9" i="5" s="1"/>
  <c r="V6" i="5"/>
  <c r="W6" i="5" s="1"/>
  <c r="V9" i="7"/>
  <c r="W9" i="7" s="1"/>
  <c r="AD18" i="7"/>
  <c r="S12" i="7"/>
  <c r="AD12" i="7"/>
  <c r="V19" i="7"/>
  <c r="W19" i="7" s="1"/>
  <c r="V13" i="7"/>
  <c r="W13" i="7" s="1"/>
  <c r="AD13" i="7" s="1"/>
  <c r="V20" i="7"/>
  <c r="W20" i="7" s="1"/>
  <c r="V22" i="7"/>
  <c r="W22" i="7" s="1"/>
  <c r="U24" i="7"/>
  <c r="S16" i="7"/>
  <c r="V17" i="7"/>
  <c r="W17" i="7" s="1"/>
  <c r="S11" i="7"/>
  <c r="V11" i="7"/>
  <c r="W11" i="7" s="1"/>
  <c r="S21" i="7"/>
  <c r="V21" i="7"/>
  <c r="W21" i="7" s="1"/>
  <c r="S14" i="7"/>
  <c r="V14" i="7"/>
  <c r="W14" i="7" s="1"/>
  <c r="S15" i="7"/>
  <c r="V15" i="7"/>
  <c r="W15" i="7" s="1"/>
  <c r="AF185" i="7"/>
  <c r="AF75" i="7"/>
  <c r="AF192" i="7"/>
  <c r="AF189" i="7"/>
  <c r="AF98" i="7"/>
  <c r="AF216" i="7"/>
  <c r="AF152" i="7"/>
  <c r="AF209" i="7"/>
  <c r="AF95" i="7"/>
  <c r="AF110" i="7"/>
  <c r="AF174" i="7"/>
  <c r="AF222" i="7"/>
  <c r="AF116" i="7"/>
  <c r="AF149" i="7"/>
  <c r="AF90" i="7"/>
  <c r="AF150" i="7"/>
  <c r="AF202" i="7"/>
  <c r="AF89" i="7"/>
  <c r="AF136" i="7"/>
  <c r="AF140" i="7"/>
  <c r="AF73" i="7"/>
  <c r="AF190" i="7"/>
  <c r="AF118" i="7"/>
  <c r="AF191" i="7"/>
  <c r="AF133" i="7"/>
  <c r="AF69" i="7"/>
  <c r="AF88" i="7"/>
  <c r="AF66" i="7"/>
  <c r="AF113" i="7"/>
  <c r="AF130" i="7"/>
  <c r="AF219" i="7"/>
  <c r="AF229" i="7"/>
  <c r="AF35" i="7"/>
  <c r="AF179" i="7"/>
  <c r="AF214" i="7"/>
  <c r="AF111" i="7"/>
  <c r="AF79" i="7"/>
  <c r="AF132" i="7"/>
  <c r="AF148" i="7"/>
  <c r="AF194" i="7"/>
  <c r="AF122" i="7"/>
  <c r="AF171" i="7"/>
  <c r="AF94" i="7"/>
  <c r="AF145" i="7"/>
  <c r="AF156" i="7"/>
  <c r="AF103" i="7"/>
  <c r="AF63" i="7"/>
  <c r="AF92" i="7"/>
  <c r="AF226" i="7"/>
  <c r="AF104" i="7"/>
  <c r="AF169" i="7"/>
  <c r="AF224" i="7"/>
  <c r="AF183" i="7"/>
  <c r="AF176" i="7"/>
  <c r="AF78" i="7"/>
  <c r="AF51" i="7"/>
  <c r="AF155" i="7"/>
  <c r="AF32" i="7"/>
  <c r="AF166" i="7"/>
  <c r="AF201" i="7"/>
  <c r="AF37" i="7"/>
  <c r="BC8" i="5"/>
  <c r="AC71" i="6" s="1"/>
  <c r="AI8" i="5"/>
  <c r="AJ8" i="5" s="1"/>
  <c r="AP8" i="5" s="1"/>
  <c r="R50" i="6"/>
  <c r="U49" i="6" s="1"/>
  <c r="K39" i="6"/>
  <c r="L39" i="6" s="1"/>
  <c r="AF66" i="5"/>
  <c r="AF229" i="5"/>
  <c r="AF163" i="5"/>
  <c r="AF68" i="5"/>
  <c r="AF60" i="5"/>
  <c r="AF146" i="5"/>
  <c r="AF205" i="5"/>
  <c r="AF150" i="5"/>
  <c r="AF74" i="5"/>
  <c r="AF179" i="5"/>
  <c r="AF36" i="5"/>
  <c r="AF126" i="5"/>
  <c r="AF52" i="5"/>
  <c r="AF77" i="5"/>
  <c r="AF149" i="5"/>
  <c r="AF193" i="5"/>
  <c r="AF78" i="5"/>
  <c r="AF114" i="5"/>
  <c r="AF170" i="5"/>
  <c r="AF44" i="5"/>
  <c r="AF122" i="5"/>
  <c r="AF47" i="5"/>
  <c r="AF102" i="5"/>
  <c r="AF40" i="5"/>
  <c r="AF42" i="5"/>
  <c r="AF156" i="5"/>
  <c r="AF85" i="5"/>
  <c r="AF87" i="5"/>
  <c r="AF173" i="5"/>
  <c r="AF79" i="5"/>
  <c r="AF138" i="5"/>
  <c r="AF192" i="5"/>
  <c r="AF56" i="5"/>
  <c r="AF183" i="5"/>
  <c r="AF93" i="5"/>
  <c r="AF69" i="5"/>
  <c r="AF194" i="5"/>
  <c r="AF151" i="5"/>
  <c r="AF111" i="5"/>
  <c r="AF43" i="5"/>
  <c r="AF139" i="5"/>
  <c r="AF112" i="5"/>
  <c r="AF161" i="5"/>
  <c r="AF152" i="5"/>
  <c r="AF166" i="5"/>
  <c r="AF33" i="5"/>
  <c r="AF109" i="5"/>
  <c r="AF94" i="5"/>
  <c r="AF209" i="5"/>
  <c r="AF220" i="5"/>
  <c r="AF91" i="5"/>
  <c r="AF160" i="5"/>
  <c r="AF177" i="5"/>
  <c r="AF136" i="5"/>
  <c r="AF108" i="5"/>
  <c r="AF211" i="5"/>
  <c r="AF48" i="5"/>
  <c r="AF59" i="5"/>
  <c r="AF80" i="5"/>
  <c r="AF90" i="5"/>
  <c r="AF197" i="5"/>
  <c r="AF67" i="5"/>
  <c r="AF195" i="5"/>
  <c r="AF204" i="5"/>
  <c r="AF226" i="5"/>
  <c r="AF134" i="5"/>
  <c r="AF120" i="5"/>
  <c r="AF141" i="5"/>
  <c r="AF132" i="5"/>
  <c r="AF75" i="5"/>
  <c r="AF95" i="5"/>
  <c r="AF119" i="5"/>
  <c r="AF96" i="5"/>
  <c r="AF143" i="5"/>
  <c r="AF142" i="5"/>
  <c r="AF198" i="5"/>
  <c r="AC17" i="7"/>
  <c r="AC19" i="7"/>
  <c r="K39" i="9"/>
  <c r="L39" i="9" s="1"/>
  <c r="AC14" i="7"/>
  <c r="AF39" i="5"/>
  <c r="V7" i="5"/>
  <c r="W7" i="5" s="1"/>
  <c r="U24" i="5"/>
  <c r="AD6" i="7"/>
  <c r="AK4" i="7"/>
  <c r="AL4" i="7" s="1"/>
  <c r="AM4" i="7" s="1"/>
  <c r="AN4" i="7" s="1"/>
  <c r="AO4" i="7" s="1"/>
  <c r="AF84" i="7"/>
  <c r="AF127" i="7"/>
  <c r="AF124" i="7"/>
  <c r="AF144" i="7"/>
  <c r="AF213" i="7"/>
  <c r="AF100" i="7"/>
  <c r="AF120" i="7"/>
  <c r="AF40" i="7"/>
  <c r="AF137" i="7"/>
  <c r="AF212" i="7"/>
  <c r="AF61" i="7"/>
  <c r="AF107" i="7"/>
  <c r="AF83" i="7"/>
  <c r="AF170" i="7"/>
  <c r="AC16" i="7"/>
  <c r="AD16" i="7" s="1"/>
  <c r="AC11" i="7"/>
  <c r="AC23" i="7"/>
  <c r="AD23" i="7" s="1"/>
  <c r="AF199" i="7"/>
  <c r="AF157" i="7"/>
  <c r="AF115" i="7"/>
  <c r="AF126" i="7"/>
  <c r="AC20" i="7"/>
  <c r="AD20" i="7" s="1"/>
  <c r="AF59" i="7"/>
  <c r="AF77" i="7"/>
  <c r="AF62" i="7"/>
  <c r="AF175" i="7"/>
  <c r="AF143" i="7"/>
  <c r="AF105" i="7"/>
  <c r="AF123" i="7"/>
  <c r="AF99" i="7"/>
  <c r="AF135" i="7"/>
  <c r="AF186" i="7"/>
  <c r="AF196" i="7"/>
  <c r="AF204" i="7"/>
  <c r="AF34" i="7"/>
  <c r="AF57" i="7"/>
  <c r="AF129" i="7"/>
  <c r="AF178" i="7"/>
  <c r="AF208" i="7"/>
  <c r="AF168" i="7"/>
  <c r="AF102" i="7"/>
  <c r="AF193" i="7"/>
  <c r="AF173" i="7"/>
  <c r="AF70" i="7"/>
  <c r="AF53" i="7"/>
  <c r="AF72" i="7"/>
  <c r="AF44" i="7"/>
  <c r="AC10" i="7"/>
  <c r="AD10" i="7" s="1"/>
  <c r="AF36" i="7"/>
  <c r="H35" i="9"/>
  <c r="AU37" i="7"/>
  <c r="AV37" i="7"/>
  <c r="AS70" i="7"/>
  <c r="AT70" i="7" s="1"/>
  <c r="AS170" i="7"/>
  <c r="AT170" i="7" s="1"/>
  <c r="AS206" i="7"/>
  <c r="AT206" i="7" s="1"/>
  <c r="AS221" i="7"/>
  <c r="AT221" i="7" s="1"/>
  <c r="AS114" i="7"/>
  <c r="AT114" i="7" s="1"/>
  <c r="AS216" i="7"/>
  <c r="AT216" i="7" s="1"/>
  <c r="AS195" i="7"/>
  <c r="AT195" i="7" s="1"/>
  <c r="AS131" i="7"/>
  <c r="AT131" i="7" s="1"/>
  <c r="AS65" i="7"/>
  <c r="AT65" i="7" s="1"/>
  <c r="AS193" i="7"/>
  <c r="AT193" i="7" s="1"/>
  <c r="AS82" i="7"/>
  <c r="AT82" i="7" s="1"/>
  <c r="AS124" i="7"/>
  <c r="AT124" i="7" s="1"/>
  <c r="AS209" i="7"/>
  <c r="AT209" i="7" s="1"/>
  <c r="AS142" i="7"/>
  <c r="AT142" i="7" s="1"/>
  <c r="AS46" i="7"/>
  <c r="AT46" i="7" s="1"/>
  <c r="AS123" i="7"/>
  <c r="AT123" i="7" s="1"/>
  <c r="AS119" i="7"/>
  <c r="AT119" i="7" s="1"/>
  <c r="AS109" i="7"/>
  <c r="AT109" i="7" s="1"/>
  <c r="AS43" i="7"/>
  <c r="AT43" i="7" s="1"/>
  <c r="AS115" i="7"/>
  <c r="AT115" i="7" s="1"/>
  <c r="AS156" i="7"/>
  <c r="AT156" i="7" s="1"/>
  <c r="AS167" i="7"/>
  <c r="AT167" i="7" s="1"/>
  <c r="AS169" i="7"/>
  <c r="AT169" i="7" s="1"/>
  <c r="AS104" i="7"/>
  <c r="AT104" i="7" s="1"/>
  <c r="AS187" i="7"/>
  <c r="AT187" i="7" s="1"/>
  <c r="AS173" i="7"/>
  <c r="AT173" i="7" s="1"/>
  <c r="AS83" i="7"/>
  <c r="AT83" i="7" s="1"/>
  <c r="AS94" i="7"/>
  <c r="AT94" i="7" s="1"/>
  <c r="AS120" i="7"/>
  <c r="AT120" i="7" s="1"/>
  <c r="AS64" i="7"/>
  <c r="AT64" i="7" s="1"/>
  <c r="AS222" i="7"/>
  <c r="AT222" i="7" s="1"/>
  <c r="AS185" i="7"/>
  <c r="AT185" i="7" s="1"/>
  <c r="AS139" i="7"/>
  <c r="AT139" i="7" s="1"/>
  <c r="AS126" i="7"/>
  <c r="AT126" i="7" s="1"/>
  <c r="AS63" i="7"/>
  <c r="AT63" i="7" s="1"/>
  <c r="AS116" i="7"/>
  <c r="AT116" i="7" s="1"/>
  <c r="AS178" i="7"/>
  <c r="AT178" i="7" s="1"/>
  <c r="AS144" i="7"/>
  <c r="AT144" i="7" s="1"/>
  <c r="AS95" i="7"/>
  <c r="AT95" i="7" s="1"/>
  <c r="AS113" i="7"/>
  <c r="AT113" i="7" s="1"/>
  <c r="AS73" i="7"/>
  <c r="AT73" i="7" s="1"/>
  <c r="AS211" i="7"/>
  <c r="AT211" i="7" s="1"/>
  <c r="AS97" i="7"/>
  <c r="AT97" i="7" s="1"/>
  <c r="AS181" i="7"/>
  <c r="AT181" i="7" s="1"/>
  <c r="AS175" i="7"/>
  <c r="AT175" i="7" s="1"/>
  <c r="AS66" i="7"/>
  <c r="AT66" i="7" s="1"/>
  <c r="AS89" i="7"/>
  <c r="AT89" i="7" s="1"/>
  <c r="AS147" i="7"/>
  <c r="AT147" i="7" s="1"/>
  <c r="AS212" i="7"/>
  <c r="AT212" i="7" s="1"/>
  <c r="AS213" i="7"/>
  <c r="AT213" i="7" s="1"/>
  <c r="AS129" i="7"/>
  <c r="AT129" i="7" s="1"/>
  <c r="AS226" i="7"/>
  <c r="AT226" i="7" s="1"/>
  <c r="AS164" i="7"/>
  <c r="AT164" i="7" s="1"/>
  <c r="AS49" i="7"/>
  <c r="AT49" i="7" s="1"/>
  <c r="AS188" i="7"/>
  <c r="AT188" i="7" s="1"/>
  <c r="AS107" i="7"/>
  <c r="AT107" i="7" s="1"/>
  <c r="AS105" i="7"/>
  <c r="AT105" i="7" s="1"/>
  <c r="AS157" i="7"/>
  <c r="AT157" i="7" s="1"/>
  <c r="AS168" i="7"/>
  <c r="AT168" i="7" s="1"/>
  <c r="AS192" i="7"/>
  <c r="AT192" i="7" s="1"/>
  <c r="AS52" i="7"/>
  <c r="AT52" i="7" s="1"/>
  <c r="AS106" i="7"/>
  <c r="AT106" i="7" s="1"/>
  <c r="AS208" i="7"/>
  <c r="AT208" i="7" s="1"/>
  <c r="AS186" i="7"/>
  <c r="AT186" i="7" s="1"/>
  <c r="AS197" i="7"/>
  <c r="AT197" i="7" s="1"/>
  <c r="AS138" i="7"/>
  <c r="AT138" i="7" s="1"/>
  <c r="AS85" i="7"/>
  <c r="AT85" i="7" s="1"/>
  <c r="AS162" i="7"/>
  <c r="AT162" i="7" s="1"/>
  <c r="AS154" i="7"/>
  <c r="AT154" i="7" s="1"/>
  <c r="AS33" i="7"/>
  <c r="AT33" i="7" s="1"/>
  <c r="AS86" i="7"/>
  <c r="AT86" i="7" s="1"/>
  <c r="AS159" i="7"/>
  <c r="AT159" i="7" s="1"/>
  <c r="AS130" i="7"/>
  <c r="AT130" i="7" s="1"/>
  <c r="AS160" i="7"/>
  <c r="AT160" i="7" s="1"/>
  <c r="AS108" i="7"/>
  <c r="AT108" i="7" s="1"/>
  <c r="AS101" i="7"/>
  <c r="AT101" i="7" s="1"/>
  <c r="AS224" i="7"/>
  <c r="AT224" i="7" s="1"/>
  <c r="AS165" i="7"/>
  <c r="AT165" i="7" s="1"/>
  <c r="AS141" i="7"/>
  <c r="AT141" i="7" s="1"/>
  <c r="AS145" i="7"/>
  <c r="AT145" i="7" s="1"/>
  <c r="AS117" i="7"/>
  <c r="AT117" i="7" s="1"/>
  <c r="AS55" i="7"/>
  <c r="AT55" i="7" s="1"/>
  <c r="AS67" i="7"/>
  <c r="AT67" i="7" s="1"/>
  <c r="AS77" i="7"/>
  <c r="AT77" i="7" s="1"/>
  <c r="AS84" i="7"/>
  <c r="AT84" i="7" s="1"/>
  <c r="AS220" i="7"/>
  <c r="AT220" i="7" s="1"/>
  <c r="AS98" i="7"/>
  <c r="AT98" i="7" s="1"/>
  <c r="AS198" i="7"/>
  <c r="AT198" i="7" s="1"/>
  <c r="AS99" i="7"/>
  <c r="AT99" i="7" s="1"/>
  <c r="AS201" i="7"/>
  <c r="AT201" i="7" s="1"/>
  <c r="AS200" i="7"/>
  <c r="AT200" i="7" s="1"/>
  <c r="AS110" i="7"/>
  <c r="AT110" i="7" s="1"/>
  <c r="AS80" i="7"/>
  <c r="AT80" i="7" s="1"/>
  <c r="AS152" i="7"/>
  <c r="AT152" i="7" s="1"/>
  <c r="AS91" i="7"/>
  <c r="AT91" i="7" s="1"/>
  <c r="AS217" i="7"/>
  <c r="AT217" i="7" s="1"/>
  <c r="AS34" i="7"/>
  <c r="AT34" i="7" s="1"/>
  <c r="AS218" i="7"/>
  <c r="AT218" i="7" s="1"/>
  <c r="AS215" i="7"/>
  <c r="AT215" i="7" s="1"/>
  <c r="AS132" i="7"/>
  <c r="AT132" i="7" s="1"/>
  <c r="AS183" i="7"/>
  <c r="AT183" i="7" s="1"/>
  <c r="AS143" i="7"/>
  <c r="AT143" i="7" s="1"/>
  <c r="AS204" i="7"/>
  <c r="AT204" i="7" s="1"/>
  <c r="AS58" i="7"/>
  <c r="AT58" i="7" s="1"/>
  <c r="AS182" i="7"/>
  <c r="AT182" i="7" s="1"/>
  <c r="AS228" i="7"/>
  <c r="AT228" i="7" s="1"/>
  <c r="AS72" i="7"/>
  <c r="AT72" i="7" s="1"/>
  <c r="AS92" i="7"/>
  <c r="AT92" i="7" s="1"/>
  <c r="AS177" i="7"/>
  <c r="AT177" i="7" s="1"/>
  <c r="AS196" i="7"/>
  <c r="AT196" i="7" s="1"/>
  <c r="AS207" i="7"/>
  <c r="AT207" i="7" s="1"/>
  <c r="AS50" i="7"/>
  <c r="AT50" i="7" s="1"/>
  <c r="AS194" i="7"/>
  <c r="AT194" i="7" s="1"/>
  <c r="AS96" i="7"/>
  <c r="AT96" i="7" s="1"/>
  <c r="AS81" i="7"/>
  <c r="AT81" i="7" s="1"/>
  <c r="AS229" i="7"/>
  <c r="AT229" i="7" s="1"/>
  <c r="AS87" i="7"/>
  <c r="AT87" i="7" s="1"/>
  <c r="AS48" i="7"/>
  <c r="AT48" i="7" s="1"/>
  <c r="AS203" i="7"/>
  <c r="AT203" i="7" s="1"/>
  <c r="AS171" i="7"/>
  <c r="AT171" i="7" s="1"/>
  <c r="AS137" i="7"/>
  <c r="AT137" i="7" s="1"/>
  <c r="AS172" i="7"/>
  <c r="AT172" i="7" s="1"/>
  <c r="AS205" i="7"/>
  <c r="AT205" i="7" s="1"/>
  <c r="AS190" i="7"/>
  <c r="AT190" i="7" s="1"/>
  <c r="AS75" i="7"/>
  <c r="AT75" i="7" s="1"/>
  <c r="AS88" i="7"/>
  <c r="AT88" i="7" s="1"/>
  <c r="AS202" i="7"/>
  <c r="AT202" i="7" s="1"/>
  <c r="AS125" i="7"/>
  <c r="AT125" i="7" s="1"/>
  <c r="AS121" i="7"/>
  <c r="AT121" i="7" s="1"/>
  <c r="AS100" i="7"/>
  <c r="AT100" i="7" s="1"/>
  <c r="AS149" i="7"/>
  <c r="AT149" i="7" s="1"/>
  <c r="AS44" i="7"/>
  <c r="AT44" i="7" s="1"/>
  <c r="AS219" i="7"/>
  <c r="AT219" i="7" s="1"/>
  <c r="AS79" i="7"/>
  <c r="AT79" i="7" s="1"/>
  <c r="AS118" i="7"/>
  <c r="AT118" i="7" s="1"/>
  <c r="AS150" i="7"/>
  <c r="AT150" i="7" s="1"/>
  <c r="AS102" i="7"/>
  <c r="AT102" i="7" s="1"/>
  <c r="AS56" i="7"/>
  <c r="AT56" i="7" s="1"/>
  <c r="AS134" i="7"/>
  <c r="AT134" i="7" s="1"/>
  <c r="AS122" i="7"/>
  <c r="AT122" i="7" s="1"/>
  <c r="AS42" i="7"/>
  <c r="AT42" i="7" s="1"/>
  <c r="AS111" i="7"/>
  <c r="AT111" i="7" s="1"/>
  <c r="AS71" i="7"/>
  <c r="AT71" i="7" s="1"/>
  <c r="AS210" i="7"/>
  <c r="AT210" i="7" s="1"/>
  <c r="AS93" i="7"/>
  <c r="AT93" i="7" s="1"/>
  <c r="AS166" i="7"/>
  <c r="AT166" i="7" s="1"/>
  <c r="AS184" i="7"/>
  <c r="AT184" i="7" s="1"/>
  <c r="AS128" i="7"/>
  <c r="AT128" i="7" s="1"/>
  <c r="AS40" i="7"/>
  <c r="AT40" i="7" s="1"/>
  <c r="AS39" i="7"/>
  <c r="AT39" i="7" s="1"/>
  <c r="AS151" i="7"/>
  <c r="AT151" i="7" s="1"/>
  <c r="AS90" i="7"/>
  <c r="AT90" i="7" s="1"/>
  <c r="AS199" i="7"/>
  <c r="AT199" i="7" s="1"/>
  <c r="AS174" i="7"/>
  <c r="AT174" i="7" s="1"/>
  <c r="AS180" i="7"/>
  <c r="AT180" i="7" s="1"/>
  <c r="AS153" i="7"/>
  <c r="AT153" i="7" s="1"/>
  <c r="AS146" i="7"/>
  <c r="AT146" i="7" s="1"/>
  <c r="AS158" i="7"/>
  <c r="AT158" i="7" s="1"/>
  <c r="AS112" i="7"/>
  <c r="AT112" i="7" s="1"/>
  <c r="AS223" i="7"/>
  <c r="AT223" i="7" s="1"/>
  <c r="AS214" i="7"/>
  <c r="AT214" i="7" s="1"/>
  <c r="AS54" i="7"/>
  <c r="AT54" i="7" s="1"/>
  <c r="AS176" i="7"/>
  <c r="AT176" i="7" s="1"/>
  <c r="AS41" i="7"/>
  <c r="AT41" i="7" s="1"/>
  <c r="AS140" i="7"/>
  <c r="AT140" i="7" s="1"/>
  <c r="AS47" i="7"/>
  <c r="AT47" i="7" s="1"/>
  <c r="AS179" i="7"/>
  <c r="AT179" i="7" s="1"/>
  <c r="AS227" i="7"/>
  <c r="AT227" i="7" s="1"/>
  <c r="AS136" i="7"/>
  <c r="AT136" i="7" s="1"/>
  <c r="AS127" i="7"/>
  <c r="AT127" i="7" s="1"/>
  <c r="AS191" i="7"/>
  <c r="AT191" i="7" s="1"/>
  <c r="AS36" i="7"/>
  <c r="AT36" i="7" s="1"/>
  <c r="AS38" i="7"/>
  <c r="AT38" i="7" s="1"/>
  <c r="AS155" i="7"/>
  <c r="AT155" i="7" s="1"/>
  <c r="AS135" i="7"/>
  <c r="AT135" i="7" s="1"/>
  <c r="AS161" i="7"/>
  <c r="AT161" i="7" s="1"/>
  <c r="AS133" i="7"/>
  <c r="AT133" i="7" s="1"/>
  <c r="AS103" i="7"/>
  <c r="AT103" i="7" s="1"/>
  <c r="AS225" i="7"/>
  <c r="AT225" i="7" s="1"/>
  <c r="AS189" i="7"/>
  <c r="AT189" i="7" s="1"/>
  <c r="AS78" i="7"/>
  <c r="AT78" i="7" s="1"/>
  <c r="AS163" i="7"/>
  <c r="AT163" i="7" s="1"/>
  <c r="AS148" i="7"/>
  <c r="AT148" i="7" s="1"/>
  <c r="AS57" i="7"/>
  <c r="AT57" i="7" s="1"/>
  <c r="AS59" i="7"/>
  <c r="AT59" i="7" s="1"/>
  <c r="AS60" i="7"/>
  <c r="AT60" i="7" s="1"/>
  <c r="AS62" i="7"/>
  <c r="AT62" i="7" s="1"/>
  <c r="AS35" i="7"/>
  <c r="AT35" i="7" s="1"/>
  <c r="AS45" i="7"/>
  <c r="AT45" i="7" s="1"/>
  <c r="AS32" i="7"/>
  <c r="AT32" i="7" s="1"/>
  <c r="AS74" i="7"/>
  <c r="AT74" i="7" s="1"/>
  <c r="AS68" i="7"/>
  <c r="AT68" i="7" s="1"/>
  <c r="AS51" i="7"/>
  <c r="AT51" i="7" s="1"/>
  <c r="AS61" i="7"/>
  <c r="AT61" i="7" s="1"/>
  <c r="AS76" i="7"/>
  <c r="AT76" i="7" s="1"/>
  <c r="AS69" i="7"/>
  <c r="AT69" i="7" s="1"/>
  <c r="AS53" i="7"/>
  <c r="AT53" i="7" s="1"/>
  <c r="G34" i="9"/>
  <c r="G41" i="9" s="1"/>
  <c r="H41" i="9" s="1"/>
  <c r="AF181" i="7"/>
  <c r="AF164" i="7"/>
  <c r="AB5" i="7"/>
  <c r="AD5" i="7" s="1"/>
  <c r="I35" i="9"/>
  <c r="K35" i="9" s="1"/>
  <c r="L35" i="9" s="1"/>
  <c r="AF58" i="7"/>
  <c r="AF49" i="7"/>
  <c r="AF114" i="7"/>
  <c r="AF80" i="7"/>
  <c r="AF38" i="7"/>
  <c r="AF112" i="7"/>
  <c r="AF223" i="7"/>
  <c r="AA24" i="7"/>
  <c r="AF52" i="7"/>
  <c r="AC21" i="7"/>
  <c r="AC9" i="7"/>
  <c r="AP24" i="7"/>
  <c r="AQ7" i="7" s="1"/>
  <c r="AR7" i="7" s="1"/>
  <c r="AJ24" i="7"/>
  <c r="AC8" i="7"/>
  <c r="AD8" i="7" s="1"/>
  <c r="AF131" i="7"/>
  <c r="AF46" i="7"/>
  <c r="AF225" i="7"/>
  <c r="AF117" i="7"/>
  <c r="I36" i="9"/>
  <c r="AF207" i="7"/>
  <c r="AF203" i="7"/>
  <c r="AF180" i="7"/>
  <c r="AF97" i="7"/>
  <c r="AF39" i="7"/>
  <c r="AF197" i="7"/>
  <c r="AF96" i="7"/>
  <c r="AC7" i="7"/>
  <c r="AD7" i="7" s="1"/>
  <c r="AF159" i="7"/>
  <c r="AF206" i="7"/>
  <c r="AC22" i="7"/>
  <c r="AF108" i="7"/>
  <c r="AF43" i="7"/>
  <c r="T12" i="9"/>
  <c r="AD4" i="7"/>
  <c r="G36" i="9"/>
  <c r="AF187" i="7"/>
  <c r="AF139" i="7"/>
  <c r="AF146" i="7"/>
  <c r="AF93" i="7"/>
  <c r="AF134" i="7"/>
  <c r="AF128" i="7"/>
  <c r="AC15" i="7"/>
  <c r="AF218" i="7"/>
  <c r="AF163" i="7"/>
  <c r="AF106" i="7"/>
  <c r="AF220" i="7"/>
  <c r="AF85" i="7"/>
  <c r="AF65" i="7"/>
  <c r="AF182" i="7"/>
  <c r="AF48" i="7"/>
  <c r="AF161" i="7"/>
  <c r="AF64" i="7"/>
  <c r="AF147" i="7"/>
  <c r="AF198" i="7"/>
  <c r="AV35" i="5"/>
  <c r="AU35" i="5"/>
  <c r="D38" i="6"/>
  <c r="D37" i="6"/>
  <c r="AC5" i="5"/>
  <c r="S23" i="6"/>
  <c r="AC19" i="5"/>
  <c r="AD19" i="5" s="1"/>
  <c r="AC15" i="5"/>
  <c r="AD15" i="5" s="1"/>
  <c r="AF46" i="5"/>
  <c r="AF103" i="5"/>
  <c r="AF118" i="5"/>
  <c r="AF169" i="5"/>
  <c r="AF162" i="5"/>
  <c r="AF201" i="5"/>
  <c r="AF50" i="5"/>
  <c r="AF148" i="5"/>
  <c r="AF106" i="5"/>
  <c r="AF62" i="5"/>
  <c r="AF206" i="5"/>
  <c r="AF164" i="5"/>
  <c r="AF144" i="5"/>
  <c r="AF34" i="5"/>
  <c r="AF63" i="5"/>
  <c r="AF57" i="5"/>
  <c r="AF121" i="5"/>
  <c r="AF49" i="5"/>
  <c r="AE19" i="5"/>
  <c r="AF133" i="5"/>
  <c r="AF54" i="5"/>
  <c r="AC17" i="5"/>
  <c r="AD17" i="5" s="1"/>
  <c r="AC7" i="5"/>
  <c r="AF61" i="5"/>
  <c r="AF215" i="5"/>
  <c r="AF168" i="5"/>
  <c r="AF218" i="5"/>
  <c r="AF53" i="5"/>
  <c r="AF210" i="5"/>
  <c r="AF185" i="5"/>
  <c r="AF99" i="5"/>
  <c r="AF190" i="5"/>
  <c r="AS72" i="5"/>
  <c r="AT72" i="5" s="1"/>
  <c r="AS41" i="5"/>
  <c r="AT41" i="5" s="1"/>
  <c r="AS179" i="5"/>
  <c r="AT179" i="5" s="1"/>
  <c r="AS159" i="5"/>
  <c r="AT159" i="5" s="1"/>
  <c r="AS226" i="5"/>
  <c r="AT226" i="5" s="1"/>
  <c r="AS190" i="5"/>
  <c r="AT190" i="5" s="1"/>
  <c r="AS155" i="5"/>
  <c r="AT155" i="5" s="1"/>
  <c r="AS160" i="5"/>
  <c r="AT160" i="5" s="1"/>
  <c r="AS208" i="5"/>
  <c r="AT208" i="5" s="1"/>
  <c r="AS204" i="5"/>
  <c r="AT204" i="5" s="1"/>
  <c r="AS99" i="5"/>
  <c r="AT99" i="5" s="1"/>
  <c r="AS139" i="5"/>
  <c r="AT139" i="5" s="1"/>
  <c r="AS96" i="5"/>
  <c r="AT96" i="5" s="1"/>
  <c r="AS38" i="5"/>
  <c r="AT38" i="5" s="1"/>
  <c r="AS120" i="5"/>
  <c r="AT120" i="5" s="1"/>
  <c r="AS91" i="5"/>
  <c r="AT91" i="5" s="1"/>
  <c r="AS100" i="5"/>
  <c r="AT100" i="5" s="1"/>
  <c r="AS171" i="5"/>
  <c r="AT171" i="5" s="1"/>
  <c r="AS60" i="5"/>
  <c r="AT60" i="5" s="1"/>
  <c r="AS103" i="5"/>
  <c r="AT103" i="5" s="1"/>
  <c r="AS172" i="5"/>
  <c r="AT172" i="5" s="1"/>
  <c r="AS192" i="5"/>
  <c r="AT192" i="5" s="1"/>
  <c r="AS169" i="5"/>
  <c r="AT169" i="5" s="1"/>
  <c r="AS104" i="5"/>
  <c r="AT104" i="5" s="1"/>
  <c r="AS126" i="5"/>
  <c r="AT126" i="5" s="1"/>
  <c r="AS134" i="5"/>
  <c r="AT134" i="5" s="1"/>
  <c r="AS109" i="5"/>
  <c r="AT109" i="5" s="1"/>
  <c r="AS92" i="5"/>
  <c r="AT92" i="5" s="1"/>
  <c r="AS89" i="5"/>
  <c r="AT89" i="5" s="1"/>
  <c r="AS102" i="5"/>
  <c r="AT102" i="5" s="1"/>
  <c r="AS55" i="5"/>
  <c r="AT55" i="5" s="1"/>
  <c r="AS59" i="5"/>
  <c r="AT59" i="5" s="1"/>
  <c r="AS81" i="5"/>
  <c r="AT81" i="5" s="1"/>
  <c r="AS175" i="5"/>
  <c r="AT175" i="5" s="1"/>
  <c r="AS195" i="5"/>
  <c r="AT195" i="5" s="1"/>
  <c r="AS200" i="5"/>
  <c r="AT200" i="5" s="1"/>
  <c r="AS193" i="5"/>
  <c r="AT193" i="5" s="1"/>
  <c r="AS36" i="5"/>
  <c r="AT36" i="5" s="1"/>
  <c r="AS106" i="5"/>
  <c r="AT106" i="5" s="1"/>
  <c r="AS95" i="5"/>
  <c r="AT95" i="5" s="1"/>
  <c r="AS67" i="5"/>
  <c r="AT67" i="5" s="1"/>
  <c r="AS187" i="5"/>
  <c r="AT187" i="5" s="1"/>
  <c r="AS158" i="5"/>
  <c r="AT158" i="5" s="1"/>
  <c r="AS180" i="5"/>
  <c r="AT180" i="5" s="1"/>
  <c r="AS53" i="5"/>
  <c r="AT53" i="5" s="1"/>
  <c r="AS94" i="5"/>
  <c r="AT94" i="5" s="1"/>
  <c r="AS62" i="5"/>
  <c r="AT62" i="5" s="1"/>
  <c r="AS148" i="5"/>
  <c r="AT148" i="5" s="1"/>
  <c r="AS69" i="5"/>
  <c r="AT69" i="5" s="1"/>
  <c r="AS48" i="5"/>
  <c r="AT48" i="5" s="1"/>
  <c r="AS188" i="5"/>
  <c r="AT188" i="5" s="1"/>
  <c r="AS130" i="5"/>
  <c r="AT130" i="5" s="1"/>
  <c r="AS79" i="5"/>
  <c r="AT79" i="5" s="1"/>
  <c r="AS140" i="5"/>
  <c r="AT140" i="5" s="1"/>
  <c r="AS206" i="5"/>
  <c r="AT206" i="5" s="1"/>
  <c r="AS107" i="5"/>
  <c r="AT107" i="5" s="1"/>
  <c r="AS57" i="5"/>
  <c r="AT57" i="5" s="1"/>
  <c r="AS108" i="5"/>
  <c r="AT108" i="5" s="1"/>
  <c r="AS133" i="5"/>
  <c r="AT133" i="5" s="1"/>
  <c r="AS85" i="5"/>
  <c r="AT85" i="5" s="1"/>
  <c r="AS40" i="5"/>
  <c r="AT40" i="5" s="1"/>
  <c r="AS121" i="5"/>
  <c r="AT121" i="5" s="1"/>
  <c r="AS97" i="5"/>
  <c r="AT97" i="5" s="1"/>
  <c r="AS202" i="5"/>
  <c r="AT202" i="5" s="1"/>
  <c r="AS216" i="5"/>
  <c r="AT216" i="5" s="1"/>
  <c r="AS51" i="5"/>
  <c r="AT51" i="5" s="1"/>
  <c r="AS49" i="5"/>
  <c r="AT49" i="5" s="1"/>
  <c r="AS205" i="5"/>
  <c r="AT205" i="5" s="1"/>
  <c r="AS146" i="5"/>
  <c r="AT146" i="5" s="1"/>
  <c r="AS63" i="5"/>
  <c r="AT63" i="5" s="1"/>
  <c r="AS203" i="5"/>
  <c r="AT203" i="5" s="1"/>
  <c r="AS167" i="5"/>
  <c r="AT167" i="5" s="1"/>
  <c r="AS119" i="5"/>
  <c r="AT119" i="5" s="1"/>
  <c r="AS225" i="5"/>
  <c r="AT225" i="5" s="1"/>
  <c r="AS43" i="5"/>
  <c r="AT43" i="5" s="1"/>
  <c r="AS198" i="5"/>
  <c r="AT198" i="5" s="1"/>
  <c r="AS141" i="5"/>
  <c r="AT141" i="5" s="1"/>
  <c r="AS113" i="5"/>
  <c r="AT113" i="5" s="1"/>
  <c r="AS211" i="5"/>
  <c r="AT211" i="5" s="1"/>
  <c r="AS217" i="5"/>
  <c r="AT217" i="5" s="1"/>
  <c r="AS163" i="5"/>
  <c r="AT163" i="5" s="1"/>
  <c r="AS123" i="5"/>
  <c r="AT123" i="5" s="1"/>
  <c r="AS194" i="5"/>
  <c r="AT194" i="5" s="1"/>
  <c r="AS223" i="5"/>
  <c r="AT223" i="5" s="1"/>
  <c r="AS176" i="5"/>
  <c r="AT176" i="5" s="1"/>
  <c r="AS128" i="5"/>
  <c r="AT128" i="5" s="1"/>
  <c r="AS228" i="5"/>
  <c r="AT228" i="5" s="1"/>
  <c r="AS118" i="5"/>
  <c r="AT118" i="5" s="1"/>
  <c r="AS153" i="5"/>
  <c r="AT153" i="5" s="1"/>
  <c r="AS78" i="5"/>
  <c r="AT78" i="5" s="1"/>
  <c r="AS219" i="5"/>
  <c r="AT219" i="5" s="1"/>
  <c r="AS122" i="5"/>
  <c r="AT122" i="5" s="1"/>
  <c r="AS227" i="5"/>
  <c r="AT227" i="5" s="1"/>
  <c r="AS164" i="5"/>
  <c r="AT164" i="5" s="1"/>
  <c r="AS131" i="5"/>
  <c r="AT131" i="5" s="1"/>
  <c r="AS125" i="5"/>
  <c r="AT125" i="5" s="1"/>
  <c r="AS157" i="5"/>
  <c r="AT157" i="5" s="1"/>
  <c r="AS166" i="5"/>
  <c r="AT166" i="5" s="1"/>
  <c r="AS111" i="5"/>
  <c r="AT111" i="5" s="1"/>
  <c r="AS45" i="5"/>
  <c r="AT45" i="5" s="1"/>
  <c r="AS142" i="5"/>
  <c r="AT142" i="5" s="1"/>
  <c r="AS199" i="5"/>
  <c r="AT199" i="5" s="1"/>
  <c r="AS207" i="5"/>
  <c r="AT207" i="5" s="1"/>
  <c r="AS77" i="5"/>
  <c r="AT77" i="5" s="1"/>
  <c r="AS212" i="5"/>
  <c r="AT212" i="5" s="1"/>
  <c r="AS98" i="5"/>
  <c r="AT98" i="5" s="1"/>
  <c r="AS58" i="5"/>
  <c r="AT58" i="5" s="1"/>
  <c r="AS145" i="5"/>
  <c r="AT145" i="5" s="1"/>
  <c r="AS46" i="5"/>
  <c r="AT46" i="5" s="1"/>
  <c r="AS87" i="5"/>
  <c r="AT87" i="5" s="1"/>
  <c r="AS86" i="5"/>
  <c r="AT86" i="5" s="1"/>
  <c r="AS93" i="5"/>
  <c r="AT93" i="5" s="1"/>
  <c r="AS115" i="5"/>
  <c r="AT115" i="5" s="1"/>
  <c r="AS80" i="5"/>
  <c r="AT80" i="5" s="1"/>
  <c r="AS209" i="5"/>
  <c r="AT209" i="5" s="1"/>
  <c r="AS173" i="5"/>
  <c r="AT173" i="5" s="1"/>
  <c r="AS66" i="5"/>
  <c r="AT66" i="5" s="1"/>
  <c r="AS129" i="5"/>
  <c r="AT129" i="5" s="1"/>
  <c r="AS168" i="5"/>
  <c r="AT168" i="5" s="1"/>
  <c r="AS136" i="5"/>
  <c r="AT136" i="5" s="1"/>
  <c r="AS54" i="5"/>
  <c r="AT54" i="5" s="1"/>
  <c r="AS185" i="5"/>
  <c r="AT185" i="5" s="1"/>
  <c r="AS50" i="5"/>
  <c r="AT50" i="5" s="1"/>
  <c r="AS213" i="5"/>
  <c r="AT213" i="5" s="1"/>
  <c r="AS215" i="5"/>
  <c r="AT215" i="5" s="1"/>
  <c r="AS47" i="5"/>
  <c r="AT47" i="5" s="1"/>
  <c r="AS162" i="5"/>
  <c r="AT162" i="5" s="1"/>
  <c r="AS214" i="5"/>
  <c r="AT214" i="5" s="1"/>
  <c r="AS182" i="5"/>
  <c r="AT182" i="5" s="1"/>
  <c r="AS39" i="5"/>
  <c r="AT39" i="5" s="1"/>
  <c r="AS137" i="5"/>
  <c r="AT137" i="5" s="1"/>
  <c r="AS42" i="5"/>
  <c r="AT42" i="5" s="1"/>
  <c r="AS124" i="5"/>
  <c r="AT124" i="5" s="1"/>
  <c r="AS105" i="5"/>
  <c r="AT105" i="5" s="1"/>
  <c r="AS88" i="5"/>
  <c r="AT88" i="5" s="1"/>
  <c r="AS83" i="5"/>
  <c r="AT83" i="5" s="1"/>
  <c r="AS154" i="5"/>
  <c r="AT154" i="5" s="1"/>
  <c r="AS135" i="5"/>
  <c r="AT135" i="5" s="1"/>
  <c r="AS56" i="5"/>
  <c r="AT56" i="5" s="1"/>
  <c r="AS32" i="5"/>
  <c r="AT32" i="5" s="1"/>
  <c r="AS76" i="5"/>
  <c r="AT76" i="5" s="1"/>
  <c r="AS174" i="5"/>
  <c r="AT174" i="5" s="1"/>
  <c r="AS229" i="5"/>
  <c r="AT229" i="5" s="1"/>
  <c r="AS110" i="5"/>
  <c r="AT110" i="5" s="1"/>
  <c r="AS186" i="5"/>
  <c r="AT186" i="5" s="1"/>
  <c r="AS220" i="5"/>
  <c r="AT220" i="5" s="1"/>
  <c r="AS178" i="5"/>
  <c r="AT178" i="5" s="1"/>
  <c r="AS75" i="5"/>
  <c r="AT75" i="5" s="1"/>
  <c r="AS144" i="5"/>
  <c r="AT144" i="5" s="1"/>
  <c r="AS177" i="5"/>
  <c r="AT177" i="5" s="1"/>
  <c r="AS224" i="5"/>
  <c r="AT224" i="5" s="1"/>
  <c r="AS61" i="5"/>
  <c r="AT61" i="5" s="1"/>
  <c r="AS68" i="5"/>
  <c r="AT68" i="5" s="1"/>
  <c r="AS52" i="5"/>
  <c r="AT52" i="5" s="1"/>
  <c r="AS189" i="5"/>
  <c r="AT189" i="5" s="1"/>
  <c r="AS143" i="5"/>
  <c r="AT143" i="5" s="1"/>
  <c r="AS150" i="5"/>
  <c r="AT150" i="5" s="1"/>
  <c r="AS201" i="5"/>
  <c r="AT201" i="5" s="1"/>
  <c r="AS82" i="5"/>
  <c r="AT82" i="5" s="1"/>
  <c r="AS70" i="5"/>
  <c r="AT70" i="5" s="1"/>
  <c r="AS37" i="5"/>
  <c r="AT37" i="5" s="1"/>
  <c r="AS184" i="5"/>
  <c r="AT184" i="5" s="1"/>
  <c r="AS197" i="5"/>
  <c r="AT197" i="5" s="1"/>
  <c r="AS138" i="5"/>
  <c r="AT138" i="5" s="1"/>
  <c r="AS84" i="5"/>
  <c r="AT84" i="5" s="1"/>
  <c r="AS149" i="5"/>
  <c r="AT149" i="5" s="1"/>
  <c r="AS156" i="5"/>
  <c r="AT156" i="5" s="1"/>
  <c r="AS191" i="5"/>
  <c r="AT191" i="5" s="1"/>
  <c r="AS117" i="5"/>
  <c r="AT117" i="5" s="1"/>
  <c r="AS71" i="5"/>
  <c r="AT71" i="5" s="1"/>
  <c r="AS151" i="5"/>
  <c r="AT151" i="5" s="1"/>
  <c r="AS170" i="5"/>
  <c r="AT170" i="5" s="1"/>
  <c r="AS196" i="5"/>
  <c r="AT196" i="5" s="1"/>
  <c r="AS210" i="5"/>
  <c r="AT210" i="5" s="1"/>
  <c r="AS74" i="5"/>
  <c r="AT74" i="5" s="1"/>
  <c r="AS65" i="5"/>
  <c r="AT65" i="5" s="1"/>
  <c r="AS161" i="5"/>
  <c r="AT161" i="5" s="1"/>
  <c r="AS181" i="5"/>
  <c r="AT181" i="5" s="1"/>
  <c r="AS116" i="5"/>
  <c r="AT116" i="5" s="1"/>
  <c r="AS114" i="5"/>
  <c r="AT114" i="5" s="1"/>
  <c r="AS222" i="5"/>
  <c r="AT222" i="5" s="1"/>
  <c r="AS101" i="5"/>
  <c r="AT101" i="5" s="1"/>
  <c r="AS90" i="5"/>
  <c r="AT90" i="5" s="1"/>
  <c r="AS147" i="5"/>
  <c r="AT147" i="5" s="1"/>
  <c r="AS165" i="5"/>
  <c r="AT165" i="5" s="1"/>
  <c r="AS152" i="5"/>
  <c r="AT152" i="5" s="1"/>
  <c r="AS127" i="5"/>
  <c r="AT127" i="5" s="1"/>
  <c r="AS132" i="5"/>
  <c r="AT132" i="5" s="1"/>
  <c r="AS112" i="5"/>
  <c r="AT112" i="5" s="1"/>
  <c r="AS221" i="5"/>
  <c r="AT221" i="5" s="1"/>
  <c r="AS73" i="5"/>
  <c r="AT73" i="5" s="1"/>
  <c r="AS218" i="5"/>
  <c r="AT218" i="5" s="1"/>
  <c r="AS183" i="5"/>
  <c r="AT183" i="5" s="1"/>
  <c r="AS44" i="5"/>
  <c r="AT44" i="5" s="1"/>
  <c r="T12" i="6"/>
  <c r="AC6" i="5"/>
  <c r="AC18" i="5"/>
  <c r="AD18" i="5" s="1"/>
  <c r="C38" i="6"/>
  <c r="C37" i="6"/>
  <c r="E36" i="6"/>
  <c r="AC11" i="5"/>
  <c r="AD11" i="5" s="1"/>
  <c r="AC10" i="5"/>
  <c r="AD10" i="5" s="1"/>
  <c r="AS34" i="5"/>
  <c r="AT34" i="5" s="1"/>
  <c r="AF81" i="5"/>
  <c r="AF182" i="5"/>
  <c r="AF225" i="5"/>
  <c r="AF55" i="5"/>
  <c r="AF188" i="5"/>
  <c r="AF32" i="5"/>
  <c r="AC4" i="5"/>
  <c r="S12" i="6"/>
  <c r="AF38" i="5"/>
  <c r="AF217" i="5"/>
  <c r="AF98" i="5"/>
  <c r="AC16" i="5"/>
  <c r="AD16" i="5" s="1"/>
  <c r="AF157" i="5"/>
  <c r="AF130" i="5"/>
  <c r="AC9" i="5"/>
  <c r="AC20" i="5"/>
  <c r="AD20" i="5" s="1"/>
  <c r="BB23" i="5"/>
  <c r="BB5" i="5"/>
  <c r="AA68" i="6" s="1"/>
  <c r="BB20" i="5"/>
  <c r="BB19" i="5"/>
  <c r="BB11" i="5"/>
  <c r="BB10" i="5"/>
  <c r="BB9" i="5"/>
  <c r="AA72" i="6" s="1"/>
  <c r="BB6" i="5"/>
  <c r="AA69" i="6" s="1"/>
  <c r="BB16" i="5"/>
  <c r="BB15" i="5"/>
  <c r="BB14" i="5"/>
  <c r="BB13" i="5"/>
  <c r="BB7" i="5"/>
  <c r="AA70" i="6" s="1"/>
  <c r="BB22" i="5"/>
  <c r="BB21" i="5"/>
  <c r="BB18" i="5"/>
  <c r="BB12" i="5"/>
  <c r="BB8" i="5"/>
  <c r="AA71" i="6" s="1"/>
  <c r="BB17" i="5"/>
  <c r="AI4" i="5"/>
  <c r="AJ4" i="5" s="1"/>
  <c r="BB4" i="5"/>
  <c r="AA67" i="6" s="1"/>
  <c r="AX4" i="5"/>
  <c r="R12" i="6"/>
  <c r="U11" i="6" s="1"/>
  <c r="AC22" i="5"/>
  <c r="AD22" i="5" s="1"/>
  <c r="AC23" i="5"/>
  <c r="AD23" i="5" s="1"/>
  <c r="AC8" i="5"/>
  <c r="AD8" i="5" s="1"/>
  <c r="AS33" i="5"/>
  <c r="AT33" i="5" s="1"/>
  <c r="AA24" i="5"/>
  <c r="AC13" i="5"/>
  <c r="AD13" i="5" s="1"/>
  <c r="H35" i="6"/>
  <c r="AC14" i="5"/>
  <c r="AD14" i="5" s="1"/>
  <c r="AF153" i="5"/>
  <c r="AF107" i="5"/>
  <c r="AF82" i="5"/>
  <c r="AF73" i="5"/>
  <c r="AB24" i="5"/>
  <c r="AE10" i="5" s="1"/>
  <c r="AE4" i="5"/>
  <c r="G40" i="6" s="1"/>
  <c r="G34" i="6"/>
  <c r="G41" i="6" s="1"/>
  <c r="H41" i="6" s="1"/>
  <c r="AS64" i="5"/>
  <c r="AT64" i="5" s="1"/>
  <c r="AC21" i="5"/>
  <c r="AD21" i="5" s="1"/>
  <c r="AF72" i="5"/>
  <c r="AF117" i="5"/>
  <c r="AC12" i="5"/>
  <c r="AD12" i="5" s="1"/>
  <c r="AB5" i="5"/>
  <c r="I35" i="6"/>
  <c r="K35" i="6" s="1"/>
  <c r="L35" i="6" s="1"/>
  <c r="AF155" i="5"/>
  <c r="AE6" i="5"/>
  <c r="AF100" i="5"/>
  <c r="AF187" i="5"/>
  <c r="AD9" i="5" l="1"/>
  <c r="AJ24" i="5"/>
  <c r="AD6" i="5"/>
  <c r="AD9" i="7"/>
  <c r="AD15" i="7"/>
  <c r="AD22" i="7"/>
  <c r="AD19" i="7"/>
  <c r="AD14" i="7"/>
  <c r="AD11" i="7"/>
  <c r="AD17" i="7"/>
  <c r="AD21" i="7"/>
  <c r="AE18" i="5"/>
  <c r="AE20" i="5"/>
  <c r="AE23" i="5"/>
  <c r="AD7" i="5"/>
  <c r="AT7" i="7"/>
  <c r="AS7" i="7"/>
  <c r="I38" i="9"/>
  <c r="J38" i="9" s="1"/>
  <c r="J36" i="9"/>
  <c r="AU69" i="7"/>
  <c r="AV69" i="7"/>
  <c r="AU57" i="7"/>
  <c r="AV57" i="7"/>
  <c r="AV36" i="7"/>
  <c r="AU36" i="7"/>
  <c r="AV132" i="7"/>
  <c r="AU132" i="7"/>
  <c r="AU94" i="7"/>
  <c r="AV94" i="7"/>
  <c r="AU184" i="7"/>
  <c r="AV184" i="7"/>
  <c r="AU98" i="7"/>
  <c r="AV98" i="7"/>
  <c r="AU83" i="7"/>
  <c r="AV83" i="7"/>
  <c r="AQ4" i="7"/>
  <c r="AR4" i="7" s="1"/>
  <c r="AU61" i="7"/>
  <c r="AV61" i="7"/>
  <c r="AV172" i="7"/>
  <c r="AU172" i="7"/>
  <c r="AU106" i="7"/>
  <c r="AV106" i="7"/>
  <c r="AU142" i="7"/>
  <c r="AV142" i="7"/>
  <c r="AV78" i="7"/>
  <c r="AU78" i="7"/>
  <c r="AU146" i="7"/>
  <c r="AV146" i="7"/>
  <c r="AU137" i="7"/>
  <c r="AV137" i="7"/>
  <c r="AU34" i="7"/>
  <c r="AV34" i="7"/>
  <c r="AV84" i="7"/>
  <c r="AU84" i="7"/>
  <c r="AU130" i="7"/>
  <c r="AV130" i="7"/>
  <c r="AU52" i="7"/>
  <c r="AV52" i="7"/>
  <c r="AU212" i="7"/>
  <c r="AV212" i="7"/>
  <c r="AV178" i="7"/>
  <c r="AU178" i="7"/>
  <c r="AV187" i="7"/>
  <c r="AU187" i="7"/>
  <c r="AU209" i="7"/>
  <c r="AV209" i="7"/>
  <c r="AV70" i="7"/>
  <c r="AU70" i="7"/>
  <c r="AE5" i="7"/>
  <c r="I40" i="9" s="1"/>
  <c r="J40" i="9" s="1"/>
  <c r="I34" i="9"/>
  <c r="J34" i="9" s="1"/>
  <c r="AU68" i="7"/>
  <c r="AV68" i="7"/>
  <c r="AV189" i="7"/>
  <c r="AU189" i="7"/>
  <c r="AV227" i="7"/>
  <c r="AU227" i="7"/>
  <c r="AV153" i="7"/>
  <c r="AU153" i="7"/>
  <c r="AV210" i="7"/>
  <c r="AU210" i="7"/>
  <c r="AV44" i="7"/>
  <c r="AU44" i="7"/>
  <c r="AV171" i="7"/>
  <c r="AU171" i="7"/>
  <c r="AU92" i="7"/>
  <c r="AV92" i="7"/>
  <c r="AV217" i="7"/>
  <c r="AU217" i="7"/>
  <c r="AU77" i="7"/>
  <c r="AV77" i="7"/>
  <c r="AV159" i="7"/>
  <c r="AU159" i="7"/>
  <c r="AV192" i="7"/>
  <c r="AU192" i="7"/>
  <c r="AU147" i="7"/>
  <c r="AV147" i="7"/>
  <c r="AU116" i="7"/>
  <c r="AV116" i="7"/>
  <c r="AU104" i="7"/>
  <c r="AV104" i="7"/>
  <c r="AV124" i="7"/>
  <c r="AU124" i="7"/>
  <c r="AX37" i="7"/>
  <c r="AW37" i="7"/>
  <c r="AV150" i="7"/>
  <c r="AU150" i="7"/>
  <c r="AV186" i="7"/>
  <c r="AU186" i="7"/>
  <c r="AV123" i="7"/>
  <c r="AU123" i="7"/>
  <c r="AV191" i="7"/>
  <c r="AU191" i="7"/>
  <c r="AU207" i="7"/>
  <c r="AV207" i="7"/>
  <c r="AV208" i="7"/>
  <c r="AU208" i="7"/>
  <c r="AV46" i="7"/>
  <c r="AU46" i="7"/>
  <c r="AV166" i="7"/>
  <c r="AU166" i="7"/>
  <c r="AV218" i="7"/>
  <c r="AU218" i="7"/>
  <c r="AU173" i="7"/>
  <c r="AV173" i="7"/>
  <c r="AV136" i="7"/>
  <c r="AU136" i="7"/>
  <c r="AV74" i="7"/>
  <c r="AU74" i="7"/>
  <c r="AV149" i="7"/>
  <c r="AU149" i="7"/>
  <c r="AV72" i="7"/>
  <c r="AU72" i="7"/>
  <c r="AU89" i="7"/>
  <c r="AV89" i="7"/>
  <c r="AU103" i="7"/>
  <c r="AV103" i="7"/>
  <c r="AV47" i="7"/>
  <c r="AU47" i="7"/>
  <c r="AU174" i="7"/>
  <c r="AV174" i="7"/>
  <c r="AU111" i="7"/>
  <c r="AV111" i="7"/>
  <c r="AU100" i="7"/>
  <c r="AV100" i="7"/>
  <c r="AV48" i="7"/>
  <c r="AU48" i="7"/>
  <c r="AV228" i="7"/>
  <c r="AU228" i="7"/>
  <c r="AU152" i="7"/>
  <c r="AV152" i="7"/>
  <c r="AU55" i="7"/>
  <c r="AV55" i="7"/>
  <c r="AU33" i="7"/>
  <c r="AV33" i="7"/>
  <c r="AV157" i="7"/>
  <c r="AU157" i="7"/>
  <c r="AU66" i="7"/>
  <c r="AV66" i="7"/>
  <c r="AU126" i="7"/>
  <c r="AV126" i="7"/>
  <c r="AV167" i="7"/>
  <c r="AU167" i="7"/>
  <c r="AV193" i="7"/>
  <c r="AU193" i="7"/>
  <c r="AV45" i="7"/>
  <c r="AU45" i="7"/>
  <c r="AU133" i="7"/>
  <c r="AV133" i="7"/>
  <c r="AU140" i="7"/>
  <c r="AV140" i="7"/>
  <c r="AV199" i="7"/>
  <c r="AU199" i="7"/>
  <c r="AV42" i="7"/>
  <c r="AU42" i="7"/>
  <c r="AU121" i="7"/>
  <c r="AV121" i="7"/>
  <c r="AU87" i="7"/>
  <c r="AV87" i="7"/>
  <c r="AU182" i="7"/>
  <c r="AV182" i="7"/>
  <c r="AV80" i="7"/>
  <c r="AU80" i="7"/>
  <c r="AU117" i="7"/>
  <c r="AV117" i="7"/>
  <c r="AV154" i="7"/>
  <c r="AU154" i="7"/>
  <c r="AU105" i="7"/>
  <c r="AV105" i="7"/>
  <c r="AV175" i="7"/>
  <c r="AU175" i="7"/>
  <c r="AU139" i="7"/>
  <c r="AV139" i="7"/>
  <c r="AU156" i="7"/>
  <c r="AV156" i="7"/>
  <c r="AU65" i="7"/>
  <c r="AV65" i="7"/>
  <c r="AU128" i="7"/>
  <c r="AV128" i="7"/>
  <c r="AU101" i="7"/>
  <c r="AV101" i="7"/>
  <c r="AV221" i="7"/>
  <c r="AU221" i="7"/>
  <c r="AQ24" i="7"/>
  <c r="AR24" i="7" s="1"/>
  <c r="AS24" i="7" s="1"/>
  <c r="AQ18" i="7"/>
  <c r="AR18" i="7" s="1"/>
  <c r="AQ15" i="7"/>
  <c r="AR15" i="7" s="1"/>
  <c r="AQ11" i="7"/>
  <c r="AR11" i="7" s="1"/>
  <c r="AQ17" i="7"/>
  <c r="AR17" i="7" s="1"/>
  <c r="AQ19" i="7"/>
  <c r="AR19" i="7" s="1"/>
  <c r="AQ9" i="7"/>
  <c r="AR9" i="7" s="1"/>
  <c r="AQ16" i="7"/>
  <c r="AR16" i="7" s="1"/>
  <c r="AQ12" i="7"/>
  <c r="AR12" i="7" s="1"/>
  <c r="AQ22" i="7"/>
  <c r="AR22" i="7" s="1"/>
  <c r="AQ13" i="7"/>
  <c r="AR13" i="7" s="1"/>
  <c r="AQ21" i="7"/>
  <c r="AR21" i="7" s="1"/>
  <c r="AQ20" i="7"/>
  <c r="AR20" i="7" s="1"/>
  <c r="AQ10" i="7"/>
  <c r="AR10" i="7" s="1"/>
  <c r="AQ6" i="7"/>
  <c r="AR6" i="7" s="1"/>
  <c r="AQ14" i="7"/>
  <c r="AR14" i="7" s="1"/>
  <c r="AQ23" i="7"/>
  <c r="AR23" i="7" s="1"/>
  <c r="AQ5" i="7"/>
  <c r="AR5" i="7" s="1"/>
  <c r="AU112" i="7"/>
  <c r="AV112" i="7"/>
  <c r="AV215" i="7"/>
  <c r="AU215" i="7"/>
  <c r="AV206" i="7"/>
  <c r="AU206" i="7"/>
  <c r="AV158" i="7"/>
  <c r="AU158" i="7"/>
  <c r="AV220" i="7"/>
  <c r="AU220" i="7"/>
  <c r="AU144" i="7"/>
  <c r="AV144" i="7"/>
  <c r="AU93" i="7"/>
  <c r="AV93" i="7"/>
  <c r="AV225" i="7"/>
  <c r="AU225" i="7"/>
  <c r="AV203" i="7"/>
  <c r="AU203" i="7"/>
  <c r="AV168" i="7"/>
  <c r="AU168" i="7"/>
  <c r="AV82" i="7"/>
  <c r="AU82" i="7"/>
  <c r="AV35" i="7"/>
  <c r="AU35" i="7"/>
  <c r="AU90" i="7"/>
  <c r="AV90" i="7"/>
  <c r="AU229" i="7"/>
  <c r="AV229" i="7"/>
  <c r="AU58" i="7"/>
  <c r="AV58" i="7"/>
  <c r="AU162" i="7"/>
  <c r="AV162" i="7"/>
  <c r="AV181" i="7"/>
  <c r="AU181" i="7"/>
  <c r="AU115" i="7"/>
  <c r="AV115" i="7"/>
  <c r="AB24" i="7"/>
  <c r="AU62" i="7"/>
  <c r="AV62" i="7"/>
  <c r="AV135" i="7"/>
  <c r="AU135" i="7"/>
  <c r="AU176" i="7"/>
  <c r="AV176" i="7"/>
  <c r="AV151" i="7"/>
  <c r="AU151" i="7"/>
  <c r="AU134" i="7"/>
  <c r="AV134" i="7"/>
  <c r="AV202" i="7"/>
  <c r="AU202" i="7"/>
  <c r="AU81" i="7"/>
  <c r="AV81" i="7"/>
  <c r="AV204" i="7"/>
  <c r="AU204" i="7"/>
  <c r="AV200" i="7"/>
  <c r="AU200" i="7"/>
  <c r="AU141" i="7"/>
  <c r="AV141" i="7"/>
  <c r="AU85" i="7"/>
  <c r="AV85" i="7"/>
  <c r="AU188" i="7"/>
  <c r="AV188" i="7"/>
  <c r="AU97" i="7"/>
  <c r="AV97" i="7"/>
  <c r="AV222" i="7"/>
  <c r="AU222" i="7"/>
  <c r="AV43" i="7"/>
  <c r="AU43" i="7"/>
  <c r="AV195" i="7"/>
  <c r="AU195" i="7"/>
  <c r="AV223" i="7"/>
  <c r="AU223" i="7"/>
  <c r="AV50" i="7"/>
  <c r="AU50" i="7"/>
  <c r="AV198" i="7"/>
  <c r="AU198" i="7"/>
  <c r="AU113" i="7"/>
  <c r="AV113" i="7"/>
  <c r="AU148" i="7"/>
  <c r="AV148" i="7"/>
  <c r="AU118" i="7"/>
  <c r="AV118" i="7"/>
  <c r="AU108" i="7"/>
  <c r="AV108" i="7"/>
  <c r="AU95" i="7"/>
  <c r="AV95" i="7"/>
  <c r="AV127" i="7"/>
  <c r="AU127" i="7"/>
  <c r="AV196" i="7"/>
  <c r="AU196" i="7"/>
  <c r="AV160" i="7"/>
  <c r="AU160" i="7"/>
  <c r="AU170" i="7"/>
  <c r="AV170" i="7"/>
  <c r="AV51" i="7"/>
  <c r="AU51" i="7"/>
  <c r="AV177" i="7"/>
  <c r="AU177" i="7"/>
  <c r="AV179" i="7"/>
  <c r="AU179" i="7"/>
  <c r="AU71" i="7"/>
  <c r="AV71" i="7"/>
  <c r="AU86" i="7"/>
  <c r="AV86" i="7"/>
  <c r="AV169" i="7"/>
  <c r="AU169" i="7"/>
  <c r="AU32" i="7"/>
  <c r="AV32" i="7"/>
  <c r="AV161" i="7"/>
  <c r="AU161" i="7"/>
  <c r="AU122" i="7"/>
  <c r="AV122" i="7"/>
  <c r="AU110" i="7"/>
  <c r="AV110" i="7"/>
  <c r="AV185" i="7"/>
  <c r="AU185" i="7"/>
  <c r="AV60" i="7"/>
  <c r="AU60" i="7"/>
  <c r="AV155" i="7"/>
  <c r="AU155" i="7"/>
  <c r="AU54" i="7"/>
  <c r="AV54" i="7"/>
  <c r="AV39" i="7"/>
  <c r="AU39" i="7"/>
  <c r="AV56" i="7"/>
  <c r="AU56" i="7"/>
  <c r="AU88" i="7"/>
  <c r="AV88" i="7"/>
  <c r="AU96" i="7"/>
  <c r="AV96" i="7"/>
  <c r="AV143" i="7"/>
  <c r="AU143" i="7"/>
  <c r="AU201" i="7"/>
  <c r="AV201" i="7"/>
  <c r="AU165" i="7"/>
  <c r="AV165" i="7"/>
  <c r="AU138" i="7"/>
  <c r="AV138" i="7"/>
  <c r="AU49" i="7"/>
  <c r="AV49" i="7"/>
  <c r="AV211" i="7"/>
  <c r="AU211" i="7"/>
  <c r="AV64" i="7"/>
  <c r="AU64" i="7"/>
  <c r="AU109" i="7"/>
  <c r="AV109" i="7"/>
  <c r="AU216" i="7"/>
  <c r="AV216" i="7"/>
  <c r="AV190" i="7"/>
  <c r="AU190" i="7"/>
  <c r="AV226" i="7"/>
  <c r="AU226" i="7"/>
  <c r="G37" i="9"/>
  <c r="H37" i="9" s="1"/>
  <c r="K36" i="9"/>
  <c r="L36" i="9" s="1"/>
  <c r="G38" i="9"/>
  <c r="H38" i="9" s="1"/>
  <c r="H36" i="9"/>
  <c r="AU76" i="7"/>
  <c r="AV76" i="7"/>
  <c r="AV205" i="7"/>
  <c r="AU205" i="7"/>
  <c r="AU129" i="7"/>
  <c r="AV129" i="7"/>
  <c r="AV163" i="7"/>
  <c r="AU163" i="7"/>
  <c r="AU79" i="7"/>
  <c r="AV79" i="7"/>
  <c r="AV213" i="7"/>
  <c r="AU213" i="7"/>
  <c r="J35" i="9"/>
  <c r="AV219" i="7"/>
  <c r="AU219" i="7"/>
  <c r="AU180" i="7"/>
  <c r="AV180" i="7"/>
  <c r="AU91" i="7"/>
  <c r="AV91" i="7"/>
  <c r="AV67" i="7"/>
  <c r="AU67" i="7"/>
  <c r="AU63" i="7"/>
  <c r="AV63" i="7"/>
  <c r="H34" i="9"/>
  <c r="AV41" i="7"/>
  <c r="AU41" i="7"/>
  <c r="AU125" i="7"/>
  <c r="AV125" i="7"/>
  <c r="AU145" i="7"/>
  <c r="AV145" i="7"/>
  <c r="AU107" i="7"/>
  <c r="AV107" i="7"/>
  <c r="AV131" i="7"/>
  <c r="AU131" i="7"/>
  <c r="AV53" i="7"/>
  <c r="AU53" i="7"/>
  <c r="AU59" i="7"/>
  <c r="AV59" i="7"/>
  <c r="AV38" i="7"/>
  <c r="AU38" i="7"/>
  <c r="AU214" i="7"/>
  <c r="AV214" i="7"/>
  <c r="AV40" i="7"/>
  <c r="AU40" i="7"/>
  <c r="AU102" i="7"/>
  <c r="AV102" i="7"/>
  <c r="AU75" i="7"/>
  <c r="AV75" i="7"/>
  <c r="AU194" i="7"/>
  <c r="AV194" i="7"/>
  <c r="AV183" i="7"/>
  <c r="AU183" i="7"/>
  <c r="AU99" i="7"/>
  <c r="AV99" i="7"/>
  <c r="AV224" i="7"/>
  <c r="AU224" i="7"/>
  <c r="AV197" i="7"/>
  <c r="AU197" i="7"/>
  <c r="AV164" i="7"/>
  <c r="AU164" i="7"/>
  <c r="AU73" i="7"/>
  <c r="AV73" i="7"/>
  <c r="AU120" i="7"/>
  <c r="AV120" i="7"/>
  <c r="AU119" i="7"/>
  <c r="AV119" i="7"/>
  <c r="AU114" i="7"/>
  <c r="AV114" i="7"/>
  <c r="AQ8" i="7"/>
  <c r="AR8" i="7" s="1"/>
  <c r="AV74" i="5"/>
  <c r="AU74" i="5"/>
  <c r="AV56" i="5"/>
  <c r="AU56" i="5"/>
  <c r="AV211" i="5"/>
  <c r="AU211" i="5"/>
  <c r="AU60" i="5"/>
  <c r="AV60" i="5"/>
  <c r="AV177" i="5"/>
  <c r="AU177" i="5"/>
  <c r="AV140" i="5"/>
  <c r="AU140" i="5"/>
  <c r="AV196" i="5"/>
  <c r="AU196" i="5"/>
  <c r="AV142" i="5"/>
  <c r="AU142" i="5"/>
  <c r="AV67" i="5"/>
  <c r="AU67" i="5"/>
  <c r="AU100" i="5"/>
  <c r="AV100" i="5"/>
  <c r="AV147" i="5"/>
  <c r="AU147" i="5"/>
  <c r="AU70" i="5"/>
  <c r="AV70" i="5"/>
  <c r="AU83" i="5"/>
  <c r="AV83" i="5"/>
  <c r="AV93" i="5"/>
  <c r="AU93" i="5"/>
  <c r="AV45" i="5"/>
  <c r="AU45" i="5"/>
  <c r="AV198" i="5"/>
  <c r="AU198" i="5"/>
  <c r="AU130" i="5"/>
  <c r="AV130" i="5"/>
  <c r="AV92" i="5"/>
  <c r="AU92" i="5"/>
  <c r="J35" i="6"/>
  <c r="AE8" i="5"/>
  <c r="AV90" i="5"/>
  <c r="AU90" i="5"/>
  <c r="AV151" i="5"/>
  <c r="AU151" i="5"/>
  <c r="AV82" i="5"/>
  <c r="AU82" i="5"/>
  <c r="AU178" i="5"/>
  <c r="AV178" i="5"/>
  <c r="AV88" i="5"/>
  <c r="AU88" i="5"/>
  <c r="AV50" i="5"/>
  <c r="AU50" i="5"/>
  <c r="AV86" i="5"/>
  <c r="AU86" i="5"/>
  <c r="AU111" i="5"/>
  <c r="AV111" i="5"/>
  <c r="AU228" i="5"/>
  <c r="AV228" i="5"/>
  <c r="AV43" i="5"/>
  <c r="AU43" i="5"/>
  <c r="AV97" i="5"/>
  <c r="AU97" i="5"/>
  <c r="AV188" i="5"/>
  <c r="AU188" i="5"/>
  <c r="AU106" i="5"/>
  <c r="AV106" i="5"/>
  <c r="AU109" i="5"/>
  <c r="AV109" i="5"/>
  <c r="AU120" i="5"/>
  <c r="AV120" i="5"/>
  <c r="AV179" i="5"/>
  <c r="AU179" i="5"/>
  <c r="AE17" i="5"/>
  <c r="AU224" i="5"/>
  <c r="AV224" i="5"/>
  <c r="AU158" i="5"/>
  <c r="AV158" i="5"/>
  <c r="AV34" i="5"/>
  <c r="AU34" i="5"/>
  <c r="AV135" i="5"/>
  <c r="AU135" i="5"/>
  <c r="AU113" i="5"/>
  <c r="AV113" i="5"/>
  <c r="AV215" i="5"/>
  <c r="AU215" i="5"/>
  <c r="AV153" i="5"/>
  <c r="AU153" i="5"/>
  <c r="AU89" i="5"/>
  <c r="AV89" i="5"/>
  <c r="AU226" i="5"/>
  <c r="AV226" i="5"/>
  <c r="AU170" i="5"/>
  <c r="AV170" i="5"/>
  <c r="AV75" i="5"/>
  <c r="AU75" i="5"/>
  <c r="AV213" i="5"/>
  <c r="AU213" i="5"/>
  <c r="AV118" i="5"/>
  <c r="AU118" i="5"/>
  <c r="AV202" i="5"/>
  <c r="AU202" i="5"/>
  <c r="AV95" i="5"/>
  <c r="AU95" i="5"/>
  <c r="AU91" i="5"/>
  <c r="AV91" i="5"/>
  <c r="AU159" i="5"/>
  <c r="AV159" i="5"/>
  <c r="AE9" i="5"/>
  <c r="AE13" i="5"/>
  <c r="AP4" i="5"/>
  <c r="AE14" i="5"/>
  <c r="AE5" i="5"/>
  <c r="I40" i="6" s="1"/>
  <c r="J40" i="6" s="1"/>
  <c r="I34" i="6"/>
  <c r="J34" i="6" s="1"/>
  <c r="AV33" i="5"/>
  <c r="AU33" i="5"/>
  <c r="AV44" i="5"/>
  <c r="AU44" i="5"/>
  <c r="AU101" i="5"/>
  <c r="AV101" i="5"/>
  <c r="AV71" i="5"/>
  <c r="AU71" i="5"/>
  <c r="AV201" i="5"/>
  <c r="AU201" i="5"/>
  <c r="AU220" i="5"/>
  <c r="AV220" i="5"/>
  <c r="AU105" i="5"/>
  <c r="AV105" i="5"/>
  <c r="AV185" i="5"/>
  <c r="AU185" i="5"/>
  <c r="AV87" i="5"/>
  <c r="AU87" i="5"/>
  <c r="AU166" i="5"/>
  <c r="AV166" i="5"/>
  <c r="AU128" i="5"/>
  <c r="AV128" i="5"/>
  <c r="AU225" i="5"/>
  <c r="AV225" i="5"/>
  <c r="AU121" i="5"/>
  <c r="AV121" i="5"/>
  <c r="AV48" i="5"/>
  <c r="AU48" i="5"/>
  <c r="AV36" i="5"/>
  <c r="AU36" i="5"/>
  <c r="AU134" i="5"/>
  <c r="AV134" i="5"/>
  <c r="AV38" i="5"/>
  <c r="AU38" i="5"/>
  <c r="AV41" i="5"/>
  <c r="AU41" i="5"/>
  <c r="AE22" i="5"/>
  <c r="AE16" i="5"/>
  <c r="AV64" i="5"/>
  <c r="AU64" i="5"/>
  <c r="AU127" i="5"/>
  <c r="AV127" i="5"/>
  <c r="AU162" i="5"/>
  <c r="AV162" i="5"/>
  <c r="AV206" i="5"/>
  <c r="AU206" i="5"/>
  <c r="AV210" i="5"/>
  <c r="AU210" i="5"/>
  <c r="AV199" i="5"/>
  <c r="AU199" i="5"/>
  <c r="AV187" i="5"/>
  <c r="AU187" i="5"/>
  <c r="K40" i="6"/>
  <c r="L40" i="6" s="1"/>
  <c r="H40" i="6"/>
  <c r="AV154" i="5"/>
  <c r="AU154" i="5"/>
  <c r="AU216" i="5"/>
  <c r="AV216" i="5"/>
  <c r="AU183" i="5"/>
  <c r="AV183" i="5"/>
  <c r="AV186" i="5"/>
  <c r="AU186" i="5"/>
  <c r="AU176" i="5"/>
  <c r="AV176" i="5"/>
  <c r="AU193" i="5"/>
  <c r="AV193" i="5"/>
  <c r="AV96" i="5"/>
  <c r="AU96" i="5"/>
  <c r="AE7" i="5"/>
  <c r="AU218" i="5"/>
  <c r="AV218" i="5"/>
  <c r="AV143" i="5"/>
  <c r="AU143" i="5"/>
  <c r="AV42" i="5"/>
  <c r="AU42" i="5"/>
  <c r="AV223" i="5"/>
  <c r="AU223" i="5"/>
  <c r="AV148" i="5"/>
  <c r="AU148" i="5"/>
  <c r="AV139" i="5"/>
  <c r="AU139" i="5"/>
  <c r="AE21" i="5"/>
  <c r="AV73" i="5"/>
  <c r="AU73" i="5"/>
  <c r="AU116" i="5"/>
  <c r="AV116" i="5"/>
  <c r="AV156" i="5"/>
  <c r="AU156" i="5"/>
  <c r="AV189" i="5"/>
  <c r="AU189" i="5"/>
  <c r="AU229" i="5"/>
  <c r="AV229" i="5"/>
  <c r="AV137" i="5"/>
  <c r="AU137" i="5"/>
  <c r="AU168" i="5"/>
  <c r="AV168" i="5"/>
  <c r="AU58" i="5"/>
  <c r="AV58" i="5"/>
  <c r="AU131" i="5"/>
  <c r="AV131" i="5"/>
  <c r="AV194" i="5"/>
  <c r="AU194" i="5"/>
  <c r="AV203" i="5"/>
  <c r="AU203" i="5"/>
  <c r="AU133" i="5"/>
  <c r="AV133" i="5"/>
  <c r="AV62" i="5"/>
  <c r="AU62" i="5"/>
  <c r="AV195" i="5"/>
  <c r="AU195" i="5"/>
  <c r="AV169" i="5"/>
  <c r="AU169" i="5"/>
  <c r="AV99" i="5"/>
  <c r="AU99" i="5"/>
  <c r="AE11" i="5"/>
  <c r="AX35" i="5"/>
  <c r="AW35" i="5"/>
  <c r="AV197" i="5"/>
  <c r="AU197" i="5"/>
  <c r="AV219" i="5"/>
  <c r="AU219" i="5"/>
  <c r="AV49" i="5"/>
  <c r="AU49" i="5"/>
  <c r="AV55" i="5"/>
  <c r="AU55" i="5"/>
  <c r="AV184" i="5"/>
  <c r="AU184" i="5"/>
  <c r="AU78" i="5"/>
  <c r="AV78" i="5"/>
  <c r="AV51" i="5"/>
  <c r="AU51" i="5"/>
  <c r="AV190" i="5"/>
  <c r="AU190" i="5"/>
  <c r="AV165" i="5"/>
  <c r="AU165" i="5"/>
  <c r="AV37" i="5"/>
  <c r="AU37" i="5"/>
  <c r="AU79" i="5"/>
  <c r="AV79" i="5"/>
  <c r="AV150" i="5"/>
  <c r="AU150" i="5"/>
  <c r="AV54" i="5"/>
  <c r="AU54" i="5"/>
  <c r="AU119" i="5"/>
  <c r="AV119" i="5"/>
  <c r="AU40" i="5"/>
  <c r="AV40" i="5"/>
  <c r="AU110" i="5"/>
  <c r="AV110" i="5"/>
  <c r="AU125" i="5"/>
  <c r="AV125" i="5"/>
  <c r="AU167" i="5"/>
  <c r="AV167" i="5"/>
  <c r="AV200" i="5"/>
  <c r="AU200" i="5"/>
  <c r="AE12" i="5"/>
  <c r="AE15" i="5"/>
  <c r="AU221" i="5"/>
  <c r="AV221" i="5"/>
  <c r="AU181" i="5"/>
  <c r="AV181" i="5"/>
  <c r="AV149" i="5"/>
  <c r="AU149" i="5"/>
  <c r="AV52" i="5"/>
  <c r="AU52" i="5"/>
  <c r="AU174" i="5"/>
  <c r="AV174" i="5"/>
  <c r="AV39" i="5"/>
  <c r="AU39" i="5"/>
  <c r="AU129" i="5"/>
  <c r="AV129" i="5"/>
  <c r="AV98" i="5"/>
  <c r="AU98" i="5"/>
  <c r="AU164" i="5"/>
  <c r="AV164" i="5"/>
  <c r="AU123" i="5"/>
  <c r="AV123" i="5"/>
  <c r="AV63" i="5"/>
  <c r="AU63" i="5"/>
  <c r="AV108" i="5"/>
  <c r="AU108" i="5"/>
  <c r="AU94" i="5"/>
  <c r="AV94" i="5"/>
  <c r="AV175" i="5"/>
  <c r="AU175" i="5"/>
  <c r="AV192" i="5"/>
  <c r="AU192" i="5"/>
  <c r="AV204" i="5"/>
  <c r="AU204" i="5"/>
  <c r="AD5" i="5"/>
  <c r="I36" i="6"/>
  <c r="AV209" i="5"/>
  <c r="AU209" i="5"/>
  <c r="H34" i="6"/>
  <c r="AV80" i="5"/>
  <c r="AU80" i="5"/>
  <c r="AU102" i="5"/>
  <c r="AV102" i="5"/>
  <c r="AV144" i="5"/>
  <c r="AU144" i="5"/>
  <c r="AV141" i="5"/>
  <c r="AU141" i="5"/>
  <c r="AD4" i="5"/>
  <c r="G36" i="6"/>
  <c r="AU117" i="5"/>
  <c r="AV117" i="5"/>
  <c r="AV46" i="5"/>
  <c r="AU46" i="5"/>
  <c r="AU69" i="5"/>
  <c r="AV69" i="5"/>
  <c r="AK4" i="5"/>
  <c r="AL4" i="5" s="1"/>
  <c r="AM4" i="5" s="1"/>
  <c r="AN4" i="5" s="1"/>
  <c r="AO4" i="5" s="1"/>
  <c r="AU191" i="5"/>
  <c r="AV191" i="5"/>
  <c r="AV145" i="5"/>
  <c r="AU145" i="5"/>
  <c r="AU104" i="5"/>
  <c r="AV104" i="5"/>
  <c r="AV112" i="5"/>
  <c r="AU112" i="5"/>
  <c r="AV161" i="5"/>
  <c r="AU161" i="5"/>
  <c r="AV84" i="5"/>
  <c r="AU84" i="5"/>
  <c r="AV68" i="5"/>
  <c r="AU68" i="5"/>
  <c r="AV76" i="5"/>
  <c r="AU76" i="5"/>
  <c r="AV182" i="5"/>
  <c r="AU182" i="5"/>
  <c r="AV66" i="5"/>
  <c r="AU66" i="5"/>
  <c r="AV212" i="5"/>
  <c r="AU212" i="5"/>
  <c r="AU227" i="5"/>
  <c r="AV227" i="5"/>
  <c r="AV163" i="5"/>
  <c r="AU163" i="5"/>
  <c r="AV146" i="5"/>
  <c r="AU146" i="5"/>
  <c r="AV57" i="5"/>
  <c r="AU57" i="5"/>
  <c r="AV53" i="5"/>
  <c r="AU53" i="5"/>
  <c r="AV81" i="5"/>
  <c r="AU81" i="5"/>
  <c r="AU172" i="5"/>
  <c r="AV172" i="5"/>
  <c r="AV208" i="5"/>
  <c r="AU208" i="5"/>
  <c r="AV207" i="5"/>
  <c r="AU207" i="5"/>
  <c r="AU155" i="5"/>
  <c r="AV155" i="5"/>
  <c r="AV152" i="5"/>
  <c r="AU152" i="5"/>
  <c r="AV47" i="5"/>
  <c r="AU47" i="5"/>
  <c r="AV171" i="5"/>
  <c r="AU171" i="5"/>
  <c r="AU115" i="5"/>
  <c r="AV115" i="5"/>
  <c r="AU222" i="5"/>
  <c r="AV222" i="5"/>
  <c r="AU124" i="5"/>
  <c r="AV124" i="5"/>
  <c r="AV157" i="5"/>
  <c r="AU157" i="5"/>
  <c r="AU126" i="5"/>
  <c r="AV126" i="5"/>
  <c r="AU72" i="5"/>
  <c r="AV72" i="5"/>
  <c r="AV114" i="5"/>
  <c r="AU114" i="5"/>
  <c r="AU136" i="5"/>
  <c r="AV136" i="5"/>
  <c r="AV85" i="5"/>
  <c r="AU85" i="5"/>
  <c r="AU132" i="5"/>
  <c r="AV132" i="5"/>
  <c r="AU65" i="5"/>
  <c r="AV65" i="5"/>
  <c r="AV138" i="5"/>
  <c r="AU138" i="5"/>
  <c r="AV61" i="5"/>
  <c r="AU61" i="5"/>
  <c r="AV32" i="5"/>
  <c r="AU32" i="5"/>
  <c r="AV214" i="5"/>
  <c r="AU214" i="5"/>
  <c r="AV173" i="5"/>
  <c r="AU173" i="5"/>
  <c r="AU77" i="5"/>
  <c r="AV77" i="5"/>
  <c r="AU122" i="5"/>
  <c r="AV122" i="5"/>
  <c r="AV217" i="5"/>
  <c r="AU217" i="5"/>
  <c r="AV205" i="5"/>
  <c r="AU205" i="5"/>
  <c r="AU107" i="5"/>
  <c r="AV107" i="5"/>
  <c r="AV180" i="5"/>
  <c r="AU180" i="5"/>
  <c r="AV59" i="5"/>
  <c r="AU59" i="5"/>
  <c r="AU103" i="5"/>
  <c r="AV103" i="5"/>
  <c r="AU160" i="5"/>
  <c r="AV160" i="5"/>
  <c r="BC72" i="7" l="1"/>
  <c r="BC40" i="7"/>
  <c r="BC43" i="7"/>
  <c r="BD43" i="7" s="1"/>
  <c r="BC49" i="7"/>
  <c r="BC62" i="7"/>
  <c r="BC88" i="7"/>
  <c r="BC114" i="7"/>
  <c r="BC67" i="7"/>
  <c r="BC57" i="7"/>
  <c r="BC107" i="7"/>
  <c r="BC86" i="7"/>
  <c r="BC176" i="7"/>
  <c r="BC171" i="7"/>
  <c r="BC224" i="7"/>
  <c r="BC91" i="7"/>
  <c r="BC163" i="7"/>
  <c r="BC226" i="7"/>
  <c r="BC185" i="7"/>
  <c r="BC160" i="7"/>
  <c r="BC200" i="7"/>
  <c r="BC58" i="7"/>
  <c r="BC87" i="7"/>
  <c r="BC33" i="7"/>
  <c r="BC111" i="7"/>
  <c r="BC52" i="7"/>
  <c r="BC119" i="7"/>
  <c r="BC99" i="7"/>
  <c r="BC214" i="7"/>
  <c r="BC145" i="7"/>
  <c r="BC129" i="7"/>
  <c r="BC138" i="7"/>
  <c r="BC110" i="7"/>
  <c r="BC71" i="7"/>
  <c r="BC113" i="7"/>
  <c r="BC203" i="7"/>
  <c r="BC206" i="7"/>
  <c r="BC221" i="7"/>
  <c r="BC175" i="7"/>
  <c r="BC45" i="7"/>
  <c r="BD45" i="7" s="1"/>
  <c r="BC149" i="7"/>
  <c r="BC46" i="7"/>
  <c r="BD46" i="7" s="1"/>
  <c r="BC150" i="7"/>
  <c r="BC192" i="7"/>
  <c r="BC44" i="7"/>
  <c r="BD44" i="7" s="1"/>
  <c r="BC78" i="7"/>
  <c r="BC98" i="7"/>
  <c r="BC69" i="7"/>
  <c r="BC168" i="7"/>
  <c r="BC180" i="7"/>
  <c r="BC183" i="7"/>
  <c r="BC73" i="7"/>
  <c r="BC219" i="7"/>
  <c r="BC76" i="7"/>
  <c r="BC109" i="7"/>
  <c r="BC201" i="7"/>
  <c r="BC54" i="7"/>
  <c r="BC95" i="7"/>
  <c r="BC188" i="7"/>
  <c r="BC154" i="7"/>
  <c r="BC42" i="7"/>
  <c r="BD42" i="7" s="1"/>
  <c r="BC167" i="7"/>
  <c r="BC47" i="7"/>
  <c r="BC136" i="7"/>
  <c r="BC124" i="7"/>
  <c r="BC153" i="7"/>
  <c r="BC84" i="7"/>
  <c r="BC94" i="7"/>
  <c r="BC56" i="7"/>
  <c r="BC204" i="7"/>
  <c r="BC101" i="7"/>
  <c r="BC55" i="7"/>
  <c r="BC165" i="7"/>
  <c r="BC225" i="7"/>
  <c r="BC74" i="7"/>
  <c r="BC93" i="7"/>
  <c r="BC77" i="7"/>
  <c r="BC194" i="7"/>
  <c r="BC50" i="7"/>
  <c r="BC126" i="7"/>
  <c r="BC34" i="7"/>
  <c r="BC75" i="7"/>
  <c r="BC32" i="7"/>
  <c r="BD32" i="7" s="1"/>
  <c r="BC108" i="7"/>
  <c r="BC85" i="7"/>
  <c r="BC134" i="7"/>
  <c r="BC35" i="7"/>
  <c r="BC199" i="7"/>
  <c r="BC228" i="7"/>
  <c r="BC191" i="7"/>
  <c r="BC217" i="7"/>
  <c r="BC227" i="7"/>
  <c r="BC187" i="7"/>
  <c r="BC172" i="7"/>
  <c r="BC83" i="7"/>
  <c r="BC190" i="7"/>
  <c r="BC135" i="7"/>
  <c r="BC121" i="7"/>
  <c r="BC142" i="7"/>
  <c r="BC120" i="7"/>
  <c r="BC122" i="7"/>
  <c r="BC81" i="7"/>
  <c r="BC159" i="7"/>
  <c r="BC184" i="7"/>
  <c r="BC205" i="7"/>
  <c r="BC179" i="7"/>
  <c r="BC90" i="7"/>
  <c r="BC152" i="7"/>
  <c r="BC106" i="7"/>
  <c r="BC59" i="7"/>
  <c r="BC41" i="7"/>
  <c r="BD41" i="7" s="1"/>
  <c r="BC202" i="7"/>
  <c r="BC65" i="7"/>
  <c r="BC104" i="7"/>
  <c r="BC164" i="7"/>
  <c r="BC53" i="7"/>
  <c r="BC63" i="7"/>
  <c r="BC213" i="7"/>
  <c r="BC64" i="7"/>
  <c r="BC143" i="7"/>
  <c r="BC155" i="7"/>
  <c r="BC51" i="7"/>
  <c r="BC223" i="7"/>
  <c r="BC156" i="7"/>
  <c r="BC140" i="7"/>
  <c r="BC66" i="7"/>
  <c r="BC89" i="7"/>
  <c r="BC116" i="7"/>
  <c r="BC92" i="7"/>
  <c r="BC137" i="7"/>
  <c r="BC61" i="7"/>
  <c r="BC132" i="7"/>
  <c r="BC158" i="7"/>
  <c r="BC166" i="7"/>
  <c r="BC196" i="7"/>
  <c r="BC229" i="7"/>
  <c r="BC105" i="7"/>
  <c r="BC125" i="7"/>
  <c r="BC97" i="7"/>
  <c r="BC193" i="7"/>
  <c r="BC70" i="7"/>
  <c r="BC38" i="7"/>
  <c r="BC198" i="7"/>
  <c r="BC112" i="7"/>
  <c r="BC207" i="7"/>
  <c r="BC161" i="7"/>
  <c r="BC144" i="7"/>
  <c r="BC103" i="7"/>
  <c r="BC102" i="7"/>
  <c r="BC79" i="7"/>
  <c r="BC96" i="7"/>
  <c r="BC170" i="7"/>
  <c r="BC118" i="7"/>
  <c r="BC141" i="7"/>
  <c r="BC181" i="7"/>
  <c r="BC82" i="7"/>
  <c r="BC220" i="7"/>
  <c r="BC80" i="7"/>
  <c r="BC48" i="7"/>
  <c r="BC218" i="7"/>
  <c r="BC123" i="7"/>
  <c r="BC189" i="7"/>
  <c r="BC178" i="7"/>
  <c r="BC148" i="7"/>
  <c r="BC157" i="7"/>
  <c r="BC186" i="7"/>
  <c r="BC222" i="7"/>
  <c r="BC174" i="7"/>
  <c r="BC130" i="7"/>
  <c r="BC216" i="7"/>
  <c r="BC215" i="7"/>
  <c r="BC208" i="7"/>
  <c r="BC210" i="7"/>
  <c r="BC39" i="7"/>
  <c r="BC127" i="7"/>
  <c r="BC128" i="7"/>
  <c r="BC209" i="7"/>
  <c r="BC177" i="7"/>
  <c r="BC115" i="7"/>
  <c r="BC117" i="7"/>
  <c r="BC173" i="7"/>
  <c r="BC197" i="7"/>
  <c r="BC131" i="7"/>
  <c r="BC211" i="7"/>
  <c r="BC60" i="7"/>
  <c r="BC169" i="7"/>
  <c r="BC195" i="7"/>
  <c r="BC151" i="7"/>
  <c r="BC162" i="7"/>
  <c r="BC139" i="7"/>
  <c r="BC182" i="7"/>
  <c r="BC133" i="7"/>
  <c r="BC100" i="7"/>
  <c r="BC147" i="7"/>
  <c r="BC68" i="7"/>
  <c r="BC212" i="7"/>
  <c r="BC146" i="7"/>
  <c r="BC36" i="7"/>
  <c r="BC37" i="7"/>
  <c r="BC59" i="5"/>
  <c r="BC47" i="5"/>
  <c r="BC38" i="5"/>
  <c r="BC160" i="5"/>
  <c r="BC141" i="5"/>
  <c r="BC52" i="5"/>
  <c r="BC191" i="5"/>
  <c r="BC115" i="5"/>
  <c r="BC123" i="5"/>
  <c r="BC43" i="5"/>
  <c r="BC48" i="5"/>
  <c r="BC61" i="5"/>
  <c r="BC68" i="5"/>
  <c r="BC150" i="5"/>
  <c r="BC97" i="5"/>
  <c r="BC154" i="5"/>
  <c r="BC178" i="5"/>
  <c r="BC171" i="5"/>
  <c r="BC149" i="5"/>
  <c r="BC126" i="5"/>
  <c r="BC181" i="5"/>
  <c r="BC75" i="5"/>
  <c r="BC81" i="5"/>
  <c r="BC37" i="5"/>
  <c r="BC170" i="5"/>
  <c r="BC80" i="5"/>
  <c r="BC111" i="5"/>
  <c r="BC173" i="5"/>
  <c r="BC157" i="5"/>
  <c r="BC53" i="5"/>
  <c r="BC112" i="5"/>
  <c r="BC165" i="5"/>
  <c r="BC49" i="5"/>
  <c r="BC58" i="5"/>
  <c r="BC116" i="5"/>
  <c r="BC42" i="5"/>
  <c r="BC121" i="5"/>
  <c r="BC105" i="5"/>
  <c r="BC226" i="5"/>
  <c r="BC151" i="5"/>
  <c r="BC45" i="5"/>
  <c r="BC67" i="5"/>
  <c r="BC211" i="5"/>
  <c r="BC78" i="5"/>
  <c r="BC201" i="5"/>
  <c r="BC217" i="5"/>
  <c r="BC208" i="5"/>
  <c r="BC139" i="5"/>
  <c r="BC162" i="5"/>
  <c r="BC172" i="5"/>
  <c r="BC164" i="5"/>
  <c r="BC96" i="5"/>
  <c r="BC215" i="5"/>
  <c r="BC138" i="5"/>
  <c r="BC102" i="5"/>
  <c r="BC179" i="5"/>
  <c r="BC77" i="5"/>
  <c r="BC110" i="5"/>
  <c r="BC36" i="5"/>
  <c r="BC120" i="5"/>
  <c r="BC100" i="5"/>
  <c r="BC161" i="5"/>
  <c r="BC223" i="5"/>
  <c r="BC91" i="5"/>
  <c r="BC46" i="5"/>
  <c r="BC129" i="5"/>
  <c r="BC169" i="5"/>
  <c r="BC187" i="5"/>
  <c r="BC135" i="5"/>
  <c r="BC180" i="5"/>
  <c r="BC152" i="5"/>
  <c r="BC66" i="5"/>
  <c r="BC117" i="5"/>
  <c r="BC107" i="5"/>
  <c r="BC124" i="5"/>
  <c r="BC155" i="5"/>
  <c r="BC104" i="5"/>
  <c r="BC119" i="5"/>
  <c r="BC195" i="5"/>
  <c r="BC186" i="5"/>
  <c r="BC199" i="5"/>
  <c r="BC33" i="5"/>
  <c r="BC95" i="5"/>
  <c r="BC34" i="5"/>
  <c r="BC106" i="5"/>
  <c r="BC206" i="5"/>
  <c r="BC70" i="5"/>
  <c r="BC114" i="5"/>
  <c r="BC204" i="5"/>
  <c r="BC134" i="5"/>
  <c r="BC92" i="5"/>
  <c r="BC72" i="5"/>
  <c r="BC144" i="5"/>
  <c r="BC125" i="5"/>
  <c r="BC71" i="5"/>
  <c r="BC130" i="5"/>
  <c r="BC69" i="5"/>
  <c r="BC184" i="5"/>
  <c r="BC148" i="5"/>
  <c r="BC101" i="5"/>
  <c r="BC177" i="5"/>
  <c r="BC99" i="5"/>
  <c r="BC87" i="5"/>
  <c r="BC60" i="5"/>
  <c r="BC212" i="5"/>
  <c r="BC176" i="5"/>
  <c r="BC198" i="5"/>
  <c r="BC132" i="5"/>
  <c r="BC221" i="5"/>
  <c r="BC44" i="5"/>
  <c r="BC214" i="5"/>
  <c r="BC182" i="5"/>
  <c r="BC209" i="5"/>
  <c r="BC39" i="5"/>
  <c r="BC190" i="5"/>
  <c r="BC219" i="5"/>
  <c r="BC168" i="5"/>
  <c r="BC143" i="5"/>
  <c r="BC183" i="5"/>
  <c r="BC225" i="5"/>
  <c r="BC220" i="5"/>
  <c r="BC89" i="5"/>
  <c r="BC158" i="5"/>
  <c r="BC86" i="5"/>
  <c r="BC90" i="5"/>
  <c r="BC93" i="5"/>
  <c r="BC142" i="5"/>
  <c r="BC56" i="5"/>
  <c r="BC167" i="5"/>
  <c r="BC118" i="5"/>
  <c r="BC163" i="5"/>
  <c r="BC229" i="5"/>
  <c r="BC88" i="5"/>
  <c r="BC103" i="5"/>
  <c r="BC203" i="5"/>
  <c r="BC84" i="5"/>
  <c r="BC127" i="5"/>
  <c r="BC159" i="5"/>
  <c r="BC65" i="5"/>
  <c r="BC189" i="5"/>
  <c r="BC228" i="5"/>
  <c r="BC98" i="5"/>
  <c r="BC131" i="5"/>
  <c r="BC94" i="5"/>
  <c r="BC40" i="5"/>
  <c r="BC156" i="5"/>
  <c r="BC64" i="5"/>
  <c r="BC185" i="5"/>
  <c r="BC109" i="5"/>
  <c r="BC85" i="5"/>
  <c r="BC57" i="5"/>
  <c r="BC108" i="5"/>
  <c r="BC136" i="5"/>
  <c r="BC222" i="5"/>
  <c r="BC174" i="5"/>
  <c r="BC62" i="5"/>
  <c r="BC73" i="5"/>
  <c r="BC218" i="5"/>
  <c r="BC210" i="5"/>
  <c r="BC41" i="5"/>
  <c r="BC202" i="5"/>
  <c r="BC83" i="5"/>
  <c r="BC137" i="5"/>
  <c r="BC153" i="5"/>
  <c r="BC166" i="5"/>
  <c r="BC140" i="5"/>
  <c r="BC122" i="5"/>
  <c r="BC227" i="5"/>
  <c r="BC79" i="5"/>
  <c r="BC213" i="5"/>
  <c r="BC192" i="5"/>
  <c r="BC193" i="5"/>
  <c r="BC113" i="5"/>
  <c r="BC147" i="5"/>
  <c r="BC194" i="5"/>
  <c r="BC175" i="5"/>
  <c r="BC55" i="5"/>
  <c r="BC82" i="5"/>
  <c r="BC205" i="5"/>
  <c r="BC32" i="5"/>
  <c r="BC207" i="5"/>
  <c r="BC146" i="5"/>
  <c r="BC76" i="5"/>
  <c r="BC145" i="5"/>
  <c r="BC63" i="5"/>
  <c r="BC200" i="5"/>
  <c r="BC54" i="5"/>
  <c r="BC51" i="5"/>
  <c r="BC197" i="5"/>
  <c r="BC133" i="5"/>
  <c r="BC216" i="5"/>
  <c r="BC128" i="5"/>
  <c r="BC224" i="5"/>
  <c r="BC188" i="5"/>
  <c r="BC50" i="5"/>
  <c r="BC196" i="5"/>
  <c r="BC74" i="5"/>
  <c r="BC35" i="5"/>
  <c r="K34" i="6"/>
  <c r="L34" i="6" s="1"/>
  <c r="AY35" i="5"/>
  <c r="AW197" i="7"/>
  <c r="AX197" i="7"/>
  <c r="AW213" i="7"/>
  <c r="AX213" i="7"/>
  <c r="AW64" i="7"/>
  <c r="AX64" i="7"/>
  <c r="AX140" i="7"/>
  <c r="AW140" i="7"/>
  <c r="AX92" i="7"/>
  <c r="AW92" i="7"/>
  <c r="AX137" i="7"/>
  <c r="AW137" i="7"/>
  <c r="AW107" i="7"/>
  <c r="AX107" i="7"/>
  <c r="AX96" i="7"/>
  <c r="AW96" i="7"/>
  <c r="AW118" i="7"/>
  <c r="AX118" i="7"/>
  <c r="AW220" i="7"/>
  <c r="AX220" i="7"/>
  <c r="AS6" i="7"/>
  <c r="AT6" i="7"/>
  <c r="BD49" i="7" s="1"/>
  <c r="AW80" i="7"/>
  <c r="AX80" i="7"/>
  <c r="AW218" i="7"/>
  <c r="AX218" i="7"/>
  <c r="AW40" i="7"/>
  <c r="AX40" i="7"/>
  <c r="AX211" i="7"/>
  <c r="AW211" i="7"/>
  <c r="AT10" i="7"/>
  <c r="BD67" i="7" s="1"/>
  <c r="AS10" i="7"/>
  <c r="AX133" i="7"/>
  <c r="AW133" i="7"/>
  <c r="AX146" i="7"/>
  <c r="AW146" i="7"/>
  <c r="AW99" i="7"/>
  <c r="AX99" i="7"/>
  <c r="AW91" i="7"/>
  <c r="AX91" i="7"/>
  <c r="AS20" i="7"/>
  <c r="AT20" i="7"/>
  <c r="AW72" i="7"/>
  <c r="AX72" i="7"/>
  <c r="AX226" i="7"/>
  <c r="AW226" i="7"/>
  <c r="AW110" i="7"/>
  <c r="AX110" i="7"/>
  <c r="AW78" i="7"/>
  <c r="AX78" i="7"/>
  <c r="AW222" i="7"/>
  <c r="AX222" i="7"/>
  <c r="AT22" i="7"/>
  <c r="AS22" i="7"/>
  <c r="AW121" i="7"/>
  <c r="AX121" i="7"/>
  <c r="AX142" i="7"/>
  <c r="AW142" i="7"/>
  <c r="AX59" i="7"/>
  <c r="AW59" i="7"/>
  <c r="AW216" i="7"/>
  <c r="AX216" i="7"/>
  <c r="AW97" i="7"/>
  <c r="AX97" i="7"/>
  <c r="AX81" i="7"/>
  <c r="AW81" i="7"/>
  <c r="AW62" i="7"/>
  <c r="AX62" i="7"/>
  <c r="AX215" i="7"/>
  <c r="AW215" i="7"/>
  <c r="AX193" i="7"/>
  <c r="AW193" i="7"/>
  <c r="AW74" i="7"/>
  <c r="AX74" i="7"/>
  <c r="AW208" i="7"/>
  <c r="AX208" i="7"/>
  <c r="AY37" i="7"/>
  <c r="AX159" i="7"/>
  <c r="AW159" i="7"/>
  <c r="AW210" i="7"/>
  <c r="AX210" i="7"/>
  <c r="AW70" i="7"/>
  <c r="AX70" i="7"/>
  <c r="AW184" i="7"/>
  <c r="AX184" i="7"/>
  <c r="I37" i="9"/>
  <c r="J37" i="9" s="1"/>
  <c r="AW41" i="7"/>
  <c r="AX41" i="7"/>
  <c r="AX219" i="7"/>
  <c r="AW219" i="7"/>
  <c r="AX205" i="7"/>
  <c r="AW205" i="7"/>
  <c r="AX39" i="7"/>
  <c r="AW39" i="7"/>
  <c r="AX179" i="7"/>
  <c r="AW179" i="7"/>
  <c r="AW127" i="7"/>
  <c r="AX127" i="7"/>
  <c r="AW198" i="7"/>
  <c r="AX198" i="7"/>
  <c r="AW90" i="7"/>
  <c r="AX90" i="7"/>
  <c r="AW93" i="7"/>
  <c r="AX93" i="7"/>
  <c r="AX112" i="7"/>
  <c r="AW112" i="7"/>
  <c r="AT16" i="7"/>
  <c r="AS16" i="7"/>
  <c r="AX128" i="7"/>
  <c r="AW128" i="7"/>
  <c r="AX152" i="7"/>
  <c r="AW152" i="7"/>
  <c r="AX207" i="7"/>
  <c r="AW207" i="7"/>
  <c r="AX77" i="7"/>
  <c r="AW77" i="7"/>
  <c r="AX209" i="7"/>
  <c r="AW209" i="7"/>
  <c r="AW106" i="7"/>
  <c r="AX106" i="7"/>
  <c r="AX155" i="7"/>
  <c r="AW155" i="7"/>
  <c r="AX223" i="7"/>
  <c r="AW223" i="7"/>
  <c r="AX156" i="7"/>
  <c r="AW156" i="7"/>
  <c r="AW116" i="7"/>
  <c r="AX116" i="7"/>
  <c r="AX132" i="7"/>
  <c r="AW132" i="7"/>
  <c r="AX170" i="7"/>
  <c r="AW170" i="7"/>
  <c r="AX141" i="7"/>
  <c r="AW141" i="7"/>
  <c r="AW82" i="7"/>
  <c r="AX82" i="7"/>
  <c r="AW60" i="7"/>
  <c r="AX60" i="7"/>
  <c r="AW195" i="7"/>
  <c r="AX195" i="7"/>
  <c r="AX139" i="7"/>
  <c r="AW139" i="7"/>
  <c r="AX147" i="7"/>
  <c r="AW147" i="7"/>
  <c r="AT4" i="7"/>
  <c r="AS4" i="7"/>
  <c r="Z39" i="9"/>
  <c r="AW214" i="7"/>
  <c r="AX214" i="7"/>
  <c r="AX49" i="7"/>
  <c r="AW49" i="7"/>
  <c r="AX168" i="7"/>
  <c r="AW168" i="7"/>
  <c r="AW157" i="7"/>
  <c r="AX157" i="7"/>
  <c r="AW166" i="7"/>
  <c r="AX166" i="7"/>
  <c r="AX171" i="7"/>
  <c r="AW171" i="7"/>
  <c r="AW83" i="7"/>
  <c r="AX83" i="7"/>
  <c r="AX160" i="7"/>
  <c r="AW160" i="7"/>
  <c r="AX43" i="7"/>
  <c r="AW43" i="7"/>
  <c r="AW87" i="7"/>
  <c r="AX87" i="7"/>
  <c r="AW33" i="7"/>
  <c r="AX33" i="7"/>
  <c r="AX180" i="7"/>
  <c r="AW180" i="7"/>
  <c r="AX138" i="7"/>
  <c r="AW138" i="7"/>
  <c r="AW113" i="7"/>
  <c r="AX113" i="7"/>
  <c r="AX203" i="7"/>
  <c r="AW203" i="7"/>
  <c r="AX206" i="7"/>
  <c r="AW206" i="7"/>
  <c r="AW149" i="7"/>
  <c r="AX149" i="7"/>
  <c r="AX150" i="7"/>
  <c r="AW150" i="7"/>
  <c r="AX44" i="7"/>
  <c r="AW44" i="7"/>
  <c r="AX69" i="7"/>
  <c r="AW69" i="7"/>
  <c r="AW38" i="7"/>
  <c r="AX38" i="7"/>
  <c r="AW135" i="7"/>
  <c r="AX135" i="7"/>
  <c r="AW105" i="7"/>
  <c r="AX105" i="7"/>
  <c r="AX174" i="7"/>
  <c r="AW174" i="7"/>
  <c r="AX73" i="7"/>
  <c r="AW73" i="7"/>
  <c r="AX122" i="7"/>
  <c r="AW122" i="7"/>
  <c r="AT12" i="7"/>
  <c r="AS12" i="7"/>
  <c r="AW109" i="7"/>
  <c r="AX109" i="7"/>
  <c r="AW54" i="7"/>
  <c r="AX54" i="7"/>
  <c r="AW95" i="7"/>
  <c r="AX95" i="7"/>
  <c r="AX42" i="7"/>
  <c r="AW42" i="7"/>
  <c r="AX153" i="7"/>
  <c r="AW153" i="7"/>
  <c r="AX51" i="7"/>
  <c r="AW51" i="7"/>
  <c r="AS14" i="7"/>
  <c r="AT14" i="7"/>
  <c r="AW89" i="7"/>
  <c r="AX89" i="7"/>
  <c r="AW79" i="7"/>
  <c r="AX79" i="7"/>
  <c r="AX181" i="7"/>
  <c r="AW181" i="7"/>
  <c r="AX178" i="7"/>
  <c r="AW178" i="7"/>
  <c r="AW67" i="7"/>
  <c r="AX67" i="7"/>
  <c r="AX169" i="7"/>
  <c r="AW169" i="7"/>
  <c r="AW162" i="7"/>
  <c r="AX162" i="7"/>
  <c r="AX182" i="7"/>
  <c r="AW182" i="7"/>
  <c r="AW212" i="7"/>
  <c r="AX212" i="7"/>
  <c r="AW119" i="7"/>
  <c r="AX119" i="7"/>
  <c r="AX86" i="7"/>
  <c r="AW86" i="7"/>
  <c r="AW185" i="7"/>
  <c r="AX185" i="7"/>
  <c r="AW200" i="7"/>
  <c r="AX200" i="7"/>
  <c r="AW58" i="7"/>
  <c r="AX58" i="7"/>
  <c r="AW111" i="7"/>
  <c r="AX111" i="7"/>
  <c r="AX52" i="7"/>
  <c r="AW52" i="7"/>
  <c r="AX129" i="7"/>
  <c r="AW129" i="7"/>
  <c r="AW221" i="7"/>
  <c r="AX221" i="7"/>
  <c r="AX130" i="7"/>
  <c r="AW130" i="7"/>
  <c r="AW225" i="7"/>
  <c r="AX225" i="7"/>
  <c r="AX75" i="7"/>
  <c r="AW75" i="7"/>
  <c r="AW76" i="7"/>
  <c r="AX76" i="7"/>
  <c r="AE6" i="7"/>
  <c r="AE20" i="7"/>
  <c r="AE22" i="7"/>
  <c r="AE4" i="7"/>
  <c r="G40" i="9" s="1"/>
  <c r="AE12" i="7"/>
  <c r="AE10" i="7"/>
  <c r="AE17" i="7"/>
  <c r="AE14" i="7"/>
  <c r="AE11" i="7"/>
  <c r="AE16" i="7"/>
  <c r="AE13" i="7"/>
  <c r="AE19" i="7"/>
  <c r="AE8" i="7"/>
  <c r="AE15" i="7"/>
  <c r="AE23" i="7"/>
  <c r="AE7" i="7"/>
  <c r="AE9" i="7"/>
  <c r="AE21" i="7"/>
  <c r="AE18" i="7"/>
  <c r="AT9" i="7"/>
  <c r="BD40" i="7" s="1"/>
  <c r="AS9" i="7"/>
  <c r="AX84" i="7"/>
  <c r="AW84" i="7"/>
  <c r="AX164" i="7"/>
  <c r="AW164" i="7"/>
  <c r="AW53" i="7"/>
  <c r="AX53" i="7"/>
  <c r="K34" i="9"/>
  <c r="L34" i="9" s="1"/>
  <c r="AW161" i="7"/>
  <c r="AX161" i="7"/>
  <c r="AX177" i="7"/>
  <c r="AW177" i="7"/>
  <c r="AX50" i="7"/>
  <c r="AW50" i="7"/>
  <c r="AW202" i="7"/>
  <c r="AX202" i="7"/>
  <c r="AW115" i="7"/>
  <c r="AX115" i="7"/>
  <c r="AX144" i="7"/>
  <c r="AW144" i="7"/>
  <c r="AS5" i="7"/>
  <c r="AT5" i="7"/>
  <c r="BD72" i="7" s="1"/>
  <c r="AB39" i="9"/>
  <c r="AC39" i="9" s="1"/>
  <c r="AT19" i="7"/>
  <c r="AS19" i="7"/>
  <c r="AW65" i="7"/>
  <c r="AX65" i="7"/>
  <c r="AW117" i="7"/>
  <c r="AX117" i="7"/>
  <c r="AX126" i="7"/>
  <c r="AW126" i="7"/>
  <c r="AW103" i="7"/>
  <c r="AX103" i="7"/>
  <c r="AX173" i="7"/>
  <c r="AW173" i="7"/>
  <c r="AX104" i="7"/>
  <c r="AW104" i="7"/>
  <c r="AW34" i="7"/>
  <c r="AX34" i="7"/>
  <c r="AS8" i="7"/>
  <c r="AT8" i="7"/>
  <c r="BD62" i="7" s="1"/>
  <c r="AX131" i="7"/>
  <c r="AW131" i="7"/>
  <c r="AW143" i="7"/>
  <c r="AX143" i="7"/>
  <c r="AT11" i="7"/>
  <c r="AS11" i="7"/>
  <c r="AW66" i="7"/>
  <c r="AX66" i="7"/>
  <c r="AW61" i="7"/>
  <c r="AX61" i="7"/>
  <c r="AW114" i="7"/>
  <c r="AX114" i="7"/>
  <c r="AT15" i="7"/>
  <c r="AS15" i="7"/>
  <c r="AW48" i="7"/>
  <c r="AX48" i="7"/>
  <c r="AX123" i="7"/>
  <c r="AW123" i="7"/>
  <c r="AX189" i="7"/>
  <c r="AW189" i="7"/>
  <c r="AX224" i="7"/>
  <c r="AW224" i="7"/>
  <c r="AX151" i="7"/>
  <c r="AW151" i="7"/>
  <c r="AT18" i="7"/>
  <c r="AS18" i="7"/>
  <c r="AW100" i="7"/>
  <c r="AX100" i="7"/>
  <c r="AW68" i="7"/>
  <c r="AX68" i="7"/>
  <c r="AW36" i="7"/>
  <c r="AX36" i="7"/>
  <c r="AX145" i="7"/>
  <c r="AW145" i="7"/>
  <c r="AX88" i="7"/>
  <c r="AW88" i="7"/>
  <c r="AX148" i="7"/>
  <c r="AW148" i="7"/>
  <c r="AX176" i="7"/>
  <c r="AW176" i="7"/>
  <c r="AX158" i="7"/>
  <c r="AW158" i="7"/>
  <c r="AW186" i="7"/>
  <c r="AX186" i="7"/>
  <c r="AW57" i="7"/>
  <c r="AX57" i="7"/>
  <c r="AX163" i="7"/>
  <c r="AW163" i="7"/>
  <c r="AT21" i="7"/>
  <c r="AS21" i="7"/>
  <c r="AW120" i="7"/>
  <c r="AX120" i="7"/>
  <c r="AX125" i="7"/>
  <c r="AW125" i="7"/>
  <c r="AX71" i="7"/>
  <c r="AW71" i="7"/>
  <c r="AT13" i="7"/>
  <c r="AS13" i="7"/>
  <c r="AW175" i="7"/>
  <c r="AX175" i="7"/>
  <c r="AX45" i="7"/>
  <c r="AW45" i="7"/>
  <c r="AX46" i="7"/>
  <c r="AW46" i="7"/>
  <c r="AX192" i="7"/>
  <c r="AW192" i="7"/>
  <c r="AW98" i="7"/>
  <c r="AX98" i="7"/>
  <c r="AW183" i="7"/>
  <c r="AX183" i="7"/>
  <c r="AX190" i="7"/>
  <c r="AW190" i="7"/>
  <c r="AW56" i="7"/>
  <c r="AX56" i="7"/>
  <c r="AW196" i="7"/>
  <c r="AX196" i="7"/>
  <c r="AX204" i="7"/>
  <c r="AW204" i="7"/>
  <c r="AX229" i="7"/>
  <c r="AW229" i="7"/>
  <c r="AW101" i="7"/>
  <c r="AX101" i="7"/>
  <c r="AX55" i="7"/>
  <c r="AW55" i="7"/>
  <c r="AW194" i="7"/>
  <c r="AX194" i="7"/>
  <c r="AX165" i="7"/>
  <c r="AW165" i="7"/>
  <c r="I41" i="9"/>
  <c r="J41" i="9" s="1"/>
  <c r="AX201" i="7"/>
  <c r="AW201" i="7"/>
  <c r="AW188" i="7"/>
  <c r="AX188" i="7"/>
  <c r="AX154" i="7"/>
  <c r="AW154" i="7"/>
  <c r="AX167" i="7"/>
  <c r="AW167" i="7"/>
  <c r="AX47" i="7"/>
  <c r="AW47" i="7"/>
  <c r="AX136" i="7"/>
  <c r="AW136" i="7"/>
  <c r="AX124" i="7"/>
  <c r="AW124" i="7"/>
  <c r="AW94" i="7"/>
  <c r="AX94" i="7"/>
  <c r="AX102" i="7"/>
  <c r="AW102" i="7"/>
  <c r="AX63" i="7"/>
  <c r="AW63" i="7"/>
  <c r="AW32" i="7"/>
  <c r="AX32" i="7"/>
  <c r="AX108" i="7"/>
  <c r="AW108" i="7"/>
  <c r="AW85" i="7"/>
  <c r="AX85" i="7"/>
  <c r="AX134" i="7"/>
  <c r="AW134" i="7"/>
  <c r="AW35" i="7"/>
  <c r="AX35" i="7"/>
  <c r="AS23" i="7"/>
  <c r="AT23" i="7"/>
  <c r="AT17" i="7"/>
  <c r="AS17" i="7"/>
  <c r="AX199" i="7"/>
  <c r="AW199" i="7"/>
  <c r="AX228" i="7"/>
  <c r="AW228" i="7"/>
  <c r="AX191" i="7"/>
  <c r="AW191" i="7"/>
  <c r="AW217" i="7"/>
  <c r="AX217" i="7"/>
  <c r="AX227" i="7"/>
  <c r="AW227" i="7"/>
  <c r="AX187" i="7"/>
  <c r="AW187" i="7"/>
  <c r="AX172" i="7"/>
  <c r="AW172" i="7"/>
  <c r="AU7" i="7"/>
  <c r="AX227" i="5"/>
  <c r="AW227" i="5"/>
  <c r="AW204" i="5"/>
  <c r="AX204" i="5"/>
  <c r="AX139" i="5"/>
  <c r="AW139" i="5"/>
  <c r="AX134" i="5"/>
  <c r="AW134" i="5"/>
  <c r="AW102" i="5"/>
  <c r="AX102" i="5"/>
  <c r="AW79" i="5"/>
  <c r="AX79" i="5"/>
  <c r="AX92" i="5"/>
  <c r="AW92" i="5"/>
  <c r="AW126" i="5"/>
  <c r="AX126" i="5"/>
  <c r="AX127" i="5"/>
  <c r="AW127" i="5"/>
  <c r="AW113" i="5"/>
  <c r="AX113" i="5"/>
  <c r="AX59" i="5"/>
  <c r="AW59" i="5"/>
  <c r="AX47" i="5"/>
  <c r="AW47" i="5"/>
  <c r="AX99" i="5"/>
  <c r="AW99" i="5"/>
  <c r="AX87" i="5"/>
  <c r="AW87" i="5"/>
  <c r="AW120" i="5"/>
  <c r="AX120" i="5"/>
  <c r="AX228" i="5"/>
  <c r="AW228" i="5"/>
  <c r="AW46" i="5"/>
  <c r="AX46" i="5"/>
  <c r="AX131" i="5"/>
  <c r="AW131" i="5"/>
  <c r="AX170" i="5"/>
  <c r="AW170" i="5"/>
  <c r="AX60" i="5"/>
  <c r="AW60" i="5"/>
  <c r="AX53" i="5"/>
  <c r="AW53" i="5"/>
  <c r="AX156" i="5"/>
  <c r="AW156" i="5"/>
  <c r="AW64" i="5"/>
  <c r="AX64" i="5"/>
  <c r="AX48" i="5"/>
  <c r="AW48" i="5"/>
  <c r="AX109" i="5"/>
  <c r="AW109" i="5"/>
  <c r="AW107" i="5"/>
  <c r="AX107" i="5"/>
  <c r="AX155" i="5"/>
  <c r="AW155" i="5"/>
  <c r="AX49" i="5"/>
  <c r="AW49" i="5"/>
  <c r="AW42" i="5"/>
  <c r="AX42" i="5"/>
  <c r="G37" i="6"/>
  <c r="H37" i="6" s="1"/>
  <c r="G38" i="6"/>
  <c r="H38" i="6" s="1"/>
  <c r="K36" i="6"/>
  <c r="L36" i="6" s="1"/>
  <c r="H36" i="6"/>
  <c r="AX186" i="5"/>
  <c r="AW186" i="5"/>
  <c r="AX199" i="5"/>
  <c r="AW199" i="5"/>
  <c r="AW33" i="5"/>
  <c r="AX33" i="5"/>
  <c r="AW95" i="5"/>
  <c r="AX95" i="5"/>
  <c r="AX34" i="5"/>
  <c r="AW34" i="5"/>
  <c r="AX106" i="5"/>
  <c r="AW106" i="5"/>
  <c r="AW45" i="5"/>
  <c r="AX45" i="5"/>
  <c r="AX67" i="5"/>
  <c r="AW67" i="5"/>
  <c r="AX211" i="5"/>
  <c r="AW211" i="5"/>
  <c r="AX162" i="5"/>
  <c r="AW162" i="5"/>
  <c r="AX88" i="5"/>
  <c r="AW88" i="5"/>
  <c r="AX171" i="5"/>
  <c r="AW171" i="5"/>
  <c r="AW69" i="5"/>
  <c r="AX69" i="5"/>
  <c r="AX213" i="5"/>
  <c r="AW213" i="5"/>
  <c r="AX140" i="5"/>
  <c r="AW140" i="5"/>
  <c r="AX192" i="5"/>
  <c r="AW192" i="5"/>
  <c r="AX184" i="5"/>
  <c r="AW184" i="5"/>
  <c r="AX193" i="5"/>
  <c r="AW193" i="5"/>
  <c r="AX159" i="5"/>
  <c r="AW159" i="5"/>
  <c r="AX161" i="5"/>
  <c r="AW161" i="5"/>
  <c r="AX194" i="5"/>
  <c r="AW194" i="5"/>
  <c r="AW80" i="5"/>
  <c r="AX80" i="5"/>
  <c r="AX122" i="5"/>
  <c r="AW122" i="5"/>
  <c r="AX72" i="5"/>
  <c r="AW72" i="5"/>
  <c r="AX172" i="5"/>
  <c r="AW172" i="5"/>
  <c r="AX144" i="5"/>
  <c r="AW144" i="5"/>
  <c r="AX52" i="5"/>
  <c r="AW52" i="5"/>
  <c r="AX229" i="5"/>
  <c r="AW229" i="5"/>
  <c r="AX166" i="5"/>
  <c r="AW166" i="5"/>
  <c r="AX97" i="5"/>
  <c r="AW97" i="5"/>
  <c r="AX84" i="5"/>
  <c r="AW84" i="5"/>
  <c r="AX164" i="5"/>
  <c r="AW164" i="5"/>
  <c r="AW96" i="5"/>
  <c r="AX96" i="5"/>
  <c r="AX215" i="5"/>
  <c r="AW215" i="5"/>
  <c r="AX77" i="5"/>
  <c r="AW77" i="5"/>
  <c r="AX148" i="5"/>
  <c r="AW148" i="5"/>
  <c r="AX101" i="5"/>
  <c r="AW101" i="5"/>
  <c r="AX43" i="5"/>
  <c r="AW43" i="5"/>
  <c r="AW81" i="5"/>
  <c r="AX81" i="5"/>
  <c r="AX181" i="5"/>
  <c r="AW181" i="5"/>
  <c r="AX36" i="5"/>
  <c r="AW36" i="5"/>
  <c r="AX75" i="5"/>
  <c r="AW75" i="5"/>
  <c r="AW98" i="5"/>
  <c r="AX98" i="5"/>
  <c r="AX55" i="5"/>
  <c r="AW55" i="5"/>
  <c r="AX223" i="5"/>
  <c r="AW223" i="5"/>
  <c r="AX157" i="5"/>
  <c r="AW157" i="5"/>
  <c r="AX112" i="5"/>
  <c r="AW112" i="5"/>
  <c r="AX221" i="5"/>
  <c r="AW221" i="5"/>
  <c r="AX116" i="5"/>
  <c r="AW116" i="5"/>
  <c r="AW105" i="5"/>
  <c r="AX105" i="5"/>
  <c r="AW214" i="5"/>
  <c r="AX214" i="5"/>
  <c r="AX182" i="5"/>
  <c r="AW182" i="5"/>
  <c r="AX136" i="5"/>
  <c r="AW136" i="5"/>
  <c r="AW108" i="5"/>
  <c r="AX108" i="5"/>
  <c r="AW219" i="5"/>
  <c r="AX219" i="5"/>
  <c r="AX183" i="5"/>
  <c r="AW183" i="5"/>
  <c r="AX220" i="5"/>
  <c r="AW220" i="5"/>
  <c r="AX89" i="5"/>
  <c r="AW89" i="5"/>
  <c r="AX86" i="5"/>
  <c r="AW86" i="5"/>
  <c r="AX205" i="5"/>
  <c r="AW205" i="5"/>
  <c r="AW32" i="5"/>
  <c r="AX32" i="5"/>
  <c r="AW207" i="5"/>
  <c r="AX207" i="5"/>
  <c r="AX146" i="5"/>
  <c r="AW146" i="5"/>
  <c r="AW76" i="5"/>
  <c r="AX76" i="5"/>
  <c r="AW145" i="5"/>
  <c r="AX145" i="5"/>
  <c r="I37" i="6"/>
  <c r="J37" i="6" s="1"/>
  <c r="J36" i="6"/>
  <c r="I38" i="6"/>
  <c r="J38" i="6" s="1"/>
  <c r="AX174" i="5"/>
  <c r="AW174" i="5"/>
  <c r="AW62" i="5"/>
  <c r="AX62" i="5"/>
  <c r="AX73" i="5"/>
  <c r="AW73" i="5"/>
  <c r="AX218" i="5"/>
  <c r="AW218" i="5"/>
  <c r="AX210" i="5"/>
  <c r="AW210" i="5"/>
  <c r="AW41" i="5"/>
  <c r="AX41" i="5"/>
  <c r="AX202" i="5"/>
  <c r="AW202" i="5"/>
  <c r="AX93" i="5"/>
  <c r="AW93" i="5"/>
  <c r="AX142" i="5"/>
  <c r="AW142" i="5"/>
  <c r="AW56" i="5"/>
  <c r="AX56" i="5"/>
  <c r="AX103" i="5"/>
  <c r="AW103" i="5"/>
  <c r="AX150" i="5"/>
  <c r="AW150" i="5"/>
  <c r="AX178" i="5"/>
  <c r="AW178" i="5"/>
  <c r="AX65" i="5"/>
  <c r="AW65" i="5"/>
  <c r="AX149" i="5"/>
  <c r="AW149" i="5"/>
  <c r="AX179" i="5"/>
  <c r="AW179" i="5"/>
  <c r="AX177" i="5"/>
  <c r="AW177" i="5"/>
  <c r="AX132" i="5"/>
  <c r="AW132" i="5"/>
  <c r="AW37" i="5"/>
  <c r="AX37" i="5"/>
  <c r="AX100" i="5"/>
  <c r="AW100" i="5"/>
  <c r="AX173" i="5"/>
  <c r="AW173" i="5"/>
  <c r="AX66" i="5"/>
  <c r="AW66" i="5"/>
  <c r="AX94" i="5"/>
  <c r="AW94" i="5"/>
  <c r="AX40" i="5"/>
  <c r="AW40" i="5"/>
  <c r="AX185" i="5"/>
  <c r="AW185" i="5"/>
  <c r="AW135" i="5"/>
  <c r="AX135" i="5"/>
  <c r="AX111" i="5"/>
  <c r="AW111" i="5"/>
  <c r="AX124" i="5"/>
  <c r="AW124" i="5"/>
  <c r="AW104" i="5"/>
  <c r="AX104" i="5"/>
  <c r="AX121" i="5"/>
  <c r="AW121" i="5"/>
  <c r="AX226" i="5"/>
  <c r="AW226" i="5"/>
  <c r="AW151" i="5"/>
  <c r="AX151" i="5"/>
  <c r="AW85" i="5"/>
  <c r="AX85" i="5"/>
  <c r="AW57" i="5"/>
  <c r="AX57" i="5"/>
  <c r="AX119" i="5"/>
  <c r="AW119" i="5"/>
  <c r="AW209" i="5"/>
  <c r="AX209" i="5"/>
  <c r="AX190" i="5"/>
  <c r="AW190" i="5"/>
  <c r="AX143" i="5"/>
  <c r="AW143" i="5"/>
  <c r="AW225" i="5"/>
  <c r="AX225" i="5"/>
  <c r="AX90" i="5"/>
  <c r="AW90" i="5"/>
  <c r="AX160" i="5"/>
  <c r="AW160" i="5"/>
  <c r="AX191" i="5"/>
  <c r="AW191" i="5"/>
  <c r="AX141" i="5"/>
  <c r="AW141" i="5"/>
  <c r="AW63" i="5"/>
  <c r="AX63" i="5"/>
  <c r="AX200" i="5"/>
  <c r="AW200" i="5"/>
  <c r="AX54" i="5"/>
  <c r="AW54" i="5"/>
  <c r="AW51" i="5"/>
  <c r="AX51" i="5"/>
  <c r="AW197" i="5"/>
  <c r="AX197" i="5"/>
  <c r="AX133" i="5"/>
  <c r="AW133" i="5"/>
  <c r="AX216" i="5"/>
  <c r="AW216" i="5"/>
  <c r="AX128" i="5"/>
  <c r="AW128" i="5"/>
  <c r="AX224" i="5"/>
  <c r="AW224" i="5"/>
  <c r="AX188" i="5"/>
  <c r="AW188" i="5"/>
  <c r="AX50" i="5"/>
  <c r="AW50" i="5"/>
  <c r="AW83" i="5"/>
  <c r="AX83" i="5"/>
  <c r="AX70" i="5"/>
  <c r="AW70" i="5"/>
  <c r="AX138" i="5"/>
  <c r="AW138" i="5"/>
  <c r="AX125" i="5"/>
  <c r="AW125" i="5"/>
  <c r="AX203" i="5"/>
  <c r="AW203" i="5"/>
  <c r="AX154" i="5"/>
  <c r="AW154" i="5"/>
  <c r="AX71" i="5"/>
  <c r="AW71" i="5"/>
  <c r="AX130" i="5"/>
  <c r="AW130" i="5"/>
  <c r="AX212" i="5"/>
  <c r="AW212" i="5"/>
  <c r="AX110" i="5"/>
  <c r="AW110" i="5"/>
  <c r="AX189" i="5"/>
  <c r="AW189" i="5"/>
  <c r="AX147" i="5"/>
  <c r="AW147" i="5"/>
  <c r="AX175" i="5"/>
  <c r="AW175" i="5"/>
  <c r="AX176" i="5"/>
  <c r="AW176" i="5"/>
  <c r="AW91" i="5"/>
  <c r="AX91" i="5"/>
  <c r="AW82" i="5"/>
  <c r="AX82" i="5"/>
  <c r="AX180" i="5"/>
  <c r="AW180" i="5"/>
  <c r="AX152" i="5"/>
  <c r="AW152" i="5"/>
  <c r="AX117" i="5"/>
  <c r="AW117" i="5"/>
  <c r="AX129" i="5"/>
  <c r="AW129" i="5"/>
  <c r="AX169" i="5"/>
  <c r="AW169" i="5"/>
  <c r="AW187" i="5"/>
  <c r="AX187" i="5"/>
  <c r="AX44" i="5"/>
  <c r="AW44" i="5"/>
  <c r="AX198" i="5"/>
  <c r="AW198" i="5"/>
  <c r="AX165" i="5"/>
  <c r="AW165" i="5"/>
  <c r="AW58" i="5"/>
  <c r="AX58" i="5"/>
  <c r="AX195" i="5"/>
  <c r="AW195" i="5"/>
  <c r="AX222" i="5"/>
  <c r="AW222" i="5"/>
  <c r="AX39" i="5"/>
  <c r="AW39" i="5"/>
  <c r="AX168" i="5"/>
  <c r="AW168" i="5"/>
  <c r="AX158" i="5"/>
  <c r="AW158" i="5"/>
  <c r="AX115" i="5"/>
  <c r="AW115" i="5"/>
  <c r="AX217" i="5"/>
  <c r="AW217" i="5"/>
  <c r="AX61" i="5"/>
  <c r="AW61" i="5"/>
  <c r="AX114" i="5"/>
  <c r="AW114" i="5"/>
  <c r="AW208" i="5"/>
  <c r="AX208" i="5"/>
  <c r="AW163" i="5"/>
  <c r="AX163" i="5"/>
  <c r="AW68" i="5"/>
  <c r="AX68" i="5"/>
  <c r="AX123" i="5"/>
  <c r="AW123" i="5"/>
  <c r="AX167" i="5"/>
  <c r="AW167" i="5"/>
  <c r="AW78" i="5"/>
  <c r="AX78" i="5"/>
  <c r="AW137" i="5"/>
  <c r="AX137" i="5"/>
  <c r="AX206" i="5"/>
  <c r="AW206" i="5"/>
  <c r="AX38" i="5"/>
  <c r="AW38" i="5"/>
  <c r="AX201" i="5"/>
  <c r="AW201" i="5"/>
  <c r="AP24" i="5"/>
  <c r="AX118" i="5"/>
  <c r="AW118" i="5"/>
  <c r="AX153" i="5"/>
  <c r="AW153" i="5"/>
  <c r="I41" i="6"/>
  <c r="J41" i="6" s="1"/>
  <c r="AX196" i="5"/>
  <c r="AW196" i="5"/>
  <c r="AW74" i="5"/>
  <c r="AX74" i="5"/>
  <c r="BD57" i="7" l="1"/>
  <c r="BD88" i="7"/>
  <c r="BD77" i="7"/>
  <c r="BD142" i="7"/>
  <c r="BD121" i="7"/>
  <c r="BD173" i="7"/>
  <c r="BD134" i="7"/>
  <c r="BD112" i="7"/>
  <c r="BD85" i="7"/>
  <c r="BD182" i="7"/>
  <c r="BD115" i="7"/>
  <c r="BD222" i="7"/>
  <c r="BD181" i="7"/>
  <c r="BD198" i="7"/>
  <c r="BD90" i="7"/>
  <c r="BD83" i="7"/>
  <c r="BD108" i="7"/>
  <c r="BD55" i="7"/>
  <c r="BD149" i="7"/>
  <c r="BD99" i="7"/>
  <c r="BD80" i="7"/>
  <c r="BD35" i="7"/>
  <c r="BD100" i="7"/>
  <c r="BD106" i="7"/>
  <c r="BD117" i="7"/>
  <c r="BD143" i="7"/>
  <c r="BD139" i="7"/>
  <c r="BD177" i="7"/>
  <c r="BD186" i="7"/>
  <c r="BD141" i="7"/>
  <c r="BD38" i="7"/>
  <c r="BD137" i="7"/>
  <c r="BD213" i="7"/>
  <c r="BD179" i="7"/>
  <c r="BD214" i="7"/>
  <c r="BD199" i="7"/>
  <c r="BD59" i="7"/>
  <c r="BD130" i="7"/>
  <c r="BD135" i="7"/>
  <c r="BD133" i="7"/>
  <c r="BD152" i="7"/>
  <c r="BD209" i="7"/>
  <c r="BD157" i="7"/>
  <c r="BD118" i="7"/>
  <c r="BD228" i="7"/>
  <c r="BD73" i="7"/>
  <c r="BD207" i="7"/>
  <c r="BD82" i="7"/>
  <c r="BD165" i="7"/>
  <c r="BD162" i="7"/>
  <c r="BD151" i="7"/>
  <c r="BD128" i="7"/>
  <c r="BD148" i="7"/>
  <c r="BD110" i="7"/>
  <c r="BD200" i="7"/>
  <c r="BD124" i="7"/>
  <c r="BD93" i="7"/>
  <c r="BD161" i="7"/>
  <c r="BD183" i="7"/>
  <c r="BD158" i="7"/>
  <c r="BD167" i="7"/>
  <c r="BD174" i="7"/>
  <c r="BD190" i="7"/>
  <c r="BD192" i="7"/>
  <c r="BD138" i="7"/>
  <c r="BD160" i="7"/>
  <c r="BD219" i="7"/>
  <c r="BD223" i="7"/>
  <c r="BD166" i="7"/>
  <c r="BD74" i="7"/>
  <c r="BD155" i="7"/>
  <c r="BD132" i="7"/>
  <c r="BD84" i="7"/>
  <c r="BD109" i="7"/>
  <c r="BD150" i="7"/>
  <c r="BD129" i="7"/>
  <c r="BD185" i="7"/>
  <c r="BD163" i="7"/>
  <c r="BD136" i="7"/>
  <c r="BD220" i="7"/>
  <c r="BD225" i="7"/>
  <c r="BD153" i="7"/>
  <c r="BD76" i="7"/>
  <c r="BD145" i="7"/>
  <c r="BD226" i="7"/>
  <c r="BD37" i="7"/>
  <c r="BD195" i="7"/>
  <c r="BD127" i="7"/>
  <c r="BD114" i="7"/>
  <c r="BD170" i="7"/>
  <c r="BD193" i="7"/>
  <c r="BD92" i="7"/>
  <c r="BD63" i="7"/>
  <c r="BD205" i="7"/>
  <c r="BD86" i="7"/>
  <c r="BD101" i="7"/>
  <c r="BD180" i="7"/>
  <c r="BD175" i="7"/>
  <c r="BD119" i="7"/>
  <c r="BD91" i="7"/>
  <c r="BD51" i="7"/>
  <c r="BD61" i="7"/>
  <c r="BD36" i="7"/>
  <c r="BD169" i="7"/>
  <c r="BD39" i="7"/>
  <c r="BD178" i="7"/>
  <c r="BD96" i="7"/>
  <c r="BD97" i="7"/>
  <c r="BD116" i="7"/>
  <c r="BD53" i="7"/>
  <c r="BD184" i="7"/>
  <c r="BD172" i="7"/>
  <c r="BD75" i="7"/>
  <c r="BD204" i="7"/>
  <c r="BD154" i="7"/>
  <c r="BD168" i="7"/>
  <c r="BD221" i="7"/>
  <c r="BD52" i="7"/>
  <c r="BD146" i="7"/>
  <c r="BD60" i="7"/>
  <c r="BD210" i="7"/>
  <c r="BD189" i="7"/>
  <c r="BD79" i="7"/>
  <c r="BD125" i="7"/>
  <c r="BD89" i="7"/>
  <c r="BD164" i="7"/>
  <c r="BD159" i="7"/>
  <c r="BD187" i="7"/>
  <c r="BD34" i="7"/>
  <c r="BD56" i="7"/>
  <c r="BD188" i="7"/>
  <c r="BD206" i="7"/>
  <c r="BD111" i="7"/>
  <c r="BD224" i="7"/>
  <c r="BD47" i="7"/>
  <c r="BD212" i="7"/>
  <c r="BD211" i="7"/>
  <c r="BD208" i="7"/>
  <c r="BD123" i="7"/>
  <c r="BD102" i="7"/>
  <c r="BD105" i="7"/>
  <c r="BD66" i="7"/>
  <c r="BD104" i="7"/>
  <c r="BD81" i="7"/>
  <c r="BD227" i="7"/>
  <c r="BD126" i="7"/>
  <c r="BD95" i="7"/>
  <c r="BD69" i="7"/>
  <c r="BD203" i="7"/>
  <c r="BD33" i="7"/>
  <c r="BD171" i="7"/>
  <c r="BD64" i="7"/>
  <c r="BD68" i="7"/>
  <c r="BD131" i="7"/>
  <c r="BD215" i="7"/>
  <c r="BD218" i="7"/>
  <c r="BD103" i="7"/>
  <c r="BD229" i="7"/>
  <c r="BD140" i="7"/>
  <c r="BD65" i="7"/>
  <c r="BD122" i="7"/>
  <c r="BD217" i="7"/>
  <c r="BD50" i="7"/>
  <c r="BD107" i="7"/>
  <c r="BD54" i="7"/>
  <c r="BD98" i="7"/>
  <c r="BD113" i="7"/>
  <c r="BD87" i="7"/>
  <c r="BD176" i="7"/>
  <c r="BD70" i="7"/>
  <c r="BD147" i="7"/>
  <c r="BD197" i="7"/>
  <c r="BD216" i="7"/>
  <c r="BD48" i="7"/>
  <c r="BD144" i="7"/>
  <c r="BD196" i="7"/>
  <c r="BD156" i="7"/>
  <c r="BD202" i="7"/>
  <c r="BD120" i="7"/>
  <c r="BD191" i="7"/>
  <c r="BD194" i="7"/>
  <c r="BD94" i="7"/>
  <c r="BD201" i="7"/>
  <c r="BD78" i="7"/>
  <c r="BD71" i="7"/>
  <c r="BD58" i="7"/>
  <c r="AY74" i="5"/>
  <c r="AG9" i="5"/>
  <c r="AG23" i="5"/>
  <c r="AG17" i="5"/>
  <c r="AG11" i="5"/>
  <c r="AG13" i="5"/>
  <c r="AG18" i="5"/>
  <c r="AG22" i="5"/>
  <c r="AG16" i="5"/>
  <c r="AG10" i="5"/>
  <c r="AG21" i="5"/>
  <c r="AG15" i="5"/>
  <c r="AG14" i="5"/>
  <c r="AG20" i="5"/>
  <c r="AG19" i="5"/>
  <c r="AG12" i="5"/>
  <c r="AG6" i="5"/>
  <c r="AG5" i="5"/>
  <c r="AG7" i="5"/>
  <c r="AG8" i="5"/>
  <c r="AG9" i="7"/>
  <c r="AV9" i="7" s="1"/>
  <c r="AG4" i="7"/>
  <c r="AG17" i="7"/>
  <c r="AV17" i="7" s="1"/>
  <c r="AG11" i="7"/>
  <c r="AV11" i="7" s="1"/>
  <c r="AG16" i="7"/>
  <c r="AV16" i="7" s="1"/>
  <c r="AG21" i="7"/>
  <c r="AV21" i="7" s="1"/>
  <c r="AG20" i="7"/>
  <c r="AV20" i="7" s="1"/>
  <c r="AG13" i="7"/>
  <c r="AV13" i="7" s="1"/>
  <c r="AG18" i="7"/>
  <c r="AV18" i="7" s="1"/>
  <c r="AG12" i="7"/>
  <c r="AV12" i="7" s="1"/>
  <c r="AG23" i="7"/>
  <c r="AV23" i="7" s="1"/>
  <c r="AG22" i="7"/>
  <c r="AV22" i="7" s="1"/>
  <c r="AG15" i="7"/>
  <c r="AV15" i="7" s="1"/>
  <c r="AG14" i="7"/>
  <c r="AV14" i="7" s="1"/>
  <c r="AG19" i="7"/>
  <c r="AV19" i="7" s="1"/>
  <c r="AG6" i="7"/>
  <c r="AV6" i="7" s="1"/>
  <c r="AG5" i="7"/>
  <c r="AV5" i="7" s="1"/>
  <c r="AG10" i="7"/>
  <c r="AV10" i="7" s="1"/>
  <c r="AG8" i="7"/>
  <c r="AV8" i="7" s="1"/>
  <c r="AG7" i="7"/>
  <c r="AV7" i="7" s="1"/>
  <c r="AW7" i="7" s="1"/>
  <c r="AG4" i="5"/>
  <c r="AY67" i="7"/>
  <c r="AY38" i="7"/>
  <c r="AY210" i="7"/>
  <c r="AY163" i="5"/>
  <c r="AY83" i="5"/>
  <c r="AY37" i="5"/>
  <c r="AY32" i="7"/>
  <c r="AY221" i="7"/>
  <c r="AY185" i="7"/>
  <c r="AY109" i="7"/>
  <c r="AY135" i="7"/>
  <c r="AY87" i="7"/>
  <c r="AY157" i="7"/>
  <c r="AY70" i="7"/>
  <c r="AY214" i="5"/>
  <c r="AY81" i="5"/>
  <c r="AY96" i="5"/>
  <c r="AY33" i="5"/>
  <c r="AY113" i="5"/>
  <c r="AY207" i="5"/>
  <c r="AY105" i="5"/>
  <c r="AY120" i="5"/>
  <c r="AY32" i="5"/>
  <c r="AY219" i="5"/>
  <c r="AY98" i="5"/>
  <c r="AY69" i="5"/>
  <c r="AY45" i="5"/>
  <c r="AY107" i="5"/>
  <c r="AY126" i="5"/>
  <c r="AY204" i="5"/>
  <c r="AY108" i="5"/>
  <c r="AY145" i="5"/>
  <c r="AY79" i="5"/>
  <c r="AY154" i="5"/>
  <c r="AZ41" i="5"/>
  <c r="AY147" i="5"/>
  <c r="AY50" i="5"/>
  <c r="AY191" i="5"/>
  <c r="AY121" i="5"/>
  <c r="AY40" i="5"/>
  <c r="AY132" i="5"/>
  <c r="AY150" i="5"/>
  <c r="AY76" i="5"/>
  <c r="AY80" i="5"/>
  <c r="AY95" i="5"/>
  <c r="AY42" i="5"/>
  <c r="AY64" i="5"/>
  <c r="AY46" i="5"/>
  <c r="AY102" i="5"/>
  <c r="AY115" i="5"/>
  <c r="AY176" i="5"/>
  <c r="AY216" i="5"/>
  <c r="AY93" i="5"/>
  <c r="AY196" i="5"/>
  <c r="AY174" i="5"/>
  <c r="AY137" i="5"/>
  <c r="AY208" i="5"/>
  <c r="AZ40" i="5"/>
  <c r="AY129" i="5"/>
  <c r="AY70" i="5"/>
  <c r="AY143" i="5"/>
  <c r="AY100" i="5"/>
  <c r="AZ174" i="5"/>
  <c r="AZ78" i="5"/>
  <c r="AY39" i="5"/>
  <c r="AY189" i="5"/>
  <c r="AZ51" i="5"/>
  <c r="AY160" i="5"/>
  <c r="AY94" i="5"/>
  <c r="AY177" i="5"/>
  <c r="AY103" i="5"/>
  <c r="AY210" i="5"/>
  <c r="AZ47" i="5"/>
  <c r="AZ61" i="5"/>
  <c r="AY187" i="5"/>
  <c r="AY82" i="5"/>
  <c r="AY57" i="5"/>
  <c r="AY56" i="5"/>
  <c r="AY130" i="5"/>
  <c r="AY65" i="5"/>
  <c r="AY180" i="5"/>
  <c r="AY203" i="5"/>
  <c r="AY119" i="5"/>
  <c r="AZ34" i="5"/>
  <c r="AZ39" i="5"/>
  <c r="AY114" i="5"/>
  <c r="AY44" i="5"/>
  <c r="AY188" i="5"/>
  <c r="AZ36" i="5"/>
  <c r="AY91" i="5"/>
  <c r="AY225" i="5"/>
  <c r="AY85" i="5"/>
  <c r="AY106" i="7"/>
  <c r="AY110" i="7"/>
  <c r="AY80" i="7"/>
  <c r="AY194" i="7"/>
  <c r="AY56" i="7"/>
  <c r="AY53" i="7"/>
  <c r="AY175" i="7"/>
  <c r="AY114" i="7"/>
  <c r="AY117" i="7"/>
  <c r="AY176" i="7"/>
  <c r="AY165" i="7"/>
  <c r="AZ37" i="7"/>
  <c r="AY46" i="7"/>
  <c r="AZ59" i="7"/>
  <c r="AZ187" i="7"/>
  <c r="AZ47" i="7"/>
  <c r="AY217" i="7"/>
  <c r="AY35" i="7"/>
  <c r="AY202" i="7"/>
  <c r="AY76" i="7"/>
  <c r="AY195" i="7"/>
  <c r="AY116" i="7"/>
  <c r="AY93" i="7"/>
  <c r="AY62" i="7"/>
  <c r="AY121" i="7"/>
  <c r="AY72" i="7"/>
  <c r="AY220" i="7"/>
  <c r="AZ33" i="7"/>
  <c r="AY98" i="7"/>
  <c r="AY186" i="7"/>
  <c r="AY36" i="7"/>
  <c r="AY66" i="7"/>
  <c r="AY111" i="7"/>
  <c r="AY212" i="7"/>
  <c r="AY83" i="7"/>
  <c r="AY214" i="7"/>
  <c r="AY101" i="7"/>
  <c r="AY183" i="7"/>
  <c r="AY57" i="7"/>
  <c r="AY61" i="7"/>
  <c r="AY34" i="7"/>
  <c r="AY65" i="7"/>
  <c r="AY119" i="7"/>
  <c r="AY113" i="7"/>
  <c r="AZ80" i="7"/>
  <c r="AY115" i="7"/>
  <c r="AZ39" i="7"/>
  <c r="AZ54" i="7"/>
  <c r="AZ67" i="7"/>
  <c r="AZ77" i="7"/>
  <c r="AY141" i="7"/>
  <c r="AY155" i="7"/>
  <c r="AY128" i="7"/>
  <c r="AY228" i="7"/>
  <c r="AY124" i="7"/>
  <c r="AY201" i="7"/>
  <c r="AY68" i="7"/>
  <c r="AY177" i="7"/>
  <c r="AY58" i="7"/>
  <c r="AY79" i="7"/>
  <c r="AY95" i="7"/>
  <c r="AY223" i="7"/>
  <c r="AY152" i="7"/>
  <c r="AY96" i="7"/>
  <c r="AY94" i="7"/>
  <c r="AY188" i="7"/>
  <c r="AY60" i="7"/>
  <c r="AY90" i="7"/>
  <c r="AY118" i="7"/>
  <c r="AY64" i="7"/>
  <c r="AY161" i="7"/>
  <c r="AY197" i="7"/>
  <c r="AZ120" i="7"/>
  <c r="AZ143" i="7"/>
  <c r="K40" i="9"/>
  <c r="L40" i="9" s="1"/>
  <c r="H40" i="9"/>
  <c r="AZ162" i="7"/>
  <c r="AZ105" i="7"/>
  <c r="AZ147" i="7"/>
  <c r="AU17" i="7"/>
  <c r="AZ148" i="7"/>
  <c r="AY144" i="7"/>
  <c r="AZ206" i="7"/>
  <c r="AY147" i="7"/>
  <c r="AY170" i="7"/>
  <c r="AU16" i="7"/>
  <c r="AY193" i="7"/>
  <c r="AY59" i="7"/>
  <c r="AY137" i="7"/>
  <c r="AZ63" i="7"/>
  <c r="AU21" i="7"/>
  <c r="AZ185" i="7"/>
  <c r="AZ157" i="7"/>
  <c r="AZ132" i="7"/>
  <c r="AZ215" i="7"/>
  <c r="AZ133" i="7"/>
  <c r="AY63" i="7"/>
  <c r="AZ163" i="7"/>
  <c r="AZ86" i="7"/>
  <c r="AZ51" i="7"/>
  <c r="AY139" i="7"/>
  <c r="AY142" i="7"/>
  <c r="AZ175" i="7"/>
  <c r="AZ114" i="7"/>
  <c r="AY86" i="7"/>
  <c r="AY51" i="7"/>
  <c r="AY203" i="7"/>
  <c r="AZ140" i="7"/>
  <c r="AY102" i="7"/>
  <c r="AZ202" i="7"/>
  <c r="AZ52" i="7"/>
  <c r="AZ160" i="7"/>
  <c r="AZ93" i="7"/>
  <c r="AZ121" i="7"/>
  <c r="AU10" i="7"/>
  <c r="AZ134" i="7"/>
  <c r="AZ57" i="7"/>
  <c r="AZ34" i="7"/>
  <c r="AZ119" i="7"/>
  <c r="AY122" i="7"/>
  <c r="AY160" i="7"/>
  <c r="AZ219" i="7"/>
  <c r="AY159" i="7"/>
  <c r="AZ94" i="7"/>
  <c r="AZ181" i="7"/>
  <c r="AZ138" i="7"/>
  <c r="AZ60" i="7"/>
  <c r="AY156" i="7"/>
  <c r="AY207" i="7"/>
  <c r="AZ90" i="7"/>
  <c r="AY219" i="7"/>
  <c r="AY81" i="7"/>
  <c r="AU22" i="7"/>
  <c r="AY211" i="7"/>
  <c r="AZ118" i="7"/>
  <c r="AZ64" i="7"/>
  <c r="AZ228" i="7"/>
  <c r="AY85" i="7"/>
  <c r="AZ124" i="7"/>
  <c r="AZ201" i="7"/>
  <c r="AY229" i="7"/>
  <c r="AZ98" i="7"/>
  <c r="AY71" i="7"/>
  <c r="AZ186" i="7"/>
  <c r="AZ36" i="7"/>
  <c r="AY189" i="7"/>
  <c r="AZ66" i="7"/>
  <c r="AY104" i="7"/>
  <c r="AU19" i="7"/>
  <c r="AZ177" i="7"/>
  <c r="AU9" i="7"/>
  <c r="AY225" i="7"/>
  <c r="AZ111" i="7"/>
  <c r="AZ212" i="7"/>
  <c r="AY181" i="7"/>
  <c r="AY42" i="7"/>
  <c r="AY73" i="7"/>
  <c r="AY44" i="7"/>
  <c r="AY138" i="7"/>
  <c r="AZ83" i="7"/>
  <c r="AZ214" i="7"/>
  <c r="AY82" i="7"/>
  <c r="AZ223" i="7"/>
  <c r="AZ152" i="7"/>
  <c r="AY198" i="7"/>
  <c r="AY41" i="7"/>
  <c r="AY208" i="7"/>
  <c r="AY97" i="7"/>
  <c r="AY222" i="7"/>
  <c r="AY91" i="7"/>
  <c r="AY40" i="7"/>
  <c r="AZ96" i="7"/>
  <c r="AY213" i="7"/>
  <c r="AZ196" i="7"/>
  <c r="AZ48" i="7"/>
  <c r="AZ166" i="7"/>
  <c r="AZ184" i="7"/>
  <c r="AZ137" i="7"/>
  <c r="AY187" i="7"/>
  <c r="AZ45" i="7"/>
  <c r="BA45" i="7" s="1"/>
  <c r="AZ126" i="7"/>
  <c r="AU14" i="7"/>
  <c r="AZ106" i="7"/>
  <c r="AY179" i="7"/>
  <c r="AY146" i="7"/>
  <c r="AZ227" i="7"/>
  <c r="AU23" i="7"/>
  <c r="AZ56" i="7"/>
  <c r="AU18" i="7"/>
  <c r="AY126" i="7"/>
  <c r="AZ221" i="7"/>
  <c r="AY169" i="7"/>
  <c r="AZ87" i="7"/>
  <c r="AZ209" i="7"/>
  <c r="AZ70" i="7"/>
  <c r="AZ142" i="7"/>
  <c r="AU6" i="7"/>
  <c r="AZ190" i="7"/>
  <c r="AZ164" i="7"/>
  <c r="AZ43" i="7"/>
  <c r="AY209" i="7"/>
  <c r="AY215" i="7"/>
  <c r="AY133" i="7"/>
  <c r="AZ154" i="7"/>
  <c r="AY190" i="7"/>
  <c r="AY88" i="7"/>
  <c r="AY151" i="7"/>
  <c r="AZ210" i="7"/>
  <c r="AZ35" i="7"/>
  <c r="AZ84" i="7"/>
  <c r="AZ178" i="7"/>
  <c r="AZ69" i="7"/>
  <c r="AZ116" i="7"/>
  <c r="AY205" i="7"/>
  <c r="AZ220" i="7"/>
  <c r="AZ101" i="7"/>
  <c r="AY145" i="7"/>
  <c r="AZ61" i="7"/>
  <c r="AZ50" i="7"/>
  <c r="AZ113" i="7"/>
  <c r="AY49" i="7"/>
  <c r="AZ81" i="7"/>
  <c r="AZ229" i="7"/>
  <c r="AZ189" i="7"/>
  <c r="AY50" i="7"/>
  <c r="AZ42" i="7"/>
  <c r="AZ85" i="7"/>
  <c r="AZ125" i="7"/>
  <c r="AZ173" i="7"/>
  <c r="AZ225" i="7"/>
  <c r="AZ182" i="7"/>
  <c r="AZ174" i="7"/>
  <c r="AZ150" i="7"/>
  <c r="AZ180" i="7"/>
  <c r="AZ171" i="7"/>
  <c r="AD39" i="9"/>
  <c r="AE39" i="9" s="1"/>
  <c r="AA39" i="9"/>
  <c r="AZ82" i="7"/>
  <c r="AZ198" i="7"/>
  <c r="AZ41" i="7"/>
  <c r="AZ208" i="7"/>
  <c r="AZ97" i="7"/>
  <c r="AZ222" i="7"/>
  <c r="AZ91" i="7"/>
  <c r="AZ40" i="7"/>
  <c r="AZ213" i="7"/>
  <c r="AZ144" i="7"/>
  <c r="AZ179" i="7"/>
  <c r="AZ146" i="7"/>
  <c r="AZ131" i="7"/>
  <c r="AZ110" i="7"/>
  <c r="AZ167" i="7"/>
  <c r="AY45" i="7"/>
  <c r="AU15" i="7"/>
  <c r="AZ53" i="7"/>
  <c r="AZ135" i="7"/>
  <c r="AZ139" i="7"/>
  <c r="AZ112" i="7"/>
  <c r="AZ226" i="7"/>
  <c r="AY227" i="7"/>
  <c r="AY167" i="7"/>
  <c r="AZ88" i="7"/>
  <c r="AU8" i="7"/>
  <c r="AZ129" i="7"/>
  <c r="AZ168" i="7"/>
  <c r="AY112" i="7"/>
  <c r="AY226" i="7"/>
  <c r="AZ102" i="7"/>
  <c r="AY55" i="7"/>
  <c r="AY163" i="7"/>
  <c r="AZ117" i="7"/>
  <c r="AY164" i="7"/>
  <c r="AY129" i="7"/>
  <c r="AZ38" i="7"/>
  <c r="AY168" i="7"/>
  <c r="AZ205" i="7"/>
  <c r="AY154" i="7"/>
  <c r="AZ224" i="7"/>
  <c r="AZ122" i="7"/>
  <c r="AZ195" i="7"/>
  <c r="AY77" i="7"/>
  <c r="AZ72" i="7"/>
  <c r="AZ191" i="7"/>
  <c r="AU13" i="7"/>
  <c r="AZ65" i="7"/>
  <c r="AY84" i="7"/>
  <c r="AY52" i="7"/>
  <c r="AY178" i="7"/>
  <c r="AY69" i="7"/>
  <c r="AZ207" i="7"/>
  <c r="AU20" i="7"/>
  <c r="AZ188" i="7"/>
  <c r="AZ71" i="7"/>
  <c r="AY75" i="7"/>
  <c r="AZ44" i="7"/>
  <c r="AZ204" i="7"/>
  <c r="AZ158" i="7"/>
  <c r="AZ172" i="7"/>
  <c r="AZ108" i="7"/>
  <c r="AZ136" i="7"/>
  <c r="AY204" i="7"/>
  <c r="AY192" i="7"/>
  <c r="AY125" i="7"/>
  <c r="AY158" i="7"/>
  <c r="AZ68" i="7"/>
  <c r="AY123" i="7"/>
  <c r="AU11" i="7"/>
  <c r="AY173" i="7"/>
  <c r="AU5" i="7"/>
  <c r="AB35" i="9"/>
  <c r="AZ130" i="7"/>
  <c r="AZ58" i="7"/>
  <c r="AY182" i="7"/>
  <c r="AZ79" i="7"/>
  <c r="AZ95" i="7"/>
  <c r="AY174" i="7"/>
  <c r="AY150" i="7"/>
  <c r="AY180" i="7"/>
  <c r="AY171" i="7"/>
  <c r="AZ141" i="7"/>
  <c r="AZ155" i="7"/>
  <c r="AZ128" i="7"/>
  <c r="AY127" i="7"/>
  <c r="AY74" i="7"/>
  <c r="AY216" i="7"/>
  <c r="AY78" i="7"/>
  <c r="AY99" i="7"/>
  <c r="AY218" i="7"/>
  <c r="AY107" i="7"/>
  <c r="AZ100" i="7"/>
  <c r="AZ103" i="7"/>
  <c r="AZ200" i="7"/>
  <c r="AZ89" i="7"/>
  <c r="AZ149" i="7"/>
  <c r="AZ170" i="7"/>
  <c r="AZ193" i="7"/>
  <c r="AZ32" i="7"/>
  <c r="BA32" i="7" s="1"/>
  <c r="AY47" i="7"/>
  <c r="AZ169" i="7"/>
  <c r="AZ194" i="7"/>
  <c r="AY148" i="7"/>
  <c r="AY131" i="7"/>
  <c r="AZ109" i="7"/>
  <c r="AY206" i="7"/>
  <c r="AZ92" i="7"/>
  <c r="AZ55" i="7"/>
  <c r="AZ151" i="7"/>
  <c r="AZ115" i="7"/>
  <c r="AZ203" i="7"/>
  <c r="AY132" i="7"/>
  <c r="AY39" i="7"/>
  <c r="AY92" i="7"/>
  <c r="AU12" i="7"/>
  <c r="AY43" i="7"/>
  <c r="AZ217" i="7"/>
  <c r="AZ145" i="7"/>
  <c r="AZ76" i="7"/>
  <c r="AZ153" i="7"/>
  <c r="AZ49" i="7"/>
  <c r="AZ159" i="7"/>
  <c r="AZ62" i="7"/>
  <c r="AY140" i="7"/>
  <c r="AZ183" i="7"/>
  <c r="AY224" i="7"/>
  <c r="AZ75" i="7"/>
  <c r="AY153" i="7"/>
  <c r="AZ156" i="7"/>
  <c r="AZ211" i="7"/>
  <c r="AY191" i="7"/>
  <c r="AY134" i="7"/>
  <c r="AZ104" i="7"/>
  <c r="AZ73" i="7"/>
  <c r="AZ192" i="7"/>
  <c r="AZ123" i="7"/>
  <c r="AZ199" i="7"/>
  <c r="AY172" i="7"/>
  <c r="AY199" i="7"/>
  <c r="AY108" i="7"/>
  <c r="AY136" i="7"/>
  <c r="AZ165" i="7"/>
  <c r="AY196" i="7"/>
  <c r="AZ46" i="7"/>
  <c r="BA46" i="7" s="1"/>
  <c r="AY120" i="7"/>
  <c r="AZ176" i="7"/>
  <c r="AY100" i="7"/>
  <c r="AY48" i="7"/>
  <c r="AY143" i="7"/>
  <c r="AY103" i="7"/>
  <c r="AZ161" i="7"/>
  <c r="AY130" i="7"/>
  <c r="AY200" i="7"/>
  <c r="AY162" i="7"/>
  <c r="AY89" i="7"/>
  <c r="AY54" i="7"/>
  <c r="AY105" i="7"/>
  <c r="AY149" i="7"/>
  <c r="AY33" i="7"/>
  <c r="AY166" i="7"/>
  <c r="AU4" i="7"/>
  <c r="AV4" i="7"/>
  <c r="AT24" i="7"/>
  <c r="Z35" i="9"/>
  <c r="AZ127" i="7"/>
  <c r="AY184" i="7"/>
  <c r="AZ74" i="7"/>
  <c r="AZ216" i="7"/>
  <c r="AZ78" i="7"/>
  <c r="AZ99" i="7"/>
  <c r="AZ218" i="7"/>
  <c r="AZ107" i="7"/>
  <c r="AZ197" i="7"/>
  <c r="AQ24" i="5"/>
  <c r="AR24" i="5" s="1"/>
  <c r="AS24" i="5" s="1"/>
  <c r="AQ10" i="5"/>
  <c r="AR10" i="5" s="1"/>
  <c r="AQ20" i="5"/>
  <c r="AR20" i="5" s="1"/>
  <c r="AQ19" i="5"/>
  <c r="AR19" i="5" s="1"/>
  <c r="AQ8" i="5"/>
  <c r="AR8" i="5" s="1"/>
  <c r="AQ7" i="5"/>
  <c r="AR7" i="5" s="1"/>
  <c r="AQ9" i="5"/>
  <c r="AR9" i="5" s="1"/>
  <c r="AQ13" i="5"/>
  <c r="AR13" i="5" s="1"/>
  <c r="AQ6" i="5"/>
  <c r="AR6" i="5" s="1"/>
  <c r="AQ14" i="5"/>
  <c r="AR14" i="5" s="1"/>
  <c r="AQ18" i="5"/>
  <c r="AR18" i="5" s="1"/>
  <c r="AQ11" i="5"/>
  <c r="AR11" i="5" s="1"/>
  <c r="AQ23" i="5"/>
  <c r="AR23" i="5" s="1"/>
  <c r="AQ15" i="5"/>
  <c r="AR15" i="5" s="1"/>
  <c r="AQ17" i="5"/>
  <c r="AR17" i="5" s="1"/>
  <c r="AQ16" i="5"/>
  <c r="AR16" i="5" s="1"/>
  <c r="AQ21" i="5"/>
  <c r="AR21" i="5" s="1"/>
  <c r="AQ5" i="5"/>
  <c r="AR5" i="5" s="1"/>
  <c r="AQ12" i="5"/>
  <c r="AR12" i="5" s="1"/>
  <c r="AQ22" i="5"/>
  <c r="AR22" i="5" s="1"/>
  <c r="AZ136" i="5"/>
  <c r="AZ166" i="5"/>
  <c r="AZ88" i="5"/>
  <c r="AZ131" i="5"/>
  <c r="AZ222" i="5"/>
  <c r="AZ90" i="5"/>
  <c r="AZ218" i="5"/>
  <c r="AY36" i="5"/>
  <c r="AZ79" i="5"/>
  <c r="AY222" i="5"/>
  <c r="AY224" i="5"/>
  <c r="AZ56" i="5"/>
  <c r="AZ157" i="5"/>
  <c r="AZ162" i="5"/>
  <c r="AZ195" i="5"/>
  <c r="AZ128" i="5"/>
  <c r="AZ149" i="5"/>
  <c r="AY182" i="5"/>
  <c r="AY215" i="5"/>
  <c r="AZ42" i="5"/>
  <c r="AZ74" i="5"/>
  <c r="AY123" i="5"/>
  <c r="AY217" i="5"/>
  <c r="AY195" i="5"/>
  <c r="AY169" i="5"/>
  <c r="AZ91" i="5"/>
  <c r="AY212" i="5"/>
  <c r="AY138" i="5"/>
  <c r="AY128" i="5"/>
  <c r="AY200" i="5"/>
  <c r="AZ225" i="5"/>
  <c r="AZ85" i="5"/>
  <c r="AY111" i="5"/>
  <c r="AY173" i="5"/>
  <c r="AY149" i="5"/>
  <c r="AY142" i="5"/>
  <c r="AY73" i="5"/>
  <c r="AZ146" i="5"/>
  <c r="AZ220" i="5"/>
  <c r="AZ223" i="5"/>
  <c r="AZ52" i="5"/>
  <c r="AZ194" i="5"/>
  <c r="AZ140" i="5"/>
  <c r="AZ211" i="5"/>
  <c r="AZ49" i="5"/>
  <c r="AZ156" i="5"/>
  <c r="AZ228" i="5"/>
  <c r="AZ134" i="5"/>
  <c r="AZ196" i="5"/>
  <c r="AY38" i="5"/>
  <c r="AY68" i="5"/>
  <c r="AZ115" i="5"/>
  <c r="AY58" i="5"/>
  <c r="AZ129" i="5"/>
  <c r="AZ176" i="5"/>
  <c r="AZ130" i="5"/>
  <c r="AZ70" i="5"/>
  <c r="AZ216" i="5"/>
  <c r="AY63" i="5"/>
  <c r="AZ143" i="5"/>
  <c r="AY151" i="5"/>
  <c r="AY135" i="5"/>
  <c r="AZ100" i="5"/>
  <c r="AZ65" i="5"/>
  <c r="AZ93" i="5"/>
  <c r="AY62" i="5"/>
  <c r="AY146" i="5"/>
  <c r="AY220" i="5"/>
  <c r="AZ214" i="5"/>
  <c r="AY223" i="5"/>
  <c r="AZ81" i="5"/>
  <c r="AZ96" i="5"/>
  <c r="AY52" i="5"/>
  <c r="AY194" i="5"/>
  <c r="AY140" i="5"/>
  <c r="AY211" i="5"/>
  <c r="AZ33" i="5"/>
  <c r="AY49" i="5"/>
  <c r="AY156" i="5"/>
  <c r="AY228" i="5"/>
  <c r="AZ113" i="5"/>
  <c r="AY134" i="5"/>
  <c r="AZ207" i="5"/>
  <c r="AY183" i="5"/>
  <c r="AZ105" i="5"/>
  <c r="AY55" i="5"/>
  <c r="AY43" i="5"/>
  <c r="AY164" i="5"/>
  <c r="AY144" i="5"/>
  <c r="AY161" i="5"/>
  <c r="AY213" i="5"/>
  <c r="AY67" i="5"/>
  <c r="AY199" i="5"/>
  <c r="AY155" i="5"/>
  <c r="AY53" i="5"/>
  <c r="AZ120" i="5"/>
  <c r="AY127" i="5"/>
  <c r="AY139" i="5"/>
  <c r="AZ112" i="5"/>
  <c r="AZ122" i="5"/>
  <c r="AQ4" i="5"/>
  <c r="AR4" i="5" s="1"/>
  <c r="AZ54" i="5"/>
  <c r="AZ145" i="5"/>
  <c r="AY166" i="5"/>
  <c r="AY88" i="5"/>
  <c r="AY131" i="5"/>
  <c r="AZ82" i="5"/>
  <c r="AZ57" i="5"/>
  <c r="AY66" i="5"/>
  <c r="AY218" i="5"/>
  <c r="AZ181" i="5"/>
  <c r="AZ217" i="5"/>
  <c r="AZ111" i="5"/>
  <c r="AZ76" i="5"/>
  <c r="AY181" i="5"/>
  <c r="AZ95" i="5"/>
  <c r="AY59" i="5"/>
  <c r="AZ38" i="5"/>
  <c r="AZ151" i="5"/>
  <c r="AZ164" i="5"/>
  <c r="AZ67" i="5"/>
  <c r="AZ127" i="5"/>
  <c r="AY206" i="5"/>
  <c r="AZ117" i="5"/>
  <c r="AZ133" i="5"/>
  <c r="AZ226" i="5"/>
  <c r="AZ163" i="5"/>
  <c r="AY117" i="5"/>
  <c r="AY133" i="5"/>
  <c r="AY226" i="5"/>
  <c r="AZ172" i="5"/>
  <c r="AZ186" i="5"/>
  <c r="AZ60" i="5"/>
  <c r="AZ87" i="5"/>
  <c r="AZ184" i="5"/>
  <c r="AZ224" i="5"/>
  <c r="AZ179" i="5"/>
  <c r="AY86" i="5"/>
  <c r="AY77" i="5"/>
  <c r="AY184" i="5"/>
  <c r="AY34" i="5"/>
  <c r="AY47" i="5"/>
  <c r="AY167" i="5"/>
  <c r="AY110" i="5"/>
  <c r="AY54" i="5"/>
  <c r="AZ89" i="5"/>
  <c r="AZ229" i="5"/>
  <c r="AZ59" i="5"/>
  <c r="AY201" i="5"/>
  <c r="AZ212" i="5"/>
  <c r="AZ142" i="5"/>
  <c r="AZ80" i="5"/>
  <c r="AY162" i="5"/>
  <c r="AZ46" i="5"/>
  <c r="AZ68" i="5"/>
  <c r="AZ63" i="5"/>
  <c r="AZ183" i="5"/>
  <c r="AZ43" i="5"/>
  <c r="AZ213" i="5"/>
  <c r="AZ139" i="5"/>
  <c r="AZ165" i="5"/>
  <c r="AZ141" i="5"/>
  <c r="AZ178" i="5"/>
  <c r="AZ83" i="5"/>
  <c r="AZ37" i="5"/>
  <c r="AZ84" i="5"/>
  <c r="AZ198" i="5"/>
  <c r="AZ152" i="5"/>
  <c r="AZ147" i="5"/>
  <c r="AZ154" i="5"/>
  <c r="AZ50" i="5"/>
  <c r="AY197" i="5"/>
  <c r="AZ191" i="5"/>
  <c r="AY209" i="5"/>
  <c r="AZ121" i="5"/>
  <c r="AZ132" i="5"/>
  <c r="AZ150" i="5"/>
  <c r="AY41" i="5"/>
  <c r="AZ32" i="5"/>
  <c r="AZ219" i="5"/>
  <c r="AY116" i="5"/>
  <c r="AZ98" i="5"/>
  <c r="AY101" i="5"/>
  <c r="AY84" i="5"/>
  <c r="AY172" i="5"/>
  <c r="AY159" i="5"/>
  <c r="AZ69" i="5"/>
  <c r="AZ45" i="5"/>
  <c r="AY186" i="5"/>
  <c r="AZ107" i="5"/>
  <c r="AY60" i="5"/>
  <c r="AY87" i="5"/>
  <c r="AZ126" i="5"/>
  <c r="AZ204" i="5"/>
  <c r="AZ104" i="5"/>
  <c r="AZ86" i="5"/>
  <c r="AZ48" i="5"/>
  <c r="AZ167" i="5"/>
  <c r="AZ110" i="5"/>
  <c r="AZ124" i="5"/>
  <c r="AY136" i="5"/>
  <c r="AY122" i="5"/>
  <c r="AY48" i="5"/>
  <c r="AZ187" i="5"/>
  <c r="AY90" i="5"/>
  <c r="AY179" i="5"/>
  <c r="AZ182" i="5"/>
  <c r="AZ192" i="5"/>
  <c r="AZ169" i="5"/>
  <c r="AZ200" i="5"/>
  <c r="AZ173" i="5"/>
  <c r="AY89" i="5"/>
  <c r="AY229" i="5"/>
  <c r="AZ64" i="5"/>
  <c r="AZ206" i="5"/>
  <c r="AZ62" i="5"/>
  <c r="AZ55" i="5"/>
  <c r="AZ161" i="5"/>
  <c r="AZ155" i="5"/>
  <c r="AZ158" i="5"/>
  <c r="AZ71" i="5"/>
  <c r="AZ190" i="5"/>
  <c r="AZ202" i="5"/>
  <c r="AY158" i="5"/>
  <c r="AY175" i="5"/>
  <c r="AY141" i="5"/>
  <c r="AY178" i="5"/>
  <c r="AZ116" i="5"/>
  <c r="AZ159" i="5"/>
  <c r="AY153" i="5"/>
  <c r="AZ118" i="5"/>
  <c r="AZ208" i="5"/>
  <c r="AY198" i="5"/>
  <c r="AY152" i="5"/>
  <c r="AZ205" i="5"/>
  <c r="AZ221" i="5"/>
  <c r="AZ75" i="5"/>
  <c r="AZ148" i="5"/>
  <c r="AZ97" i="5"/>
  <c r="AZ72" i="5"/>
  <c r="AZ193" i="5"/>
  <c r="AZ171" i="5"/>
  <c r="AZ106" i="5"/>
  <c r="AZ109" i="5"/>
  <c r="AZ170" i="5"/>
  <c r="AZ99" i="5"/>
  <c r="AZ92" i="5"/>
  <c r="AZ227" i="5"/>
  <c r="AZ77" i="5"/>
  <c r="AZ125" i="5"/>
  <c r="AZ66" i="5"/>
  <c r="AY112" i="5"/>
  <c r="AZ201" i="5"/>
  <c r="AY61" i="5"/>
  <c r="AY125" i="5"/>
  <c r="AY124" i="5"/>
  <c r="AZ215" i="5"/>
  <c r="AZ123" i="5"/>
  <c r="AZ138" i="5"/>
  <c r="AZ73" i="5"/>
  <c r="AY157" i="5"/>
  <c r="AY192" i="5"/>
  <c r="AZ102" i="5"/>
  <c r="AZ58" i="5"/>
  <c r="AZ135" i="5"/>
  <c r="AZ144" i="5"/>
  <c r="AZ199" i="5"/>
  <c r="AZ53" i="5"/>
  <c r="AZ175" i="5"/>
  <c r="AZ185" i="5"/>
  <c r="AZ153" i="5"/>
  <c r="AY165" i="5"/>
  <c r="AY71" i="5"/>
  <c r="AY190" i="5"/>
  <c r="AY185" i="5"/>
  <c r="AY202" i="5"/>
  <c r="AZ101" i="5"/>
  <c r="AZ137" i="5"/>
  <c r="AZ168" i="5"/>
  <c r="AZ35" i="5"/>
  <c r="AY168" i="5"/>
  <c r="AZ197" i="5"/>
  <c r="AZ209" i="5"/>
  <c r="AY118" i="5"/>
  <c r="AY78" i="5"/>
  <c r="AZ114" i="5"/>
  <c r="AZ44" i="5"/>
  <c r="AZ180" i="5"/>
  <c r="AZ189" i="5"/>
  <c r="AZ203" i="5"/>
  <c r="AZ188" i="5"/>
  <c r="AY51" i="5"/>
  <c r="AZ160" i="5"/>
  <c r="AZ119" i="5"/>
  <c r="AY104" i="5"/>
  <c r="AZ94" i="5"/>
  <c r="AZ177" i="5"/>
  <c r="AZ103" i="5"/>
  <c r="AZ210" i="5"/>
  <c r="AY205" i="5"/>
  <c r="AZ108" i="5"/>
  <c r="AY221" i="5"/>
  <c r="AY75" i="5"/>
  <c r="AY148" i="5"/>
  <c r="AY97" i="5"/>
  <c r="AY72" i="5"/>
  <c r="AY193" i="5"/>
  <c r="AY171" i="5"/>
  <c r="AY106" i="5"/>
  <c r="AY109" i="5"/>
  <c r="AY170" i="5"/>
  <c r="AY99" i="5"/>
  <c r="AY92" i="5"/>
  <c r="AY227" i="5"/>
  <c r="BE139" i="7" l="1"/>
  <c r="BE109" i="7"/>
  <c r="BE194" i="7"/>
  <c r="BE106" i="7"/>
  <c r="BE191" i="7"/>
  <c r="BE83" i="7"/>
  <c r="BE228" i="7"/>
  <c r="BE140" i="7"/>
  <c r="BE38" i="7"/>
  <c r="W73" i="9" s="1"/>
  <c r="BE171" i="7"/>
  <c r="BE123" i="7"/>
  <c r="BE177" i="7"/>
  <c r="BE188" i="7"/>
  <c r="BE146" i="7"/>
  <c r="BE115" i="7"/>
  <c r="BE184" i="7"/>
  <c r="BE183" i="7"/>
  <c r="BE142" i="7"/>
  <c r="BE92" i="7"/>
  <c r="BE74" i="7"/>
  <c r="W31" i="9" s="1"/>
  <c r="BE120" i="7"/>
  <c r="BE157" i="7"/>
  <c r="BE161" i="7"/>
  <c r="BE229" i="7"/>
  <c r="BE136" i="7"/>
  <c r="BE33" i="7"/>
  <c r="W46" i="9" s="1"/>
  <c r="BE43" i="7"/>
  <c r="W54" i="9" s="1"/>
  <c r="BE208" i="7"/>
  <c r="BE124" i="7"/>
  <c r="BE56" i="7"/>
  <c r="W16" i="9" s="1"/>
  <c r="BE99" i="7"/>
  <c r="BE153" i="7"/>
  <c r="BE53" i="7"/>
  <c r="W44" i="9" s="1"/>
  <c r="BE61" i="7"/>
  <c r="W65" i="9" s="1"/>
  <c r="BE100" i="7"/>
  <c r="BE193" i="7"/>
  <c r="BE222" i="7"/>
  <c r="BE114" i="7"/>
  <c r="BE135" i="7"/>
  <c r="BE144" i="7"/>
  <c r="BE150" i="7"/>
  <c r="BE98" i="7"/>
  <c r="BE131" i="7"/>
  <c r="BE182" i="7"/>
  <c r="BE126" i="7"/>
  <c r="BE179" i="7"/>
  <c r="BE133" i="7"/>
  <c r="BE164" i="7"/>
  <c r="BE90" i="7"/>
  <c r="BE52" i="7"/>
  <c r="W43" i="9" s="1"/>
  <c r="BE178" i="7"/>
  <c r="BE180" i="7"/>
  <c r="BE195" i="7"/>
  <c r="BE40" i="7"/>
  <c r="W75" i="9" s="1"/>
  <c r="BE64" i="7"/>
  <c r="W68" i="9" s="1"/>
  <c r="BE80" i="7"/>
  <c r="BE143" i="7"/>
  <c r="BE63" i="7"/>
  <c r="W67" i="9" s="1"/>
  <c r="BE34" i="7"/>
  <c r="W47" i="9" s="1"/>
  <c r="BE156" i="7"/>
  <c r="BE69" i="7"/>
  <c r="W84" i="9" s="1"/>
  <c r="BE97" i="7"/>
  <c r="BE84" i="7"/>
  <c r="BE198" i="7"/>
  <c r="BE127" i="7"/>
  <c r="BE58" i="7"/>
  <c r="W18" i="9" s="1"/>
  <c r="BE48" i="7"/>
  <c r="W39" i="9" s="1"/>
  <c r="BE35" i="7"/>
  <c r="W21" i="9" s="1"/>
  <c r="BE54" i="7"/>
  <c r="W14" i="9" s="1"/>
  <c r="BE68" i="7"/>
  <c r="W83" i="9" s="1"/>
  <c r="BE76" i="7"/>
  <c r="W33" i="9" s="1"/>
  <c r="BE227" i="7"/>
  <c r="BE151" i="7"/>
  <c r="BE77" i="7"/>
  <c r="BE89" i="7"/>
  <c r="BE162" i="7"/>
  <c r="BE221" i="7"/>
  <c r="BE39" i="7"/>
  <c r="W74" i="9" s="1"/>
  <c r="BE219" i="7"/>
  <c r="BE42" i="7"/>
  <c r="W53" i="9" s="1"/>
  <c r="BE37" i="7"/>
  <c r="W23" i="9" s="1"/>
  <c r="BE49" i="7"/>
  <c r="W40" i="9" s="1"/>
  <c r="BE65" i="7"/>
  <c r="W80" i="9" s="1"/>
  <c r="BE172" i="7"/>
  <c r="BE176" i="7"/>
  <c r="BE141" i="7"/>
  <c r="BE218" i="7"/>
  <c r="BE160" i="7"/>
  <c r="BE187" i="7"/>
  <c r="BE137" i="7"/>
  <c r="BE200" i="7"/>
  <c r="BE145" i="7"/>
  <c r="BE196" i="7"/>
  <c r="BE95" i="7"/>
  <c r="BE167" i="7"/>
  <c r="BE158" i="7"/>
  <c r="BE214" i="7"/>
  <c r="BE152" i="7"/>
  <c r="BE71" i="7"/>
  <c r="W28" i="9" s="1"/>
  <c r="BE216" i="7"/>
  <c r="BE112" i="7"/>
  <c r="BE107" i="7"/>
  <c r="BE45" i="7"/>
  <c r="W56" i="9" s="1"/>
  <c r="BE121" i="7"/>
  <c r="BE81" i="7"/>
  <c r="BE47" i="7"/>
  <c r="W38" i="9" s="1"/>
  <c r="BE166" i="7"/>
  <c r="BE125" i="7"/>
  <c r="BE73" i="7"/>
  <c r="W30" i="9" s="1"/>
  <c r="BE168" i="7"/>
  <c r="BE169" i="7"/>
  <c r="BE155" i="7"/>
  <c r="BE101" i="7"/>
  <c r="BE55" i="7"/>
  <c r="W15" i="9" s="1"/>
  <c r="BE88" i="7"/>
  <c r="BE149" i="7"/>
  <c r="BE102" i="7"/>
  <c r="BE60" i="7"/>
  <c r="W64" i="9" s="1"/>
  <c r="BE186" i="7"/>
  <c r="BE202" i="7"/>
  <c r="BE46" i="7"/>
  <c r="W57" i="9" s="1"/>
  <c r="BE132" i="7"/>
  <c r="BE211" i="7"/>
  <c r="BE82" i="7"/>
  <c r="BE72" i="7"/>
  <c r="W29" i="9" s="1"/>
  <c r="BE207" i="7"/>
  <c r="BE91" i="7"/>
  <c r="BE199" i="7"/>
  <c r="BE93" i="7"/>
  <c r="BE78" i="7"/>
  <c r="BE197" i="7"/>
  <c r="BE192" i="7"/>
  <c r="BE50" i="7"/>
  <c r="W41" i="9" s="1"/>
  <c r="BE108" i="7"/>
  <c r="BE117" i="7"/>
  <c r="BE104" i="7"/>
  <c r="BE85" i="7"/>
  <c r="BE173" i="7"/>
  <c r="BE79" i="7"/>
  <c r="BE190" i="7"/>
  <c r="BE154" i="7"/>
  <c r="BE36" i="7"/>
  <c r="W22" i="9" s="1"/>
  <c r="BE138" i="7"/>
  <c r="BE32" i="7"/>
  <c r="W59" i="9" s="1"/>
  <c r="W58" i="9" s="1"/>
  <c r="BE118" i="7"/>
  <c r="BE57" i="7"/>
  <c r="W17" i="9" s="1"/>
  <c r="BE103" i="7"/>
  <c r="BE203" i="7"/>
  <c r="BE116" i="7"/>
  <c r="BE170" i="7"/>
  <c r="BE87" i="7"/>
  <c r="BE212" i="7"/>
  <c r="BE119" i="7"/>
  <c r="BE215" i="7"/>
  <c r="BE159" i="7"/>
  <c r="BE223" i="7"/>
  <c r="BE96" i="7"/>
  <c r="BE130" i="7"/>
  <c r="BE201" i="7"/>
  <c r="BE147" i="7"/>
  <c r="BE59" i="7"/>
  <c r="W19" i="9" s="1"/>
  <c r="BE217" i="7"/>
  <c r="BE148" i="7"/>
  <c r="BE110" i="7"/>
  <c r="BE66" i="7"/>
  <c r="W81" i="9" s="1"/>
  <c r="BE209" i="7"/>
  <c r="BE224" i="7"/>
  <c r="BE189" i="7"/>
  <c r="BE181" i="7"/>
  <c r="BE204" i="7"/>
  <c r="BE163" i="7"/>
  <c r="BE51" i="7"/>
  <c r="W42" i="9" s="1"/>
  <c r="BE86" i="7"/>
  <c r="BE165" i="7"/>
  <c r="BE67" i="7"/>
  <c r="W82" i="9" s="1"/>
  <c r="BE44" i="7"/>
  <c r="W55" i="9" s="1"/>
  <c r="BE206" i="7"/>
  <c r="BE128" i="7"/>
  <c r="BE134" i="7"/>
  <c r="BE113" i="7"/>
  <c r="BE175" i="7"/>
  <c r="BE94" i="7"/>
  <c r="BE70" i="7"/>
  <c r="W85" i="9" s="1"/>
  <c r="BE220" i="7"/>
  <c r="BE122" i="7"/>
  <c r="BE226" i="7"/>
  <c r="BE41" i="7"/>
  <c r="W52" i="9" s="1"/>
  <c r="BE105" i="7"/>
  <c r="BE185" i="7"/>
  <c r="BE111" i="7"/>
  <c r="BE210" i="7"/>
  <c r="BE129" i="7"/>
  <c r="BE75" i="7"/>
  <c r="W32" i="9" s="1"/>
  <c r="BE213" i="7"/>
  <c r="BE174" i="7"/>
  <c r="BE205" i="7"/>
  <c r="BE225" i="7"/>
  <c r="BE62" i="7"/>
  <c r="W66" i="9" s="1"/>
  <c r="AH8" i="5"/>
  <c r="AH5" i="5"/>
  <c r="AB38" i="6" s="1"/>
  <c r="AH6" i="5"/>
  <c r="AH23" i="5"/>
  <c r="AH17" i="5"/>
  <c r="AH11" i="5"/>
  <c r="AH14" i="5"/>
  <c r="AH19" i="5"/>
  <c r="AH18" i="5"/>
  <c r="AH22" i="5"/>
  <c r="AH16" i="5"/>
  <c r="AH10" i="5"/>
  <c r="AH13" i="5"/>
  <c r="AH20" i="5"/>
  <c r="AH12" i="5"/>
  <c r="AH21" i="5"/>
  <c r="AH15" i="5"/>
  <c r="AH7" i="5"/>
  <c r="AH9" i="5"/>
  <c r="AH9" i="7"/>
  <c r="AH8" i="7"/>
  <c r="AH6" i="7"/>
  <c r="BA49" i="7"/>
  <c r="AH18" i="7"/>
  <c r="AH12" i="7"/>
  <c r="AH17" i="7"/>
  <c r="AH11" i="7"/>
  <c r="AH16" i="7"/>
  <c r="AH15" i="7"/>
  <c r="AH14" i="7"/>
  <c r="AH13" i="7"/>
  <c r="AH23" i="7"/>
  <c r="AH22" i="7"/>
  <c r="AH21" i="7"/>
  <c r="AH20" i="7"/>
  <c r="AH19" i="7"/>
  <c r="AH7" i="7"/>
  <c r="AH4" i="7"/>
  <c r="Z38" i="9" s="1"/>
  <c r="AH10" i="7"/>
  <c r="AH5" i="7"/>
  <c r="AB38" i="9" s="1"/>
  <c r="AH4" i="5"/>
  <c r="Z38" i="6" s="1"/>
  <c r="BA65" i="7"/>
  <c r="BA50" i="7"/>
  <c r="BA47" i="7"/>
  <c r="BA48" i="7"/>
  <c r="BA37" i="7"/>
  <c r="BA77" i="7"/>
  <c r="BA187" i="7"/>
  <c r="AW13" i="7"/>
  <c r="AW14" i="7"/>
  <c r="BA75" i="7"/>
  <c r="BA67" i="7"/>
  <c r="BA39" i="7"/>
  <c r="BA107" i="7"/>
  <c r="BA123" i="7"/>
  <c r="BA109" i="7"/>
  <c r="BA103" i="7"/>
  <c r="BA141" i="7"/>
  <c r="BA197" i="7"/>
  <c r="BA199" i="7"/>
  <c r="BA183" i="7"/>
  <c r="BA100" i="7"/>
  <c r="BA158" i="7"/>
  <c r="BA172" i="7"/>
  <c r="BA205" i="7"/>
  <c r="BA129" i="7"/>
  <c r="BA97" i="7"/>
  <c r="BA225" i="7"/>
  <c r="BA89" i="7"/>
  <c r="BA128" i="7"/>
  <c r="BA136" i="7"/>
  <c r="BA224" i="7"/>
  <c r="BA91" i="7"/>
  <c r="BA174" i="7"/>
  <c r="BA113" i="7"/>
  <c r="BA210" i="7"/>
  <c r="AW16" i="7"/>
  <c r="BA161" i="7"/>
  <c r="AW12" i="7"/>
  <c r="BA200" i="7"/>
  <c r="BA155" i="7"/>
  <c r="BA108" i="7"/>
  <c r="BA168" i="7"/>
  <c r="AW15" i="7"/>
  <c r="AW21" i="7"/>
  <c r="BA53" i="7"/>
  <c r="AW18" i="7"/>
  <c r="BA167" i="7"/>
  <c r="BA56" i="7"/>
  <c r="BA38" i="7"/>
  <c r="BA194" i="7"/>
  <c r="AW11" i="7"/>
  <c r="BA185" i="7"/>
  <c r="BA99" i="7"/>
  <c r="BA176" i="7"/>
  <c r="BA159" i="7"/>
  <c r="BA138" i="7"/>
  <c r="BA175" i="7"/>
  <c r="BA148" i="7"/>
  <c r="AW9" i="7"/>
  <c r="BA218" i="7"/>
  <c r="BA60" i="7"/>
  <c r="BA126" i="7"/>
  <c r="BA66" i="7"/>
  <c r="BA64" i="7"/>
  <c r="BA181" i="7"/>
  <c r="BA121" i="7"/>
  <c r="AW17" i="7"/>
  <c r="BA228" i="7"/>
  <c r="BA189" i="7"/>
  <c r="BA69" i="7"/>
  <c r="BA118" i="7"/>
  <c r="BA94" i="7"/>
  <c r="BA93" i="7"/>
  <c r="BA192" i="7"/>
  <c r="BA114" i="7"/>
  <c r="BA144" i="7"/>
  <c r="BA171" i="7"/>
  <c r="BA229" i="7"/>
  <c r="BA178" i="7"/>
  <c r="BA164" i="7"/>
  <c r="BA160" i="7"/>
  <c r="BA195" i="7"/>
  <c r="BA102" i="7"/>
  <c r="BA139" i="7"/>
  <c r="BA213" i="7"/>
  <c r="BA180" i="7"/>
  <c r="BA84" i="7"/>
  <c r="BA190" i="7"/>
  <c r="BA137" i="7"/>
  <c r="BA149" i="7"/>
  <c r="BA130" i="7"/>
  <c r="BA207" i="7"/>
  <c r="BA122" i="7"/>
  <c r="BA135" i="7"/>
  <c r="BA40" i="7"/>
  <c r="BA150" i="7"/>
  <c r="AW23" i="7"/>
  <c r="BA184" i="7"/>
  <c r="BA43" i="7"/>
  <c r="AW10" i="7"/>
  <c r="BA62" i="7"/>
  <c r="BA204" i="7"/>
  <c r="AW8" i="7"/>
  <c r="BA222" i="7"/>
  <c r="BA182" i="7"/>
  <c r="AW6" i="7"/>
  <c r="BA166" i="7"/>
  <c r="BA212" i="7"/>
  <c r="BA186" i="7"/>
  <c r="AW22" i="7"/>
  <c r="BA219" i="7"/>
  <c r="BA52" i="7"/>
  <c r="BA86" i="7"/>
  <c r="BA147" i="7"/>
  <c r="AW4" i="7"/>
  <c r="Z36" i="9"/>
  <c r="BA227" i="7"/>
  <c r="BA105" i="7"/>
  <c r="BA203" i="7"/>
  <c r="BA208" i="7"/>
  <c r="BA98" i="7"/>
  <c r="BA162" i="7"/>
  <c r="BA216" i="7"/>
  <c r="BA153" i="7"/>
  <c r="BA115" i="7"/>
  <c r="BA95" i="7"/>
  <c r="BA68" i="7"/>
  <c r="BA131" i="7"/>
  <c r="BA41" i="7"/>
  <c r="BA125" i="7"/>
  <c r="BA101" i="7"/>
  <c r="BA209" i="7"/>
  <c r="BA223" i="7"/>
  <c r="BA119" i="7"/>
  <c r="BA140" i="7"/>
  <c r="BA133" i="7"/>
  <c r="BA81" i="7"/>
  <c r="BA63" i="7"/>
  <c r="BA73" i="7"/>
  <c r="BA80" i="7"/>
  <c r="BA61" i="7"/>
  <c r="BA163" i="7"/>
  <c r="BA104" i="7"/>
  <c r="BA44" i="7"/>
  <c r="BA173" i="7"/>
  <c r="BA74" i="7"/>
  <c r="BA71" i="7"/>
  <c r="BA191" i="7"/>
  <c r="BA117" i="7"/>
  <c r="BA146" i="7"/>
  <c r="BA198" i="7"/>
  <c r="BA85" i="7"/>
  <c r="BA220" i="7"/>
  <c r="BA154" i="7"/>
  <c r="BA87" i="7"/>
  <c r="BA106" i="7"/>
  <c r="BA196" i="7"/>
  <c r="BA201" i="7"/>
  <c r="BA90" i="7"/>
  <c r="BA34" i="7"/>
  <c r="BA215" i="7"/>
  <c r="AC35" i="9"/>
  <c r="BA35" i="7"/>
  <c r="BA36" i="7"/>
  <c r="BA59" i="7"/>
  <c r="BA142" i="7"/>
  <c r="BA54" i="7"/>
  <c r="BA202" i="7"/>
  <c r="BA88" i="7"/>
  <c r="BA70" i="7"/>
  <c r="BA76" i="7"/>
  <c r="BA165" i="7"/>
  <c r="BA211" i="7"/>
  <c r="BA145" i="7"/>
  <c r="BA55" i="7"/>
  <c r="BA193" i="7"/>
  <c r="BA188" i="7"/>
  <c r="BA72" i="7"/>
  <c r="BA226" i="7"/>
  <c r="BA179" i="7"/>
  <c r="BA82" i="7"/>
  <c r="BA42" i="7"/>
  <c r="BA214" i="7"/>
  <c r="BA177" i="7"/>
  <c r="BA124" i="7"/>
  <c r="BA57" i="7"/>
  <c r="BA132" i="7"/>
  <c r="BA143" i="7"/>
  <c r="AD35" i="9"/>
  <c r="AE35" i="9" s="1"/>
  <c r="AA35" i="9"/>
  <c r="AB34" i="9"/>
  <c r="AC34" i="9" s="1"/>
  <c r="AU24" i="7"/>
  <c r="AY7" i="7" s="1"/>
  <c r="Z34" i="9"/>
  <c r="Z41" i="9" s="1"/>
  <c r="AA41" i="9" s="1"/>
  <c r="AW5" i="7"/>
  <c r="AB36" i="9"/>
  <c r="BA51" i="7"/>
  <c r="BA111" i="7"/>
  <c r="BA78" i="7"/>
  <c r="BA169" i="7"/>
  <c r="BA110" i="7"/>
  <c r="BA152" i="7"/>
  <c r="BA151" i="7"/>
  <c r="BA79" i="7"/>
  <c r="BA127" i="7"/>
  <c r="BA156" i="7"/>
  <c r="BA217" i="7"/>
  <c r="BA92" i="7"/>
  <c r="BA170" i="7"/>
  <c r="BA58" i="7"/>
  <c r="AW20" i="7"/>
  <c r="BA112" i="7"/>
  <c r="BA33" i="7"/>
  <c r="BA116" i="7"/>
  <c r="BA221" i="7"/>
  <c r="BA96" i="7"/>
  <c r="BA83" i="7"/>
  <c r="AW19" i="7"/>
  <c r="BA134" i="7"/>
  <c r="BA157" i="7"/>
  <c r="BA206" i="7"/>
  <c r="BA120" i="7"/>
  <c r="AT11" i="5"/>
  <c r="AS11" i="5"/>
  <c r="AT13" i="5"/>
  <c r="AS13" i="5"/>
  <c r="AT12" i="5"/>
  <c r="AS12" i="5"/>
  <c r="AT9" i="5"/>
  <c r="AS9" i="5"/>
  <c r="AT21" i="5"/>
  <c r="AS21" i="5"/>
  <c r="AS8" i="5"/>
  <c r="AT8" i="5"/>
  <c r="AT16" i="5"/>
  <c r="AS16" i="5"/>
  <c r="AT19" i="5"/>
  <c r="AS19" i="5"/>
  <c r="AT18" i="5"/>
  <c r="AS18" i="5"/>
  <c r="AS6" i="5"/>
  <c r="AT6" i="5"/>
  <c r="AS7" i="5"/>
  <c r="AT7" i="5"/>
  <c r="AT4" i="5"/>
  <c r="AS4" i="5"/>
  <c r="Z39" i="6"/>
  <c r="AT17" i="5"/>
  <c r="AS17" i="5"/>
  <c r="AT20" i="5"/>
  <c r="AS20" i="5"/>
  <c r="AT14" i="5"/>
  <c r="AS14" i="5"/>
  <c r="AT5" i="5"/>
  <c r="AS5" i="5"/>
  <c r="AB39" i="6"/>
  <c r="AC39" i="6" s="1"/>
  <c r="AT15" i="5"/>
  <c r="AS15" i="5"/>
  <c r="AT10" i="5"/>
  <c r="AS10" i="5"/>
  <c r="AT22" i="5"/>
  <c r="AS22" i="5"/>
  <c r="AT23" i="5"/>
  <c r="AS23" i="5"/>
  <c r="W63" i="9" l="1"/>
  <c r="W61" i="9" s="1"/>
  <c r="W72" i="9"/>
  <c r="W70" i="9" s="1"/>
  <c r="W13" i="9"/>
  <c r="W51" i="9"/>
  <c r="W49" i="9" s="1"/>
  <c r="W79" i="9"/>
  <c r="W77" i="9" s="1"/>
  <c r="W27" i="9"/>
  <c r="W25" i="9" s="1"/>
  <c r="W37" i="9"/>
  <c r="W45" i="9"/>
  <c r="W20" i="9"/>
  <c r="BD115" i="5"/>
  <c r="BD191" i="5"/>
  <c r="BD123" i="5"/>
  <c r="BD141" i="5"/>
  <c r="BD160" i="5"/>
  <c r="BD172" i="5"/>
  <c r="BD205" i="5"/>
  <c r="BD143" i="5"/>
  <c r="BD158" i="5"/>
  <c r="BD147" i="5"/>
  <c r="BD66" i="5"/>
  <c r="BD135" i="5"/>
  <c r="BD220" i="5"/>
  <c r="BD85" i="5"/>
  <c r="BD203" i="5"/>
  <c r="BD146" i="5"/>
  <c r="BD165" i="5"/>
  <c r="BD178" i="5"/>
  <c r="BD204" i="5"/>
  <c r="BD105" i="5"/>
  <c r="BD134" i="5"/>
  <c r="BD67" i="5"/>
  <c r="BD177" i="5"/>
  <c r="BD101" i="5"/>
  <c r="BD70" i="5"/>
  <c r="BD176" i="5"/>
  <c r="BD157" i="5"/>
  <c r="BD137" i="5"/>
  <c r="BD150" i="5"/>
  <c r="BD136" i="5"/>
  <c r="BD77" i="5"/>
  <c r="BD171" i="5"/>
  <c r="BD159" i="5"/>
  <c r="BD114" i="5"/>
  <c r="BD192" i="5"/>
  <c r="BD75" i="5"/>
  <c r="BD183" i="5"/>
  <c r="BD119" i="5"/>
  <c r="BD184" i="5"/>
  <c r="BD180" i="5"/>
  <c r="BD103" i="5"/>
  <c r="BD179" i="5"/>
  <c r="BD151" i="5"/>
  <c r="BD84" i="5"/>
  <c r="BD89" i="5"/>
  <c r="BD61" i="5"/>
  <c r="BD104" i="5"/>
  <c r="BD132" i="5"/>
  <c r="BD133" i="5"/>
  <c r="BD125" i="5"/>
  <c r="BD88" i="5"/>
  <c r="BD108" i="5"/>
  <c r="BD64" i="5"/>
  <c r="BD196" i="5"/>
  <c r="BD201" i="5"/>
  <c r="BD131" i="5"/>
  <c r="BD142" i="5"/>
  <c r="BD91" i="5"/>
  <c r="BD202" i="5"/>
  <c r="BD128" i="5"/>
  <c r="BD153" i="5"/>
  <c r="BD129" i="5"/>
  <c r="BD82" i="5"/>
  <c r="BD99" i="5"/>
  <c r="BD80" i="5"/>
  <c r="BD100" i="5"/>
  <c r="BD79" i="5"/>
  <c r="BD161" i="5"/>
  <c r="BD216" i="5"/>
  <c r="BD106" i="5"/>
  <c r="BD95" i="5"/>
  <c r="BD124" i="5"/>
  <c r="BD189" i="5"/>
  <c r="BD215" i="5"/>
  <c r="BD145" i="5"/>
  <c r="BD162" i="5"/>
  <c r="BD190" i="5"/>
  <c r="BD73" i="5"/>
  <c r="BD109" i="5"/>
  <c r="BD182" i="5"/>
  <c r="BD224" i="5"/>
  <c r="BD138" i="5"/>
  <c r="BD225" i="5"/>
  <c r="BD206" i="5"/>
  <c r="BD167" i="5"/>
  <c r="BD175" i="5"/>
  <c r="BD185" i="5"/>
  <c r="BD71" i="5"/>
  <c r="BD72" i="5"/>
  <c r="BD221" i="5"/>
  <c r="BD117" i="5"/>
  <c r="BD199" i="5"/>
  <c r="BD149" i="5"/>
  <c r="BD83" i="5"/>
  <c r="BD188" i="5"/>
  <c r="BD218" i="5"/>
  <c r="BD222" i="5"/>
  <c r="BD164" i="5"/>
  <c r="BD152" i="5"/>
  <c r="BD229" i="5"/>
  <c r="BD168" i="5"/>
  <c r="BD227" i="5"/>
  <c r="BD113" i="5"/>
  <c r="BD81" i="5"/>
  <c r="BD87" i="5"/>
  <c r="BD223" i="5"/>
  <c r="BD127" i="5"/>
  <c r="BD207" i="5"/>
  <c r="BD211" i="5"/>
  <c r="BD130" i="5"/>
  <c r="BD219" i="5"/>
  <c r="BD116" i="5"/>
  <c r="BD214" i="5"/>
  <c r="BD118" i="5"/>
  <c r="BD62" i="5"/>
  <c r="BD111" i="5"/>
  <c r="BD212" i="5"/>
  <c r="BD96" i="5"/>
  <c r="BD68" i="5"/>
  <c r="BD198" i="5"/>
  <c r="BD92" i="5"/>
  <c r="BD93" i="5"/>
  <c r="BD156" i="5"/>
  <c r="BD213" i="5"/>
  <c r="BD112" i="5"/>
  <c r="BD170" i="5"/>
  <c r="BD169" i="5"/>
  <c r="BD126" i="5"/>
  <c r="BD163" i="5"/>
  <c r="BD139" i="5"/>
  <c r="BD107" i="5"/>
  <c r="BD208" i="5"/>
  <c r="BD174" i="5"/>
  <c r="BD144" i="5"/>
  <c r="BD122" i="5"/>
  <c r="BD65" i="5"/>
  <c r="BD86" i="5"/>
  <c r="BD186" i="5"/>
  <c r="BD226" i="5"/>
  <c r="BD155" i="5"/>
  <c r="BD181" i="5"/>
  <c r="BD121" i="5"/>
  <c r="BD187" i="5"/>
  <c r="BD140" i="5"/>
  <c r="BD63" i="5"/>
  <c r="BD173" i="5"/>
  <c r="BD154" i="5"/>
  <c r="BD98" i="5"/>
  <c r="BD97" i="5"/>
  <c r="BD194" i="5"/>
  <c r="BD110" i="5"/>
  <c r="BD69" i="5"/>
  <c r="BD60" i="5"/>
  <c r="BD148" i="5"/>
  <c r="BD76" i="5"/>
  <c r="BD78" i="5"/>
  <c r="BD120" i="5"/>
  <c r="BD195" i="5"/>
  <c r="BD94" i="5"/>
  <c r="BD90" i="5"/>
  <c r="BD197" i="5"/>
  <c r="BD210" i="5"/>
  <c r="BD74" i="5"/>
  <c r="BD217" i="5"/>
  <c r="BD166" i="5"/>
  <c r="BD193" i="5"/>
  <c r="BD228" i="5"/>
  <c r="BD209" i="5"/>
  <c r="BD200" i="5"/>
  <c r="BD102" i="5"/>
  <c r="BD59" i="5"/>
  <c r="BD58" i="5"/>
  <c r="BD57" i="5"/>
  <c r="BD56" i="5"/>
  <c r="BD43" i="5"/>
  <c r="BD32" i="5"/>
  <c r="BD40" i="5"/>
  <c r="BD42" i="5"/>
  <c r="BD39" i="5"/>
  <c r="BD41" i="5"/>
  <c r="BD44" i="5"/>
  <c r="BD48" i="5"/>
  <c r="BD51" i="5"/>
  <c r="BD50" i="5"/>
  <c r="BD49" i="5"/>
  <c r="BD52" i="5"/>
  <c r="BD53" i="5"/>
  <c r="BD54" i="5"/>
  <c r="BD55" i="5"/>
  <c r="BD47" i="5"/>
  <c r="BD33" i="5"/>
  <c r="BD46" i="5"/>
  <c r="BD34" i="5"/>
  <c r="BD45" i="5"/>
  <c r="BD35" i="5"/>
  <c r="BD38" i="5"/>
  <c r="BD37" i="5"/>
  <c r="BD36" i="5"/>
  <c r="AY4" i="7"/>
  <c r="Z40" i="9" s="1"/>
  <c r="AA40" i="9" s="1"/>
  <c r="AY14" i="7"/>
  <c r="AY12" i="7"/>
  <c r="AY19" i="7"/>
  <c r="BB79" i="7"/>
  <c r="AY22" i="7"/>
  <c r="AY11" i="7"/>
  <c r="BB135" i="7"/>
  <c r="AY21" i="7"/>
  <c r="BB180" i="7"/>
  <c r="AY9" i="7"/>
  <c r="BB181" i="7"/>
  <c r="AF24" i="7"/>
  <c r="BB24" i="7" s="1"/>
  <c r="AA71" i="9" s="1"/>
  <c r="AY15" i="7"/>
  <c r="AY5" i="7"/>
  <c r="AB40" i="9" s="1"/>
  <c r="AC40" i="9" s="1"/>
  <c r="AY17" i="7"/>
  <c r="BB207" i="7"/>
  <c r="AY10" i="7"/>
  <c r="BB146" i="7"/>
  <c r="BB38" i="7"/>
  <c r="V73" i="9" s="1"/>
  <c r="BB45" i="7"/>
  <c r="BB151" i="7"/>
  <c r="BB117" i="7"/>
  <c r="BB178" i="7"/>
  <c r="BB213" i="7"/>
  <c r="BB129" i="7"/>
  <c r="BB224" i="7"/>
  <c r="BB223" i="7"/>
  <c r="BB200" i="7"/>
  <c r="BB143" i="7"/>
  <c r="BB71" i="7"/>
  <c r="BB118" i="7"/>
  <c r="BB132" i="7"/>
  <c r="BB55" i="7"/>
  <c r="BB159" i="7"/>
  <c r="BB175" i="7"/>
  <c r="BB201" i="7"/>
  <c r="BB32" i="7"/>
  <c r="V59" i="9" s="1"/>
  <c r="V58" i="9" s="1"/>
  <c r="BB113" i="7"/>
  <c r="BB122" i="7"/>
  <c r="BB209" i="7"/>
  <c r="BB162" i="7"/>
  <c r="BB150" i="7"/>
  <c r="BB166" i="7"/>
  <c r="BB218" i="7"/>
  <c r="BB43" i="7"/>
  <c r="BB120" i="7"/>
  <c r="BB78" i="7"/>
  <c r="BB190" i="7"/>
  <c r="BB155" i="7"/>
  <c r="BB57" i="7"/>
  <c r="BB145" i="7"/>
  <c r="BB59" i="7"/>
  <c r="BB229" i="7"/>
  <c r="BB196" i="7"/>
  <c r="BB74" i="7"/>
  <c r="BB158" i="7"/>
  <c r="BB89" i="7"/>
  <c r="BB101" i="7"/>
  <c r="BB98" i="7"/>
  <c r="BB67" i="7"/>
  <c r="BB60" i="7"/>
  <c r="AY23" i="7"/>
  <c r="AY6" i="7"/>
  <c r="BB226" i="7"/>
  <c r="BB115" i="7"/>
  <c r="BB221" i="7"/>
  <c r="BB54" i="7"/>
  <c r="BB153" i="7"/>
  <c r="BB187" i="7"/>
  <c r="BB188" i="7"/>
  <c r="BB73" i="7"/>
  <c r="BB33" i="7"/>
  <c r="V46" i="9" s="1"/>
  <c r="BB47" i="7"/>
  <c r="BB90" i="7"/>
  <c r="BB138" i="7"/>
  <c r="BB48" i="7"/>
  <c r="BB112" i="7"/>
  <c r="BB93" i="7"/>
  <c r="BB58" i="7"/>
  <c r="V14" i="9" s="1"/>
  <c r="BB211" i="7"/>
  <c r="BB173" i="7"/>
  <c r="BB114" i="7"/>
  <c r="BB69" i="7"/>
  <c r="BB157" i="7"/>
  <c r="BB171" i="7"/>
  <c r="AB41" i="9"/>
  <c r="AC41" i="9" s="1"/>
  <c r="BB41" i="7"/>
  <c r="BB64" i="7"/>
  <c r="BB185" i="7"/>
  <c r="BB134" i="7"/>
  <c r="BB92" i="7"/>
  <c r="BB225" i="7"/>
  <c r="BB103" i="7"/>
  <c r="BB136" i="7"/>
  <c r="BB214" i="7"/>
  <c r="BB76" i="7"/>
  <c r="BB100" i="7"/>
  <c r="BB75" i="7"/>
  <c r="BB154" i="7"/>
  <c r="BB104" i="7"/>
  <c r="BB40" i="7"/>
  <c r="V75" i="9" s="1"/>
  <c r="BB195" i="7"/>
  <c r="BB131" i="7"/>
  <c r="BB105" i="7"/>
  <c r="BB164" i="7"/>
  <c r="BB39" i="7"/>
  <c r="V74" i="9" s="1"/>
  <c r="BB182" i="7"/>
  <c r="BB107" i="7"/>
  <c r="BB144" i="7"/>
  <c r="BB202" i="7"/>
  <c r="BB119" i="7"/>
  <c r="BB80" i="7"/>
  <c r="BB142" i="7"/>
  <c r="BB186" i="7"/>
  <c r="BB97" i="7"/>
  <c r="BB216" i="7"/>
  <c r="BB206" i="7"/>
  <c r="BB148" i="7"/>
  <c r="BB36" i="7"/>
  <c r="V22" i="9" s="1"/>
  <c r="BB125" i="7"/>
  <c r="BB210" i="7"/>
  <c r="BB111" i="7"/>
  <c r="BB165" i="7"/>
  <c r="BB174" i="7"/>
  <c r="BB203" i="7"/>
  <c r="BB50" i="7"/>
  <c r="BB217" i="7"/>
  <c r="BB65" i="7"/>
  <c r="AA34" i="9"/>
  <c r="AD34" i="9"/>
  <c r="AE34" i="9" s="1"/>
  <c r="BB161" i="7"/>
  <c r="BB42" i="7"/>
  <c r="BB70" i="7"/>
  <c r="BB94" i="7"/>
  <c r="BB220" i="7"/>
  <c r="BB163" i="7"/>
  <c r="BB141" i="7"/>
  <c r="AY16" i="7"/>
  <c r="AY13" i="7"/>
  <c r="BB227" i="7"/>
  <c r="BB108" i="7"/>
  <c r="BB147" i="7"/>
  <c r="BB222" i="7"/>
  <c r="BB137" i="7"/>
  <c r="BB149" i="7"/>
  <c r="BB130" i="7"/>
  <c r="BB219" i="7"/>
  <c r="BB72" i="7"/>
  <c r="BB84" i="7"/>
  <c r="BB53" i="7"/>
  <c r="BB152" i="7"/>
  <c r="BB34" i="7"/>
  <c r="V47" i="9" s="1"/>
  <c r="BB46" i="7"/>
  <c r="BB110" i="7"/>
  <c r="BB192" i="7"/>
  <c r="BB62" i="7"/>
  <c r="AB37" i="9"/>
  <c r="AC37" i="9" s="1"/>
  <c r="AC38" i="9"/>
  <c r="AC36" i="9"/>
  <c r="BB106" i="7"/>
  <c r="BB208" i="7"/>
  <c r="BB183" i="7"/>
  <c r="BB128" i="7"/>
  <c r="BB87" i="7"/>
  <c r="BB139" i="7"/>
  <c r="BB83" i="7"/>
  <c r="BB228" i="7"/>
  <c r="BB88" i="7"/>
  <c r="BB35" i="7"/>
  <c r="V21" i="9" s="1"/>
  <c r="BB189" i="7"/>
  <c r="BB85" i="7"/>
  <c r="BB61" i="7"/>
  <c r="BB197" i="7"/>
  <c r="BB133" i="7"/>
  <c r="BB68" i="7"/>
  <c r="BB167" i="7"/>
  <c r="Z37" i="9"/>
  <c r="AA37" i="9" s="1"/>
  <c r="AA38" i="9"/>
  <c r="AD36" i="9"/>
  <c r="AE36" i="9" s="1"/>
  <c r="AA36" i="9"/>
  <c r="BB86" i="7"/>
  <c r="BB168" i="7"/>
  <c r="BB37" i="7"/>
  <c r="V23" i="9" s="1"/>
  <c r="BB184" i="7"/>
  <c r="BB121" i="7"/>
  <c r="BB81" i="7"/>
  <c r="BB160" i="7"/>
  <c r="BB66" i="7"/>
  <c r="BB215" i="7"/>
  <c r="BB91" i="7"/>
  <c r="BB116" i="7"/>
  <c r="BB191" i="7"/>
  <c r="BB109" i="7"/>
  <c r="BB123" i="7"/>
  <c r="BB194" i="7"/>
  <c r="BB193" i="7"/>
  <c r="BB212" i="7"/>
  <c r="BB169" i="7"/>
  <c r="BB124" i="7"/>
  <c r="BB63" i="7"/>
  <c r="BB170" i="7"/>
  <c r="BB177" i="7"/>
  <c r="BB44" i="7"/>
  <c r="BB56" i="7"/>
  <c r="BB126" i="7"/>
  <c r="BB205" i="7"/>
  <c r="BB156" i="7"/>
  <c r="BB99" i="7"/>
  <c r="BB82" i="7"/>
  <c r="BB96" i="7"/>
  <c r="BB127" i="7"/>
  <c r="BB51" i="7"/>
  <c r="BB102" i="7"/>
  <c r="BB179" i="7"/>
  <c r="BB49" i="7"/>
  <c r="BB172" i="7"/>
  <c r="AY20" i="7"/>
  <c r="BB198" i="7"/>
  <c r="AY8" i="7"/>
  <c r="AY18" i="7"/>
  <c r="BB140" i="7"/>
  <c r="BB95" i="7"/>
  <c r="BB176" i="7"/>
  <c r="BB52" i="7"/>
  <c r="BB204" i="7"/>
  <c r="BB199" i="7"/>
  <c r="BB77" i="7"/>
  <c r="AV21" i="5"/>
  <c r="AU21" i="5"/>
  <c r="AV17" i="5"/>
  <c r="AU17" i="5"/>
  <c r="AV15" i="5"/>
  <c r="AU15" i="5"/>
  <c r="AU13" i="5"/>
  <c r="AV13" i="5"/>
  <c r="AV7" i="5"/>
  <c r="AU7" i="5"/>
  <c r="AV12" i="5"/>
  <c r="AU12" i="5"/>
  <c r="AV16" i="5"/>
  <c r="AU16" i="5"/>
  <c r="AV11" i="5"/>
  <c r="AU11" i="5"/>
  <c r="AU22" i="5"/>
  <c r="AV22" i="5"/>
  <c r="AD39" i="6"/>
  <c r="AE39" i="6" s="1"/>
  <c r="AA39" i="6"/>
  <c r="AU18" i="5"/>
  <c r="AV18" i="5"/>
  <c r="AV20" i="5"/>
  <c r="AU20" i="5"/>
  <c r="AV10" i="5"/>
  <c r="AU10" i="5"/>
  <c r="AU19" i="5"/>
  <c r="AV19" i="5"/>
  <c r="AV8" i="5"/>
  <c r="AU8" i="5"/>
  <c r="AV14" i="5"/>
  <c r="AU14" i="5"/>
  <c r="AV23" i="5"/>
  <c r="AU23" i="5"/>
  <c r="AV5" i="5"/>
  <c r="AU5" i="5"/>
  <c r="AB35" i="6"/>
  <c r="AU4" i="5"/>
  <c r="AV4" i="5"/>
  <c r="AT24" i="5"/>
  <c r="Z35" i="6"/>
  <c r="AV6" i="5"/>
  <c r="AU6" i="5"/>
  <c r="AU9" i="5"/>
  <c r="AV9" i="5"/>
  <c r="W11" i="9" l="1"/>
  <c r="W35" i="9"/>
  <c r="BE46" i="5"/>
  <c r="W15" i="6" s="1"/>
  <c r="BE41" i="5"/>
  <c r="W35" i="6" s="1"/>
  <c r="BE78" i="5"/>
  <c r="BE209" i="5"/>
  <c r="BE207" i="5"/>
  <c r="BE124" i="5"/>
  <c r="BE228" i="5"/>
  <c r="BE188" i="5"/>
  <c r="BE177" i="5"/>
  <c r="BE47" i="5"/>
  <c r="W16" i="6" s="1"/>
  <c r="BE139" i="5"/>
  <c r="BE67" i="5"/>
  <c r="BE55" i="5"/>
  <c r="W63" i="6" s="1"/>
  <c r="BE212" i="5"/>
  <c r="BE89" i="5"/>
  <c r="BE54" i="5"/>
  <c r="W62" i="6" s="1"/>
  <c r="BE126" i="5"/>
  <c r="BE105" i="5"/>
  <c r="BE169" i="5"/>
  <c r="BE79" i="5"/>
  <c r="BE77" i="5"/>
  <c r="BE36" i="5"/>
  <c r="W45" i="6" s="1"/>
  <c r="BE52" i="5"/>
  <c r="W60" i="6" s="1"/>
  <c r="BE56" i="5"/>
  <c r="W25" i="6" s="1"/>
  <c r="BE210" i="5"/>
  <c r="BE194" i="5"/>
  <c r="BE186" i="5"/>
  <c r="BE170" i="5"/>
  <c r="BE118" i="5"/>
  <c r="BE227" i="5"/>
  <c r="BE221" i="5"/>
  <c r="BE73" i="5"/>
  <c r="BE100" i="5"/>
  <c r="BE196" i="5"/>
  <c r="BE179" i="5"/>
  <c r="BE136" i="5"/>
  <c r="BE178" i="5"/>
  <c r="BE172" i="5"/>
  <c r="BE208" i="5"/>
  <c r="BE75" i="5"/>
  <c r="BE187" i="5"/>
  <c r="BE104" i="5"/>
  <c r="BE121" i="5"/>
  <c r="BE106" i="5"/>
  <c r="BE60" i="5"/>
  <c r="BE216" i="5"/>
  <c r="BE81" i="5"/>
  <c r="BE171" i="5"/>
  <c r="BE43" i="5"/>
  <c r="W37" i="6" s="1"/>
  <c r="BE62" i="5"/>
  <c r="BE201" i="5"/>
  <c r="BE37" i="5"/>
  <c r="W46" i="6" s="1"/>
  <c r="BE49" i="5"/>
  <c r="W53" i="6" s="1"/>
  <c r="BE57" i="5"/>
  <c r="W26" i="6" s="1"/>
  <c r="BE197" i="5"/>
  <c r="BE97" i="5"/>
  <c r="BE86" i="5"/>
  <c r="BE112" i="5"/>
  <c r="BE214" i="5"/>
  <c r="BE168" i="5"/>
  <c r="BE72" i="5"/>
  <c r="BE190" i="5"/>
  <c r="BE80" i="5"/>
  <c r="BE64" i="5"/>
  <c r="BE103" i="5"/>
  <c r="BE150" i="5"/>
  <c r="BE165" i="5"/>
  <c r="BE160" i="5"/>
  <c r="BE206" i="5"/>
  <c r="BE128" i="5"/>
  <c r="BE33" i="5"/>
  <c r="W18" i="6" s="1"/>
  <c r="BE68" i="5"/>
  <c r="BE202" i="5"/>
  <c r="BE193" i="5"/>
  <c r="BE223" i="5"/>
  <c r="BE114" i="5"/>
  <c r="BE166" i="5"/>
  <c r="BE87" i="5"/>
  <c r="BE142" i="5"/>
  <c r="BE217" i="5"/>
  <c r="BE199" i="5"/>
  <c r="BE143" i="5"/>
  <c r="BE110" i="5"/>
  <c r="BE117" i="5"/>
  <c r="BE151" i="5"/>
  <c r="BE38" i="5"/>
  <c r="W47" i="6" s="1"/>
  <c r="BE50" i="5"/>
  <c r="W54" i="6" s="1"/>
  <c r="BE58" i="5"/>
  <c r="W27" i="6" s="1"/>
  <c r="BE90" i="5"/>
  <c r="BE98" i="5"/>
  <c r="BE65" i="5"/>
  <c r="BE213" i="5"/>
  <c r="BE116" i="5"/>
  <c r="BE229" i="5"/>
  <c r="BE71" i="5"/>
  <c r="BE162" i="5"/>
  <c r="BE99" i="5"/>
  <c r="BE108" i="5"/>
  <c r="BE180" i="5"/>
  <c r="BE137" i="5"/>
  <c r="BE146" i="5"/>
  <c r="BE141" i="5"/>
  <c r="BE198" i="5"/>
  <c r="BE132" i="5"/>
  <c r="BE39" i="5"/>
  <c r="W33" i="6" s="1"/>
  <c r="BE127" i="5"/>
  <c r="BE66" i="5"/>
  <c r="BE42" i="5"/>
  <c r="W36" i="6" s="1"/>
  <c r="BE96" i="5"/>
  <c r="BE61" i="5"/>
  <c r="BE163" i="5"/>
  <c r="BE224" i="5"/>
  <c r="BE158" i="5"/>
  <c r="BE111" i="5"/>
  <c r="BE84" i="5"/>
  <c r="BE226" i="5"/>
  <c r="BE109" i="5"/>
  <c r="BE204" i="5"/>
  <c r="BE35" i="5"/>
  <c r="W20" i="6" s="1"/>
  <c r="BE51" i="5"/>
  <c r="W55" i="6" s="1"/>
  <c r="BE59" i="5"/>
  <c r="W28" i="6" s="1"/>
  <c r="BE94" i="5"/>
  <c r="BE154" i="5"/>
  <c r="BE122" i="5"/>
  <c r="BE156" i="5"/>
  <c r="BE219" i="5"/>
  <c r="BE152" i="5"/>
  <c r="BE185" i="5"/>
  <c r="BE145" i="5"/>
  <c r="BE82" i="5"/>
  <c r="BE88" i="5"/>
  <c r="BE184" i="5"/>
  <c r="BE157" i="5"/>
  <c r="BE203" i="5"/>
  <c r="BE123" i="5"/>
  <c r="BE218" i="5"/>
  <c r="BE135" i="5"/>
  <c r="BE76" i="5"/>
  <c r="BE225" i="5"/>
  <c r="BE95" i="5"/>
  <c r="BE148" i="5"/>
  <c r="BE138" i="5"/>
  <c r="BE91" i="5"/>
  <c r="BE40" i="5"/>
  <c r="W34" i="6" s="1"/>
  <c r="BE149" i="5"/>
  <c r="BE134" i="5"/>
  <c r="BE69" i="5"/>
  <c r="BE182" i="5"/>
  <c r="BE161" i="5"/>
  <c r="BE74" i="5"/>
  <c r="BE113" i="5"/>
  <c r="BE205" i="5"/>
  <c r="BE45" i="5"/>
  <c r="W14" i="6" s="1"/>
  <c r="BE48" i="5"/>
  <c r="W52" i="6" s="1"/>
  <c r="BE102" i="5"/>
  <c r="BE195" i="5"/>
  <c r="BE173" i="5"/>
  <c r="BE144" i="5"/>
  <c r="BE93" i="5"/>
  <c r="BE130" i="5"/>
  <c r="BE164" i="5"/>
  <c r="BE175" i="5"/>
  <c r="BE215" i="5"/>
  <c r="BE129" i="5"/>
  <c r="BE125" i="5"/>
  <c r="BE119" i="5"/>
  <c r="BE176" i="5"/>
  <c r="BE85" i="5"/>
  <c r="BE191" i="5"/>
  <c r="BE140" i="5"/>
  <c r="BE101" i="5"/>
  <c r="BE107" i="5"/>
  <c r="BE192" i="5"/>
  <c r="BE83" i="5"/>
  <c r="BE147" i="5"/>
  <c r="BE181" i="5"/>
  <c r="BE159" i="5"/>
  <c r="BE32" i="5"/>
  <c r="W40" i="6" s="1"/>
  <c r="W39" i="6" s="1"/>
  <c r="BE155" i="5"/>
  <c r="BE131" i="5"/>
  <c r="BE53" i="5"/>
  <c r="W61" i="6" s="1"/>
  <c r="BE34" i="5"/>
  <c r="W19" i="6" s="1"/>
  <c r="BE44" i="5"/>
  <c r="W38" i="6" s="1"/>
  <c r="BE200" i="5"/>
  <c r="BE120" i="5"/>
  <c r="BE63" i="5"/>
  <c r="BE174" i="5"/>
  <c r="BE92" i="5"/>
  <c r="BE211" i="5"/>
  <c r="BE222" i="5"/>
  <c r="BE167" i="5"/>
  <c r="BE189" i="5"/>
  <c r="BE153" i="5"/>
  <c r="BE133" i="5"/>
  <c r="BE183" i="5"/>
  <c r="BE70" i="5"/>
  <c r="BE220" i="5"/>
  <c r="BE115" i="5"/>
  <c r="V32" i="9"/>
  <c r="V85" i="9"/>
  <c r="V17" i="9"/>
  <c r="V53" i="9"/>
  <c r="V41" i="9"/>
  <c r="V28" i="9"/>
  <c r="V68" i="9"/>
  <c r="V65" i="9"/>
  <c r="V52" i="9"/>
  <c r="V40" i="9"/>
  <c r="V80" i="9"/>
  <c r="V83" i="9"/>
  <c r="V82" i="9"/>
  <c r="V81" i="9"/>
  <c r="V84" i="9"/>
  <c r="V64" i="9"/>
  <c r="V39" i="9"/>
  <c r="V38" i="9"/>
  <c r="V19" i="9"/>
  <c r="V66" i="9"/>
  <c r="V55" i="9"/>
  <c r="V33" i="9"/>
  <c r="V29" i="9"/>
  <c r="V44" i="9"/>
  <c r="V42" i="9"/>
  <c r="V15" i="9"/>
  <c r="V43" i="9"/>
  <c r="V54" i="9"/>
  <c r="V16" i="9"/>
  <c r="V57" i="9"/>
  <c r="V31" i="9"/>
  <c r="V56" i="9"/>
  <c r="V18" i="9"/>
  <c r="V30" i="9"/>
  <c r="V67" i="9"/>
  <c r="AW13" i="5"/>
  <c r="AW9" i="5"/>
  <c r="AW18" i="5"/>
  <c r="AW22" i="5"/>
  <c r="AW11" i="5"/>
  <c r="AW17" i="5"/>
  <c r="AD40" i="9"/>
  <c r="AE40" i="9" s="1"/>
  <c r="BC24" i="7"/>
  <c r="AC71" i="9" s="1"/>
  <c r="V20" i="9"/>
  <c r="V45" i="9"/>
  <c r="V72" i="9"/>
  <c r="V70" i="9" s="1"/>
  <c r="AB34" i="6"/>
  <c r="AC34" i="6" s="1"/>
  <c r="BA61" i="5"/>
  <c r="BA62" i="5"/>
  <c r="BA60" i="5"/>
  <c r="BA59" i="5"/>
  <c r="AW12" i="5"/>
  <c r="AW7" i="5"/>
  <c r="BA36" i="5"/>
  <c r="BA37" i="5"/>
  <c r="BA58" i="5"/>
  <c r="BA38" i="5"/>
  <c r="BA55" i="5"/>
  <c r="BA56" i="5"/>
  <c r="BA57" i="5"/>
  <c r="AD35" i="6"/>
  <c r="AE35" i="6" s="1"/>
  <c r="AA35" i="6"/>
  <c r="AW19" i="5"/>
  <c r="AW6" i="5"/>
  <c r="AW8" i="5"/>
  <c r="AW4" i="5"/>
  <c r="Z36" i="6"/>
  <c r="AW20" i="5"/>
  <c r="AW23" i="5"/>
  <c r="AW14" i="5"/>
  <c r="AU24" i="5"/>
  <c r="AY5" i="5" s="1"/>
  <c r="AB40" i="6" s="1"/>
  <c r="AC40" i="6" s="1"/>
  <c r="Z34" i="6"/>
  <c r="Z41" i="6" s="1"/>
  <c r="AA41" i="6" s="1"/>
  <c r="BA34" i="5"/>
  <c r="BA48" i="5"/>
  <c r="BA49" i="5"/>
  <c r="BA35" i="5"/>
  <c r="BA50" i="5"/>
  <c r="BA33" i="5"/>
  <c r="BA174" i="5"/>
  <c r="BA78" i="5"/>
  <c r="BA221" i="5"/>
  <c r="BA132" i="5"/>
  <c r="BA163" i="5"/>
  <c r="BA138" i="5"/>
  <c r="BA157" i="5"/>
  <c r="BA102" i="5"/>
  <c r="BA211" i="5"/>
  <c r="BA67" i="5"/>
  <c r="BA125" i="5"/>
  <c r="BA227" i="5"/>
  <c r="BA190" i="5"/>
  <c r="BA117" i="5"/>
  <c r="BA65" i="5"/>
  <c r="BA169" i="5"/>
  <c r="BA75" i="5"/>
  <c r="BA200" i="5"/>
  <c r="BA149" i="5"/>
  <c r="BA103" i="5"/>
  <c r="BA111" i="5"/>
  <c r="BA199" i="5"/>
  <c r="BA127" i="5"/>
  <c r="BA82" i="5"/>
  <c r="BA145" i="5"/>
  <c r="BA168" i="5"/>
  <c r="BA66" i="5"/>
  <c r="BA85" i="5"/>
  <c r="BA195" i="5"/>
  <c r="BA71" i="5"/>
  <c r="BA97" i="5"/>
  <c r="BA63" i="5"/>
  <c r="BA217" i="5"/>
  <c r="BA197" i="5"/>
  <c r="BA143" i="5"/>
  <c r="BA64" i="5"/>
  <c r="BA128" i="5"/>
  <c r="BA196" i="5"/>
  <c r="BA80" i="5"/>
  <c r="BA214" i="5"/>
  <c r="BA159" i="5"/>
  <c r="BA185" i="5"/>
  <c r="BA114" i="5"/>
  <c r="BA220" i="5"/>
  <c r="BA70" i="5"/>
  <c r="BA189" i="5"/>
  <c r="BA137" i="5"/>
  <c r="BA187" i="5"/>
  <c r="BA107" i="5"/>
  <c r="BA194" i="5"/>
  <c r="BA183" i="5"/>
  <c r="BA100" i="5"/>
  <c r="BA225" i="5"/>
  <c r="BA148" i="5"/>
  <c r="BA121" i="5"/>
  <c r="BA115" i="5"/>
  <c r="BA165" i="5"/>
  <c r="BA136" i="5"/>
  <c r="BA89" i="5"/>
  <c r="BA77" i="5"/>
  <c r="BA223" i="5"/>
  <c r="BA109" i="5"/>
  <c r="BA118" i="5"/>
  <c r="BA113" i="5"/>
  <c r="BA131" i="5"/>
  <c r="BA83" i="5"/>
  <c r="BA72" i="5"/>
  <c r="BA116" i="5"/>
  <c r="BA122" i="5"/>
  <c r="BA124" i="5"/>
  <c r="BA219" i="5"/>
  <c r="BA212" i="5"/>
  <c r="BA123" i="5"/>
  <c r="BA207" i="5"/>
  <c r="BA134" i="5"/>
  <c r="BA176" i="5"/>
  <c r="BA203" i="5"/>
  <c r="BA129" i="5"/>
  <c r="BA198" i="5"/>
  <c r="BA202" i="5"/>
  <c r="BA140" i="5"/>
  <c r="BA69" i="5"/>
  <c r="BA99" i="5"/>
  <c r="BA92" i="5"/>
  <c r="BA158" i="5"/>
  <c r="BA186" i="5"/>
  <c r="BA204" i="5"/>
  <c r="BA96" i="5"/>
  <c r="BA150" i="5"/>
  <c r="BA154" i="5"/>
  <c r="BA93" i="5"/>
  <c r="BA191" i="5"/>
  <c r="BA188" i="5"/>
  <c r="BA151" i="5"/>
  <c r="BA146" i="5"/>
  <c r="BA210" i="5"/>
  <c r="BA133" i="5"/>
  <c r="BA209" i="5"/>
  <c r="BA179" i="5"/>
  <c r="BA205" i="5"/>
  <c r="BA95" i="5"/>
  <c r="BA222" i="5"/>
  <c r="BA147" i="5"/>
  <c r="BA94" i="5"/>
  <c r="BA144" i="5"/>
  <c r="BA139" i="5"/>
  <c r="BA192" i="5"/>
  <c r="BA90" i="5"/>
  <c r="BA181" i="5"/>
  <c r="BA170" i="5"/>
  <c r="BA164" i="5"/>
  <c r="BA76" i="5"/>
  <c r="BA229" i="5"/>
  <c r="BA160" i="5"/>
  <c r="BA182" i="5"/>
  <c r="BA73" i="5"/>
  <c r="BA172" i="5"/>
  <c r="BA119" i="5"/>
  <c r="BA152" i="5"/>
  <c r="BA68" i="5"/>
  <c r="BA193" i="5"/>
  <c r="BA74" i="5"/>
  <c r="BA215" i="5"/>
  <c r="BA178" i="5"/>
  <c r="BA91" i="5"/>
  <c r="BA142" i="5"/>
  <c r="BA98" i="5"/>
  <c r="BA218" i="5"/>
  <c r="BA175" i="5"/>
  <c r="BA108" i="5"/>
  <c r="BA206" i="5"/>
  <c r="BA180" i="5"/>
  <c r="BA112" i="5"/>
  <c r="BA88" i="5"/>
  <c r="BA161" i="5"/>
  <c r="BA79" i="5"/>
  <c r="BA84" i="5"/>
  <c r="BA101" i="5"/>
  <c r="BA224" i="5"/>
  <c r="BA153" i="5"/>
  <c r="BA201" i="5"/>
  <c r="BA110" i="5"/>
  <c r="BA106" i="5"/>
  <c r="BA126" i="5"/>
  <c r="BA162" i="5"/>
  <c r="BA171" i="5"/>
  <c r="BA173" i="5"/>
  <c r="BA208" i="5"/>
  <c r="BA104" i="5"/>
  <c r="BA105" i="5"/>
  <c r="BA155" i="5"/>
  <c r="BA226" i="5"/>
  <c r="BA87" i="5"/>
  <c r="BA167" i="5"/>
  <c r="BA86" i="5"/>
  <c r="BA213" i="5"/>
  <c r="BA228" i="5"/>
  <c r="BA141" i="5"/>
  <c r="BA81" i="5"/>
  <c r="BA216" i="5"/>
  <c r="BA156" i="5"/>
  <c r="BA135" i="5"/>
  <c r="BA177" i="5"/>
  <c r="BA166" i="5"/>
  <c r="BA120" i="5"/>
  <c r="BA130" i="5"/>
  <c r="BA184" i="5"/>
  <c r="AW5" i="5"/>
  <c r="AB36" i="6"/>
  <c r="BA40" i="5"/>
  <c r="BA39" i="5"/>
  <c r="BA41" i="5"/>
  <c r="BA47" i="5"/>
  <c r="BA32" i="5"/>
  <c r="BA42" i="5"/>
  <c r="BA44" i="5"/>
  <c r="BA45" i="5"/>
  <c r="BA43" i="5"/>
  <c r="BA46" i="5"/>
  <c r="BA51" i="5"/>
  <c r="BA53" i="5"/>
  <c r="BA52" i="5"/>
  <c r="BA54" i="5"/>
  <c r="AW15" i="5"/>
  <c r="AC35" i="6"/>
  <c r="AW10" i="5"/>
  <c r="AW16" i="5"/>
  <c r="AW21" i="5"/>
  <c r="W44" i="6" l="1"/>
  <c r="W42" i="6" s="1"/>
  <c r="W24" i="6"/>
  <c r="W22" i="6" s="1"/>
  <c r="W59" i="6"/>
  <c r="W57" i="6" s="1"/>
  <c r="W17" i="6"/>
  <c r="W51" i="6"/>
  <c r="W49" i="6" s="1"/>
  <c r="W13" i="6"/>
  <c r="W32" i="6"/>
  <c r="W30" i="6" s="1"/>
  <c r="V79" i="9"/>
  <c r="V77" i="9" s="1"/>
  <c r="V63" i="9"/>
  <c r="V61" i="9" s="1"/>
  <c r="V13" i="9"/>
  <c r="V11" i="9" s="1"/>
  <c r="V37" i="9"/>
  <c r="V35" i="9" s="1"/>
  <c r="V51" i="9"/>
  <c r="V49" i="9" s="1"/>
  <c r="V27" i="9"/>
  <c r="V25" i="9" s="1"/>
  <c r="AB41" i="6"/>
  <c r="AC41" i="6" s="1"/>
  <c r="AY19" i="5"/>
  <c r="AY10" i="5"/>
  <c r="AY6" i="5"/>
  <c r="AY22" i="5"/>
  <c r="AY21" i="5"/>
  <c r="AY16" i="5"/>
  <c r="AF24" i="5"/>
  <c r="BC24" i="5" s="1"/>
  <c r="AC73" i="6" s="1"/>
  <c r="AY8" i="5"/>
  <c r="AY15" i="5"/>
  <c r="AY20" i="5"/>
  <c r="AY13" i="5"/>
  <c r="AY7" i="5"/>
  <c r="AY9" i="5"/>
  <c r="AY23" i="5"/>
  <c r="AY11" i="5"/>
  <c r="BB44" i="5"/>
  <c r="AY12" i="5"/>
  <c r="AY17" i="5"/>
  <c r="BB171" i="5"/>
  <c r="BB209" i="5"/>
  <c r="BB194" i="5"/>
  <c r="BB117" i="5"/>
  <c r="BB228" i="5"/>
  <c r="BB181" i="5"/>
  <c r="BB123" i="5"/>
  <c r="BB145" i="5"/>
  <c r="BB37" i="5"/>
  <c r="BB213" i="5"/>
  <c r="BB90" i="5"/>
  <c r="BB77" i="5"/>
  <c r="BB227" i="5"/>
  <c r="BB47" i="5"/>
  <c r="BB206" i="5"/>
  <c r="BB146" i="5"/>
  <c r="BB137" i="5"/>
  <c r="BB127" i="5"/>
  <c r="BB108" i="5"/>
  <c r="BB69" i="5"/>
  <c r="BB197" i="5"/>
  <c r="BB53" i="5"/>
  <c r="BB87" i="5"/>
  <c r="BB144" i="5"/>
  <c r="BB165" i="5"/>
  <c r="BB111" i="5"/>
  <c r="BB166" i="5"/>
  <c r="BB73" i="5"/>
  <c r="BB202" i="5"/>
  <c r="BB63" i="5"/>
  <c r="BB59" i="5"/>
  <c r="BB224" i="5"/>
  <c r="BB93" i="5"/>
  <c r="BB121" i="5"/>
  <c r="BB149" i="5"/>
  <c r="BB60" i="5"/>
  <c r="BB135" i="5"/>
  <c r="BB105" i="5"/>
  <c r="BB101" i="5"/>
  <c r="BB142" i="5"/>
  <c r="BB160" i="5"/>
  <c r="BB222" i="5"/>
  <c r="BB154" i="5"/>
  <c r="BB129" i="5"/>
  <c r="BB83" i="5"/>
  <c r="BB148" i="5"/>
  <c r="BB185" i="5"/>
  <c r="BB71" i="5"/>
  <c r="BB200" i="5"/>
  <c r="BB138" i="5"/>
  <c r="BB34" i="5"/>
  <c r="V19" i="6" s="1"/>
  <c r="BB57" i="5"/>
  <c r="BB62" i="5"/>
  <c r="BB141" i="5"/>
  <c r="BB170" i="5"/>
  <c r="BB109" i="5"/>
  <c r="BB168" i="5"/>
  <c r="BB58" i="5"/>
  <c r="BB162" i="5"/>
  <c r="BB133" i="5"/>
  <c r="BB107" i="5"/>
  <c r="BB190" i="5"/>
  <c r="BB126" i="5"/>
  <c r="BB210" i="5"/>
  <c r="BB187" i="5"/>
  <c r="BB36" i="5"/>
  <c r="BB54" i="5"/>
  <c r="BB106" i="5"/>
  <c r="BB99" i="5"/>
  <c r="BB143" i="5"/>
  <c r="BB125" i="5"/>
  <c r="BB167" i="5"/>
  <c r="BB139" i="5"/>
  <c r="BB136" i="5"/>
  <c r="BB67" i="5"/>
  <c r="BB120" i="5"/>
  <c r="BB172" i="5"/>
  <c r="BB140" i="5"/>
  <c r="BB217" i="5"/>
  <c r="BB211" i="5"/>
  <c r="BB39" i="5"/>
  <c r="BB218" i="5"/>
  <c r="BB116" i="5"/>
  <c r="BB103" i="5"/>
  <c r="BB177" i="5"/>
  <c r="BB147" i="5"/>
  <c r="BB72" i="5"/>
  <c r="BB97" i="5"/>
  <c r="BB46" i="5"/>
  <c r="BB156" i="5"/>
  <c r="BB104" i="5"/>
  <c r="BB84" i="5"/>
  <c r="BB91" i="5"/>
  <c r="BB229" i="5"/>
  <c r="BB95" i="5"/>
  <c r="BB150" i="5"/>
  <c r="BB203" i="5"/>
  <c r="BB131" i="5"/>
  <c r="BB225" i="5"/>
  <c r="BB159" i="5"/>
  <c r="BB195" i="5"/>
  <c r="BB75" i="5"/>
  <c r="BB163" i="5"/>
  <c r="AA34" i="6"/>
  <c r="AD34" i="6"/>
  <c r="AE34" i="6" s="1"/>
  <c r="BB56" i="5"/>
  <c r="V61" i="6" s="1"/>
  <c r="BB61" i="5"/>
  <c r="BB74" i="5"/>
  <c r="BB207" i="5"/>
  <c r="BB78" i="5"/>
  <c r="BB193" i="5"/>
  <c r="BB223" i="5"/>
  <c r="BB174" i="5"/>
  <c r="BB32" i="5"/>
  <c r="V40" i="6" s="1"/>
  <c r="V39" i="6" s="1"/>
  <c r="BB180" i="5"/>
  <c r="BB92" i="5"/>
  <c r="BB64" i="5"/>
  <c r="BB184" i="5"/>
  <c r="BB152" i="5"/>
  <c r="BB219" i="5"/>
  <c r="BB52" i="5"/>
  <c r="BB110" i="5"/>
  <c r="BB151" i="5"/>
  <c r="BB189" i="5"/>
  <c r="BB50" i="5"/>
  <c r="BB41" i="5"/>
  <c r="BB175" i="5"/>
  <c r="BB188" i="5"/>
  <c r="BB70" i="5"/>
  <c r="BB35" i="5"/>
  <c r="V20" i="6" s="1"/>
  <c r="BB51" i="5"/>
  <c r="BB153" i="5"/>
  <c r="BB191" i="5"/>
  <c r="BB220" i="5"/>
  <c r="BB49" i="5"/>
  <c r="BB40" i="5"/>
  <c r="BB98" i="5"/>
  <c r="BB157" i="5"/>
  <c r="BB43" i="5"/>
  <c r="AC38" i="6"/>
  <c r="AC36" i="6"/>
  <c r="AB37" i="6"/>
  <c r="AC37" i="6" s="1"/>
  <c r="BB216" i="5"/>
  <c r="BB208" i="5"/>
  <c r="BB79" i="5"/>
  <c r="BB178" i="5"/>
  <c r="BB76" i="5"/>
  <c r="BB205" i="5"/>
  <c r="BB96" i="5"/>
  <c r="BB176" i="5"/>
  <c r="BB113" i="5"/>
  <c r="BB100" i="5"/>
  <c r="BB214" i="5"/>
  <c r="BB85" i="5"/>
  <c r="BB169" i="5"/>
  <c r="BB132" i="5"/>
  <c r="AY14" i="5"/>
  <c r="BB55" i="5"/>
  <c r="BB88" i="5"/>
  <c r="BB186" i="5"/>
  <c r="BB196" i="5"/>
  <c r="BB42" i="5"/>
  <c r="BB112" i="5"/>
  <c r="BB158" i="5"/>
  <c r="BB128" i="5"/>
  <c r="BB68" i="5"/>
  <c r="BB212" i="5"/>
  <c r="BB82" i="5"/>
  <c r="BB86" i="5"/>
  <c r="BB192" i="5"/>
  <c r="BB89" i="5"/>
  <c r="BB33" i="5"/>
  <c r="V18" i="6" s="1"/>
  <c r="BB130" i="5"/>
  <c r="BB119" i="5"/>
  <c r="BB124" i="5"/>
  <c r="BB199" i="5"/>
  <c r="BB201" i="5"/>
  <c r="BB122" i="5"/>
  <c r="AA38" i="6"/>
  <c r="AD36" i="6"/>
  <c r="AE36" i="6" s="1"/>
  <c r="AA36" i="6"/>
  <c r="Z37" i="6"/>
  <c r="AA37" i="6" s="1"/>
  <c r="BB226" i="5"/>
  <c r="BB94" i="5"/>
  <c r="BB115" i="5"/>
  <c r="BB102" i="5"/>
  <c r="BB155" i="5"/>
  <c r="BB182" i="5"/>
  <c r="BB198" i="5"/>
  <c r="BB114" i="5"/>
  <c r="BB48" i="5"/>
  <c r="BB45" i="5"/>
  <c r="BB81" i="5"/>
  <c r="BB173" i="5"/>
  <c r="BB161" i="5"/>
  <c r="BB215" i="5"/>
  <c r="BB164" i="5"/>
  <c r="BB179" i="5"/>
  <c r="BB204" i="5"/>
  <c r="BB134" i="5"/>
  <c r="BB118" i="5"/>
  <c r="BB183" i="5"/>
  <c r="BB80" i="5"/>
  <c r="BB66" i="5"/>
  <c r="BB65" i="5"/>
  <c r="BB221" i="5"/>
  <c r="AY4" i="5"/>
  <c r="Z40" i="6" s="1"/>
  <c r="AY18" i="5"/>
  <c r="BB38" i="5"/>
  <c r="W11" i="6" l="1"/>
  <c r="V60" i="6"/>
  <c r="V38" i="6"/>
  <c r="V15" i="6"/>
  <c r="V27" i="6"/>
  <c r="V36" i="6"/>
  <c r="V26" i="6"/>
  <c r="V63" i="6"/>
  <c r="V62" i="6"/>
  <c r="V34" i="6"/>
  <c r="V35" i="6"/>
  <c r="V54" i="6"/>
  <c r="V33" i="6"/>
  <c r="V47" i="6"/>
  <c r="V25" i="6"/>
  <c r="V28" i="6"/>
  <c r="V46" i="6"/>
  <c r="V52" i="6"/>
  <c r="V45" i="6"/>
  <c r="V16" i="6"/>
  <c r="V37" i="6"/>
  <c r="V53" i="6"/>
  <c r="V14" i="6"/>
  <c r="V55" i="6"/>
  <c r="BB24" i="5"/>
  <c r="AA73" i="6" s="1"/>
  <c r="V17" i="6"/>
  <c r="AA40" i="6"/>
  <c r="AD40" i="6"/>
  <c r="AE40" i="6" s="1"/>
  <c r="V59" i="6" l="1"/>
  <c r="V57" i="6" s="1"/>
  <c r="V24" i="6"/>
  <c r="V22" i="6" s="1"/>
  <c r="V32" i="6"/>
  <c r="V30" i="6" s="1"/>
  <c r="V51" i="6"/>
  <c r="V49" i="6" s="1"/>
  <c r="V13" i="6"/>
  <c r="V11" i="6" s="1"/>
  <c r="V44" i="6"/>
  <c r="V42" i="6" s="1"/>
  <c r="AY2" i="2"/>
  <c r="BB29" i="2"/>
  <c r="BA29" i="2"/>
  <c r="AZ29" i="2"/>
  <c r="C29" i="2" l="1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AY29" i="2"/>
  <c r="AX29" i="2"/>
  <c r="AW29" i="2"/>
  <c r="AV29" i="2"/>
  <c r="AU29" i="2"/>
  <c r="AT29" i="2"/>
  <c r="AS29" i="2"/>
  <c r="AR29" i="2"/>
  <c r="AQ29" i="2"/>
  <c r="AP29" i="2"/>
  <c r="AO29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B29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2" i="2"/>
  <c r="E30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Z3" i="1" a="1"/>
  <c r="Z3" i="1" s="1"/>
  <c r="F9" i="2" s="1"/>
  <c r="Q75" i="3" s="1"/>
  <c r="N77" i="3" s="1"/>
  <c r="F10" i="2" l="1"/>
  <c r="Q82" i="3" s="1"/>
  <c r="Y70" i="3"/>
  <c r="N76" i="3"/>
  <c r="N80" i="3"/>
  <c r="N79" i="3"/>
  <c r="N78" i="3"/>
  <c r="F4" i="2"/>
  <c r="F5" i="2"/>
  <c r="Q25" i="3" s="1"/>
  <c r="F6" i="2"/>
  <c r="Q35" i="3" s="1"/>
  <c r="F7" i="2"/>
  <c r="Q49" i="3" s="1"/>
  <c r="F8" i="2"/>
  <c r="Q62" i="3" s="1"/>
  <c r="N72" i="3" s="1"/>
  <c r="BC2" i="2"/>
  <c r="BB2" i="2"/>
  <c r="BA2" i="2"/>
  <c r="AZ2" i="2"/>
  <c r="AX2" i="2"/>
  <c r="N88" i="3" l="1"/>
  <c r="N89" i="3"/>
  <c r="N85" i="3"/>
  <c r="N87" i="3"/>
  <c r="N90" i="3"/>
  <c r="N86" i="3"/>
  <c r="N83" i="3"/>
  <c r="N84" i="3"/>
  <c r="N64" i="3"/>
  <c r="N70" i="3"/>
  <c r="N51" i="3"/>
  <c r="N60" i="3"/>
  <c r="N59" i="3"/>
  <c r="N42" i="3"/>
  <c r="N47" i="3"/>
  <c r="N46" i="3"/>
  <c r="N45" i="3"/>
  <c r="N58" i="3"/>
  <c r="N57" i="3"/>
  <c r="N53" i="3"/>
  <c r="N41" i="3"/>
  <c r="N38" i="3"/>
  <c r="N40" i="3"/>
  <c r="N27" i="3"/>
  <c r="N26" i="3"/>
  <c r="N32" i="3"/>
  <c r="N29" i="3"/>
  <c r="N31" i="3"/>
  <c r="N55" i="3"/>
  <c r="N39" i="3"/>
  <c r="N37" i="3"/>
  <c r="N52" i="3"/>
  <c r="N73" i="3"/>
  <c r="Y69" i="3"/>
  <c r="Y68" i="3"/>
  <c r="N54" i="3"/>
  <c r="N36" i="3"/>
  <c r="N67" i="3"/>
  <c r="N28" i="3"/>
  <c r="N63" i="3"/>
  <c r="N33" i="3"/>
  <c r="N50" i="3"/>
  <c r="N69" i="3"/>
  <c r="N30" i="3"/>
  <c r="N56" i="3"/>
  <c r="N66" i="3"/>
  <c r="N68" i="3"/>
  <c r="N65" i="3"/>
  <c r="N44" i="3"/>
  <c r="Y67" i="3"/>
  <c r="N43" i="3"/>
  <c r="N71" i="3"/>
  <c r="F2" i="2"/>
  <c r="E2" i="2"/>
  <c r="D2" i="2"/>
  <c r="AW2" i="2"/>
  <c r="AV2" i="2"/>
  <c r="AU2" i="2"/>
  <c r="AT2" i="2"/>
  <c r="AS2" i="2"/>
  <c r="AR2" i="2"/>
  <c r="AQ2" i="2"/>
  <c r="AP2" i="2"/>
  <c r="AO2" i="2"/>
  <c r="AN2" i="2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Q11" i="3" l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N23" i="3" l="1"/>
  <c r="N22" i="3"/>
  <c r="N21" i="3"/>
  <c r="N20" i="3"/>
  <c r="N13" i="3"/>
  <c r="N19" i="3"/>
  <c r="N18" i="3"/>
  <c r="N17" i="3"/>
  <c r="N16" i="3"/>
  <c r="N15" i="3"/>
  <c r="N14" i="3"/>
  <c r="Y65" i="3"/>
  <c r="Z63" i="3"/>
  <c r="Y66" i="3"/>
  <c r="AB63" i="3"/>
  <c r="N12" i="3"/>
  <c r="E24" i="2"/>
  <c r="D24" i="2" s="1"/>
  <c r="J24" i="2"/>
  <c r="L9" i="2"/>
  <c r="K9" i="2"/>
  <c r="J9" i="2"/>
  <c r="I9" i="2"/>
  <c r="H9" i="2"/>
  <c r="G9" i="2"/>
  <c r="L8" i="2"/>
  <c r="K8" i="2"/>
  <c r="J8" i="2"/>
  <c r="I8" i="2"/>
  <c r="H8" i="2"/>
  <c r="G8" i="2"/>
  <c r="L7" i="2"/>
  <c r="K7" i="2"/>
  <c r="J7" i="2"/>
  <c r="I7" i="2"/>
  <c r="H7" i="2"/>
  <c r="G7" i="2"/>
  <c r="L6" i="2"/>
  <c r="K6" i="2"/>
  <c r="J6" i="2"/>
  <c r="I6" i="2"/>
  <c r="H6" i="2"/>
  <c r="G6" i="2"/>
  <c r="L5" i="2"/>
  <c r="K5" i="2"/>
  <c r="J5" i="2"/>
  <c r="I5" i="2"/>
  <c r="H5" i="2"/>
  <c r="D34" i="3" s="1"/>
  <c r="G5" i="2"/>
  <c r="D35" i="3" s="1"/>
  <c r="L22" i="2"/>
  <c r="N6" i="2" l="1"/>
  <c r="D41" i="3"/>
  <c r="M5" i="2"/>
  <c r="O5" i="2" s="1"/>
  <c r="N8" i="2"/>
  <c r="N7" i="2"/>
  <c r="N9" i="2"/>
  <c r="M6" i="2"/>
  <c r="N5" i="2"/>
  <c r="M8" i="2"/>
  <c r="O8" i="2" s="1"/>
  <c r="M9" i="2"/>
  <c r="O9" i="2" s="1"/>
  <c r="M7" i="2"/>
  <c r="O7" i="2" s="1"/>
  <c r="J22" i="2"/>
  <c r="K22" i="2"/>
  <c r="N22" i="2" s="1"/>
  <c r="G22" i="2"/>
  <c r="H22" i="2"/>
  <c r="I22" i="2"/>
  <c r="X6" i="2" l="1"/>
  <c r="O6" i="2"/>
  <c r="X5" i="2"/>
  <c r="BA9" i="2"/>
  <c r="AB70" i="3" s="1"/>
  <c r="BA8" i="2"/>
  <c r="AB69" i="3" s="1"/>
  <c r="BA7" i="2"/>
  <c r="AB68" i="3" s="1"/>
  <c r="BA6" i="2"/>
  <c r="AB67" i="3" s="1"/>
  <c r="BA5" i="2"/>
  <c r="AB66" i="3" s="1"/>
  <c r="X9" i="2"/>
  <c r="X8" i="2"/>
  <c r="X7" i="2"/>
  <c r="M22" i="2"/>
  <c r="O22" i="2" s="1"/>
  <c r="BA22" i="2" l="1"/>
  <c r="X22" i="2"/>
  <c r="B30" i="2" l="1"/>
  <c r="I24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L30" i="2"/>
  <c r="H15" i="2" l="1"/>
  <c r="L15" i="2"/>
  <c r="K15" i="2"/>
  <c r="J15" i="2"/>
  <c r="I15" i="2"/>
  <c r="G15" i="2"/>
  <c r="L17" i="2"/>
  <c r="J17" i="2"/>
  <c r="I17" i="2"/>
  <c r="K17" i="2"/>
  <c r="H17" i="2"/>
  <c r="G17" i="2"/>
  <c r="L18" i="2"/>
  <c r="I18" i="2"/>
  <c r="H18" i="2"/>
  <c r="G18" i="2"/>
  <c r="K18" i="2"/>
  <c r="J18" i="2"/>
  <c r="H19" i="2"/>
  <c r="L19" i="2"/>
  <c r="K19" i="2"/>
  <c r="J19" i="2"/>
  <c r="I19" i="2"/>
  <c r="G19" i="2"/>
  <c r="L20" i="2"/>
  <c r="J20" i="2"/>
  <c r="K20" i="2"/>
  <c r="I20" i="2"/>
  <c r="H20" i="2"/>
  <c r="G20" i="2"/>
  <c r="L21" i="2"/>
  <c r="K21" i="2"/>
  <c r="N21" i="2" s="1"/>
  <c r="J21" i="2"/>
  <c r="I21" i="2"/>
  <c r="H21" i="2"/>
  <c r="G21" i="2"/>
  <c r="L10" i="2"/>
  <c r="J10" i="2"/>
  <c r="H10" i="2"/>
  <c r="K10" i="2"/>
  <c r="I10" i="2"/>
  <c r="G10" i="2"/>
  <c r="H23" i="2"/>
  <c r="L23" i="2"/>
  <c r="K23" i="2"/>
  <c r="N23" i="2" s="1"/>
  <c r="J23" i="2"/>
  <c r="I23" i="2"/>
  <c r="G23" i="2"/>
  <c r="H11" i="2"/>
  <c r="L11" i="2"/>
  <c r="K11" i="2"/>
  <c r="J11" i="2"/>
  <c r="I11" i="2"/>
  <c r="G11" i="2"/>
  <c r="L14" i="2"/>
  <c r="J14" i="2"/>
  <c r="H14" i="2"/>
  <c r="G14" i="2"/>
  <c r="K14" i="2"/>
  <c r="I14" i="2"/>
  <c r="L12" i="2"/>
  <c r="I12" i="2"/>
  <c r="G12" i="2"/>
  <c r="K12" i="2"/>
  <c r="J12" i="2"/>
  <c r="H12" i="2"/>
  <c r="L16" i="2"/>
  <c r="J16" i="2"/>
  <c r="I16" i="2"/>
  <c r="K16" i="2"/>
  <c r="H16" i="2"/>
  <c r="G16" i="2"/>
  <c r="L13" i="2"/>
  <c r="J13" i="2"/>
  <c r="I13" i="2"/>
  <c r="K13" i="2"/>
  <c r="H13" i="2"/>
  <c r="G13" i="2"/>
  <c r="D4" i="2"/>
  <c r="Q76" i="3" l="1"/>
  <c r="Q63" i="3"/>
  <c r="Q36" i="3"/>
  <c r="Q26" i="3"/>
  <c r="Q50" i="3"/>
  <c r="N16" i="2"/>
  <c r="N14" i="2"/>
  <c r="N19" i="2"/>
  <c r="L4" i="2"/>
  <c r="L24" i="2" s="1"/>
  <c r="I4" i="2"/>
  <c r="H4" i="2"/>
  <c r="Q18" i="2" s="1"/>
  <c r="G4" i="2"/>
  <c r="C35" i="3" s="1"/>
  <c r="E35" i="3" s="1"/>
  <c r="K4" i="2"/>
  <c r="J4" i="2"/>
  <c r="N17" i="2"/>
  <c r="M16" i="2"/>
  <c r="O16" i="2" s="1"/>
  <c r="M23" i="2"/>
  <c r="O23" i="2" s="1"/>
  <c r="M21" i="2"/>
  <c r="O21" i="2" s="1"/>
  <c r="M19" i="2"/>
  <c r="M17" i="2"/>
  <c r="M14" i="2"/>
  <c r="M13" i="2"/>
  <c r="O13" i="2" s="1"/>
  <c r="M11" i="2"/>
  <c r="O11" i="2" s="1"/>
  <c r="M10" i="2"/>
  <c r="O10" i="2" s="1"/>
  <c r="M20" i="2"/>
  <c r="O20" i="2" s="1"/>
  <c r="M15" i="2"/>
  <c r="O15" i="2" s="1"/>
  <c r="N18" i="2"/>
  <c r="N13" i="2"/>
  <c r="N12" i="2"/>
  <c r="N10" i="2"/>
  <c r="M18" i="2"/>
  <c r="O18" i="2" s="1"/>
  <c r="M12" i="2"/>
  <c r="O12" i="2" s="1"/>
  <c r="N11" i="2"/>
  <c r="N20" i="2"/>
  <c r="N15" i="2"/>
  <c r="Q83" i="3" l="1"/>
  <c r="P17" i="2"/>
  <c r="BA19" i="2"/>
  <c r="O19" i="2"/>
  <c r="BA14" i="2"/>
  <c r="O14" i="2"/>
  <c r="BA17" i="2"/>
  <c r="O17" i="2"/>
  <c r="Q6" i="2"/>
  <c r="C34" i="3"/>
  <c r="E34" i="3" s="1"/>
  <c r="Q15" i="2"/>
  <c r="X18" i="2"/>
  <c r="BA18" i="2"/>
  <c r="BA16" i="2"/>
  <c r="X15" i="2"/>
  <c r="BA15" i="2"/>
  <c r="X11" i="2"/>
  <c r="BA11" i="2"/>
  <c r="X12" i="2"/>
  <c r="BA12" i="2"/>
  <c r="BA21" i="2"/>
  <c r="BA23" i="2"/>
  <c r="X20" i="2"/>
  <c r="BA20" i="2"/>
  <c r="X10" i="2"/>
  <c r="BA10" i="2"/>
  <c r="X13" i="2"/>
  <c r="BA13" i="2"/>
  <c r="P16" i="2"/>
  <c r="Q13" i="2"/>
  <c r="Q8" i="2"/>
  <c r="Q14" i="2"/>
  <c r="P10" i="2"/>
  <c r="Q23" i="2"/>
  <c r="P18" i="2"/>
  <c r="Q19" i="2"/>
  <c r="Q20" i="2"/>
  <c r="P13" i="2"/>
  <c r="P14" i="2"/>
  <c r="Q9" i="2"/>
  <c r="P19" i="2"/>
  <c r="Q10" i="2"/>
  <c r="Q12" i="2"/>
  <c r="P5" i="2"/>
  <c r="D39" i="3" s="1"/>
  <c r="Q7" i="2"/>
  <c r="Q21" i="2"/>
  <c r="Q22" i="2"/>
  <c r="P23" i="2"/>
  <c r="P4" i="2"/>
  <c r="C39" i="3" s="1"/>
  <c r="P20" i="2"/>
  <c r="Q4" i="2"/>
  <c r="C40" i="3" s="1"/>
  <c r="P6" i="2"/>
  <c r="P21" i="2"/>
  <c r="Q16" i="2"/>
  <c r="P7" i="2"/>
  <c r="P22" i="2"/>
  <c r="Q5" i="2"/>
  <c r="D40" i="3" s="1"/>
  <c r="P8" i="2"/>
  <c r="P11" i="2"/>
  <c r="Q17" i="2"/>
  <c r="P9" i="2"/>
  <c r="P15" i="2"/>
  <c r="Q11" i="2"/>
  <c r="P12" i="2"/>
  <c r="M4" i="2"/>
  <c r="O4" i="2" s="1"/>
  <c r="N4" i="2"/>
  <c r="H24" i="2"/>
  <c r="G24" i="2"/>
  <c r="K24" i="2"/>
  <c r="N24" i="2" s="1"/>
  <c r="X14" i="2"/>
  <c r="X16" i="2"/>
  <c r="X19" i="2"/>
  <c r="K44" i="2"/>
  <c r="M92" i="2"/>
  <c r="K140" i="2"/>
  <c r="I164" i="2"/>
  <c r="I200" i="2"/>
  <c r="I36" i="2"/>
  <c r="X17" i="2"/>
  <c r="X23" i="2"/>
  <c r="L80" i="2"/>
  <c r="N128" i="2"/>
  <c r="N188" i="2"/>
  <c r="N33" i="2"/>
  <c r="M34" i="2"/>
  <c r="K35" i="2"/>
  <c r="L37" i="2"/>
  <c r="X21" i="2"/>
  <c r="L141" i="2"/>
  <c r="K165" i="2"/>
  <c r="L189" i="2"/>
  <c r="I46" i="2"/>
  <c r="M106" i="2"/>
  <c r="L178" i="2"/>
  <c r="K59" i="2"/>
  <c r="L107" i="2"/>
  <c r="L167" i="2"/>
  <c r="I215" i="2"/>
  <c r="N60" i="2"/>
  <c r="N108" i="2"/>
  <c r="N156" i="2"/>
  <c r="N109" i="2"/>
  <c r="N145" i="2"/>
  <c r="M181" i="2"/>
  <c r="L229" i="2"/>
  <c r="N38" i="2"/>
  <c r="I98" i="2"/>
  <c r="I182" i="2"/>
  <c r="M63" i="2"/>
  <c r="M87" i="2"/>
  <c r="L183" i="2"/>
  <c r="I100" i="2"/>
  <c r="J160" i="2"/>
  <c r="M77" i="2"/>
  <c r="N89" i="2"/>
  <c r="K101" i="2"/>
  <c r="M113" i="2"/>
  <c r="K173" i="2"/>
  <c r="N185" i="2"/>
  <c r="K197" i="2"/>
  <c r="N221" i="2"/>
  <c r="K224" i="2"/>
  <c r="M117" i="2"/>
  <c r="J177" i="2"/>
  <c r="M58" i="2"/>
  <c r="M94" i="2"/>
  <c r="N130" i="2"/>
  <c r="M166" i="2"/>
  <c r="I190" i="2"/>
  <c r="N226" i="2"/>
  <c r="N95" i="2"/>
  <c r="K131" i="2"/>
  <c r="N155" i="2"/>
  <c r="M179" i="2"/>
  <c r="I203" i="2"/>
  <c r="L227" i="2"/>
  <c r="N48" i="2"/>
  <c r="I96" i="2"/>
  <c r="I132" i="2"/>
  <c r="L168" i="2"/>
  <c r="L192" i="2"/>
  <c r="N228" i="2"/>
  <c r="I49" i="2"/>
  <c r="L97" i="2"/>
  <c r="N121" i="2"/>
  <c r="J169" i="2"/>
  <c r="N193" i="2"/>
  <c r="L217" i="2"/>
  <c r="J62" i="2"/>
  <c r="I86" i="2"/>
  <c r="K110" i="2"/>
  <c r="M146" i="2"/>
  <c r="K158" i="2"/>
  <c r="J206" i="2"/>
  <c r="K218" i="2"/>
  <c r="J39" i="2"/>
  <c r="N75" i="2"/>
  <c r="N99" i="2"/>
  <c r="N135" i="2"/>
  <c r="K195" i="2"/>
  <c r="L40" i="2"/>
  <c r="N112" i="2"/>
  <c r="J184" i="2"/>
  <c r="L65" i="2"/>
  <c r="J90" i="2"/>
  <c r="N114" i="2"/>
  <c r="I162" i="2"/>
  <c r="N210" i="2"/>
  <c r="N222" i="2"/>
  <c r="J225" i="2"/>
  <c r="N70" i="2"/>
  <c r="N154" i="2"/>
  <c r="L202" i="2"/>
  <c r="L83" i="2"/>
  <c r="N143" i="2"/>
  <c r="N72" i="2"/>
  <c r="N120" i="2"/>
  <c r="M216" i="2"/>
  <c r="K73" i="2"/>
  <c r="N133" i="2"/>
  <c r="K205" i="2"/>
  <c r="L74" i="2"/>
  <c r="L134" i="2"/>
  <c r="M170" i="2"/>
  <c r="N51" i="2"/>
  <c r="N123" i="2"/>
  <c r="N171" i="2"/>
  <c r="I207" i="2"/>
  <c r="N124" i="2"/>
  <c r="N43" i="2"/>
  <c r="J55" i="2"/>
  <c r="K67" i="2"/>
  <c r="K79" i="2"/>
  <c r="K103" i="2"/>
  <c r="K127" i="2"/>
  <c r="L151" i="2"/>
  <c r="K163" i="2"/>
  <c r="M175" i="2"/>
  <c r="K187" i="2"/>
  <c r="N199" i="2"/>
  <c r="I211" i="2"/>
  <c r="M75" i="2"/>
  <c r="K77" i="2"/>
  <c r="L77" i="2"/>
  <c r="M114" i="2"/>
  <c r="K141" i="2"/>
  <c r="N206" i="2"/>
  <c r="K200" i="2"/>
  <c r="N224" i="2"/>
  <c r="I225" i="2"/>
  <c r="L127" i="2"/>
  <c r="L200" i="2"/>
  <c r="N117" i="2"/>
  <c r="L121" i="2"/>
  <c r="K128" i="2"/>
  <c r="M158" i="2"/>
  <c r="J100" i="2"/>
  <c r="N40" i="2"/>
  <c r="L113" i="2"/>
  <c r="J165" i="2"/>
  <c r="N98" i="2"/>
  <c r="N146" i="2"/>
  <c r="N229" i="2"/>
  <c r="N158" i="2"/>
  <c r="N181" i="2"/>
  <c r="N62" i="2"/>
  <c r="M192" i="2"/>
  <c r="I120" i="2"/>
  <c r="N63" i="2"/>
  <c r="P63" i="2" s="1"/>
  <c r="K98" i="2"/>
  <c r="J120" i="2"/>
  <c r="L140" i="2"/>
  <c r="I193" i="2"/>
  <c r="I178" i="2"/>
  <c r="M130" i="2"/>
  <c r="P130" i="2" s="1"/>
  <c r="K181" i="2"/>
  <c r="L181" i="2"/>
  <c r="N87" i="2"/>
  <c r="N58" i="2"/>
  <c r="N192" i="2"/>
  <c r="I34" i="2"/>
  <c r="K65" i="2"/>
  <c r="L98" i="2"/>
  <c r="K120" i="2"/>
  <c r="M140" i="2"/>
  <c r="I197" i="2"/>
  <c r="M226" i="2"/>
  <c r="K178" i="2"/>
  <c r="K49" i="2"/>
  <c r="N49" i="2"/>
  <c r="N94" i="2"/>
  <c r="K133" i="2"/>
  <c r="L166" i="2"/>
  <c r="J98" i="2"/>
  <c r="L133" i="2"/>
  <c r="L39" i="2"/>
  <c r="M70" i="2"/>
  <c r="M98" i="2"/>
  <c r="K121" i="2"/>
  <c r="N140" i="2"/>
  <c r="J197" i="2"/>
  <c r="J53" i="2"/>
  <c r="I53" i="2"/>
  <c r="N53" i="2"/>
  <c r="M53" i="2"/>
  <c r="L53" i="2"/>
  <c r="K53" i="2"/>
  <c r="N125" i="2"/>
  <c r="K125" i="2"/>
  <c r="N149" i="2"/>
  <c r="M149" i="2"/>
  <c r="L161" i="2"/>
  <c r="N161" i="2"/>
  <c r="M161" i="2"/>
  <c r="J161" i="2"/>
  <c r="I161" i="2"/>
  <c r="M209" i="2"/>
  <c r="J209" i="2"/>
  <c r="I209" i="2"/>
  <c r="L54" i="2"/>
  <c r="K54" i="2"/>
  <c r="J78" i="2"/>
  <c r="K78" i="2"/>
  <c r="N102" i="2"/>
  <c r="L102" i="2"/>
  <c r="K102" i="2"/>
  <c r="K126" i="2"/>
  <c r="J126" i="2"/>
  <c r="I126" i="2"/>
  <c r="N150" i="2"/>
  <c r="M150" i="2"/>
  <c r="J150" i="2"/>
  <c r="I150" i="2"/>
  <c r="J174" i="2"/>
  <c r="N174" i="2"/>
  <c r="K174" i="2"/>
  <c r="I174" i="2"/>
  <c r="J198" i="2"/>
  <c r="N198" i="2"/>
  <c r="M43" i="2"/>
  <c r="K43" i="2"/>
  <c r="N45" i="2"/>
  <c r="I45" i="2"/>
  <c r="L57" i="2"/>
  <c r="J57" i="2"/>
  <c r="M57" i="2"/>
  <c r="K69" i="2"/>
  <c r="N69" i="2"/>
  <c r="M69" i="2"/>
  <c r="L69" i="2"/>
  <c r="N81" i="2"/>
  <c r="M81" i="2"/>
  <c r="L81" i="2"/>
  <c r="K81" i="2"/>
  <c r="J41" i="2"/>
  <c r="I41" i="2"/>
  <c r="J137" i="2"/>
  <c r="N137" i="2"/>
  <c r="M137" i="2"/>
  <c r="L137" i="2"/>
  <c r="K137" i="2"/>
  <c r="N42" i="2"/>
  <c r="M42" i="2"/>
  <c r="N66" i="2"/>
  <c r="M66" i="2"/>
  <c r="L66" i="2"/>
  <c r="L90" i="2"/>
  <c r="N90" i="2"/>
  <c r="L138" i="2"/>
  <c r="K138" i="2"/>
  <c r="J138" i="2"/>
  <c r="I138" i="2"/>
  <c r="J186" i="2"/>
  <c r="K186" i="2"/>
  <c r="N186" i="2"/>
  <c r="M186" i="2"/>
  <c r="L186" i="2"/>
  <c r="I90" i="2"/>
  <c r="M102" i="2"/>
  <c r="L91" i="2"/>
  <c r="K91" i="2"/>
  <c r="L115" i="2"/>
  <c r="K115" i="2"/>
  <c r="L103" i="2"/>
  <c r="N44" i="2"/>
  <c r="M44" i="2"/>
  <c r="N56" i="2"/>
  <c r="M56" i="2"/>
  <c r="K56" i="2"/>
  <c r="L56" i="2"/>
  <c r="K68" i="2"/>
  <c r="N68" i="2"/>
  <c r="L104" i="2"/>
  <c r="K104" i="2"/>
  <c r="K116" i="2"/>
  <c r="M116" i="2"/>
  <c r="L116" i="2"/>
  <c r="N152" i="2"/>
  <c r="K152" i="2"/>
  <c r="I176" i="2"/>
  <c r="L176" i="2"/>
  <c r="K176" i="2"/>
  <c r="M212" i="2"/>
  <c r="K212" i="2"/>
  <c r="J33" i="2"/>
  <c r="M90" i="2"/>
  <c r="N105" i="2"/>
  <c r="M105" i="2"/>
  <c r="N129" i="2"/>
  <c r="K129" i="2"/>
  <c r="L213" i="2"/>
  <c r="K213" i="2"/>
  <c r="J213" i="2"/>
  <c r="I213" i="2"/>
  <c r="J189" i="2"/>
  <c r="J112" i="2"/>
  <c r="K189" i="2"/>
  <c r="K112" i="2"/>
  <c r="I177" i="2"/>
  <c r="L112" i="2"/>
  <c r="M153" i="2"/>
  <c r="L153" i="2"/>
  <c r="K153" i="2"/>
  <c r="I165" i="2"/>
  <c r="L165" i="2"/>
  <c r="L105" i="2"/>
  <c r="I189" i="2"/>
  <c r="I52" i="2"/>
  <c r="L52" i="2"/>
  <c r="N64" i="2"/>
  <c r="I64" i="2"/>
  <c r="N76" i="2"/>
  <c r="J76" i="2"/>
  <c r="I76" i="2"/>
  <c r="N88" i="2"/>
  <c r="J88" i="2"/>
  <c r="I88" i="2"/>
  <c r="N100" i="2"/>
  <c r="L100" i="2"/>
  <c r="I124" i="2"/>
  <c r="M124" i="2"/>
  <c r="L124" i="2"/>
  <c r="K124" i="2"/>
  <c r="J136" i="2"/>
  <c r="N136" i="2"/>
  <c r="L136" i="2"/>
  <c r="K148" i="2"/>
  <c r="N148" i="2"/>
  <c r="M148" i="2"/>
  <c r="N196" i="2"/>
  <c r="M196" i="2"/>
  <c r="K88" i="2"/>
  <c r="M112" i="2"/>
  <c r="N142" i="2"/>
  <c r="M142" i="2"/>
  <c r="K166" i="2"/>
  <c r="I166" i="2"/>
  <c r="I202" i="2"/>
  <c r="M202" i="2"/>
  <c r="J34" i="2"/>
  <c r="K34" i="2"/>
  <c r="N106" i="2"/>
  <c r="J108" i="2"/>
  <c r="N34" i="2"/>
  <c r="L34" i="2"/>
  <c r="K108" i="2"/>
  <c r="M38" i="2"/>
  <c r="L86" i="2"/>
  <c r="K109" i="2"/>
  <c r="M86" i="2"/>
  <c r="L109" i="2"/>
  <c r="I206" i="2"/>
  <c r="K39" i="2"/>
  <c r="N86" i="2"/>
  <c r="M109" i="2"/>
  <c r="K206" i="2"/>
  <c r="N47" i="2"/>
  <c r="I47" i="2"/>
  <c r="L71" i="2"/>
  <c r="K71" i="2"/>
  <c r="N71" i="2"/>
  <c r="M71" i="2"/>
  <c r="M119" i="2"/>
  <c r="K119" i="2"/>
  <c r="L119" i="2"/>
  <c r="N131" i="2"/>
  <c r="M131" i="2"/>
  <c r="L131" i="2"/>
  <c r="N167" i="2"/>
  <c r="M167" i="2"/>
  <c r="I179" i="2"/>
  <c r="K179" i="2"/>
  <c r="J179" i="2"/>
  <c r="N191" i="2"/>
  <c r="J191" i="2"/>
  <c r="M215" i="2"/>
  <c r="L215" i="2"/>
  <c r="N215" i="2"/>
  <c r="K215" i="2"/>
  <c r="K155" i="2"/>
  <c r="J215" i="2"/>
  <c r="N84" i="2"/>
  <c r="K84" i="2"/>
  <c r="J84" i="2"/>
  <c r="J180" i="2"/>
  <c r="N180" i="2"/>
  <c r="M180" i="2"/>
  <c r="J204" i="2"/>
  <c r="N204" i="2"/>
  <c r="M204" i="2"/>
  <c r="L204" i="2"/>
  <c r="L155" i="2"/>
  <c r="N61" i="2"/>
  <c r="L61" i="2"/>
  <c r="M61" i="2"/>
  <c r="N85" i="2"/>
  <c r="K85" i="2"/>
  <c r="N157" i="2"/>
  <c r="M157" i="2"/>
  <c r="L157" i="2"/>
  <c r="K157" i="2"/>
  <c r="J47" i="2"/>
  <c r="M83" i="2"/>
  <c r="M155" i="2"/>
  <c r="I217" i="2"/>
  <c r="M50" i="2"/>
  <c r="J50" i="2"/>
  <c r="I50" i="2"/>
  <c r="K74" i="2"/>
  <c r="J74" i="2"/>
  <c r="M74" i="2"/>
  <c r="N74" i="2"/>
  <c r="I122" i="2"/>
  <c r="N122" i="2"/>
  <c r="M122" i="2"/>
  <c r="L122" i="2"/>
  <c r="L146" i="2"/>
  <c r="K146" i="2"/>
  <c r="K47" i="2"/>
  <c r="K72" i="2"/>
  <c r="N83" i="2"/>
  <c r="K95" i="2"/>
  <c r="J217" i="2"/>
  <c r="L36" i="2"/>
  <c r="K60" i="2"/>
  <c r="I84" i="2"/>
  <c r="L145" i="2"/>
  <c r="L170" i="2"/>
  <c r="J203" i="2"/>
  <c r="M48" i="2"/>
  <c r="L73" i="2"/>
  <c r="M95" i="2"/>
  <c r="J134" i="2"/>
  <c r="J156" i="2"/>
  <c r="L191" i="2"/>
  <c r="N217" i="2"/>
  <c r="J89" i="2"/>
  <c r="M89" i="2"/>
  <c r="L89" i="2"/>
  <c r="K89" i="2"/>
  <c r="J149" i="2"/>
  <c r="L149" i="2"/>
  <c r="K149" i="2"/>
  <c r="N173" i="2"/>
  <c r="L173" i="2"/>
  <c r="M173" i="2"/>
  <c r="N197" i="2"/>
  <c r="M197" i="2"/>
  <c r="J221" i="2"/>
  <c r="M221" i="2"/>
  <c r="L221" i="2"/>
  <c r="N36" i="2"/>
  <c r="I62" i="2"/>
  <c r="M73" i="2"/>
  <c r="K107" i="2"/>
  <c r="K134" i="2"/>
  <c r="N170" i="2"/>
  <c r="M185" i="2"/>
  <c r="L197" i="2"/>
  <c r="K204" i="2"/>
  <c r="L42" i="2"/>
  <c r="K42" i="2"/>
  <c r="J42" i="2"/>
  <c r="N54" i="2"/>
  <c r="J54" i="2"/>
  <c r="I54" i="2"/>
  <c r="K66" i="2"/>
  <c r="J66" i="2"/>
  <c r="I66" i="2"/>
  <c r="I78" i="2"/>
  <c r="N78" i="2"/>
  <c r="M78" i="2"/>
  <c r="K114" i="2"/>
  <c r="J114" i="2"/>
  <c r="L114" i="2"/>
  <c r="I114" i="2"/>
  <c r="N126" i="2"/>
  <c r="L126" i="2"/>
  <c r="M126" i="2"/>
  <c r="N138" i="2"/>
  <c r="M138" i="2"/>
  <c r="L150" i="2"/>
  <c r="K150" i="2"/>
  <c r="J162" i="2"/>
  <c r="M162" i="2"/>
  <c r="L162" i="2"/>
  <c r="K162" i="2"/>
  <c r="N162" i="2"/>
  <c r="J210" i="2"/>
  <c r="M210" i="2"/>
  <c r="L210" i="2"/>
  <c r="K210" i="2"/>
  <c r="I210" i="2"/>
  <c r="M222" i="2"/>
  <c r="L222" i="2"/>
  <c r="K222" i="2"/>
  <c r="L43" i="2"/>
  <c r="N73" i="2"/>
  <c r="L78" i="2"/>
  <c r="J86" i="2"/>
  <c r="K90" i="2"/>
  <c r="I102" i="2"/>
  <c r="I146" i="2"/>
  <c r="K151" i="2"/>
  <c r="I173" i="2"/>
  <c r="K192" i="2"/>
  <c r="I198" i="2"/>
  <c r="L218" i="2"/>
  <c r="M59" i="2"/>
  <c r="L59" i="2"/>
  <c r="N107" i="2"/>
  <c r="M107" i="2"/>
  <c r="M143" i="2"/>
  <c r="L143" i="2"/>
  <c r="J227" i="2"/>
  <c r="I227" i="2"/>
  <c r="N227" i="2"/>
  <c r="K83" i="2"/>
  <c r="N96" i="2"/>
  <c r="K96" i="2"/>
  <c r="N132" i="2"/>
  <c r="K132" i="2"/>
  <c r="J132" i="2"/>
  <c r="N144" i="2"/>
  <c r="K144" i="2"/>
  <c r="I144" i="2"/>
  <c r="J144" i="2"/>
  <c r="K168" i="2"/>
  <c r="N168" i="2"/>
  <c r="M168" i="2"/>
  <c r="N59" i="2"/>
  <c r="I72" i="2"/>
  <c r="K143" i="2"/>
  <c r="N216" i="2"/>
  <c r="K37" i="2"/>
  <c r="I37" i="2"/>
  <c r="J37" i="2"/>
  <c r="M49" i="2"/>
  <c r="L49" i="2"/>
  <c r="K97" i="2"/>
  <c r="M97" i="2"/>
  <c r="N97" i="2"/>
  <c r="N169" i="2"/>
  <c r="I169" i="2"/>
  <c r="L193" i="2"/>
  <c r="M193" i="2"/>
  <c r="J193" i="2"/>
  <c r="N205" i="2"/>
  <c r="M205" i="2"/>
  <c r="K229" i="2"/>
  <c r="I229" i="2"/>
  <c r="J36" i="2"/>
  <c r="I60" i="2"/>
  <c r="J72" i="2"/>
  <c r="M121" i="2"/>
  <c r="M133" i="2"/>
  <c r="P133" i="2" s="1"/>
  <c r="K169" i="2"/>
  <c r="J38" i="2"/>
  <c r="L38" i="2"/>
  <c r="K38" i="2"/>
  <c r="L62" i="2"/>
  <c r="K62" i="2"/>
  <c r="M110" i="2"/>
  <c r="L110" i="2"/>
  <c r="J110" i="2"/>
  <c r="I110" i="2"/>
  <c r="M134" i="2"/>
  <c r="N134" i="2"/>
  <c r="J158" i="2"/>
  <c r="I158" i="2"/>
  <c r="J182" i="2"/>
  <c r="N182" i="2"/>
  <c r="M182" i="2"/>
  <c r="N194" i="2"/>
  <c r="M194" i="2"/>
  <c r="L194" i="2"/>
  <c r="K36" i="2"/>
  <c r="J60" i="2"/>
  <c r="N110" i="2"/>
  <c r="J122" i="2"/>
  <c r="K145" i="2"/>
  <c r="L169" i="2"/>
  <c r="K182" i="2"/>
  <c r="L47" i="2"/>
  <c r="L95" i="2"/>
  <c r="K122" i="2"/>
  <c r="I134" i="2"/>
  <c r="I156" i="2"/>
  <c r="L182" i="2"/>
  <c r="K191" i="2"/>
  <c r="M217" i="2"/>
  <c r="K227" i="2"/>
  <c r="M36" i="2"/>
  <c r="K61" i="2"/>
  <c r="L85" i="2"/>
  <c r="M145" i="2"/>
  <c r="K203" i="2"/>
  <c r="N41" i="2"/>
  <c r="M41" i="2"/>
  <c r="K41" i="2"/>
  <c r="L41" i="2"/>
  <c r="J65" i="2"/>
  <c r="M65" i="2"/>
  <c r="N65" i="2"/>
  <c r="J77" i="2"/>
  <c r="N77" i="2"/>
  <c r="J101" i="2"/>
  <c r="N101" i="2"/>
  <c r="L101" i="2"/>
  <c r="M101" i="2"/>
  <c r="J113" i="2"/>
  <c r="N113" i="2"/>
  <c r="J125" i="2"/>
  <c r="M125" i="2"/>
  <c r="L125" i="2"/>
  <c r="L185" i="2"/>
  <c r="J185" i="2"/>
  <c r="I185" i="2"/>
  <c r="L209" i="2"/>
  <c r="N209" i="2"/>
  <c r="M85" i="2"/>
  <c r="K156" i="2"/>
  <c r="M191" i="2"/>
  <c r="M227" i="2"/>
  <c r="K139" i="2"/>
  <c r="L139" i="2"/>
  <c r="L175" i="2"/>
  <c r="N175" i="2"/>
  <c r="I199" i="2"/>
  <c r="M199" i="2"/>
  <c r="K199" i="2"/>
  <c r="L199" i="2"/>
  <c r="I38" i="2"/>
  <c r="J49" i="2"/>
  <c r="M62" i="2"/>
  <c r="I74" i="2"/>
  <c r="K86" i="2"/>
  <c r="J96" i="2"/>
  <c r="J102" i="2"/>
  <c r="I108" i="2"/>
  <c r="K113" i="2"/>
  <c r="N119" i="2"/>
  <c r="J146" i="2"/>
  <c r="L158" i="2"/>
  <c r="J173" i="2"/>
  <c r="L179" i="2"/>
  <c r="I186" i="2"/>
  <c r="K198" i="2"/>
  <c r="L205" i="2"/>
  <c r="K221" i="2"/>
  <c r="M229" i="2"/>
  <c r="M128" i="2"/>
  <c r="L128" i="2"/>
  <c r="L93" i="2"/>
  <c r="K93" i="2"/>
  <c r="N201" i="2"/>
  <c r="M201" i="2"/>
  <c r="K33" i="2"/>
  <c r="N46" i="2"/>
  <c r="K57" i="2"/>
  <c r="M93" i="2"/>
  <c r="M152" i="2"/>
  <c r="K190" i="2"/>
  <c r="K92" i="2"/>
  <c r="L152" i="2"/>
  <c r="N82" i="2"/>
  <c r="M82" i="2"/>
  <c r="N118" i="2"/>
  <c r="M118" i="2"/>
  <c r="N93" i="2"/>
  <c r="L171" i="2"/>
  <c r="K100" i="2"/>
  <c r="M136" i="2"/>
  <c r="M171" i="2"/>
  <c r="J75" i="2"/>
  <c r="I75" i="2"/>
  <c r="L75" i="2"/>
  <c r="K75" i="2"/>
  <c r="J111" i="2"/>
  <c r="I111" i="2"/>
  <c r="L111" i="2"/>
  <c r="K111" i="2"/>
  <c r="J147" i="2"/>
  <c r="I147" i="2"/>
  <c r="L147" i="2"/>
  <c r="K147" i="2"/>
  <c r="K207" i="2"/>
  <c r="J207" i="2"/>
  <c r="J64" i="2"/>
  <c r="L51" i="2"/>
  <c r="J127" i="2"/>
  <c r="I127" i="2"/>
  <c r="N127" i="2"/>
  <c r="M127" i="2"/>
  <c r="M211" i="2"/>
  <c r="L211" i="2"/>
  <c r="K211" i="2"/>
  <c r="J211" i="2"/>
  <c r="N211" i="2"/>
  <c r="J56" i="2"/>
  <c r="M68" i="2"/>
  <c r="N80" i="2"/>
  <c r="I112" i="2"/>
  <c r="J124" i="2"/>
  <c r="K136" i="2"/>
  <c r="L148" i="2"/>
  <c r="K171" i="2"/>
  <c r="J199" i="2"/>
  <c r="M224" i="2"/>
  <c r="J87" i="2"/>
  <c r="I87" i="2"/>
  <c r="L87" i="2"/>
  <c r="K87" i="2"/>
  <c r="L195" i="2"/>
  <c r="N195" i="2"/>
  <c r="M195" i="2"/>
  <c r="I51" i="2"/>
  <c r="M40" i="2"/>
  <c r="I40" i="2"/>
  <c r="K40" i="2"/>
  <c r="J40" i="2"/>
  <c r="J196" i="2"/>
  <c r="L196" i="2"/>
  <c r="K196" i="2"/>
  <c r="I196" i="2"/>
  <c r="J220" i="2"/>
  <c r="I220" i="2"/>
  <c r="L220" i="2"/>
  <c r="K220" i="2"/>
  <c r="K76" i="2"/>
  <c r="L88" i="2"/>
  <c r="M100" i="2"/>
  <c r="M88" i="2"/>
  <c r="L64" i="2"/>
  <c r="J67" i="2"/>
  <c r="I67" i="2"/>
  <c r="M67" i="2"/>
  <c r="N67" i="2"/>
  <c r="J151" i="2"/>
  <c r="I151" i="2"/>
  <c r="N151" i="2"/>
  <c r="M151" i="2"/>
  <c r="N32" i="2"/>
  <c r="M32" i="2"/>
  <c r="L32" i="2"/>
  <c r="J44" i="2"/>
  <c r="L44" i="2"/>
  <c r="I44" i="2"/>
  <c r="J104" i="2"/>
  <c r="I104" i="2"/>
  <c r="J128" i="2"/>
  <c r="I128" i="2"/>
  <c r="J164" i="2"/>
  <c r="N164" i="2"/>
  <c r="L164" i="2"/>
  <c r="K164" i="2"/>
  <c r="M164" i="2"/>
  <c r="J200" i="2"/>
  <c r="N200" i="2"/>
  <c r="M200" i="2"/>
  <c r="M123" i="2"/>
  <c r="I148" i="2"/>
  <c r="M33" i="2"/>
  <c r="L33" i="2"/>
  <c r="I33" i="2"/>
  <c r="M45" i="2"/>
  <c r="J45" i="2"/>
  <c r="L45" i="2"/>
  <c r="K45" i="2"/>
  <c r="I57" i="2"/>
  <c r="N57" i="2"/>
  <c r="J69" i="2"/>
  <c r="I69" i="2"/>
  <c r="J81" i="2"/>
  <c r="I81" i="2"/>
  <c r="J93" i="2"/>
  <c r="I93" i="2"/>
  <c r="J105" i="2"/>
  <c r="I105" i="2"/>
  <c r="J117" i="2"/>
  <c r="I117" i="2"/>
  <c r="J129" i="2"/>
  <c r="I129" i="2"/>
  <c r="J141" i="2"/>
  <c r="I141" i="2"/>
  <c r="J153" i="2"/>
  <c r="I153" i="2"/>
  <c r="N165" i="2"/>
  <c r="M165" i="2"/>
  <c r="N177" i="2"/>
  <c r="L177" i="2"/>
  <c r="K177" i="2"/>
  <c r="M177" i="2"/>
  <c r="N189" i="2"/>
  <c r="M189" i="2"/>
  <c r="L201" i="2"/>
  <c r="J201" i="2"/>
  <c r="I201" i="2"/>
  <c r="K201" i="2"/>
  <c r="N213" i="2"/>
  <c r="M213" i="2"/>
  <c r="N225" i="2"/>
  <c r="M225" i="2"/>
  <c r="L225" i="2"/>
  <c r="K225" i="2"/>
  <c r="J32" i="2"/>
  <c r="N104" i="2"/>
  <c r="M111" i="2"/>
  <c r="K117" i="2"/>
  <c r="L129" i="2"/>
  <c r="I136" i="2"/>
  <c r="M141" i="2"/>
  <c r="J148" i="2"/>
  <c r="N153" i="2"/>
  <c r="N160" i="2"/>
  <c r="I171" i="2"/>
  <c r="N184" i="2"/>
  <c r="I195" i="2"/>
  <c r="M220" i="2"/>
  <c r="N39" i="2"/>
  <c r="M39" i="2"/>
  <c r="J63" i="2"/>
  <c r="I63" i="2"/>
  <c r="L63" i="2"/>
  <c r="K63" i="2"/>
  <c r="J99" i="2"/>
  <c r="I99" i="2"/>
  <c r="L99" i="2"/>
  <c r="K99" i="2"/>
  <c r="J123" i="2"/>
  <c r="I123" i="2"/>
  <c r="L123" i="2"/>
  <c r="K123" i="2"/>
  <c r="J135" i="2"/>
  <c r="I135" i="2"/>
  <c r="L135" i="2"/>
  <c r="K135" i="2"/>
  <c r="K159" i="2"/>
  <c r="J159" i="2"/>
  <c r="M159" i="2"/>
  <c r="I159" i="2"/>
  <c r="L159" i="2"/>
  <c r="K183" i="2"/>
  <c r="J183" i="2"/>
  <c r="I183" i="2"/>
  <c r="M219" i="2"/>
  <c r="N219" i="2"/>
  <c r="M183" i="2"/>
  <c r="L207" i="2"/>
  <c r="M52" i="2"/>
  <c r="K52" i="2"/>
  <c r="N52" i="2"/>
  <c r="J172" i="2"/>
  <c r="L172" i="2"/>
  <c r="K172" i="2"/>
  <c r="N172" i="2"/>
  <c r="I172" i="2"/>
  <c r="M172" i="2"/>
  <c r="J208" i="2"/>
  <c r="N208" i="2"/>
  <c r="M208" i="2"/>
  <c r="J51" i="2"/>
  <c r="N159" i="2"/>
  <c r="N183" i="2"/>
  <c r="M207" i="2"/>
  <c r="K51" i="2"/>
  <c r="K64" i="2"/>
  <c r="L76" i="2"/>
  <c r="I160" i="2"/>
  <c r="I184" i="2"/>
  <c r="N207" i="2"/>
  <c r="I219" i="2"/>
  <c r="M76" i="2"/>
  <c r="M147" i="2"/>
  <c r="K160" i="2"/>
  <c r="K184" i="2"/>
  <c r="I208" i="2"/>
  <c r="J219" i="2"/>
  <c r="J43" i="2"/>
  <c r="I43" i="2"/>
  <c r="N55" i="2"/>
  <c r="L55" i="2"/>
  <c r="M55" i="2"/>
  <c r="K55" i="2"/>
  <c r="J79" i="2"/>
  <c r="I79" i="2"/>
  <c r="M79" i="2"/>
  <c r="N79" i="2"/>
  <c r="J91" i="2"/>
  <c r="I91" i="2"/>
  <c r="N91" i="2"/>
  <c r="M91" i="2"/>
  <c r="J103" i="2"/>
  <c r="I103" i="2"/>
  <c r="N103" i="2"/>
  <c r="M103" i="2"/>
  <c r="J115" i="2"/>
  <c r="I115" i="2"/>
  <c r="N115" i="2"/>
  <c r="M115" i="2"/>
  <c r="J139" i="2"/>
  <c r="I139" i="2"/>
  <c r="N139" i="2"/>
  <c r="M139" i="2"/>
  <c r="M163" i="2"/>
  <c r="L163" i="2"/>
  <c r="K175" i="2"/>
  <c r="I175" i="2"/>
  <c r="J175" i="2"/>
  <c r="M187" i="2"/>
  <c r="L187" i="2"/>
  <c r="N187" i="2"/>
  <c r="L223" i="2"/>
  <c r="K223" i="2"/>
  <c r="J223" i="2"/>
  <c r="I223" i="2"/>
  <c r="M51" i="2"/>
  <c r="M64" i="2"/>
  <c r="L79" i="2"/>
  <c r="M135" i="2"/>
  <c r="N147" i="2"/>
  <c r="L160" i="2"/>
  <c r="I163" i="2"/>
  <c r="L184" i="2"/>
  <c r="I187" i="2"/>
  <c r="K208" i="2"/>
  <c r="K219" i="2"/>
  <c r="M223" i="2"/>
  <c r="J68" i="2"/>
  <c r="I68" i="2"/>
  <c r="J80" i="2"/>
  <c r="I80" i="2"/>
  <c r="J92" i="2"/>
  <c r="I92" i="2"/>
  <c r="J116" i="2"/>
  <c r="I116" i="2"/>
  <c r="J140" i="2"/>
  <c r="I140" i="2"/>
  <c r="J152" i="2"/>
  <c r="I152" i="2"/>
  <c r="J176" i="2"/>
  <c r="N176" i="2"/>
  <c r="M176" i="2"/>
  <c r="J188" i="2"/>
  <c r="L188" i="2"/>
  <c r="K188" i="2"/>
  <c r="I188" i="2"/>
  <c r="J212" i="2"/>
  <c r="I212" i="2"/>
  <c r="J224" i="2"/>
  <c r="I224" i="2"/>
  <c r="I32" i="2"/>
  <c r="I55" i="2"/>
  <c r="L67" i="2"/>
  <c r="K80" i="2"/>
  <c r="L92" i="2"/>
  <c r="M104" i="2"/>
  <c r="N116" i="2"/>
  <c r="M160" i="2"/>
  <c r="P160" i="2" s="1"/>
  <c r="J163" i="2"/>
  <c r="M184" i="2"/>
  <c r="P184" i="2" s="1"/>
  <c r="J187" i="2"/>
  <c r="L208" i="2"/>
  <c r="L212" i="2"/>
  <c r="L219" i="2"/>
  <c r="N223" i="2"/>
  <c r="L46" i="2"/>
  <c r="K46" i="2"/>
  <c r="J46" i="2"/>
  <c r="K58" i="2"/>
  <c r="I58" i="2"/>
  <c r="L58" i="2"/>
  <c r="J58" i="2"/>
  <c r="L70" i="2"/>
  <c r="J70" i="2"/>
  <c r="I70" i="2"/>
  <c r="K70" i="2"/>
  <c r="L82" i="2"/>
  <c r="J82" i="2"/>
  <c r="I82" i="2"/>
  <c r="K82" i="2"/>
  <c r="L94" i="2"/>
  <c r="J94" i="2"/>
  <c r="K94" i="2"/>
  <c r="I94" i="2"/>
  <c r="L106" i="2"/>
  <c r="J106" i="2"/>
  <c r="I106" i="2"/>
  <c r="K106" i="2"/>
  <c r="L118" i="2"/>
  <c r="I118" i="2"/>
  <c r="K118" i="2"/>
  <c r="J118" i="2"/>
  <c r="L130" i="2"/>
  <c r="J130" i="2"/>
  <c r="I130" i="2"/>
  <c r="K130" i="2"/>
  <c r="L142" i="2"/>
  <c r="J142" i="2"/>
  <c r="I142" i="2"/>
  <c r="K142" i="2"/>
  <c r="L154" i="2"/>
  <c r="J154" i="2"/>
  <c r="I154" i="2"/>
  <c r="K154" i="2"/>
  <c r="J166" i="2"/>
  <c r="N166" i="2"/>
  <c r="J178" i="2"/>
  <c r="N178" i="2"/>
  <c r="J190" i="2"/>
  <c r="M190" i="2"/>
  <c r="L190" i="2"/>
  <c r="N190" i="2"/>
  <c r="J202" i="2"/>
  <c r="N202" i="2"/>
  <c r="J214" i="2"/>
  <c r="I214" i="2"/>
  <c r="N214" i="2"/>
  <c r="K214" i="2"/>
  <c r="M214" i="2"/>
  <c r="L214" i="2"/>
  <c r="J226" i="2"/>
  <c r="I226" i="2"/>
  <c r="L226" i="2"/>
  <c r="K226" i="2"/>
  <c r="K32" i="2"/>
  <c r="I39" i="2"/>
  <c r="M46" i="2"/>
  <c r="J52" i="2"/>
  <c r="I56" i="2"/>
  <c r="L68" i="2"/>
  <c r="M80" i="2"/>
  <c r="N92" i="2"/>
  <c r="M99" i="2"/>
  <c r="K105" i="2"/>
  <c r="N111" i="2"/>
  <c r="L117" i="2"/>
  <c r="M129" i="2"/>
  <c r="N141" i="2"/>
  <c r="M154" i="2"/>
  <c r="P154" i="2" s="1"/>
  <c r="N163" i="2"/>
  <c r="J171" i="2"/>
  <c r="M178" i="2"/>
  <c r="M188" i="2"/>
  <c r="J195" i="2"/>
  <c r="K202" i="2"/>
  <c r="N212" i="2"/>
  <c r="N220" i="2"/>
  <c r="L224" i="2"/>
  <c r="J59" i="2"/>
  <c r="I59" i="2"/>
  <c r="J83" i="2"/>
  <c r="I83" i="2"/>
  <c r="J95" i="2"/>
  <c r="I95" i="2"/>
  <c r="J119" i="2"/>
  <c r="I119" i="2"/>
  <c r="M47" i="2"/>
  <c r="L48" i="2"/>
  <c r="K48" i="2"/>
  <c r="J168" i="2"/>
  <c r="I168" i="2"/>
  <c r="J192" i="2"/>
  <c r="I192" i="2"/>
  <c r="J216" i="2"/>
  <c r="I216" i="2"/>
  <c r="L216" i="2"/>
  <c r="K216" i="2"/>
  <c r="J35" i="2"/>
  <c r="L72" i="2"/>
  <c r="L84" i="2"/>
  <c r="L132" i="2"/>
  <c r="I167" i="2"/>
  <c r="I180" i="2"/>
  <c r="N37" i="2"/>
  <c r="M37" i="2"/>
  <c r="J61" i="2"/>
  <c r="I61" i="2"/>
  <c r="J73" i="2"/>
  <c r="I73" i="2"/>
  <c r="J85" i="2"/>
  <c r="I85" i="2"/>
  <c r="J97" i="2"/>
  <c r="I97" i="2"/>
  <c r="J109" i="2"/>
  <c r="I109" i="2"/>
  <c r="J121" i="2"/>
  <c r="I121" i="2"/>
  <c r="J133" i="2"/>
  <c r="I133" i="2"/>
  <c r="J145" i="2"/>
  <c r="I145" i="2"/>
  <c r="J157" i="2"/>
  <c r="I157" i="2"/>
  <c r="J181" i="2"/>
  <c r="I181" i="2"/>
  <c r="J205" i="2"/>
  <c r="I205" i="2"/>
  <c r="I48" i="2"/>
  <c r="M60" i="2"/>
  <c r="M72" i="2"/>
  <c r="M84" i="2"/>
  <c r="M96" i="2"/>
  <c r="M108" i="2"/>
  <c r="M120" i="2"/>
  <c r="P120" i="2" s="1"/>
  <c r="M132" i="2"/>
  <c r="M144" i="2"/>
  <c r="M156" i="2"/>
  <c r="J167" i="2"/>
  <c r="M169" i="2"/>
  <c r="K180" i="2"/>
  <c r="K193" i="2"/>
  <c r="N203" i="2"/>
  <c r="L206" i="2"/>
  <c r="K217" i="2"/>
  <c r="J229" i="2"/>
  <c r="N35" i="2"/>
  <c r="M35" i="2"/>
  <c r="J71" i="2"/>
  <c r="I71" i="2"/>
  <c r="J107" i="2"/>
  <c r="I107" i="2"/>
  <c r="J131" i="2"/>
  <c r="I131" i="2"/>
  <c r="J143" i="2"/>
  <c r="I143" i="2"/>
  <c r="J155" i="2"/>
  <c r="I155" i="2"/>
  <c r="I35" i="2"/>
  <c r="N179" i="2"/>
  <c r="L203" i="2"/>
  <c r="K228" i="2"/>
  <c r="J228" i="2"/>
  <c r="I228" i="2"/>
  <c r="M228" i="2"/>
  <c r="L228" i="2"/>
  <c r="L60" i="2"/>
  <c r="L96" i="2"/>
  <c r="L108" i="2"/>
  <c r="L120" i="2"/>
  <c r="L144" i="2"/>
  <c r="L156" i="2"/>
  <c r="M203" i="2"/>
  <c r="L50" i="2"/>
  <c r="K50" i="2"/>
  <c r="J170" i="2"/>
  <c r="K170" i="2"/>
  <c r="I170" i="2"/>
  <c r="J194" i="2"/>
  <c r="K194" i="2"/>
  <c r="I194" i="2"/>
  <c r="J218" i="2"/>
  <c r="I218" i="2"/>
  <c r="N218" i="2"/>
  <c r="M218" i="2"/>
  <c r="L35" i="2"/>
  <c r="J48" i="2"/>
  <c r="N50" i="2"/>
  <c r="K167" i="2"/>
  <c r="L180" i="2"/>
  <c r="I191" i="2"/>
  <c r="I204" i="2"/>
  <c r="M206" i="2"/>
  <c r="M54" i="2"/>
  <c r="I65" i="2"/>
  <c r="I77" i="2"/>
  <c r="I89" i="2"/>
  <c r="I101" i="2"/>
  <c r="I113" i="2"/>
  <c r="I125" i="2"/>
  <c r="I137" i="2"/>
  <c r="I149" i="2"/>
  <c r="K161" i="2"/>
  <c r="L174" i="2"/>
  <c r="K185" i="2"/>
  <c r="L198" i="2"/>
  <c r="K209" i="2"/>
  <c r="I221" i="2"/>
  <c r="J222" i="2"/>
  <c r="I222" i="2"/>
  <c r="I42" i="2"/>
  <c r="M174" i="2"/>
  <c r="M198" i="2"/>
  <c r="E40" i="3" l="1"/>
  <c r="E39" i="3"/>
  <c r="P221" i="2"/>
  <c r="AZ20" i="2"/>
  <c r="AZ8" i="2"/>
  <c r="AZ19" i="2"/>
  <c r="AZ7" i="2"/>
  <c r="Z68" i="3" s="1"/>
  <c r="AZ18" i="2"/>
  <c r="AZ6" i="2"/>
  <c r="Z67" i="3" s="1"/>
  <c r="AZ17" i="2"/>
  <c r="AZ5" i="2"/>
  <c r="Z66" i="3" s="1"/>
  <c r="AZ16" i="2"/>
  <c r="AZ4" i="2"/>
  <c r="Z65" i="3" s="1"/>
  <c r="AZ15" i="2"/>
  <c r="AZ14" i="2"/>
  <c r="AZ13" i="2"/>
  <c r="AZ12" i="2"/>
  <c r="AZ23" i="2"/>
  <c r="AZ11" i="2"/>
  <c r="AZ22" i="2"/>
  <c r="AZ10" i="2"/>
  <c r="AZ21" i="2"/>
  <c r="AZ9" i="2"/>
  <c r="Z70" i="3" s="1"/>
  <c r="BA4" i="2"/>
  <c r="AB65" i="3" s="1"/>
  <c r="P24" i="2"/>
  <c r="C41" i="3"/>
  <c r="Q24" i="2"/>
  <c r="P188" i="2"/>
  <c r="X4" i="2"/>
  <c r="Q12" i="3"/>
  <c r="M24" i="2"/>
  <c r="O24" i="2" s="1"/>
  <c r="P60" i="2"/>
  <c r="P135" i="2"/>
  <c r="P48" i="2"/>
  <c r="P216" i="2"/>
  <c r="P114" i="2"/>
  <c r="P43" i="2"/>
  <c r="P155" i="2"/>
  <c r="P228" i="2"/>
  <c r="P92" i="2"/>
  <c r="P143" i="2"/>
  <c r="P34" i="2"/>
  <c r="P199" i="2"/>
  <c r="P106" i="2"/>
  <c r="P94" i="2"/>
  <c r="P58" i="2"/>
  <c r="P112" i="2"/>
  <c r="P145" i="2"/>
  <c r="P33" i="2"/>
  <c r="P109" i="2"/>
  <c r="P77" i="2"/>
  <c r="P89" i="2"/>
  <c r="P51" i="2"/>
  <c r="P123" i="2"/>
  <c r="P156" i="2"/>
  <c r="P128" i="2"/>
  <c r="P175" i="2"/>
  <c r="P171" i="2"/>
  <c r="P181" i="2"/>
  <c r="P98" i="2"/>
  <c r="P99" i="2"/>
  <c r="P113" i="2"/>
  <c r="P95" i="2"/>
  <c r="P166" i="2"/>
  <c r="P38" i="2"/>
  <c r="P226" i="2"/>
  <c r="P117" i="2"/>
  <c r="P210" i="2"/>
  <c r="P146" i="2"/>
  <c r="P193" i="2"/>
  <c r="P121" i="2"/>
  <c r="P179" i="2"/>
  <c r="P222" i="2"/>
  <c r="P185" i="2"/>
  <c r="P87" i="2"/>
  <c r="P75" i="2"/>
  <c r="P170" i="2"/>
  <c r="P108" i="2"/>
  <c r="P72" i="2"/>
  <c r="P124" i="2"/>
  <c r="P70" i="2"/>
  <c r="P107" i="2"/>
  <c r="P39" i="2"/>
  <c r="P132" i="2"/>
  <c r="M30" i="2"/>
  <c r="N30" i="2"/>
  <c r="J30" i="2"/>
  <c r="O211" i="2"/>
  <c r="O182" i="2"/>
  <c r="O86" i="2"/>
  <c r="I30" i="2"/>
  <c r="P36" i="2"/>
  <c r="P61" i="2"/>
  <c r="P139" i="2"/>
  <c r="P91" i="2"/>
  <c r="P200" i="2"/>
  <c r="P167" i="2"/>
  <c r="P69" i="2"/>
  <c r="P45" i="2"/>
  <c r="P147" i="2"/>
  <c r="P151" i="2"/>
  <c r="P127" i="2"/>
  <c r="P101" i="2"/>
  <c r="P150" i="2"/>
  <c r="P176" i="2"/>
  <c r="P82" i="2"/>
  <c r="P182" i="2"/>
  <c r="P81" i="2"/>
  <c r="R203" i="2"/>
  <c r="P84" i="2"/>
  <c r="R133" i="2"/>
  <c r="P104" i="2"/>
  <c r="P76" i="2"/>
  <c r="P208" i="2"/>
  <c r="P213" i="2"/>
  <c r="P165" i="2"/>
  <c r="R49" i="2"/>
  <c r="P118" i="2"/>
  <c r="P201" i="2"/>
  <c r="P85" i="2"/>
  <c r="P194" i="2"/>
  <c r="P110" i="2"/>
  <c r="P173" i="2"/>
  <c r="P157" i="2"/>
  <c r="P180" i="2"/>
  <c r="P119" i="2"/>
  <c r="P148" i="2"/>
  <c r="P37" i="2"/>
  <c r="P103" i="2"/>
  <c r="P141" i="2"/>
  <c r="P195" i="2"/>
  <c r="P138" i="2"/>
  <c r="P71" i="2"/>
  <c r="P56" i="2"/>
  <c r="P66" i="2"/>
  <c r="P55" i="2"/>
  <c r="P129" i="2"/>
  <c r="P172" i="2"/>
  <c r="P205" i="2"/>
  <c r="P126" i="2"/>
  <c r="R143" i="2"/>
  <c r="R216" i="2"/>
  <c r="O56" i="2"/>
  <c r="R56" i="2"/>
  <c r="R92" i="2"/>
  <c r="R79" i="2"/>
  <c r="R60" i="2"/>
  <c r="R45" i="2"/>
  <c r="R209" i="2"/>
  <c r="R98" i="2"/>
  <c r="O191" i="2"/>
  <c r="Q191" i="2" s="1"/>
  <c r="R191" i="2"/>
  <c r="O83" i="2"/>
  <c r="Q83" i="2" s="1"/>
  <c r="R83" i="2"/>
  <c r="O214" i="2"/>
  <c r="Q214" i="2" s="1"/>
  <c r="R214" i="2"/>
  <c r="O93" i="2"/>
  <c r="Q93" i="2" s="1"/>
  <c r="R93" i="2"/>
  <c r="R38" i="2"/>
  <c r="O227" i="2"/>
  <c r="Q227" i="2" s="1"/>
  <c r="R227" i="2"/>
  <c r="O131" i="2"/>
  <c r="Q131" i="2" s="1"/>
  <c r="R131" i="2"/>
  <c r="O121" i="2"/>
  <c r="Q121" i="2" s="1"/>
  <c r="R121" i="2"/>
  <c r="R154" i="2"/>
  <c r="R175" i="2"/>
  <c r="O127" i="2"/>
  <c r="R127" i="2"/>
  <c r="R173" i="2"/>
  <c r="O66" i="2"/>
  <c r="R66" i="2"/>
  <c r="R206" i="2"/>
  <c r="R165" i="2"/>
  <c r="R48" i="2"/>
  <c r="O59" i="2"/>
  <c r="R59" i="2"/>
  <c r="O136" i="2"/>
  <c r="Q136" i="2" s="1"/>
  <c r="R136" i="2"/>
  <c r="O81" i="2"/>
  <c r="Q81" i="2" s="1"/>
  <c r="R81" i="2"/>
  <c r="R220" i="2"/>
  <c r="R120" i="2"/>
  <c r="R215" i="2"/>
  <c r="O107" i="2"/>
  <c r="Q107" i="2" s="1"/>
  <c r="R107" i="2"/>
  <c r="R180" i="2"/>
  <c r="O184" i="2"/>
  <c r="Q184" i="2" s="1"/>
  <c r="R184" i="2"/>
  <c r="O104" i="2"/>
  <c r="R104" i="2"/>
  <c r="R202" i="2"/>
  <c r="R113" i="2"/>
  <c r="R167" i="2"/>
  <c r="O183" i="2"/>
  <c r="Q183" i="2" s="1"/>
  <c r="R183" i="2"/>
  <c r="R69" i="2"/>
  <c r="R182" i="2"/>
  <c r="O181" i="2"/>
  <c r="Q181" i="2" s="1"/>
  <c r="R181" i="2"/>
  <c r="O106" i="2"/>
  <c r="Q106" i="2" s="1"/>
  <c r="R106" i="2"/>
  <c r="O152" i="2"/>
  <c r="Q152" i="2" s="1"/>
  <c r="R152" i="2"/>
  <c r="O158" i="2"/>
  <c r="R158" i="2"/>
  <c r="R86" i="2"/>
  <c r="R224" i="2"/>
  <c r="R77" i="2"/>
  <c r="R157" i="2"/>
  <c r="R140" i="2"/>
  <c r="R91" i="2"/>
  <c r="S184" i="2"/>
  <c r="R57" i="2"/>
  <c r="R200" i="2"/>
  <c r="R218" i="2"/>
  <c r="O35" i="2"/>
  <c r="Q21" i="3" s="1"/>
  <c r="R35" i="2"/>
  <c r="R119" i="2"/>
  <c r="R94" i="2"/>
  <c r="R212" i="2"/>
  <c r="R187" i="2"/>
  <c r="R208" i="2"/>
  <c r="R159" i="2"/>
  <c r="R117" i="2"/>
  <c r="P134" i="2"/>
  <c r="O169" i="2"/>
  <c r="Q169" i="2" s="1"/>
  <c r="R169" i="2"/>
  <c r="R72" i="2"/>
  <c r="R84" i="2"/>
  <c r="S55" i="2"/>
  <c r="P57" i="2"/>
  <c r="R197" i="2"/>
  <c r="R178" i="2"/>
  <c r="R225" i="2"/>
  <c r="R162" i="2"/>
  <c r="O88" i="2"/>
  <c r="Q88" i="2" s="1"/>
  <c r="R88" i="2"/>
  <c r="O149" i="2"/>
  <c r="R149" i="2"/>
  <c r="O192" i="2"/>
  <c r="Q192" i="2" s="1"/>
  <c r="R192" i="2"/>
  <c r="O128" i="2"/>
  <c r="Q128" i="2" s="1"/>
  <c r="R128" i="2"/>
  <c r="O151" i="2"/>
  <c r="Q151" i="2" s="1"/>
  <c r="R151" i="2"/>
  <c r="R229" i="2"/>
  <c r="O210" i="2"/>
  <c r="Q210" i="2" s="1"/>
  <c r="R210" i="2"/>
  <c r="R176" i="2"/>
  <c r="R34" i="2"/>
  <c r="R137" i="2"/>
  <c r="R118" i="2"/>
  <c r="O63" i="2"/>
  <c r="R63" i="2"/>
  <c r="R112" i="2"/>
  <c r="R161" i="2"/>
  <c r="R125" i="2"/>
  <c r="R228" i="2"/>
  <c r="O109" i="2"/>
  <c r="Q109" i="2" s="1"/>
  <c r="R109" i="2"/>
  <c r="R103" i="2"/>
  <c r="O201" i="2"/>
  <c r="R201" i="2"/>
  <c r="R148" i="2"/>
  <c r="O185" i="2"/>
  <c r="Q185" i="2" s="1"/>
  <c r="R185" i="2"/>
  <c r="R146" i="2"/>
  <c r="O50" i="2"/>
  <c r="R50" i="2"/>
  <c r="R76" i="2"/>
  <c r="O42" i="2"/>
  <c r="Q72" i="3" s="1"/>
  <c r="R42" i="2"/>
  <c r="O55" i="2"/>
  <c r="R55" i="2"/>
  <c r="O160" i="2"/>
  <c r="Q160" i="2" s="1"/>
  <c r="R160" i="2"/>
  <c r="R199" i="2"/>
  <c r="R37" i="2"/>
  <c r="R102" i="2"/>
  <c r="O54" i="2"/>
  <c r="R54" i="2"/>
  <c r="R179" i="2"/>
  <c r="R166" i="2"/>
  <c r="R101" i="2"/>
  <c r="O142" i="2"/>
  <c r="Q142" i="2" s="1"/>
  <c r="R142" i="2"/>
  <c r="O70" i="2"/>
  <c r="Q70" i="2" s="1"/>
  <c r="R70" i="2"/>
  <c r="O32" i="2"/>
  <c r="R32" i="2"/>
  <c r="O67" i="2"/>
  <c r="Q67" i="2" s="1"/>
  <c r="R67" i="2"/>
  <c r="R108" i="2"/>
  <c r="O62" i="2"/>
  <c r="Q62" i="2" s="1"/>
  <c r="R62" i="2"/>
  <c r="R47" i="2"/>
  <c r="R129" i="2"/>
  <c r="R87" i="2"/>
  <c r="R114" i="2"/>
  <c r="R217" i="2"/>
  <c r="R64" i="2"/>
  <c r="R211" i="2"/>
  <c r="R221" i="2"/>
  <c r="R85" i="2"/>
  <c r="R139" i="2"/>
  <c r="R36" i="2"/>
  <c r="O65" i="2"/>
  <c r="Q65" i="2" s="1"/>
  <c r="R65" i="2"/>
  <c r="P54" i="2"/>
  <c r="R155" i="2"/>
  <c r="O145" i="2"/>
  <c r="Q145" i="2" s="1"/>
  <c r="R145" i="2"/>
  <c r="O73" i="2"/>
  <c r="R73" i="2"/>
  <c r="P80" i="2"/>
  <c r="P214" i="2"/>
  <c r="R130" i="2"/>
  <c r="R116" i="2"/>
  <c r="P115" i="2"/>
  <c r="P159" i="2"/>
  <c r="R171" i="2"/>
  <c r="P32" i="2"/>
  <c r="P100" i="2"/>
  <c r="O147" i="2"/>
  <c r="Q147" i="2" s="1"/>
  <c r="R147" i="2"/>
  <c r="O74" i="2"/>
  <c r="R74" i="2"/>
  <c r="P227" i="2"/>
  <c r="O156" i="2"/>
  <c r="Q156" i="2" s="1"/>
  <c r="R156" i="2"/>
  <c r="O110" i="2"/>
  <c r="Q110" i="2" s="1"/>
  <c r="R110" i="2"/>
  <c r="P162" i="2"/>
  <c r="O122" i="2"/>
  <c r="Q122" i="2" s="1"/>
  <c r="R122" i="2"/>
  <c r="P204" i="2"/>
  <c r="R124" i="2"/>
  <c r="R52" i="2"/>
  <c r="O150" i="2"/>
  <c r="R150" i="2"/>
  <c r="R193" i="2"/>
  <c r="R100" i="2"/>
  <c r="R190" i="2"/>
  <c r="O204" i="2"/>
  <c r="R204" i="2"/>
  <c r="R61" i="2"/>
  <c r="R115" i="2"/>
  <c r="R198" i="2"/>
  <c r="R213" i="2"/>
  <c r="R33" i="2"/>
  <c r="R51" i="2"/>
  <c r="R78" i="2"/>
  <c r="R90" i="2"/>
  <c r="R170" i="2"/>
  <c r="R82" i="2"/>
  <c r="R80" i="2"/>
  <c r="R219" i="2"/>
  <c r="R111" i="2"/>
  <c r="R126" i="2"/>
  <c r="R132" i="2"/>
  <c r="O39" i="2"/>
  <c r="R39" i="2"/>
  <c r="O135" i="2"/>
  <c r="Q135" i="2" s="1"/>
  <c r="R135" i="2"/>
  <c r="O153" i="2"/>
  <c r="Q153" i="2" s="1"/>
  <c r="R153" i="2"/>
  <c r="R144" i="2"/>
  <c r="O205" i="2"/>
  <c r="Q205" i="2" s="1"/>
  <c r="R205" i="2"/>
  <c r="O168" i="2"/>
  <c r="Q168" i="2" s="1"/>
  <c r="R168" i="2"/>
  <c r="O68" i="2"/>
  <c r="Q68" i="2" s="1"/>
  <c r="R68" i="2"/>
  <c r="O53" i="2"/>
  <c r="R53" i="2"/>
  <c r="R164" i="2"/>
  <c r="R172" i="2"/>
  <c r="R141" i="2"/>
  <c r="R196" i="2"/>
  <c r="O222" i="2"/>
  <c r="Q222" i="2" s="1"/>
  <c r="R222" i="2"/>
  <c r="O71" i="2"/>
  <c r="Q71" i="2" s="1"/>
  <c r="R71" i="2"/>
  <c r="O97" i="2"/>
  <c r="Q97" i="2" s="1"/>
  <c r="R97" i="2"/>
  <c r="O223" i="2"/>
  <c r="Q223" i="2" s="1"/>
  <c r="R223" i="2"/>
  <c r="O43" i="2"/>
  <c r="R43" i="2"/>
  <c r="O44" i="2"/>
  <c r="R44" i="2"/>
  <c r="O75" i="2"/>
  <c r="R75" i="2"/>
  <c r="R174" i="2"/>
  <c r="R89" i="2"/>
  <c r="R226" i="2"/>
  <c r="R123" i="2"/>
  <c r="R177" i="2"/>
  <c r="R138" i="2"/>
  <c r="R96" i="2"/>
  <c r="R195" i="2"/>
  <c r="P206" i="2"/>
  <c r="R194" i="2"/>
  <c r="R95" i="2"/>
  <c r="R58" i="2"/>
  <c r="O188" i="2"/>
  <c r="Q188" i="2" s="1"/>
  <c r="R188" i="2"/>
  <c r="R163" i="2"/>
  <c r="O99" i="2"/>
  <c r="Q99" i="2" s="1"/>
  <c r="R99" i="2"/>
  <c r="P225" i="2"/>
  <c r="O105" i="2"/>
  <c r="Q105" i="2" s="1"/>
  <c r="R105" i="2"/>
  <c r="R40" i="2"/>
  <c r="P211" i="2"/>
  <c r="R186" i="2"/>
  <c r="P191" i="2"/>
  <c r="P41" i="2"/>
  <c r="O134" i="2"/>
  <c r="Q134" i="2" s="1"/>
  <c r="R134" i="2"/>
  <c r="P168" i="2"/>
  <c r="P78" i="2"/>
  <c r="P197" i="2"/>
  <c r="P196" i="2"/>
  <c r="R189" i="2"/>
  <c r="P212" i="2"/>
  <c r="O41" i="2"/>
  <c r="R41" i="2"/>
  <c r="R207" i="2"/>
  <c r="R46" i="2"/>
  <c r="S33" i="2"/>
  <c r="S206" i="2"/>
  <c r="S160" i="2"/>
  <c r="S225" i="2"/>
  <c r="S169" i="2"/>
  <c r="S62" i="2"/>
  <c r="S39" i="2"/>
  <c r="S174" i="2"/>
  <c r="S78" i="2"/>
  <c r="S218" i="2"/>
  <c r="S229" i="2"/>
  <c r="S119" i="2"/>
  <c r="S178" i="2"/>
  <c r="S163" i="2"/>
  <c r="S212" i="2"/>
  <c r="S117" i="2"/>
  <c r="S199" i="2"/>
  <c r="S60" i="2"/>
  <c r="S221" i="2"/>
  <c r="S89" i="2"/>
  <c r="S47" i="2"/>
  <c r="S112" i="2"/>
  <c r="S137" i="2"/>
  <c r="S57" i="2"/>
  <c r="S155" i="2"/>
  <c r="S145" i="2"/>
  <c r="S73" i="2"/>
  <c r="S130" i="2"/>
  <c r="S94" i="2"/>
  <c r="S116" i="2"/>
  <c r="S159" i="2"/>
  <c r="S45" i="2"/>
  <c r="S147" i="2"/>
  <c r="S113" i="2"/>
  <c r="S110" i="2"/>
  <c r="S72" i="2"/>
  <c r="O162" i="2"/>
  <c r="Q162" i="2" s="1"/>
  <c r="S162" i="2"/>
  <c r="S108" i="2"/>
  <c r="S189" i="2"/>
  <c r="S150" i="2"/>
  <c r="S165" i="2"/>
  <c r="S95" i="2"/>
  <c r="S171" i="2"/>
  <c r="S166" i="2"/>
  <c r="S51" i="2"/>
  <c r="S99" i="2"/>
  <c r="S105" i="2"/>
  <c r="S49" i="2"/>
  <c r="S217" i="2"/>
  <c r="S204" i="2"/>
  <c r="S41" i="2"/>
  <c r="S120" i="2"/>
  <c r="S194" i="2"/>
  <c r="S143" i="2"/>
  <c r="S133" i="2"/>
  <c r="S61" i="2"/>
  <c r="S216" i="2"/>
  <c r="S52" i="2"/>
  <c r="S118" i="2"/>
  <c r="S46" i="2"/>
  <c r="S92" i="2"/>
  <c r="S175" i="2"/>
  <c r="S115" i="2"/>
  <c r="S79" i="2"/>
  <c r="S148" i="2"/>
  <c r="S164" i="2"/>
  <c r="S173" i="2"/>
  <c r="S36" i="2"/>
  <c r="S156" i="2"/>
  <c r="S191" i="2"/>
  <c r="S214" i="2"/>
  <c r="S121" i="2"/>
  <c r="S192" i="2"/>
  <c r="S80" i="2"/>
  <c r="S128" i="2"/>
  <c r="S111" i="2"/>
  <c r="S101" i="2"/>
  <c r="S66" i="2"/>
  <c r="S180" i="2"/>
  <c r="S88" i="2"/>
  <c r="S170" i="2"/>
  <c r="S135" i="2"/>
  <c r="S153" i="2"/>
  <c r="S107" i="2"/>
  <c r="S205" i="2"/>
  <c r="S68" i="2"/>
  <c r="S201" i="2"/>
  <c r="S104" i="2"/>
  <c r="S64" i="2"/>
  <c r="S185" i="2"/>
  <c r="S50" i="2"/>
  <c r="S161" i="2"/>
  <c r="S183" i="2"/>
  <c r="S69" i="2"/>
  <c r="S56" i="2"/>
  <c r="S207" i="2"/>
  <c r="S193" i="2"/>
  <c r="O132" i="2"/>
  <c r="Q132" i="2" s="1"/>
  <c r="S132" i="2"/>
  <c r="S203" i="2"/>
  <c r="S53" i="2"/>
  <c r="S71" i="2"/>
  <c r="S181" i="2"/>
  <c r="S142" i="2"/>
  <c r="S106" i="2"/>
  <c r="S70" i="2"/>
  <c r="S152" i="2"/>
  <c r="S223" i="2"/>
  <c r="S43" i="2"/>
  <c r="S67" i="2"/>
  <c r="S75" i="2"/>
  <c r="S102" i="2"/>
  <c r="S122" i="2"/>
  <c r="S158" i="2"/>
  <c r="S38" i="2"/>
  <c r="S86" i="2"/>
  <c r="O215" i="2"/>
  <c r="Q215" i="2" s="1"/>
  <c r="S215" i="2"/>
  <c r="S136" i="2"/>
  <c r="P116" i="2"/>
  <c r="S186" i="2"/>
  <c r="O174" i="2"/>
  <c r="Q174" i="2" s="1"/>
  <c r="S197" i="2"/>
  <c r="P47" i="2"/>
  <c r="S226" i="2"/>
  <c r="S190" i="2"/>
  <c r="S187" i="2"/>
  <c r="S224" i="2"/>
  <c r="S219" i="2"/>
  <c r="S123" i="2"/>
  <c r="S32" i="2"/>
  <c r="S129" i="2"/>
  <c r="O200" i="2"/>
  <c r="S200" i="2"/>
  <c r="S44" i="2"/>
  <c r="S196" i="2"/>
  <c r="S87" i="2"/>
  <c r="S211" i="2"/>
  <c r="P152" i="2"/>
  <c r="O96" i="2"/>
  <c r="Q96" i="2" s="1"/>
  <c r="S96" i="2"/>
  <c r="S65" i="2"/>
  <c r="S42" i="2"/>
  <c r="O138" i="2"/>
  <c r="Q138" i="2" s="1"/>
  <c r="S177" i="2"/>
  <c r="S83" i="2"/>
  <c r="S188" i="2"/>
  <c r="S93" i="2"/>
  <c r="S124" i="2"/>
  <c r="S144" i="2"/>
  <c r="S227" i="2"/>
  <c r="S134" i="2"/>
  <c r="S74" i="2"/>
  <c r="S34" i="2"/>
  <c r="S213" i="2"/>
  <c r="S209" i="2"/>
  <c r="O98" i="2"/>
  <c r="Q98" i="2" s="1"/>
  <c r="S98" i="2"/>
  <c r="S131" i="2"/>
  <c r="S154" i="2"/>
  <c r="S82" i="2"/>
  <c r="S208" i="2"/>
  <c r="S151" i="2"/>
  <c r="S127" i="2"/>
  <c r="S146" i="2"/>
  <c r="S179" i="2"/>
  <c r="O165" i="2"/>
  <c r="Q165" i="2" s="1"/>
  <c r="O100" i="2"/>
  <c r="Q100" i="2" s="1"/>
  <c r="S100" i="2"/>
  <c r="S59" i="2"/>
  <c r="S202" i="2"/>
  <c r="S63" i="2"/>
  <c r="S81" i="2"/>
  <c r="S220" i="2"/>
  <c r="S37" i="2"/>
  <c r="S84" i="2"/>
  <c r="S126" i="2"/>
  <c r="S48" i="2"/>
  <c r="S228" i="2"/>
  <c r="S167" i="2"/>
  <c r="S109" i="2"/>
  <c r="S168" i="2"/>
  <c r="S176" i="2"/>
  <c r="S103" i="2"/>
  <c r="S77" i="2"/>
  <c r="S182" i="2"/>
  <c r="S141" i="2"/>
  <c r="S210" i="2"/>
  <c r="S54" i="2"/>
  <c r="S149" i="2"/>
  <c r="S76" i="2"/>
  <c r="S198" i="2"/>
  <c r="S222" i="2"/>
  <c r="S97" i="2"/>
  <c r="O218" i="2"/>
  <c r="Q218" i="2" s="1"/>
  <c r="S157" i="2"/>
  <c r="S85" i="2"/>
  <c r="S35" i="2"/>
  <c r="S195" i="2"/>
  <c r="O94" i="2"/>
  <c r="Q94" i="2" s="1"/>
  <c r="S58" i="2"/>
  <c r="O212" i="2"/>
  <c r="Q212" i="2" s="1"/>
  <c r="S140" i="2"/>
  <c r="S139" i="2"/>
  <c r="S91" i="2"/>
  <c r="O208" i="2"/>
  <c r="Q208" i="2" s="1"/>
  <c r="P207" i="2"/>
  <c r="S172" i="2"/>
  <c r="O159" i="2"/>
  <c r="P177" i="2"/>
  <c r="P164" i="2"/>
  <c r="P88" i="2"/>
  <c r="S40" i="2"/>
  <c r="P224" i="2"/>
  <c r="P136" i="2"/>
  <c r="P93" i="2"/>
  <c r="S125" i="2"/>
  <c r="S114" i="2"/>
  <c r="P83" i="2"/>
  <c r="P131" i="2"/>
  <c r="P90" i="2"/>
  <c r="S138" i="2"/>
  <c r="P137" i="2"/>
  <c r="P149" i="2"/>
  <c r="S90" i="2"/>
  <c r="O78" i="2"/>
  <c r="Q89" i="3" s="1"/>
  <c r="P62" i="2"/>
  <c r="O120" i="2"/>
  <c r="Q120" i="2" s="1"/>
  <c r="P158" i="2"/>
  <c r="P161" i="2"/>
  <c r="O72" i="2"/>
  <c r="Q72" i="2" s="1"/>
  <c r="O84" i="2"/>
  <c r="O161" i="2"/>
  <c r="Q161" i="2" s="1"/>
  <c r="O130" i="2"/>
  <c r="Q130" i="2" s="1"/>
  <c r="O194" i="2"/>
  <c r="O95" i="2"/>
  <c r="Q95" i="2" s="1"/>
  <c r="O58" i="2"/>
  <c r="O163" i="2"/>
  <c r="Q163" i="2" s="1"/>
  <c r="O40" i="2"/>
  <c r="O52" i="2"/>
  <c r="O143" i="2"/>
  <c r="Q143" i="2" s="1"/>
  <c r="O61" i="2"/>
  <c r="O115" i="2"/>
  <c r="Q115" i="2" s="1"/>
  <c r="O79" i="2"/>
  <c r="P40" i="2"/>
  <c r="O60" i="2"/>
  <c r="P215" i="2"/>
  <c r="O189" i="2"/>
  <c r="Q189" i="2" s="1"/>
  <c r="O33" i="2"/>
  <c r="Q46" i="3" s="1"/>
  <c r="O38" i="2"/>
  <c r="P74" i="2"/>
  <c r="O170" i="2"/>
  <c r="Q170" i="2" s="1"/>
  <c r="O82" i="2"/>
  <c r="O219" i="2"/>
  <c r="Q219" i="2" s="1"/>
  <c r="P183" i="2"/>
  <c r="O111" i="2"/>
  <c r="Q111" i="2" s="1"/>
  <c r="O229" i="2"/>
  <c r="Q229" i="2" s="1"/>
  <c r="O206" i="2"/>
  <c r="Q206" i="2" s="1"/>
  <c r="O137" i="2"/>
  <c r="O118" i="2"/>
  <c r="O144" i="2"/>
  <c r="Q144" i="2" s="1"/>
  <c r="P202" i="2"/>
  <c r="P174" i="2"/>
  <c r="O228" i="2"/>
  <c r="Q228" i="2" s="1"/>
  <c r="P169" i="2"/>
  <c r="O180" i="2"/>
  <c r="Q180" i="2" s="1"/>
  <c r="P64" i="2"/>
  <c r="O103" i="2"/>
  <c r="Q103" i="2" s="1"/>
  <c r="P219" i="2"/>
  <c r="O148" i="2"/>
  <c r="P86" i="2"/>
  <c r="O36" i="2"/>
  <c r="Q22" i="3" s="1"/>
  <c r="O113" i="2"/>
  <c r="Q113" i="2" s="1"/>
  <c r="O167" i="2"/>
  <c r="O141" i="2"/>
  <c r="O69" i="2"/>
  <c r="Q69" i="2" s="1"/>
  <c r="O196" i="2"/>
  <c r="P68" i="2"/>
  <c r="O37" i="2"/>
  <c r="Q23" i="3" s="1"/>
  <c r="O102" i="2"/>
  <c r="Q102" i="2" s="1"/>
  <c r="P73" i="2"/>
  <c r="O166" i="2"/>
  <c r="Q166" i="2" s="1"/>
  <c r="O76" i="2"/>
  <c r="O176" i="2"/>
  <c r="Q176" i="2" s="1"/>
  <c r="O90" i="2"/>
  <c r="O197" i="2"/>
  <c r="Q197" i="2" s="1"/>
  <c r="O178" i="2"/>
  <c r="Q178" i="2" s="1"/>
  <c r="O225" i="2"/>
  <c r="Q225" i="2" s="1"/>
  <c r="O101" i="2"/>
  <c r="Q101" i="2" s="1"/>
  <c r="P223" i="2"/>
  <c r="P111" i="2"/>
  <c r="O108" i="2"/>
  <c r="Q108" i="2" s="1"/>
  <c r="P50" i="2"/>
  <c r="O47" i="2"/>
  <c r="P153" i="2"/>
  <c r="O45" i="2"/>
  <c r="O209" i="2"/>
  <c r="Q209" i="2" s="1"/>
  <c r="P140" i="2"/>
  <c r="O193" i="2"/>
  <c r="Q193" i="2" s="1"/>
  <c r="O89" i="2"/>
  <c r="Q89" i="2" s="1"/>
  <c r="P218" i="2"/>
  <c r="P203" i="2"/>
  <c r="P144" i="2"/>
  <c r="O226" i="2"/>
  <c r="Q226" i="2" s="1"/>
  <c r="P190" i="2"/>
  <c r="O224" i="2"/>
  <c r="Q224" i="2" s="1"/>
  <c r="O123" i="2"/>
  <c r="Q123" i="2" s="1"/>
  <c r="P220" i="2"/>
  <c r="P189" i="2"/>
  <c r="O129" i="2"/>
  <c r="Q129" i="2" s="1"/>
  <c r="O87" i="2"/>
  <c r="Q87" i="2" s="1"/>
  <c r="P229" i="2"/>
  <c r="P65" i="2"/>
  <c r="P217" i="2"/>
  <c r="O114" i="2"/>
  <c r="Q114" i="2" s="1"/>
  <c r="O217" i="2"/>
  <c r="Q217" i="2" s="1"/>
  <c r="P142" i="2"/>
  <c r="P186" i="2"/>
  <c r="O207" i="2"/>
  <c r="Q207" i="2" s="1"/>
  <c r="O203" i="2"/>
  <c r="Q203" i="2" s="1"/>
  <c r="O119" i="2"/>
  <c r="O187" i="2"/>
  <c r="Q187" i="2" s="1"/>
  <c r="O117" i="2"/>
  <c r="Q117" i="2" s="1"/>
  <c r="O155" i="2"/>
  <c r="Q155" i="2" s="1"/>
  <c r="O116" i="2"/>
  <c r="O171" i="2"/>
  <c r="Q171" i="2" s="1"/>
  <c r="O34" i="2"/>
  <c r="Q47" i="3" s="1"/>
  <c r="P96" i="2"/>
  <c r="P178" i="2"/>
  <c r="P79" i="2"/>
  <c r="O186" i="2"/>
  <c r="O124" i="2"/>
  <c r="Q124" i="2" s="1"/>
  <c r="O133" i="2"/>
  <c r="Q133" i="2" s="1"/>
  <c r="O216" i="2"/>
  <c r="Q216" i="2" s="1"/>
  <c r="O92" i="2"/>
  <c r="Q92" i="2" s="1"/>
  <c r="P187" i="2"/>
  <c r="P52" i="2"/>
  <c r="P97" i="2"/>
  <c r="O198" i="2"/>
  <c r="Q198" i="2" s="1"/>
  <c r="P192" i="2"/>
  <c r="O51" i="2"/>
  <c r="P46" i="2"/>
  <c r="O154" i="2"/>
  <c r="Q154" i="2" s="1"/>
  <c r="O80" i="2"/>
  <c r="Q80" i="2" s="1"/>
  <c r="O175" i="2"/>
  <c r="Q175" i="2" s="1"/>
  <c r="O173" i="2"/>
  <c r="O213" i="2"/>
  <c r="O46" i="2"/>
  <c r="P198" i="2"/>
  <c r="O48" i="2"/>
  <c r="O220" i="2"/>
  <c r="Q220" i="2" s="1"/>
  <c r="O112" i="2"/>
  <c r="Q112" i="2" s="1"/>
  <c r="P49" i="2"/>
  <c r="O49" i="2"/>
  <c r="O125" i="2"/>
  <c r="Q125" i="2" s="1"/>
  <c r="O146" i="2"/>
  <c r="Q146" i="2" s="1"/>
  <c r="O202" i="2"/>
  <c r="Q202" i="2" s="1"/>
  <c r="P102" i="2"/>
  <c r="P163" i="2"/>
  <c r="O172" i="2"/>
  <c r="Q172" i="2" s="1"/>
  <c r="P67" i="2"/>
  <c r="O199" i="2"/>
  <c r="Q199" i="2" s="1"/>
  <c r="O179" i="2"/>
  <c r="Q179" i="2" s="1"/>
  <c r="O221" i="2"/>
  <c r="Q221" i="2" s="1"/>
  <c r="O77" i="2"/>
  <c r="P35" i="2"/>
  <c r="O157" i="2"/>
  <c r="O85" i="2"/>
  <c r="O140" i="2"/>
  <c r="Q140" i="2" s="1"/>
  <c r="O139" i="2"/>
  <c r="Q139" i="2" s="1"/>
  <c r="O91" i="2"/>
  <c r="O195" i="2"/>
  <c r="O57" i="2"/>
  <c r="P125" i="2"/>
  <c r="P59" i="2"/>
  <c r="P122" i="2"/>
  <c r="O64" i="2"/>
  <c r="O177" i="2"/>
  <c r="Q177" i="2" s="1"/>
  <c r="P105" i="2"/>
  <c r="P44" i="2"/>
  <c r="P42" i="2"/>
  <c r="O126" i="2"/>
  <c r="Q126" i="2" s="1"/>
  <c r="P209" i="2"/>
  <c r="P53" i="2"/>
  <c r="O190" i="2"/>
  <c r="Q190" i="2" s="1"/>
  <c r="O164" i="2"/>
  <c r="Q56" i="3" l="1"/>
  <c r="Q69" i="3"/>
  <c r="U21" i="3"/>
  <c r="U89" i="3"/>
  <c r="U56" i="3"/>
  <c r="U46" i="3"/>
  <c r="U22" i="3"/>
  <c r="U72" i="3"/>
  <c r="U47" i="3"/>
  <c r="U23" i="3"/>
  <c r="Q77" i="2"/>
  <c r="Q88" i="3"/>
  <c r="Q75" i="2"/>
  <c r="Q86" i="3"/>
  <c r="Q76" i="2"/>
  <c r="Q87" i="3"/>
  <c r="Q79" i="2"/>
  <c r="Q90" i="3"/>
  <c r="Q74" i="2"/>
  <c r="Q85" i="3"/>
  <c r="Q84" i="3" a="1"/>
  <c r="Q84" i="3" s="1"/>
  <c r="Q70" i="3" a="1"/>
  <c r="Q70" i="3" s="1"/>
  <c r="Q59" i="3" a="1"/>
  <c r="Q59" i="3" s="1"/>
  <c r="Q60" i="3"/>
  <c r="Q45" i="3" a="1"/>
  <c r="Q45" i="3" s="1"/>
  <c r="Q85" i="2"/>
  <c r="Q33" i="3"/>
  <c r="Q84" i="2"/>
  <c r="Q32" i="3"/>
  <c r="Q20" i="3" a="1"/>
  <c r="Q20" i="3" s="1"/>
  <c r="Z167" i="2"/>
  <c r="Q167" i="2"/>
  <c r="Z204" i="2"/>
  <c r="Q204" i="2"/>
  <c r="Q30" i="3"/>
  <c r="Q41" i="2"/>
  <c r="Q31" i="3"/>
  <c r="Q42" i="2"/>
  <c r="Q58" i="3"/>
  <c r="Q59" i="2"/>
  <c r="Z157" i="2"/>
  <c r="Q157" i="2"/>
  <c r="Z186" i="2"/>
  <c r="Q186" i="2"/>
  <c r="Z137" i="2"/>
  <c r="Q137" i="2"/>
  <c r="Z194" i="2"/>
  <c r="Q194" i="2"/>
  <c r="Q65" i="3"/>
  <c r="Q44" i="2"/>
  <c r="Z195" i="2"/>
  <c r="Q195" i="2"/>
  <c r="Q44" i="3"/>
  <c r="Q52" i="2"/>
  <c r="Q29" i="3"/>
  <c r="Q40" i="2"/>
  <c r="Z173" i="2"/>
  <c r="Q173" i="2"/>
  <c r="Z78" i="2"/>
  <c r="Q78" i="2"/>
  <c r="Q42" i="3"/>
  <c r="Q55" i="2"/>
  <c r="Z90" i="2"/>
  <c r="Q90" i="2"/>
  <c r="Q78" i="3"/>
  <c r="Q33" i="2"/>
  <c r="Q43" i="3"/>
  <c r="Q49" i="2"/>
  <c r="Q67" i="3"/>
  <c r="Q47" i="2"/>
  <c r="Z148" i="2"/>
  <c r="Q148" i="2"/>
  <c r="Z86" i="2"/>
  <c r="Q86" i="2"/>
  <c r="Q15" i="3"/>
  <c r="Q64" i="2"/>
  <c r="Q39" i="3"/>
  <c r="Q51" i="2"/>
  <c r="Z159" i="2"/>
  <c r="Q159" i="2"/>
  <c r="Q71" i="3"/>
  <c r="Q43" i="2"/>
  <c r="Q41" i="3"/>
  <c r="Q54" i="2"/>
  <c r="Q38" i="3"/>
  <c r="Q50" i="2"/>
  <c r="Z182" i="2"/>
  <c r="Q182" i="2"/>
  <c r="Q73" i="3"/>
  <c r="Q46" i="2"/>
  <c r="Z127" i="2"/>
  <c r="Q127" i="2"/>
  <c r="Z91" i="2"/>
  <c r="Q91" i="2"/>
  <c r="Q38" i="2"/>
  <c r="Z104" i="2"/>
  <c r="Q104" i="2"/>
  <c r="Q80" i="3"/>
  <c r="Q36" i="2"/>
  <c r="Q54" i="3"/>
  <c r="Q60" i="2"/>
  <c r="Z150" i="2"/>
  <c r="Q150" i="2"/>
  <c r="Z211" i="2"/>
  <c r="Q211" i="2"/>
  <c r="Z141" i="2"/>
  <c r="Q141" i="2"/>
  <c r="Q40" i="3"/>
  <c r="Q53" i="2"/>
  <c r="Q16" i="3"/>
  <c r="Q66" i="2"/>
  <c r="Z201" i="2"/>
  <c r="Q201" i="2"/>
  <c r="Z149" i="2"/>
  <c r="Q149" i="2"/>
  <c r="Q57" i="3"/>
  <c r="Q56" i="2"/>
  <c r="Z119" i="2"/>
  <c r="Q119" i="2"/>
  <c r="Q53" i="3"/>
  <c r="Q58" i="2"/>
  <c r="Q66" i="3"/>
  <c r="Q45" i="2"/>
  <c r="Z118" i="2"/>
  <c r="Q118" i="2"/>
  <c r="Q79" i="3"/>
  <c r="Q34" i="2"/>
  <c r="Q37" i="2"/>
  <c r="Z164" i="2"/>
  <c r="Q164" i="2"/>
  <c r="Q68" i="3"/>
  <c r="Q48" i="2"/>
  <c r="Q55" i="3"/>
  <c r="Q61" i="2"/>
  <c r="Q28" i="3"/>
  <c r="Q39" i="2"/>
  <c r="Z73" i="2"/>
  <c r="Q73" i="2"/>
  <c r="Q32" i="2"/>
  <c r="Q77" i="3" a="1"/>
  <c r="Q77" i="3" s="1"/>
  <c r="Q64" i="3" a="1"/>
  <c r="Q64" i="3" s="1"/>
  <c r="Q51" i="3" a="1"/>
  <c r="Q51" i="3" s="1"/>
  <c r="Q37" i="3" a="1"/>
  <c r="Q37" i="3" s="1"/>
  <c r="Q27" i="3" a="1"/>
  <c r="Q27" i="3" s="1"/>
  <c r="Q13" i="3" a="1"/>
  <c r="Q13" i="3" s="1"/>
  <c r="Q14" i="3"/>
  <c r="Q63" i="2"/>
  <c r="Z213" i="2"/>
  <c r="Q213" i="2"/>
  <c r="Q52" i="3"/>
  <c r="Q57" i="2"/>
  <c r="Z116" i="2"/>
  <c r="Q116" i="2"/>
  <c r="Z196" i="2"/>
  <c r="Q196" i="2"/>
  <c r="Z82" i="2"/>
  <c r="Q82" i="2"/>
  <c r="Z200" i="2"/>
  <c r="Q200" i="2"/>
  <c r="Q35" i="2"/>
  <c r="Z158" i="2"/>
  <c r="Q158" i="2"/>
  <c r="Z69" i="3"/>
  <c r="U63" i="2"/>
  <c r="AJ63" i="2" s="1"/>
  <c r="T63" i="2"/>
  <c r="Q19" i="3"/>
  <c r="Q18" i="3"/>
  <c r="X24" i="2"/>
  <c r="Y4" i="2" s="1"/>
  <c r="G39" i="3" s="1"/>
  <c r="BA24" i="2"/>
  <c r="AB71" i="3" s="1"/>
  <c r="AZ24" i="2"/>
  <c r="Z71" i="3" s="1"/>
  <c r="Z56" i="2"/>
  <c r="Z66" i="2"/>
  <c r="Z61" i="2"/>
  <c r="Z41" i="2"/>
  <c r="O30" i="2"/>
  <c r="Q30" i="2" s="1"/>
  <c r="R30" i="2"/>
  <c r="P30" i="2"/>
  <c r="Z126" i="2"/>
  <c r="Z174" i="2"/>
  <c r="Z111" i="2"/>
  <c r="Z147" i="2"/>
  <c r="Z221" i="2"/>
  <c r="Z220" i="2"/>
  <c r="Z87" i="2"/>
  <c r="Z103" i="2"/>
  <c r="Z69" i="2"/>
  <c r="Z102" i="2"/>
  <c r="Z176" i="2"/>
  <c r="Z128" i="2"/>
  <c r="Z207" i="2"/>
  <c r="Z60" i="2"/>
  <c r="Z219" i="2"/>
  <c r="Z39" i="2"/>
  <c r="Z210" i="2"/>
  <c r="Z139" i="2"/>
  <c r="Z169" i="2"/>
  <c r="Z53" i="2"/>
  <c r="Z70" i="2"/>
  <c r="Z71" i="2"/>
  <c r="Z48" i="2"/>
  <c r="Z100" i="2"/>
  <c r="Z38" i="2"/>
  <c r="Z93" i="2"/>
  <c r="Z177" i="2"/>
  <c r="Z172" i="2"/>
  <c r="Z160" i="2"/>
  <c r="Z162" i="2"/>
  <c r="Z81" i="2"/>
  <c r="Z136" i="2"/>
  <c r="Z185" i="2"/>
  <c r="Z129" i="2"/>
  <c r="Z68" i="2"/>
  <c r="Z55" i="2"/>
  <c r="Z206" i="2"/>
  <c r="Z99" i="2"/>
  <c r="Z165" i="2"/>
  <c r="Z216" i="2"/>
  <c r="Z122" i="2"/>
  <c r="Z85" i="2"/>
  <c r="Z113" i="2"/>
  <c r="Z123" i="2"/>
  <c r="Z145" i="2"/>
  <c r="Z140" i="2"/>
  <c r="Z188" i="2"/>
  <c r="Z120" i="2"/>
  <c r="Z212" i="2"/>
  <c r="Z95" i="2"/>
  <c r="Z52" i="2"/>
  <c r="Z209" i="2"/>
  <c r="Z98" i="2"/>
  <c r="Z142" i="2"/>
  <c r="Z214" i="2"/>
  <c r="Z181" i="2"/>
  <c r="Z101" i="2"/>
  <c r="Z34" i="2"/>
  <c r="Z112" i="2"/>
  <c r="Z133" i="2"/>
  <c r="Z83" i="2"/>
  <c r="Z217" i="2"/>
  <c r="Z37" i="2"/>
  <c r="Z94" i="2"/>
  <c r="Z58" i="2"/>
  <c r="Z114" i="2"/>
  <c r="Z62" i="2"/>
  <c r="Z79" i="2"/>
  <c r="Z163" i="2"/>
  <c r="Z54" i="2"/>
  <c r="Z51" i="2"/>
  <c r="Z77" i="2"/>
  <c r="Z57" i="2"/>
  <c r="Z170" i="2"/>
  <c r="Z74" i="2"/>
  <c r="Z75" i="2"/>
  <c r="Z187" i="2"/>
  <c r="Z106" i="2"/>
  <c r="Z47" i="2"/>
  <c r="Z190" i="2"/>
  <c r="Z67" i="2"/>
  <c r="Z191" i="2"/>
  <c r="Z43" i="2"/>
  <c r="Z155" i="2"/>
  <c r="Z44" i="2"/>
  <c r="Z117" i="2"/>
  <c r="Z32" i="2"/>
  <c r="Z197" i="2"/>
  <c r="Z189" i="2"/>
  <c r="Z134" i="2"/>
  <c r="Z89" i="2"/>
  <c r="Z226" i="2"/>
  <c r="Z121" i="2"/>
  <c r="Z63" i="2"/>
  <c r="Z108" i="2"/>
  <c r="Z223" i="2"/>
  <c r="Z59" i="2"/>
  <c r="Z154" i="2"/>
  <c r="Z135" i="2"/>
  <c r="Z222" i="2"/>
  <c r="Z178" i="2"/>
  <c r="Z168" i="2"/>
  <c r="Z45" i="2"/>
  <c r="Z193" i="2"/>
  <c r="Z203" i="2"/>
  <c r="Z132" i="2"/>
  <c r="Z153" i="2"/>
  <c r="Z180" i="2"/>
  <c r="Z179" i="2"/>
  <c r="Z138" i="2"/>
  <c r="Z144" i="2"/>
  <c r="Z125" i="2"/>
  <c r="Z152" i="2"/>
  <c r="Z109" i="2"/>
  <c r="Z92" i="2"/>
  <c r="Z171" i="2"/>
  <c r="Z84" i="2"/>
  <c r="Z202" i="2"/>
  <c r="Z65" i="2"/>
  <c r="Z184" i="2"/>
  <c r="Z72" i="2"/>
  <c r="Z146" i="2"/>
  <c r="Z36" i="2"/>
  <c r="Z46" i="2"/>
  <c r="Z96" i="2"/>
  <c r="Z151" i="2"/>
  <c r="Z107" i="2"/>
  <c r="Z198" i="2"/>
  <c r="Z156" i="2"/>
  <c r="Z88" i="2"/>
  <c r="Z227" i="2"/>
  <c r="Z49" i="2"/>
  <c r="Z229" i="2"/>
  <c r="Z183" i="2"/>
  <c r="Z124" i="2"/>
  <c r="Z175" i="2"/>
  <c r="Z205" i="2"/>
  <c r="Z105" i="2"/>
  <c r="Z80" i="2"/>
  <c r="Z42" i="2"/>
  <c r="Z131" i="2"/>
  <c r="Z76" i="2"/>
  <c r="Z97" i="2"/>
  <c r="Z192" i="2"/>
  <c r="Z199" i="2"/>
  <c r="Z35" i="2"/>
  <c r="Z33" i="2"/>
  <c r="Z215" i="2"/>
  <c r="Z110" i="2"/>
  <c r="Z218" i="2"/>
  <c r="Z40" i="2"/>
  <c r="Z225" i="2"/>
  <c r="Z64" i="2"/>
  <c r="Z161" i="2"/>
  <c r="Z50" i="2"/>
  <c r="Z166" i="2"/>
  <c r="Z130" i="2"/>
  <c r="Z115" i="2"/>
  <c r="Z208" i="2"/>
  <c r="Z224" i="2"/>
  <c r="Z143" i="2"/>
  <c r="Z228" i="2"/>
  <c r="U69" i="3" l="1"/>
  <c r="V63" i="2"/>
  <c r="W63" i="2" s="1"/>
  <c r="X63" i="2" s="1"/>
  <c r="Y63" i="2" s="1"/>
  <c r="AI63" i="2"/>
  <c r="U32" i="3"/>
  <c r="U54" i="3"/>
  <c r="U87" i="3"/>
  <c r="U68" i="3"/>
  <c r="U41" i="3"/>
  <c r="U30" i="3"/>
  <c r="U39" i="3"/>
  <c r="U90" i="3"/>
  <c r="U28" i="3"/>
  <c r="U58" i="3"/>
  <c r="U53" i="3"/>
  <c r="U60" i="3"/>
  <c r="U71" i="3"/>
  <c r="U67" i="3"/>
  <c r="U86" i="3"/>
  <c r="U40" i="3"/>
  <c r="U44" i="3"/>
  <c r="U33" i="3"/>
  <c r="U66" i="3"/>
  <c r="U80" i="3"/>
  <c r="U55" i="3"/>
  <c r="U38" i="3"/>
  <c r="U42" i="3"/>
  <c r="U65" i="3"/>
  <c r="U31" i="3"/>
  <c r="U57" i="3"/>
  <c r="U43" i="3"/>
  <c r="U29" i="3"/>
  <c r="U85" i="3"/>
  <c r="U73" i="3"/>
  <c r="U78" i="3"/>
  <c r="U52" i="3"/>
  <c r="U79" i="3"/>
  <c r="U88" i="3"/>
  <c r="Q17" i="3"/>
  <c r="Y6" i="2"/>
  <c r="Z6" i="2" s="1"/>
  <c r="Y9" i="2"/>
  <c r="AA9" i="2" s="1"/>
  <c r="Y8" i="2"/>
  <c r="Z8" i="2" s="1"/>
  <c r="Y7" i="2"/>
  <c r="Z7" i="2" s="1"/>
  <c r="Y5" i="2"/>
  <c r="Y22" i="2"/>
  <c r="AA22" i="2" s="1"/>
  <c r="Y18" i="2"/>
  <c r="AA18" i="2" s="1"/>
  <c r="Y14" i="2"/>
  <c r="Z14" i="2" s="1"/>
  <c r="Y20" i="2"/>
  <c r="Z20" i="2" s="1"/>
  <c r="Y23" i="2"/>
  <c r="Z23" i="2" s="1"/>
  <c r="Y13" i="2"/>
  <c r="Z13" i="2" s="1"/>
  <c r="Y19" i="2"/>
  <c r="Z19" i="2" s="1"/>
  <c r="Y11" i="2"/>
  <c r="Z11" i="2" s="1"/>
  <c r="Y17" i="2"/>
  <c r="Z17" i="2" s="1"/>
  <c r="Y10" i="2"/>
  <c r="Z10" i="2" s="1"/>
  <c r="Y15" i="2"/>
  <c r="Z15" i="2" s="1"/>
  <c r="Y16" i="2"/>
  <c r="Z16" i="2" s="1"/>
  <c r="Y12" i="2"/>
  <c r="Z12" i="2" s="1"/>
  <c r="Y21" i="2"/>
  <c r="Z21" i="2" s="1"/>
  <c r="U14" i="3"/>
  <c r="AH63" i="2"/>
  <c r="AK63" i="2" s="1"/>
  <c r="AL63" i="2" s="1"/>
  <c r="AR63" i="2" s="1"/>
  <c r="Z4" i="2"/>
  <c r="AA4" i="2"/>
  <c r="G35" i="3" s="1"/>
  <c r="Z30" i="2"/>
  <c r="AA33" i="2" s="1"/>
  <c r="Z5" i="2" l="1"/>
  <c r="I39" i="3"/>
  <c r="AA12" i="2"/>
  <c r="AB12" i="2" s="1"/>
  <c r="AA11" i="2"/>
  <c r="AB11" i="2" s="1"/>
  <c r="U17" i="3"/>
  <c r="AA10" i="2"/>
  <c r="AB10" i="2" s="1"/>
  <c r="AA15" i="2"/>
  <c r="AB15" i="2" s="1"/>
  <c r="Z9" i="2"/>
  <c r="AA7" i="2"/>
  <c r="AB7" i="2" s="1"/>
  <c r="AA8" i="2"/>
  <c r="AB8" i="2" s="1"/>
  <c r="AA6" i="2"/>
  <c r="AB6" i="2" s="1"/>
  <c r="AA17" i="2"/>
  <c r="AB17" i="2" s="1"/>
  <c r="Z22" i="2"/>
  <c r="AA19" i="2"/>
  <c r="AB19" i="2" s="1"/>
  <c r="Z18" i="2"/>
  <c r="AA13" i="2"/>
  <c r="AB13" i="2" s="1"/>
  <c r="AA23" i="2"/>
  <c r="AB23" i="2" s="1"/>
  <c r="AA5" i="2"/>
  <c r="AB5" i="2" s="1"/>
  <c r="AA14" i="2"/>
  <c r="AB14" i="2" s="1"/>
  <c r="AA16" i="2"/>
  <c r="AB16" i="2" s="1"/>
  <c r="AA21" i="2"/>
  <c r="AB21" i="2" s="1"/>
  <c r="AA20" i="2"/>
  <c r="U18" i="3"/>
  <c r="U19" i="3"/>
  <c r="AB4" i="2"/>
  <c r="U15" i="3"/>
  <c r="U16" i="3"/>
  <c r="AB9" i="2"/>
  <c r="AB18" i="2"/>
  <c r="AB22" i="2"/>
  <c r="AA124" i="2"/>
  <c r="AC124" i="2" s="1"/>
  <c r="AA168" i="2"/>
  <c r="AC168" i="2" s="1"/>
  <c r="AA77" i="2"/>
  <c r="AC77" i="2" s="1"/>
  <c r="AA109" i="2"/>
  <c r="AC109" i="2" s="1"/>
  <c r="AA187" i="2"/>
  <c r="AC187" i="2" s="1"/>
  <c r="AA74" i="2"/>
  <c r="AB74" i="2" s="1"/>
  <c r="AA62" i="2"/>
  <c r="AB62" i="2" s="1"/>
  <c r="AA189" i="2"/>
  <c r="AC189" i="2" s="1"/>
  <c r="AA223" i="2"/>
  <c r="AC223" i="2" s="1"/>
  <c r="AA179" i="2"/>
  <c r="AC179" i="2" s="1"/>
  <c r="AA163" i="2"/>
  <c r="AC163" i="2" s="1"/>
  <c r="AA115" i="2"/>
  <c r="AC115" i="2" s="1"/>
  <c r="AA97" i="2"/>
  <c r="AC97" i="2" s="1"/>
  <c r="AA135" i="2"/>
  <c r="AB135" i="2" s="1"/>
  <c r="AA161" i="2"/>
  <c r="AC161" i="2" s="1"/>
  <c r="AA143" i="2"/>
  <c r="AB143" i="2" s="1"/>
  <c r="AA184" i="2"/>
  <c r="AB184" i="2" s="1"/>
  <c r="AA130" i="2"/>
  <c r="AC130" i="2" s="1"/>
  <c r="AA67" i="2"/>
  <c r="AC67" i="2" s="1"/>
  <c r="AA107" i="2"/>
  <c r="AC107" i="2" s="1"/>
  <c r="AA83" i="2"/>
  <c r="AB83" i="2" s="1"/>
  <c r="AA170" i="2"/>
  <c r="AB170" i="2" s="1"/>
  <c r="AA54" i="2"/>
  <c r="AB54" i="2" s="1"/>
  <c r="AA224" i="2"/>
  <c r="AC224" i="2" s="1"/>
  <c r="AA84" i="2"/>
  <c r="AB84" i="2" s="1"/>
  <c r="AA155" i="2"/>
  <c r="AC155" i="2" s="1"/>
  <c r="AA50" i="2"/>
  <c r="AB50" i="2" s="1"/>
  <c r="AA43" i="2"/>
  <c r="AC43" i="2" s="1"/>
  <c r="AA226" i="2"/>
  <c r="AC226" i="2" s="1"/>
  <c r="AA175" i="2"/>
  <c r="AC175" i="2" s="1"/>
  <c r="AA166" i="2"/>
  <c r="AB166" i="2" s="1"/>
  <c r="AA72" i="2"/>
  <c r="AC72" i="2" s="1"/>
  <c r="AA228" i="2"/>
  <c r="AC228" i="2" s="1"/>
  <c r="AA134" i="2"/>
  <c r="AB134" i="2" s="1"/>
  <c r="AA35" i="2"/>
  <c r="AB35" i="2" s="1"/>
  <c r="AA138" i="2"/>
  <c r="AB138" i="2" s="1"/>
  <c r="AA57" i="2"/>
  <c r="AB57" i="2" s="1"/>
  <c r="AA171" i="2"/>
  <c r="AB171" i="2" s="1"/>
  <c r="AA65" i="2"/>
  <c r="AB65" i="2" s="1"/>
  <c r="AA154" i="2"/>
  <c r="AC154" i="2" s="1"/>
  <c r="AA79" i="2"/>
  <c r="AC79" i="2" s="1"/>
  <c r="AA58" i="2"/>
  <c r="AB58" i="2" s="1"/>
  <c r="AA205" i="2"/>
  <c r="AB205" i="2" s="1"/>
  <c r="AA156" i="2"/>
  <c r="AB156" i="2" s="1"/>
  <c r="AA42" i="2"/>
  <c r="AC42" i="2" s="1"/>
  <c r="AA229" i="2"/>
  <c r="AC229" i="2" s="1"/>
  <c r="AA59" i="2"/>
  <c r="AC59" i="2" s="1"/>
  <c r="AA225" i="2"/>
  <c r="AC225" i="2" s="1"/>
  <c r="AA44" i="2"/>
  <c r="AC44" i="2" s="1"/>
  <c r="AA47" i="2"/>
  <c r="AB47" i="2" s="1"/>
  <c r="AA218" i="2"/>
  <c r="AB218" i="2" s="1"/>
  <c r="AA199" i="2"/>
  <c r="AB199" i="2" s="1"/>
  <c r="AA178" i="2"/>
  <c r="AC178" i="2" s="1"/>
  <c r="AA222" i="2"/>
  <c r="AC222" i="2" s="1"/>
  <c r="AA36" i="2"/>
  <c r="AC36" i="2" s="1"/>
  <c r="AA215" i="2"/>
  <c r="AB215" i="2" s="1"/>
  <c r="AA192" i="2"/>
  <c r="AB192" i="2" s="1"/>
  <c r="AA183" i="2"/>
  <c r="AC183" i="2" s="1"/>
  <c r="AA153" i="2"/>
  <c r="AC153" i="2" s="1"/>
  <c r="AA45" i="2"/>
  <c r="AB45" i="2" s="1"/>
  <c r="AA208" i="2"/>
  <c r="AC208" i="2" s="1"/>
  <c r="AA88" i="2"/>
  <c r="AB88" i="2" s="1"/>
  <c r="AA92" i="2"/>
  <c r="AB92" i="2" s="1"/>
  <c r="AA37" i="2"/>
  <c r="AB37" i="2" s="1"/>
  <c r="AA46" i="2"/>
  <c r="AC46" i="2" s="1"/>
  <c r="AA227" i="2"/>
  <c r="AB227" i="2" s="1"/>
  <c r="AA197" i="2"/>
  <c r="AB197" i="2" s="1"/>
  <c r="AA144" i="2"/>
  <c r="AB144" i="2" s="1"/>
  <c r="AA198" i="2"/>
  <c r="AC198" i="2" s="1"/>
  <c r="AA131" i="2"/>
  <c r="AB131" i="2" s="1"/>
  <c r="AA203" i="2"/>
  <c r="AB203" i="2" s="1"/>
  <c r="AA180" i="2"/>
  <c r="AC180" i="2" s="1"/>
  <c r="AA96" i="2"/>
  <c r="AC96" i="2" s="1"/>
  <c r="AA121" i="2"/>
  <c r="AC121" i="2" s="1"/>
  <c r="AA49" i="2"/>
  <c r="AC49" i="2" s="1"/>
  <c r="AA191" i="2"/>
  <c r="AB191" i="2" s="1"/>
  <c r="AA202" i="2"/>
  <c r="AC202" i="2" s="1"/>
  <c r="AA32" i="2"/>
  <c r="AB32" i="2" s="1"/>
  <c r="AA190" i="2"/>
  <c r="AB190" i="2" s="1"/>
  <c r="AB33" i="2"/>
  <c r="AC33" i="2"/>
  <c r="AA86" i="2"/>
  <c r="AA164" i="2"/>
  <c r="AA194" i="2"/>
  <c r="AA61" i="2"/>
  <c r="AA162" i="2"/>
  <c r="AA128" i="2"/>
  <c r="AA176" i="2"/>
  <c r="AA185" i="2"/>
  <c r="AA56" i="2"/>
  <c r="AA82" i="2"/>
  <c r="AA48" i="2"/>
  <c r="AA68" i="2"/>
  <c r="AA159" i="2"/>
  <c r="AA103" i="2"/>
  <c r="AA195" i="2"/>
  <c r="AA158" i="2"/>
  <c r="AA127" i="2"/>
  <c r="AA181" i="2"/>
  <c r="AA93" i="2"/>
  <c r="AA111" i="2"/>
  <c r="AA148" i="2"/>
  <c r="AA102" i="2"/>
  <c r="AA112" i="2"/>
  <c r="AA182" i="2"/>
  <c r="AA137" i="2"/>
  <c r="AA145" i="2"/>
  <c r="AA34" i="2"/>
  <c r="AA139" i="2"/>
  <c r="AA173" i="2"/>
  <c r="AA221" i="2"/>
  <c r="AA220" i="2"/>
  <c r="AA200" i="2"/>
  <c r="AA169" i="2"/>
  <c r="AA188" i="2"/>
  <c r="AA165" i="2"/>
  <c r="AA85" i="2"/>
  <c r="AA209" i="2"/>
  <c r="AA122" i="2"/>
  <c r="AA157" i="2"/>
  <c r="AA39" i="2"/>
  <c r="AA113" i="2"/>
  <c r="AA211" i="2"/>
  <c r="AA160" i="2"/>
  <c r="AA186" i="2"/>
  <c r="AA90" i="2"/>
  <c r="AA140" i="2"/>
  <c r="AA71" i="2"/>
  <c r="AA142" i="2"/>
  <c r="AA118" i="2"/>
  <c r="AA214" i="2"/>
  <c r="AA204" i="2"/>
  <c r="AA66" i="2"/>
  <c r="AA116" i="2"/>
  <c r="AA150" i="2"/>
  <c r="AA60" i="2"/>
  <c r="AA219" i="2"/>
  <c r="AA216" i="2"/>
  <c r="AA120" i="2"/>
  <c r="AA177" i="2"/>
  <c r="AA147" i="2"/>
  <c r="AA73" i="2"/>
  <c r="AA101" i="2"/>
  <c r="AA172" i="2"/>
  <c r="AA123" i="2"/>
  <c r="AA55" i="2"/>
  <c r="AA41" i="2"/>
  <c r="AA119" i="2"/>
  <c r="AA38" i="2"/>
  <c r="AA98" i="2"/>
  <c r="AA213" i="2"/>
  <c r="AA70" i="2"/>
  <c r="AA207" i="2"/>
  <c r="AA167" i="2"/>
  <c r="AA126" i="2"/>
  <c r="AA99" i="2"/>
  <c r="AA149" i="2"/>
  <c r="AA174" i="2"/>
  <c r="AA100" i="2"/>
  <c r="AA53" i="2"/>
  <c r="AA196" i="2"/>
  <c r="AA95" i="2"/>
  <c r="AA87" i="2"/>
  <c r="AA201" i="2"/>
  <c r="AA78" i="2"/>
  <c r="AA212" i="2"/>
  <c r="AA210" i="2"/>
  <c r="AA141" i="2"/>
  <c r="AA104" i="2"/>
  <c r="AA136" i="2"/>
  <c r="AA206" i="2"/>
  <c r="AA52" i="2"/>
  <c r="AA69" i="2"/>
  <c r="AA133" i="2"/>
  <c r="AA91" i="2"/>
  <c r="AA81" i="2"/>
  <c r="AA129" i="2"/>
  <c r="AA114" i="2"/>
  <c r="AA64" i="2"/>
  <c r="AA152" i="2"/>
  <c r="AA146" i="2"/>
  <c r="AA80" i="2"/>
  <c r="AA89" i="2"/>
  <c r="AA217" i="2"/>
  <c r="AA108" i="2"/>
  <c r="AA132" i="2"/>
  <c r="AA51" i="2"/>
  <c r="AA94" i="2"/>
  <c r="AA151" i="2"/>
  <c r="AA117" i="2"/>
  <c r="AA110" i="2"/>
  <c r="AA40" i="2"/>
  <c r="AA125" i="2"/>
  <c r="AA63" i="2"/>
  <c r="AA193" i="2"/>
  <c r="AA105" i="2"/>
  <c r="AA75" i="2"/>
  <c r="AA106" i="2"/>
  <c r="AA76" i="2"/>
  <c r="J39" i="3" l="1"/>
  <c r="K39" i="3"/>
  <c r="L39" i="3" s="1"/>
  <c r="G34" i="3"/>
  <c r="AH58" i="2"/>
  <c r="U70" i="2"/>
  <c r="AJ70" i="2" s="1"/>
  <c r="T77" i="2"/>
  <c r="T72" i="2"/>
  <c r="T116" i="2"/>
  <c r="T172" i="2"/>
  <c r="T70" i="2"/>
  <c r="U77" i="2"/>
  <c r="AJ77" i="2" s="1"/>
  <c r="U72" i="2"/>
  <c r="AJ72" i="2" s="1"/>
  <c r="U116" i="2"/>
  <c r="AJ116" i="2" s="1"/>
  <c r="U135" i="2"/>
  <c r="AJ135" i="2" s="1"/>
  <c r="AH69" i="2"/>
  <c r="AH219" i="2"/>
  <c r="AK219" i="2" s="1"/>
  <c r="AL219" i="2" s="1"/>
  <c r="AR219" i="2" s="1"/>
  <c r="AH71" i="2"/>
  <c r="AK71" i="2" s="1"/>
  <c r="AL71" i="2" s="1"/>
  <c r="AR71" i="2" s="1"/>
  <c r="AH150" i="2"/>
  <c r="AK150" i="2" s="1"/>
  <c r="AL150" i="2" s="1"/>
  <c r="AR150" i="2" s="1"/>
  <c r="T131" i="2"/>
  <c r="U224" i="2"/>
  <c r="AJ224" i="2" s="1"/>
  <c r="T98" i="2"/>
  <c r="U129" i="2"/>
  <c r="AJ129" i="2" s="1"/>
  <c r="U136" i="2"/>
  <c r="AJ136" i="2" s="1"/>
  <c r="T34" i="2"/>
  <c r="AH205" i="2"/>
  <c r="AK205" i="2" s="1"/>
  <c r="AL205" i="2" s="1"/>
  <c r="AR205" i="2" s="1"/>
  <c r="AH223" i="2"/>
  <c r="AK223" i="2" s="1"/>
  <c r="AL223" i="2" s="1"/>
  <c r="AR223" i="2" s="1"/>
  <c r="AH76" i="2"/>
  <c r="AK76" i="2" s="1"/>
  <c r="AL76" i="2" s="1"/>
  <c r="AR76" i="2" s="1"/>
  <c r="T58" i="2"/>
  <c r="T118" i="2"/>
  <c r="T125" i="2"/>
  <c r="U120" i="2"/>
  <c r="AJ120" i="2" s="1"/>
  <c r="T140" i="2"/>
  <c r="T84" i="2"/>
  <c r="U127" i="2"/>
  <c r="AJ127" i="2" s="1"/>
  <c r="T113" i="2"/>
  <c r="U171" i="2"/>
  <c r="AJ171" i="2" s="1"/>
  <c r="U204" i="2"/>
  <c r="AJ204" i="2" s="1"/>
  <c r="AH144" i="2"/>
  <c r="AK144" i="2" s="1"/>
  <c r="AL144" i="2" s="1"/>
  <c r="AR144" i="2" s="1"/>
  <c r="AH214" i="2"/>
  <c r="AK214" i="2" s="1"/>
  <c r="AL214" i="2" s="1"/>
  <c r="AR214" i="2" s="1"/>
  <c r="T53" i="2"/>
  <c r="U229" i="2"/>
  <c r="AJ229" i="2" s="1"/>
  <c r="AH73" i="2"/>
  <c r="AK73" i="2" s="1"/>
  <c r="AL73" i="2" s="1"/>
  <c r="AR73" i="2" s="1"/>
  <c r="U198" i="2"/>
  <c r="AJ198" i="2" s="1"/>
  <c r="U110" i="2"/>
  <c r="AJ110" i="2" s="1"/>
  <c r="U206" i="2"/>
  <c r="AJ206" i="2" s="1"/>
  <c r="AH90" i="2"/>
  <c r="AK90" i="2" s="1"/>
  <c r="AL90" i="2" s="1"/>
  <c r="AR90" i="2" s="1"/>
  <c r="AH130" i="2"/>
  <c r="AK130" i="2" s="1"/>
  <c r="AL130" i="2" s="1"/>
  <c r="AR130" i="2" s="1"/>
  <c r="AH147" i="2"/>
  <c r="AK147" i="2" s="1"/>
  <c r="AL147" i="2" s="1"/>
  <c r="AR147" i="2" s="1"/>
  <c r="U106" i="2"/>
  <c r="AJ106" i="2" s="1"/>
  <c r="T106" i="2"/>
  <c r="U81" i="2"/>
  <c r="AJ81" i="2" s="1"/>
  <c r="AH42" i="2"/>
  <c r="AK42" i="2" s="1"/>
  <c r="AL42" i="2" s="1"/>
  <c r="AR42" i="2" s="1"/>
  <c r="AH32" i="2"/>
  <c r="U62" i="2"/>
  <c r="AH143" i="2"/>
  <c r="AK143" i="2" s="1"/>
  <c r="AL143" i="2" s="1"/>
  <c r="AR143" i="2" s="1"/>
  <c r="U35" i="2"/>
  <c r="AJ35" i="2" s="1"/>
  <c r="AH64" i="2"/>
  <c r="AK64" i="2" s="1"/>
  <c r="AL64" i="2" s="1"/>
  <c r="AR64" i="2" s="1"/>
  <c r="AH43" i="2"/>
  <c r="T122" i="2"/>
  <c r="T132" i="2"/>
  <c r="U65" i="2"/>
  <c r="AJ65" i="2" s="1"/>
  <c r="AH224" i="2"/>
  <c r="AK224" i="2" s="1"/>
  <c r="AL224" i="2" s="1"/>
  <c r="AR224" i="2" s="1"/>
  <c r="AH65" i="2"/>
  <c r="AK65" i="2" s="1"/>
  <c r="AL65" i="2" s="1"/>
  <c r="AR65" i="2" s="1"/>
  <c r="T166" i="2"/>
  <c r="U161" i="2"/>
  <c r="AJ161" i="2" s="1"/>
  <c r="U180" i="2"/>
  <c r="AJ180" i="2" s="1"/>
  <c r="T164" i="2"/>
  <c r="T114" i="2"/>
  <c r="U166" i="2"/>
  <c r="AJ166" i="2" s="1"/>
  <c r="T161" i="2"/>
  <c r="T180" i="2"/>
  <c r="U164" i="2"/>
  <c r="AJ164" i="2" s="1"/>
  <c r="U101" i="2"/>
  <c r="AJ101" i="2" s="1"/>
  <c r="AH165" i="2"/>
  <c r="AK165" i="2" s="1"/>
  <c r="AL165" i="2" s="1"/>
  <c r="AR165" i="2" s="1"/>
  <c r="AH172" i="2"/>
  <c r="AK172" i="2" s="1"/>
  <c r="AL172" i="2" s="1"/>
  <c r="AR172" i="2" s="1"/>
  <c r="AH167" i="2"/>
  <c r="AK167" i="2" s="1"/>
  <c r="AL167" i="2" s="1"/>
  <c r="AR167" i="2" s="1"/>
  <c r="AH80" i="2"/>
  <c r="AK80" i="2" s="1"/>
  <c r="AL80" i="2" s="1"/>
  <c r="AR80" i="2" s="1"/>
  <c r="T85" i="2"/>
  <c r="U51" i="2"/>
  <c r="AJ51" i="2" s="1"/>
  <c r="U194" i="2"/>
  <c r="U225" i="2"/>
  <c r="AJ225" i="2" s="1"/>
  <c r="U89" i="2"/>
  <c r="AJ89" i="2" s="1"/>
  <c r="T33" i="2"/>
  <c r="AH134" i="2"/>
  <c r="AK134" i="2" s="1"/>
  <c r="AL134" i="2" s="1"/>
  <c r="AR134" i="2" s="1"/>
  <c r="AH153" i="2"/>
  <c r="AK153" i="2" s="1"/>
  <c r="AL153" i="2" s="1"/>
  <c r="AR153" i="2" s="1"/>
  <c r="AH160" i="2"/>
  <c r="AK160" i="2" s="1"/>
  <c r="AL160" i="2" s="1"/>
  <c r="AR160" i="2" s="1"/>
  <c r="T45" i="2"/>
  <c r="T226" i="2"/>
  <c r="T197" i="2"/>
  <c r="T216" i="2"/>
  <c r="U188" i="2"/>
  <c r="AJ188" i="2" s="1"/>
  <c r="U168" i="2"/>
  <c r="AJ168" i="2" s="1"/>
  <c r="U175" i="2"/>
  <c r="AJ175" i="2" s="1"/>
  <c r="U174" i="2"/>
  <c r="T137" i="2"/>
  <c r="U139" i="2"/>
  <c r="AJ139" i="2" s="1"/>
  <c r="AH152" i="2"/>
  <c r="AK152" i="2" s="1"/>
  <c r="AL152" i="2" s="1"/>
  <c r="AR152" i="2" s="1"/>
  <c r="AH180" i="2"/>
  <c r="AK180" i="2" s="1"/>
  <c r="AL180" i="2" s="1"/>
  <c r="AR180" i="2" s="1"/>
  <c r="T133" i="2"/>
  <c r="T144" i="2"/>
  <c r="AH206" i="2"/>
  <c r="AK206" i="2" s="1"/>
  <c r="AL206" i="2" s="1"/>
  <c r="AR206" i="2" s="1"/>
  <c r="U56" i="2"/>
  <c r="U42" i="2"/>
  <c r="AJ42" i="2" s="1"/>
  <c r="U196" i="2"/>
  <c r="AJ196" i="2" s="1"/>
  <c r="AH151" i="2"/>
  <c r="AK151" i="2" s="1"/>
  <c r="AL151" i="2" s="1"/>
  <c r="AR151" i="2" s="1"/>
  <c r="U137" i="2"/>
  <c r="AJ137" i="2" s="1"/>
  <c r="AH149" i="2"/>
  <c r="AK149" i="2" s="1"/>
  <c r="AL149" i="2" s="1"/>
  <c r="AR149" i="2" s="1"/>
  <c r="T227" i="2"/>
  <c r="U227" i="2"/>
  <c r="AJ227" i="2" s="1"/>
  <c r="T88" i="2"/>
  <c r="AH41" i="2"/>
  <c r="AH50" i="2"/>
  <c r="AK50" i="2" s="1"/>
  <c r="AL50" i="2" s="1"/>
  <c r="AR50" i="2" s="1"/>
  <c r="AH112" i="2"/>
  <c r="AK112" i="2" s="1"/>
  <c r="AL112" i="2" s="1"/>
  <c r="AR112" i="2" s="1"/>
  <c r="T149" i="2"/>
  <c r="AH179" i="2"/>
  <c r="AK179" i="2" s="1"/>
  <c r="AL179" i="2" s="1"/>
  <c r="AR179" i="2" s="1"/>
  <c r="T147" i="2"/>
  <c r="AH46" i="2"/>
  <c r="AK46" i="2" s="1"/>
  <c r="AL46" i="2" s="1"/>
  <c r="AR46" i="2" s="1"/>
  <c r="U132" i="2"/>
  <c r="AJ132" i="2" s="1"/>
  <c r="T65" i="2"/>
  <c r="U103" i="2"/>
  <c r="AJ103" i="2" s="1"/>
  <c r="T71" i="2"/>
  <c r="AH114" i="2"/>
  <c r="AK114" i="2" s="1"/>
  <c r="AL114" i="2" s="1"/>
  <c r="AR114" i="2" s="1"/>
  <c r="U107" i="2"/>
  <c r="AJ107" i="2" s="1"/>
  <c r="T90" i="2"/>
  <c r="T97" i="2"/>
  <c r="U212" i="2"/>
  <c r="AJ212" i="2" s="1"/>
  <c r="T163" i="2"/>
  <c r="T107" i="2"/>
  <c r="U90" i="2"/>
  <c r="AJ90" i="2" s="1"/>
  <c r="U97" i="2"/>
  <c r="AJ97" i="2" s="1"/>
  <c r="T212" i="2"/>
  <c r="U222" i="2"/>
  <c r="AJ222" i="2" s="1"/>
  <c r="AH94" i="2"/>
  <c r="AK94" i="2" s="1"/>
  <c r="AL94" i="2" s="1"/>
  <c r="AR94" i="2" s="1"/>
  <c r="AH101" i="2"/>
  <c r="AK101" i="2" s="1"/>
  <c r="AL101" i="2" s="1"/>
  <c r="AR101" i="2" s="1"/>
  <c r="AH96" i="2"/>
  <c r="AK96" i="2" s="1"/>
  <c r="AL96" i="2" s="1"/>
  <c r="AR96" i="2" s="1"/>
  <c r="AH128" i="2"/>
  <c r="AK128" i="2" s="1"/>
  <c r="AL128" i="2" s="1"/>
  <c r="AR128" i="2" s="1"/>
  <c r="T194" i="2"/>
  <c r="U45" i="2"/>
  <c r="AJ45" i="2" s="1"/>
  <c r="T135" i="2"/>
  <c r="T154" i="2"/>
  <c r="U209" i="2"/>
  <c r="AJ209" i="2" s="1"/>
  <c r="T190" i="2"/>
  <c r="AH218" i="2"/>
  <c r="AK218" i="2" s="1"/>
  <c r="AL218" i="2" s="1"/>
  <c r="AR218" i="2" s="1"/>
  <c r="AH82" i="2"/>
  <c r="AK82" i="2" s="1"/>
  <c r="AL82" i="2" s="1"/>
  <c r="AR82" i="2" s="1"/>
  <c r="AH113" i="2"/>
  <c r="AK113" i="2" s="1"/>
  <c r="AL113" i="2" s="1"/>
  <c r="AR113" i="2" s="1"/>
  <c r="U189" i="2"/>
  <c r="AJ189" i="2" s="1"/>
  <c r="U155" i="2"/>
  <c r="AJ155" i="2" s="1"/>
  <c r="U138" i="2"/>
  <c r="AJ138" i="2" s="1"/>
  <c r="U145" i="2"/>
  <c r="AJ145" i="2" s="1"/>
  <c r="U46" i="2"/>
  <c r="AJ46" i="2" s="1"/>
  <c r="T109" i="2"/>
  <c r="U153" i="2"/>
  <c r="AJ153" i="2" s="1"/>
  <c r="T92" i="2"/>
  <c r="T91" i="2"/>
  <c r="T73" i="2"/>
  <c r="U108" i="2"/>
  <c r="AJ108" i="2" s="1"/>
  <c r="AH122" i="2"/>
  <c r="AK122" i="2" s="1"/>
  <c r="AL122" i="2" s="1"/>
  <c r="AR122" i="2" s="1"/>
  <c r="U147" i="2"/>
  <c r="AJ147" i="2" s="1"/>
  <c r="U102" i="2"/>
  <c r="AJ102" i="2" s="1"/>
  <c r="AH196" i="2"/>
  <c r="AK196" i="2" s="1"/>
  <c r="AL196" i="2" s="1"/>
  <c r="AR196" i="2" s="1"/>
  <c r="U87" i="2"/>
  <c r="AJ87" i="2" s="1"/>
  <c r="U117" i="2"/>
  <c r="AJ117" i="2" s="1"/>
  <c r="T198" i="2"/>
  <c r="AH201" i="2"/>
  <c r="AK201" i="2" s="1"/>
  <c r="AL201" i="2" s="1"/>
  <c r="AR201" i="2" s="1"/>
  <c r="AH213" i="2"/>
  <c r="AK213" i="2" s="1"/>
  <c r="AL213" i="2" s="1"/>
  <c r="AR213" i="2" s="1"/>
  <c r="AH104" i="2"/>
  <c r="AK104" i="2" s="1"/>
  <c r="AL104" i="2" s="1"/>
  <c r="AR104" i="2" s="1"/>
  <c r="T169" i="2"/>
  <c r="U169" i="2"/>
  <c r="AJ169" i="2" s="1"/>
  <c r="AK35" i="2"/>
  <c r="AL35" i="2" s="1"/>
  <c r="AR35" i="2" s="1"/>
  <c r="AH56" i="2"/>
  <c r="AH66" i="2"/>
  <c r="AK66" i="2" s="1"/>
  <c r="AL66" i="2" s="1"/>
  <c r="AR66" i="2" s="1"/>
  <c r="AH117" i="2"/>
  <c r="AK117" i="2" s="1"/>
  <c r="AL117" i="2" s="1"/>
  <c r="AR117" i="2" s="1"/>
  <c r="T200" i="2"/>
  <c r="T48" i="2"/>
  <c r="AH48" i="2"/>
  <c r="AK48" i="2" s="1"/>
  <c r="AL48" i="2" s="1"/>
  <c r="AR48" i="2" s="1"/>
  <c r="T103" i="2"/>
  <c r="T167" i="2"/>
  <c r="U122" i="2"/>
  <c r="AJ122" i="2" s="1"/>
  <c r="AH131" i="2"/>
  <c r="AK131" i="2" s="1"/>
  <c r="AL131" i="2" s="1"/>
  <c r="AR131" i="2" s="1"/>
  <c r="AH121" i="2"/>
  <c r="AK121" i="2" s="1"/>
  <c r="AL121" i="2" s="1"/>
  <c r="AR121" i="2" s="1"/>
  <c r="T203" i="2"/>
  <c r="T186" i="2"/>
  <c r="U193" i="2"/>
  <c r="AJ193" i="2" s="1"/>
  <c r="U61" i="2"/>
  <c r="AJ61" i="2" s="1"/>
  <c r="T225" i="2"/>
  <c r="U203" i="2"/>
  <c r="AJ203" i="2" s="1"/>
  <c r="U186" i="2"/>
  <c r="AJ186" i="2" s="1"/>
  <c r="T193" i="2"/>
  <c r="T61" i="2"/>
  <c r="T211" i="2"/>
  <c r="AH190" i="2"/>
  <c r="AK190" i="2" s="1"/>
  <c r="AL190" i="2" s="1"/>
  <c r="AR190" i="2" s="1"/>
  <c r="AH185" i="2"/>
  <c r="AK185" i="2" s="1"/>
  <c r="AL185" i="2" s="1"/>
  <c r="AR185" i="2" s="1"/>
  <c r="AH192" i="2"/>
  <c r="AK192" i="2" s="1"/>
  <c r="AL192" i="2" s="1"/>
  <c r="AR192" i="2" s="1"/>
  <c r="AH176" i="2"/>
  <c r="AK176" i="2" s="1"/>
  <c r="AL176" i="2" s="1"/>
  <c r="AR176" i="2" s="1"/>
  <c r="U219" i="2"/>
  <c r="AJ219" i="2" s="1"/>
  <c r="U69" i="2"/>
  <c r="T219" i="2"/>
  <c r="U71" i="2"/>
  <c r="AJ71" i="2" s="1"/>
  <c r="T150" i="2"/>
  <c r="T136" i="2"/>
  <c r="AH159" i="2"/>
  <c r="AK159" i="2" s="1"/>
  <c r="AL159" i="2" s="1"/>
  <c r="AR159" i="2" s="1"/>
  <c r="AH178" i="2"/>
  <c r="AK178" i="2" s="1"/>
  <c r="AL178" i="2" s="1"/>
  <c r="AR178" i="2" s="1"/>
  <c r="AH78" i="2"/>
  <c r="AK78" i="2" s="1"/>
  <c r="AL78" i="2" s="1"/>
  <c r="AR78" i="2" s="1"/>
  <c r="T138" i="2"/>
  <c r="U84" i="2"/>
  <c r="AJ84" i="2" s="1"/>
  <c r="U79" i="2"/>
  <c r="AJ79" i="2" s="1"/>
  <c r="T86" i="2"/>
  <c r="T47" i="2"/>
  <c r="T205" i="2"/>
  <c r="U82" i="2"/>
  <c r="T188" i="2"/>
  <c r="T81" i="2"/>
  <c r="U200" i="2"/>
  <c r="AJ200" i="2" s="1"/>
  <c r="U202" i="2"/>
  <c r="AJ202" i="2" s="1"/>
  <c r="AH198" i="2"/>
  <c r="AK198" i="2" s="1"/>
  <c r="AL198" i="2" s="1"/>
  <c r="AR198" i="2" s="1"/>
  <c r="U83" i="2"/>
  <c r="AJ83" i="2" s="1"/>
  <c r="AH39" i="2"/>
  <c r="U228" i="2"/>
  <c r="AJ228" i="2" s="1"/>
  <c r="U151" i="2"/>
  <c r="AJ151" i="2" s="1"/>
  <c r="T75" i="2"/>
  <c r="U49" i="2"/>
  <c r="T121" i="2"/>
  <c r="T228" i="2"/>
  <c r="T151" i="2"/>
  <c r="U75" i="2"/>
  <c r="AJ75" i="2" s="1"/>
  <c r="T49" i="2"/>
  <c r="U192" i="2"/>
  <c r="AJ192" i="2" s="1"/>
  <c r="AH215" i="2"/>
  <c r="AK215" i="2" s="1"/>
  <c r="AL215" i="2" s="1"/>
  <c r="AR215" i="2" s="1"/>
  <c r="AH222" i="2"/>
  <c r="AK222" i="2" s="1"/>
  <c r="AL222" i="2" s="1"/>
  <c r="AR222" i="2" s="1"/>
  <c r="AH217" i="2"/>
  <c r="AK217" i="2" s="1"/>
  <c r="AL217" i="2" s="1"/>
  <c r="AR217" i="2" s="1"/>
  <c r="T50" i="2"/>
  <c r="U115" i="2"/>
  <c r="U94" i="2"/>
  <c r="AJ94" i="2" s="1"/>
  <c r="T101" i="2"/>
  <c r="U96" i="2"/>
  <c r="AJ96" i="2" s="1"/>
  <c r="U128" i="2"/>
  <c r="AJ128" i="2" s="1"/>
  <c r="AH189" i="2"/>
  <c r="AK189" i="2" s="1"/>
  <c r="AL189" i="2" s="1"/>
  <c r="AR189" i="2" s="1"/>
  <c r="AH184" i="2"/>
  <c r="AK184" i="2" s="1"/>
  <c r="AL184" i="2" s="1"/>
  <c r="AR184" i="2" s="1"/>
  <c r="AH191" i="2"/>
  <c r="AK191" i="2" s="1"/>
  <c r="AL191" i="2" s="1"/>
  <c r="AR191" i="2" s="1"/>
  <c r="AH92" i="2"/>
  <c r="AK92" i="2" s="1"/>
  <c r="AL92" i="2" s="1"/>
  <c r="AR92" i="2" s="1"/>
  <c r="U178" i="2"/>
  <c r="AJ178" i="2" s="1"/>
  <c r="U109" i="2"/>
  <c r="AJ109" i="2" s="1"/>
  <c r="T175" i="2"/>
  <c r="T123" i="2"/>
  <c r="T32" i="2"/>
  <c r="U218" i="2"/>
  <c r="U191" i="2"/>
  <c r="AJ191" i="2" s="1"/>
  <c r="U47" i="2"/>
  <c r="AJ47" i="2" s="1"/>
  <c r="U144" i="2"/>
  <c r="AJ144" i="2" s="1"/>
  <c r="T104" i="2"/>
  <c r="AH166" i="2"/>
  <c r="AK166" i="2" s="1"/>
  <c r="AL166" i="2" s="1"/>
  <c r="AR166" i="2" s="1"/>
  <c r="AH164" i="2"/>
  <c r="AK164" i="2" s="1"/>
  <c r="AL164" i="2" s="1"/>
  <c r="AR164" i="2" s="1"/>
  <c r="AH186" i="2"/>
  <c r="AK186" i="2" s="1"/>
  <c r="AL186" i="2" s="1"/>
  <c r="AR186" i="2" s="1"/>
  <c r="AH204" i="2"/>
  <c r="AK204" i="2" s="1"/>
  <c r="AL204" i="2" s="1"/>
  <c r="AR204" i="2" s="1"/>
  <c r="U40" i="2"/>
  <c r="AJ40" i="2" s="1"/>
  <c r="AH157" i="2"/>
  <c r="AK157" i="2" s="1"/>
  <c r="AL157" i="2" s="1"/>
  <c r="AR157" i="2" s="1"/>
  <c r="T158" i="2"/>
  <c r="AH77" i="2"/>
  <c r="AK77" i="2" s="1"/>
  <c r="AL77" i="2" s="1"/>
  <c r="AR77" i="2" s="1"/>
  <c r="AH75" i="2"/>
  <c r="AK75" i="2" s="1"/>
  <c r="AL75" i="2" s="1"/>
  <c r="AR75" i="2" s="1"/>
  <c r="AH87" i="2"/>
  <c r="AK87" i="2" s="1"/>
  <c r="AL87" i="2" s="1"/>
  <c r="AR87" i="2" s="1"/>
  <c r="T213" i="2"/>
  <c r="T35" i="2"/>
  <c r="AH193" i="2"/>
  <c r="AK193" i="2" s="1"/>
  <c r="AL193" i="2" s="1"/>
  <c r="AR193" i="2" s="1"/>
  <c r="AK37" i="2"/>
  <c r="AL37" i="2" s="1"/>
  <c r="AR37" i="2" s="1"/>
  <c r="AH40" i="2"/>
  <c r="AK40" i="2" s="1"/>
  <c r="AL40" i="2" s="1"/>
  <c r="AR40" i="2" s="1"/>
  <c r="U157" i="2"/>
  <c r="AJ157" i="2" s="1"/>
  <c r="T199" i="2"/>
  <c r="T183" i="2"/>
  <c r="U66" i="2"/>
  <c r="AJ66" i="2" s="1"/>
  <c r="T207" i="2"/>
  <c r="T157" i="2"/>
  <c r="U199" i="2"/>
  <c r="AJ199" i="2" s="1"/>
  <c r="U183" i="2"/>
  <c r="AJ183" i="2" s="1"/>
  <c r="T66" i="2"/>
  <c r="T217" i="2"/>
  <c r="AH156" i="2"/>
  <c r="AK156" i="2" s="1"/>
  <c r="AL156" i="2" s="1"/>
  <c r="AR156" i="2" s="1"/>
  <c r="AH115" i="2"/>
  <c r="AK115" i="2" s="1"/>
  <c r="AL115" i="2" s="1"/>
  <c r="AR115" i="2" s="1"/>
  <c r="AH146" i="2"/>
  <c r="AK146" i="2" s="1"/>
  <c r="AL146" i="2" s="1"/>
  <c r="AR146" i="2" s="1"/>
  <c r="U54" i="2"/>
  <c r="AJ54" i="2" s="1"/>
  <c r="T129" i="2"/>
  <c r="U190" i="2"/>
  <c r="T185" i="2"/>
  <c r="T192" i="2"/>
  <c r="T176" i="2"/>
  <c r="AH118" i="2"/>
  <c r="AK118" i="2" s="1"/>
  <c r="AL118" i="2" s="1"/>
  <c r="AR118" i="2" s="1"/>
  <c r="AH125" i="2"/>
  <c r="AK125" i="2" s="1"/>
  <c r="AL125" i="2" s="1"/>
  <c r="AR125" i="2" s="1"/>
  <c r="AH120" i="2"/>
  <c r="AK120" i="2" s="1"/>
  <c r="AL120" i="2" s="1"/>
  <c r="AR120" i="2" s="1"/>
  <c r="AH140" i="2"/>
  <c r="AK140" i="2" s="1"/>
  <c r="AL140" i="2" s="1"/>
  <c r="AR140" i="2" s="1"/>
  <c r="U216" i="2"/>
  <c r="AJ216" i="2" s="1"/>
  <c r="U205" i="2"/>
  <c r="AJ205" i="2" s="1"/>
  <c r="U223" i="2"/>
  <c r="AJ223" i="2" s="1"/>
  <c r="T76" i="2"/>
  <c r="U36" i="2"/>
  <c r="AJ36" i="2" s="1"/>
  <c r="T159" i="2"/>
  <c r="T120" i="2"/>
  <c r="T52" i="2"/>
  <c r="T110" i="2"/>
  <c r="AH70" i="2"/>
  <c r="AK70" i="2" s="1"/>
  <c r="AL70" i="2" s="1"/>
  <c r="AR70" i="2" s="1"/>
  <c r="AH132" i="2"/>
  <c r="AK132" i="2" s="1"/>
  <c r="AL132" i="2" s="1"/>
  <c r="AR132" i="2" s="1"/>
  <c r="T40" i="2"/>
  <c r="AH183" i="2"/>
  <c r="AK183" i="2" s="1"/>
  <c r="AL183" i="2" s="1"/>
  <c r="AR183" i="2" s="1"/>
  <c r="AH158" i="2"/>
  <c r="AK158" i="2" s="1"/>
  <c r="AL158" i="2" s="1"/>
  <c r="AR158" i="2" s="1"/>
  <c r="U44" i="2"/>
  <c r="AJ44" i="2" s="1"/>
  <c r="AH72" i="2"/>
  <c r="AK72" i="2" s="1"/>
  <c r="AL72" i="2" s="1"/>
  <c r="AR72" i="2" s="1"/>
  <c r="U124" i="2"/>
  <c r="AJ124" i="2" s="1"/>
  <c r="U91" i="2"/>
  <c r="AJ91" i="2" s="1"/>
  <c r="AH208" i="2"/>
  <c r="AK208" i="2" s="1"/>
  <c r="AL208" i="2" s="1"/>
  <c r="AR208" i="2" s="1"/>
  <c r="AH220" i="2"/>
  <c r="AK220" i="2" s="1"/>
  <c r="AL220" i="2" s="1"/>
  <c r="AR220" i="2" s="1"/>
  <c r="T179" i="2"/>
  <c r="U37" i="2"/>
  <c r="AJ37" i="2" s="1"/>
  <c r="U41" i="2"/>
  <c r="AJ41" i="2" s="1"/>
  <c r="AH33" i="2"/>
  <c r="AK33" i="2" s="1"/>
  <c r="AL33" i="2" s="1"/>
  <c r="AR33" i="2" s="1"/>
  <c r="AH47" i="2"/>
  <c r="AK47" i="2" s="1"/>
  <c r="AL47" i="2" s="1"/>
  <c r="AR47" i="2" s="1"/>
  <c r="AH52" i="2"/>
  <c r="AK52" i="2" s="1"/>
  <c r="AL52" i="2" s="1"/>
  <c r="AR52" i="2" s="1"/>
  <c r="AK36" i="2"/>
  <c r="AL36" i="2" s="1"/>
  <c r="AR36" i="2" s="1"/>
  <c r="U74" i="2"/>
  <c r="AJ74" i="2" s="1"/>
  <c r="T105" i="2"/>
  <c r="U112" i="2"/>
  <c r="AJ112" i="2" s="1"/>
  <c r="T68" i="2"/>
  <c r="U150" i="2"/>
  <c r="AJ150" i="2" s="1"/>
  <c r="T74" i="2"/>
  <c r="U105" i="2"/>
  <c r="AJ105" i="2" s="1"/>
  <c r="T112" i="2"/>
  <c r="U68" i="2"/>
  <c r="AJ68" i="2" s="1"/>
  <c r="T99" i="2"/>
  <c r="AH85" i="2"/>
  <c r="AK85" i="2" s="1"/>
  <c r="AL85" i="2" s="1"/>
  <c r="AR85" i="2" s="1"/>
  <c r="AH163" i="2"/>
  <c r="AK163" i="2" s="1"/>
  <c r="AL163" i="2" s="1"/>
  <c r="AR163" i="2" s="1"/>
  <c r="T141" i="2"/>
  <c r="T210" i="2"/>
  <c r="U148" i="2"/>
  <c r="AJ148" i="2" s="1"/>
  <c r="U181" i="2"/>
  <c r="AJ181" i="2" s="1"/>
  <c r="AH154" i="2"/>
  <c r="AK154" i="2" s="1"/>
  <c r="AL154" i="2" s="1"/>
  <c r="AR154" i="2" s="1"/>
  <c r="U154" i="2"/>
  <c r="AJ154" i="2" s="1"/>
  <c r="U114" i="2"/>
  <c r="AJ114" i="2" s="1"/>
  <c r="T224" i="2"/>
  <c r="AH197" i="2"/>
  <c r="AK197" i="2" s="1"/>
  <c r="AL197" i="2" s="1"/>
  <c r="AR197" i="2" s="1"/>
  <c r="AH188" i="2"/>
  <c r="AK188" i="2" s="1"/>
  <c r="AL188" i="2" s="1"/>
  <c r="AR188" i="2" s="1"/>
  <c r="U134" i="2"/>
  <c r="AJ134" i="2" s="1"/>
  <c r="U160" i="2"/>
  <c r="AJ160" i="2" s="1"/>
  <c r="U100" i="2"/>
  <c r="AJ100" i="2" s="1"/>
  <c r="U32" i="2"/>
  <c r="AH199" i="2"/>
  <c r="AK199" i="2" s="1"/>
  <c r="AL199" i="2" s="1"/>
  <c r="AR199" i="2" s="1"/>
  <c r="T44" i="2"/>
  <c r="AH124" i="2"/>
  <c r="AK124" i="2" s="1"/>
  <c r="AL124" i="2" s="1"/>
  <c r="AR124" i="2" s="1"/>
  <c r="AH116" i="2"/>
  <c r="AK116" i="2" s="1"/>
  <c r="AL116" i="2" s="1"/>
  <c r="AR116" i="2" s="1"/>
  <c r="AH141" i="2"/>
  <c r="AK141" i="2" s="1"/>
  <c r="AL141" i="2" s="1"/>
  <c r="AR141" i="2" s="1"/>
  <c r="AH162" i="2"/>
  <c r="AK162" i="2" s="1"/>
  <c r="AL162" i="2" s="1"/>
  <c r="AR162" i="2" s="1"/>
  <c r="T62" i="2"/>
  <c r="AH62" i="2"/>
  <c r="AH229" i="2"/>
  <c r="AK229" i="2" s="1"/>
  <c r="AL229" i="2" s="1"/>
  <c r="AR229" i="2" s="1"/>
  <c r="AH170" i="2"/>
  <c r="AK170" i="2" s="1"/>
  <c r="AL170" i="2" s="1"/>
  <c r="AR170" i="2" s="1"/>
  <c r="T162" i="2"/>
  <c r="AH59" i="2"/>
  <c r="AK59" i="2" s="1"/>
  <c r="AL59" i="2" s="1"/>
  <c r="AR59" i="2" s="1"/>
  <c r="AH57" i="2"/>
  <c r="AK57" i="2" s="1"/>
  <c r="AL57" i="2" s="1"/>
  <c r="AR57" i="2" s="1"/>
  <c r="AH89" i="2"/>
  <c r="AK89" i="2" s="1"/>
  <c r="AL89" i="2" s="1"/>
  <c r="AR89" i="2" s="1"/>
  <c r="T43" i="2"/>
  <c r="U184" i="2"/>
  <c r="AJ184" i="2" s="1"/>
  <c r="T196" i="2"/>
  <c r="AH148" i="2"/>
  <c r="AK148" i="2" s="1"/>
  <c r="AL148" i="2" s="1"/>
  <c r="AR148" i="2" s="1"/>
  <c r="U187" i="2"/>
  <c r="AJ187" i="2" s="1"/>
  <c r="AH45" i="2"/>
  <c r="AK45" i="2" s="1"/>
  <c r="AL45" i="2" s="1"/>
  <c r="AR45" i="2" s="1"/>
  <c r="T124" i="2"/>
  <c r="AH212" i="2"/>
  <c r="AK212" i="2" s="1"/>
  <c r="AL212" i="2" s="1"/>
  <c r="AR212" i="2" s="1"/>
  <c r="U143" i="2"/>
  <c r="AJ143" i="2" s="1"/>
  <c r="AH86" i="2"/>
  <c r="AK86" i="2" s="1"/>
  <c r="AL86" i="2" s="1"/>
  <c r="AR86" i="2" s="1"/>
  <c r="T182" i="2"/>
  <c r="T221" i="2"/>
  <c r="AH88" i="2"/>
  <c r="AK88" i="2" s="1"/>
  <c r="AL88" i="2" s="1"/>
  <c r="AR88" i="2" s="1"/>
  <c r="AH60" i="2"/>
  <c r="AK60" i="2" s="1"/>
  <c r="AL60" i="2" s="1"/>
  <c r="AR60" i="2" s="1"/>
  <c r="U170" i="2"/>
  <c r="AJ170" i="2" s="1"/>
  <c r="U33" i="2"/>
  <c r="AJ33" i="2" s="1"/>
  <c r="AH182" i="2"/>
  <c r="AK182" i="2" s="1"/>
  <c r="AL182" i="2" s="1"/>
  <c r="AR182" i="2" s="1"/>
  <c r="AH103" i="2"/>
  <c r="AK103" i="2" s="1"/>
  <c r="AL103" i="2" s="1"/>
  <c r="AR103" i="2" s="1"/>
  <c r="U60" i="2"/>
  <c r="AJ60" i="2" s="1"/>
  <c r="AH51" i="2"/>
  <c r="AK51" i="2" s="1"/>
  <c r="AL51" i="2" s="1"/>
  <c r="AR51" i="2" s="1"/>
  <c r="U173" i="2"/>
  <c r="AJ173" i="2" s="1"/>
  <c r="T94" i="2"/>
  <c r="T189" i="2"/>
  <c r="U53" i="2"/>
  <c r="AJ53" i="2" s="1"/>
  <c r="U73" i="2"/>
  <c r="AJ73" i="2" s="1"/>
  <c r="T195" i="2"/>
  <c r="AH174" i="2"/>
  <c r="AK174" i="2" s="1"/>
  <c r="AL174" i="2" s="1"/>
  <c r="AR174" i="2" s="1"/>
  <c r="AH126" i="2"/>
  <c r="AK126" i="2" s="1"/>
  <c r="AL126" i="2" s="1"/>
  <c r="AR126" i="2" s="1"/>
  <c r="AH133" i="2"/>
  <c r="AK133" i="2" s="1"/>
  <c r="AL133" i="2" s="1"/>
  <c r="AR133" i="2" s="1"/>
  <c r="AH53" i="2"/>
  <c r="AK53" i="2" s="1"/>
  <c r="AL53" i="2" s="1"/>
  <c r="AR53" i="2" s="1"/>
  <c r="T170" i="2"/>
  <c r="U64" i="2"/>
  <c r="AJ64" i="2" s="1"/>
  <c r="T201" i="2"/>
  <c r="T209" i="2"/>
  <c r="AH99" i="2"/>
  <c r="AK99" i="2" s="1"/>
  <c r="AL99" i="2" s="1"/>
  <c r="AR99" i="2" s="1"/>
  <c r="T96" i="2"/>
  <c r="T222" i="2"/>
  <c r="U50" i="2"/>
  <c r="AH138" i="2"/>
  <c r="AK138" i="2" s="1"/>
  <c r="AL138" i="2" s="1"/>
  <c r="AR138" i="2" s="1"/>
  <c r="U39" i="2"/>
  <c r="T218" i="2"/>
  <c r="U113" i="2"/>
  <c r="AJ113" i="2" s="1"/>
  <c r="T184" i="2"/>
  <c r="T36" i="2"/>
  <c r="AH173" i="2"/>
  <c r="AK173" i="2" s="1"/>
  <c r="AL173" i="2" s="1"/>
  <c r="AR173" i="2" s="1"/>
  <c r="T56" i="2"/>
  <c r="AH221" i="2"/>
  <c r="AK221" i="2" s="1"/>
  <c r="AL221" i="2" s="1"/>
  <c r="AR221" i="2" s="1"/>
  <c r="AH142" i="2"/>
  <c r="AK142" i="2" s="1"/>
  <c r="AL142" i="2" s="1"/>
  <c r="AR142" i="2" s="1"/>
  <c r="AH107" i="2"/>
  <c r="AK107" i="2" s="1"/>
  <c r="AL107" i="2" s="1"/>
  <c r="AR107" i="2" s="1"/>
  <c r="AH187" i="2"/>
  <c r="AK187" i="2" s="1"/>
  <c r="AL187" i="2" s="1"/>
  <c r="AR187" i="2" s="1"/>
  <c r="U213" i="2"/>
  <c r="AJ213" i="2" s="1"/>
  <c r="AH54" i="2"/>
  <c r="AK54" i="2" s="1"/>
  <c r="AL54" i="2" s="1"/>
  <c r="AR54" i="2" s="1"/>
  <c r="T108" i="2"/>
  <c r="AH177" i="2"/>
  <c r="AK177" i="2" s="1"/>
  <c r="AL177" i="2" s="1"/>
  <c r="AR177" i="2" s="1"/>
  <c r="AH227" i="2"/>
  <c r="AK227" i="2" s="1"/>
  <c r="AL227" i="2" s="1"/>
  <c r="AR227" i="2" s="1"/>
  <c r="T148" i="2"/>
  <c r="T143" i="2"/>
  <c r="T80" i="2"/>
  <c r="AH175" i="2"/>
  <c r="AK175" i="2" s="1"/>
  <c r="AL175" i="2" s="1"/>
  <c r="AR175" i="2" s="1"/>
  <c r="U92" i="2"/>
  <c r="AJ92" i="2" s="1"/>
  <c r="AH91" i="2"/>
  <c r="AK91" i="2" s="1"/>
  <c r="AL91" i="2" s="1"/>
  <c r="AR91" i="2" s="1"/>
  <c r="AH119" i="2"/>
  <c r="AK119" i="2" s="1"/>
  <c r="AL119" i="2" s="1"/>
  <c r="AR119" i="2" s="1"/>
  <c r="AH169" i="2"/>
  <c r="AK169" i="2" s="1"/>
  <c r="AL169" i="2" s="1"/>
  <c r="AR169" i="2" s="1"/>
  <c r="U34" i="2"/>
  <c r="AJ34" i="2" s="1"/>
  <c r="AH84" i="2"/>
  <c r="AK84" i="2" s="1"/>
  <c r="AL84" i="2" s="1"/>
  <c r="AR84" i="2" s="1"/>
  <c r="T178" i="2"/>
  <c r="AH161" i="2"/>
  <c r="AK161" i="2" s="1"/>
  <c r="AL161" i="2" s="1"/>
  <c r="AR161" i="2" s="1"/>
  <c r="U220" i="2"/>
  <c r="AJ220" i="2" s="1"/>
  <c r="T64" i="2"/>
  <c r="U99" i="2"/>
  <c r="T95" i="2"/>
  <c r="AH110" i="2"/>
  <c r="AK110" i="2" s="1"/>
  <c r="AL110" i="2" s="1"/>
  <c r="AR110" i="2" s="1"/>
  <c r="U162" i="2"/>
  <c r="AJ162" i="2" s="1"/>
  <c r="AH61" i="2"/>
  <c r="AK61" i="2" s="1"/>
  <c r="AL61" i="2" s="1"/>
  <c r="AR61" i="2" s="1"/>
  <c r="U165" i="2"/>
  <c r="AJ165" i="2" s="1"/>
  <c r="U207" i="2"/>
  <c r="AJ207" i="2" s="1"/>
  <c r="T155" i="2"/>
  <c r="T206" i="2"/>
  <c r="T187" i="2"/>
  <c r="AH38" i="2"/>
  <c r="AK38" i="2" s="1"/>
  <c r="AL38" i="2" s="1"/>
  <c r="AR38" i="2" s="1"/>
  <c r="AH225" i="2"/>
  <c r="AK225" i="2" s="1"/>
  <c r="AL225" i="2" s="1"/>
  <c r="AR225" i="2" s="1"/>
  <c r="U185" i="2"/>
  <c r="AJ185" i="2" s="1"/>
  <c r="AH100" i="2"/>
  <c r="AK100" i="2" s="1"/>
  <c r="AL100" i="2" s="1"/>
  <c r="AR100" i="2" s="1"/>
  <c r="T46" i="2"/>
  <c r="U158" i="2"/>
  <c r="AJ158" i="2" s="1"/>
  <c r="AH34" i="2"/>
  <c r="AK34" i="2" s="1"/>
  <c r="AL34" i="2" s="1"/>
  <c r="AR34" i="2" s="1"/>
  <c r="T111" i="2"/>
  <c r="T69" i="2"/>
  <c r="U130" i="2"/>
  <c r="AJ130" i="2" s="1"/>
  <c r="T128" i="2"/>
  <c r="AH207" i="2"/>
  <c r="AK207" i="2" s="1"/>
  <c r="AL207" i="2" s="1"/>
  <c r="AR207" i="2" s="1"/>
  <c r="U146" i="2"/>
  <c r="T115" i="2"/>
  <c r="T54" i="2"/>
  <c r="AH79" i="2"/>
  <c r="AK79" i="2" s="1"/>
  <c r="AL79" i="2" s="1"/>
  <c r="AR79" i="2" s="1"/>
  <c r="T67" i="2"/>
  <c r="U159" i="2"/>
  <c r="AJ159" i="2" s="1"/>
  <c r="T78" i="2"/>
  <c r="U125" i="2"/>
  <c r="AJ125" i="2" s="1"/>
  <c r="U142" i="2"/>
  <c r="AJ142" i="2" s="1"/>
  <c r="T57" i="2"/>
  <c r="T83" i="2"/>
  <c r="AH139" i="2"/>
  <c r="AK139" i="2" s="1"/>
  <c r="AL139" i="2" s="1"/>
  <c r="AR139" i="2" s="1"/>
  <c r="AH202" i="2"/>
  <c r="AK202" i="2" s="1"/>
  <c r="AL202" i="2" s="1"/>
  <c r="AR202" i="2" s="1"/>
  <c r="AH228" i="2"/>
  <c r="AK228" i="2" s="1"/>
  <c r="AL228" i="2" s="1"/>
  <c r="AR228" i="2" s="1"/>
  <c r="AH106" i="2"/>
  <c r="AK106" i="2" s="1"/>
  <c r="AL106" i="2" s="1"/>
  <c r="AR106" i="2" s="1"/>
  <c r="T220" i="2"/>
  <c r="AH44" i="2"/>
  <c r="AK44" i="2" s="1"/>
  <c r="AL44" i="2" s="1"/>
  <c r="AR44" i="2" s="1"/>
  <c r="U55" i="2"/>
  <c r="AJ55" i="2" s="1"/>
  <c r="U211" i="2"/>
  <c r="AJ211" i="2" s="1"/>
  <c r="T55" i="2"/>
  <c r="T229" i="2"/>
  <c r="T142" i="2"/>
  <c r="AH108" i="2"/>
  <c r="AK108" i="2" s="1"/>
  <c r="AL108" i="2" s="1"/>
  <c r="AR108" i="2" s="1"/>
  <c r="AH81" i="2"/>
  <c r="AK81" i="2" s="1"/>
  <c r="AL81" i="2" s="1"/>
  <c r="AR81" i="2" s="1"/>
  <c r="AH135" i="2"/>
  <c r="AK135" i="2" s="1"/>
  <c r="AL135" i="2" s="1"/>
  <c r="AR135" i="2" s="1"/>
  <c r="T156" i="2"/>
  <c r="T146" i="2"/>
  <c r="U140" i="2"/>
  <c r="AJ140" i="2" s="1"/>
  <c r="T152" i="2"/>
  <c r="U48" i="2"/>
  <c r="AJ48" i="2" s="1"/>
  <c r="AH211" i="2"/>
  <c r="AK211" i="2" s="1"/>
  <c r="AL211" i="2" s="1"/>
  <c r="AR211" i="2" s="1"/>
  <c r="AH168" i="2"/>
  <c r="AK168" i="2" s="1"/>
  <c r="AL168" i="2" s="1"/>
  <c r="AR168" i="2" s="1"/>
  <c r="U76" i="2"/>
  <c r="AJ76" i="2" s="1"/>
  <c r="T119" i="2"/>
  <c r="T41" i="2"/>
  <c r="AH129" i="2"/>
  <c r="AK129" i="2" s="1"/>
  <c r="AL129" i="2" s="1"/>
  <c r="AR129" i="2" s="1"/>
  <c r="AH109" i="2"/>
  <c r="AK109" i="2" s="1"/>
  <c r="AL109" i="2" s="1"/>
  <c r="AR109" i="2" s="1"/>
  <c r="T160" i="2"/>
  <c r="T59" i="2"/>
  <c r="T171" i="2"/>
  <c r="AH55" i="2"/>
  <c r="AK55" i="2" s="1"/>
  <c r="AL55" i="2" s="1"/>
  <c r="AR55" i="2" s="1"/>
  <c r="U126" i="2"/>
  <c r="AJ126" i="2" s="1"/>
  <c r="U172" i="2"/>
  <c r="AJ172" i="2" s="1"/>
  <c r="T168" i="2"/>
  <c r="U179" i="2"/>
  <c r="AJ179" i="2" s="1"/>
  <c r="T37" i="2"/>
  <c r="AH67" i="2"/>
  <c r="AK67" i="2" s="1"/>
  <c r="AL67" i="2" s="1"/>
  <c r="AR67" i="2" s="1"/>
  <c r="U195" i="2"/>
  <c r="AJ195" i="2" s="1"/>
  <c r="U156" i="2"/>
  <c r="T214" i="2"/>
  <c r="T39" i="2"/>
  <c r="AH136" i="2"/>
  <c r="AK136" i="2" s="1"/>
  <c r="AL136" i="2" s="1"/>
  <c r="AR136" i="2" s="1"/>
  <c r="T89" i="2"/>
  <c r="U163" i="2"/>
  <c r="U38" i="2"/>
  <c r="AJ38" i="2" s="1"/>
  <c r="AH127" i="2"/>
  <c r="AK127" i="2" s="1"/>
  <c r="AL127" i="2" s="1"/>
  <c r="AR127" i="2" s="1"/>
  <c r="T51" i="2"/>
  <c r="T100" i="2"/>
  <c r="T174" i="2"/>
  <c r="U197" i="2"/>
  <c r="AJ197" i="2" s="1"/>
  <c r="U177" i="2"/>
  <c r="AJ177" i="2" s="1"/>
  <c r="AH102" i="2"/>
  <c r="AK102" i="2" s="1"/>
  <c r="AL102" i="2" s="1"/>
  <c r="AR102" i="2" s="1"/>
  <c r="U98" i="2"/>
  <c r="AJ98" i="2" s="1"/>
  <c r="T79" i="2"/>
  <c r="T87" i="2"/>
  <c r="U141" i="2"/>
  <c r="AJ141" i="2" s="1"/>
  <c r="AH123" i="2"/>
  <c r="AK123" i="2" s="1"/>
  <c r="AL123" i="2" s="1"/>
  <c r="AR123" i="2" s="1"/>
  <c r="U182" i="2"/>
  <c r="AJ182" i="2" s="1"/>
  <c r="U201" i="2"/>
  <c r="AJ201" i="2" s="1"/>
  <c r="U176" i="2"/>
  <c r="AJ176" i="2" s="1"/>
  <c r="T208" i="2"/>
  <c r="AH181" i="2"/>
  <c r="AK181" i="2" s="1"/>
  <c r="AL181" i="2" s="1"/>
  <c r="AR181" i="2" s="1"/>
  <c r="AH209" i="2"/>
  <c r="AK209" i="2" s="1"/>
  <c r="AL209" i="2" s="1"/>
  <c r="AR209" i="2" s="1"/>
  <c r="T165" i="2"/>
  <c r="U167" i="2"/>
  <c r="AJ167" i="2" s="1"/>
  <c r="AH93" i="2"/>
  <c r="AK93" i="2" s="1"/>
  <c r="AL93" i="2" s="1"/>
  <c r="AR93" i="2" s="1"/>
  <c r="AH95" i="2"/>
  <c r="AK95" i="2" s="1"/>
  <c r="AL95" i="2" s="1"/>
  <c r="AR95" i="2" s="1"/>
  <c r="T223" i="2"/>
  <c r="T127" i="2"/>
  <c r="U52" i="2"/>
  <c r="AJ52" i="2" s="1"/>
  <c r="U95" i="2"/>
  <c r="AJ95" i="2" s="1"/>
  <c r="T202" i="2"/>
  <c r="U152" i="2"/>
  <c r="AJ152" i="2" s="1"/>
  <c r="AH111" i="2"/>
  <c r="AK111" i="2" s="1"/>
  <c r="AL111" i="2" s="1"/>
  <c r="AR111" i="2" s="1"/>
  <c r="AH200" i="2"/>
  <c r="AK200" i="2" s="1"/>
  <c r="AL200" i="2" s="1"/>
  <c r="AR200" i="2" s="1"/>
  <c r="T204" i="2"/>
  <c r="AH97" i="2"/>
  <c r="AK97" i="2" s="1"/>
  <c r="AL97" i="2" s="1"/>
  <c r="AR97" i="2" s="1"/>
  <c r="T60" i="2"/>
  <c r="AH203" i="2"/>
  <c r="AK203" i="2" s="1"/>
  <c r="AL203" i="2" s="1"/>
  <c r="AR203" i="2" s="1"/>
  <c r="AH49" i="2"/>
  <c r="T82" i="2"/>
  <c r="AH137" i="2"/>
  <c r="AK137" i="2" s="1"/>
  <c r="AL137" i="2" s="1"/>
  <c r="AR137" i="2" s="1"/>
  <c r="U226" i="2"/>
  <c r="AJ226" i="2" s="1"/>
  <c r="T181" i="2"/>
  <c r="T130" i="2"/>
  <c r="U67" i="2"/>
  <c r="AJ67" i="2" s="1"/>
  <c r="T173" i="2"/>
  <c r="AH98" i="2"/>
  <c r="AK98" i="2" s="1"/>
  <c r="AL98" i="2" s="1"/>
  <c r="AR98" i="2" s="1"/>
  <c r="T38" i="2"/>
  <c r="U131" i="2"/>
  <c r="AJ131" i="2" s="1"/>
  <c r="U121" i="2"/>
  <c r="AJ121" i="2" s="1"/>
  <c r="AH226" i="2"/>
  <c r="AK226" i="2" s="1"/>
  <c r="AL226" i="2" s="1"/>
  <c r="AR226" i="2" s="1"/>
  <c r="AH216" i="2"/>
  <c r="AK216" i="2" s="1"/>
  <c r="AL216" i="2" s="1"/>
  <c r="AR216" i="2" s="1"/>
  <c r="U123" i="2"/>
  <c r="AJ123" i="2" s="1"/>
  <c r="T153" i="2"/>
  <c r="U57" i="2"/>
  <c r="AJ57" i="2" s="1"/>
  <c r="T145" i="2"/>
  <c r="U88" i="2"/>
  <c r="AJ88" i="2" s="1"/>
  <c r="AH74" i="2"/>
  <c r="AK74" i="2" s="1"/>
  <c r="AL74" i="2" s="1"/>
  <c r="AR74" i="2" s="1"/>
  <c r="U59" i="2"/>
  <c r="T117" i="2"/>
  <c r="U221" i="2"/>
  <c r="AJ221" i="2" s="1"/>
  <c r="AH210" i="2"/>
  <c r="AK210" i="2" s="1"/>
  <c r="AL210" i="2" s="1"/>
  <c r="AR210" i="2" s="1"/>
  <c r="U133" i="2"/>
  <c r="AJ133" i="2" s="1"/>
  <c r="AH171" i="2"/>
  <c r="AK171" i="2" s="1"/>
  <c r="AL171" i="2" s="1"/>
  <c r="AR171" i="2" s="1"/>
  <c r="AH68" i="2"/>
  <c r="AK68" i="2" s="1"/>
  <c r="AL68" i="2" s="1"/>
  <c r="AR68" i="2" s="1"/>
  <c r="U214" i="2"/>
  <c r="AJ214" i="2" s="1"/>
  <c r="U58" i="2"/>
  <c r="AJ58" i="2" s="1"/>
  <c r="T126" i="2"/>
  <c r="AH194" i="2"/>
  <c r="AK194" i="2" s="1"/>
  <c r="AL194" i="2" s="1"/>
  <c r="AR194" i="2" s="1"/>
  <c r="U43" i="2"/>
  <c r="U215" i="2"/>
  <c r="AJ215" i="2" s="1"/>
  <c r="U217" i="2"/>
  <c r="AJ217" i="2" s="1"/>
  <c r="AH155" i="2"/>
  <c r="AK155" i="2" s="1"/>
  <c r="AL155" i="2" s="1"/>
  <c r="AR155" i="2" s="1"/>
  <c r="AH145" i="2"/>
  <c r="AK145" i="2" s="1"/>
  <c r="AL145" i="2" s="1"/>
  <c r="AR145" i="2" s="1"/>
  <c r="U78" i="2"/>
  <c r="AJ78" i="2" s="1"/>
  <c r="T93" i="2"/>
  <c r="U86" i="2"/>
  <c r="AJ86" i="2" s="1"/>
  <c r="T102" i="2"/>
  <c r="AH195" i="2"/>
  <c r="AK195" i="2" s="1"/>
  <c r="AL195" i="2" s="1"/>
  <c r="AR195" i="2" s="1"/>
  <c r="T139" i="2"/>
  <c r="U210" i="2"/>
  <c r="AJ210" i="2" s="1"/>
  <c r="U118" i="2"/>
  <c r="AJ118" i="2" s="1"/>
  <c r="T177" i="2"/>
  <c r="U208" i="2"/>
  <c r="AJ208" i="2" s="1"/>
  <c r="U85" i="2"/>
  <c r="AJ85" i="2" s="1"/>
  <c r="U93" i="2"/>
  <c r="AJ93" i="2" s="1"/>
  <c r="T42" i="2"/>
  <c r="U119" i="2"/>
  <c r="AJ119" i="2" s="1"/>
  <c r="U111" i="2"/>
  <c r="AJ111" i="2" s="1"/>
  <c r="T191" i="2"/>
  <c r="AH105" i="2"/>
  <c r="AK105" i="2" s="1"/>
  <c r="AL105" i="2" s="1"/>
  <c r="AR105" i="2" s="1"/>
  <c r="U104" i="2"/>
  <c r="AJ104" i="2" s="1"/>
  <c r="T215" i="2"/>
  <c r="U80" i="2"/>
  <c r="AJ80" i="2" s="1"/>
  <c r="T134" i="2"/>
  <c r="AH83" i="2"/>
  <c r="AK83" i="2" s="1"/>
  <c r="AL83" i="2" s="1"/>
  <c r="AR83" i="2" s="1"/>
  <c r="U149" i="2"/>
  <c r="AJ149" i="2" s="1"/>
  <c r="I34" i="3"/>
  <c r="J34" i="3" s="1"/>
  <c r="I35" i="3"/>
  <c r="AB20" i="2"/>
  <c r="AA24" i="2"/>
  <c r="H35" i="3"/>
  <c r="H34" i="3"/>
  <c r="AC218" i="2"/>
  <c r="AB121" i="2"/>
  <c r="AC88" i="2"/>
  <c r="AC184" i="2"/>
  <c r="AC47" i="2"/>
  <c r="AC171" i="2"/>
  <c r="AC50" i="2"/>
  <c r="AB124" i="2"/>
  <c r="AB168" i="2"/>
  <c r="AB155" i="2"/>
  <c r="AC135" i="2"/>
  <c r="AB161" i="2"/>
  <c r="AB43" i="2"/>
  <c r="AC143" i="2"/>
  <c r="AB226" i="2"/>
  <c r="AB187" i="2"/>
  <c r="AC65" i="2"/>
  <c r="AB77" i="2"/>
  <c r="AC92" i="2"/>
  <c r="AC37" i="2"/>
  <c r="AC166" i="2"/>
  <c r="AC199" i="2"/>
  <c r="AC62" i="2"/>
  <c r="AB79" i="2"/>
  <c r="AB189" i="2"/>
  <c r="AB183" i="2"/>
  <c r="AB154" i="2"/>
  <c r="AB107" i="2"/>
  <c r="AB222" i="2"/>
  <c r="AB179" i="2"/>
  <c r="AB42" i="2"/>
  <c r="AB36" i="2"/>
  <c r="AC191" i="2"/>
  <c r="AB49" i="2"/>
  <c r="AC215" i="2"/>
  <c r="AC74" i="2"/>
  <c r="AC58" i="2"/>
  <c r="AC203" i="2"/>
  <c r="AB223" i="2"/>
  <c r="AB198" i="2"/>
  <c r="AC170" i="2"/>
  <c r="AC134" i="2"/>
  <c r="AC32" i="2"/>
  <c r="AC205" i="2"/>
  <c r="AB46" i="2"/>
  <c r="AC156" i="2"/>
  <c r="AB72" i="2"/>
  <c r="AC192" i="2"/>
  <c r="AC190" i="2"/>
  <c r="AB67" i="2"/>
  <c r="AB96" i="2"/>
  <c r="AC35" i="2"/>
  <c r="AC45" i="2"/>
  <c r="AC57" i="2"/>
  <c r="AB44" i="2"/>
  <c r="AB130" i="2"/>
  <c r="AB229" i="2"/>
  <c r="AB224" i="2"/>
  <c r="AB115" i="2"/>
  <c r="AB208" i="2"/>
  <c r="AC227" i="2"/>
  <c r="AB180" i="2"/>
  <c r="AB97" i="2"/>
  <c r="AB153" i="2"/>
  <c r="AB163" i="2"/>
  <c r="AC83" i="2"/>
  <c r="AC138" i="2"/>
  <c r="AC54" i="2"/>
  <c r="AB225" i="2"/>
  <c r="AB59" i="2"/>
  <c r="AB178" i="2"/>
  <c r="AB228" i="2"/>
  <c r="AC131" i="2"/>
  <c r="AB202" i="2"/>
  <c r="AC197" i="2"/>
  <c r="AB175" i="2"/>
  <c r="AB109" i="2"/>
  <c r="AC144" i="2"/>
  <c r="AC84" i="2"/>
  <c r="AC75" i="2"/>
  <c r="AB75" i="2"/>
  <c r="AB69" i="2"/>
  <c r="AC69" i="2"/>
  <c r="AC219" i="2"/>
  <c r="AB219" i="2"/>
  <c r="AC200" i="2"/>
  <c r="AB200" i="2"/>
  <c r="AB185" i="2"/>
  <c r="AC185" i="2"/>
  <c r="AD222" i="2"/>
  <c r="AB105" i="2"/>
  <c r="AC105" i="2"/>
  <c r="AB52" i="2"/>
  <c r="AC52" i="2"/>
  <c r="AB119" i="2"/>
  <c r="AC119" i="2"/>
  <c r="AC60" i="2"/>
  <c r="AB60" i="2"/>
  <c r="AC220" i="2"/>
  <c r="AB220" i="2"/>
  <c r="AC93" i="2"/>
  <c r="AB93" i="2"/>
  <c r="AD154" i="2"/>
  <c r="AD189" i="2"/>
  <c r="AD43" i="2"/>
  <c r="AD79" i="2"/>
  <c r="AD67" i="2"/>
  <c r="AC193" i="2"/>
  <c r="AB193" i="2"/>
  <c r="AB206" i="2"/>
  <c r="AC206" i="2"/>
  <c r="AB41" i="2"/>
  <c r="AC41" i="2"/>
  <c r="AC211" i="2"/>
  <c r="AB211" i="2"/>
  <c r="AC181" i="2"/>
  <c r="AB181" i="2"/>
  <c r="AC63" i="2"/>
  <c r="AE63" i="2" s="1"/>
  <c r="AB63" i="2"/>
  <c r="AC136" i="2"/>
  <c r="AB136" i="2"/>
  <c r="AC55" i="2"/>
  <c r="AB55" i="2"/>
  <c r="AC113" i="2"/>
  <c r="AB113" i="2"/>
  <c r="AC127" i="2"/>
  <c r="AB127" i="2"/>
  <c r="AD223" i="2"/>
  <c r="AD153" i="2"/>
  <c r="AD163" i="2"/>
  <c r="AD155" i="2"/>
  <c r="AD225" i="2"/>
  <c r="AD168" i="2"/>
  <c r="AB146" i="2"/>
  <c r="AC146" i="2"/>
  <c r="AB149" i="2"/>
  <c r="AC149" i="2"/>
  <c r="AB66" i="2"/>
  <c r="AC66" i="2"/>
  <c r="AB39" i="2"/>
  <c r="AC39" i="2"/>
  <c r="AB158" i="2"/>
  <c r="AC158" i="2"/>
  <c r="AB61" i="2"/>
  <c r="AC61" i="2"/>
  <c r="AB40" i="2"/>
  <c r="AC40" i="2"/>
  <c r="AC141" i="2"/>
  <c r="AB141" i="2"/>
  <c r="AB99" i="2"/>
  <c r="AC99" i="2"/>
  <c r="AC172" i="2"/>
  <c r="AB172" i="2"/>
  <c r="AB157" i="2"/>
  <c r="AC157" i="2"/>
  <c r="AB195" i="2"/>
  <c r="AC195" i="2"/>
  <c r="AD178" i="2"/>
  <c r="AD121" i="2"/>
  <c r="AD109" i="2"/>
  <c r="AB110" i="2"/>
  <c r="AC110" i="2"/>
  <c r="AB210" i="2"/>
  <c r="AC210" i="2"/>
  <c r="AC101" i="2"/>
  <c r="AB101" i="2"/>
  <c r="AB122" i="2"/>
  <c r="AC122" i="2"/>
  <c r="AC103" i="2"/>
  <c r="AB103" i="2"/>
  <c r="AD179" i="2"/>
  <c r="AB212" i="2"/>
  <c r="AC212" i="2"/>
  <c r="AB118" i="2"/>
  <c r="AC118" i="2"/>
  <c r="AC159" i="2"/>
  <c r="AB159" i="2"/>
  <c r="AD183" i="2"/>
  <c r="AD42" i="2"/>
  <c r="AC129" i="2"/>
  <c r="AB129" i="2"/>
  <c r="AC207" i="2"/>
  <c r="AB207" i="2"/>
  <c r="AC142" i="2"/>
  <c r="AB142" i="2"/>
  <c r="AB182" i="2"/>
  <c r="AC182" i="2"/>
  <c r="AB68" i="2"/>
  <c r="AC68" i="2"/>
  <c r="AB81" i="2"/>
  <c r="AC81" i="2"/>
  <c r="AB70" i="2"/>
  <c r="AC70" i="2"/>
  <c r="AB71" i="2"/>
  <c r="AC71" i="2"/>
  <c r="AC112" i="2"/>
  <c r="AB112" i="2"/>
  <c r="AC48" i="2"/>
  <c r="AB48" i="2"/>
  <c r="AD180" i="2"/>
  <c r="AD187" i="2"/>
  <c r="AD161" i="2"/>
  <c r="AD36" i="2"/>
  <c r="AC213" i="2"/>
  <c r="AB213" i="2"/>
  <c r="AB108" i="2"/>
  <c r="AC108" i="2"/>
  <c r="AB196" i="2"/>
  <c r="AC196" i="2"/>
  <c r="AB38" i="2"/>
  <c r="AC38" i="2"/>
  <c r="AC186" i="2"/>
  <c r="AB186" i="2"/>
  <c r="AC111" i="2"/>
  <c r="AB111" i="2"/>
  <c r="AD107" i="2"/>
  <c r="AC217" i="2"/>
  <c r="AB217" i="2"/>
  <c r="AB53" i="2"/>
  <c r="AC53" i="2"/>
  <c r="AC160" i="2"/>
  <c r="AB160" i="2"/>
  <c r="AC176" i="2"/>
  <c r="AB176" i="2"/>
  <c r="AD59" i="2"/>
  <c r="AC89" i="2"/>
  <c r="AB89" i="2"/>
  <c r="AB100" i="2"/>
  <c r="AC100" i="2"/>
  <c r="AB150" i="2"/>
  <c r="AC150" i="2"/>
  <c r="AB221" i="2"/>
  <c r="AC221" i="2"/>
  <c r="AC128" i="2"/>
  <c r="AB128" i="2"/>
  <c r="AD72" i="2"/>
  <c r="AC80" i="2"/>
  <c r="AB80" i="2"/>
  <c r="AC174" i="2"/>
  <c r="AB174" i="2"/>
  <c r="AC116" i="2"/>
  <c r="AB116" i="2"/>
  <c r="AC173" i="2"/>
  <c r="AB173" i="2"/>
  <c r="AB162" i="2"/>
  <c r="AC162" i="2"/>
  <c r="AD97" i="2"/>
  <c r="AD77" i="2"/>
  <c r="AD49" i="2"/>
  <c r="AC125" i="2"/>
  <c r="AB125" i="2"/>
  <c r="AB104" i="2"/>
  <c r="AC104" i="2"/>
  <c r="AC123" i="2"/>
  <c r="AB123" i="2"/>
  <c r="AC139" i="2"/>
  <c r="AB139" i="2"/>
  <c r="AD226" i="2"/>
  <c r="AC152" i="2"/>
  <c r="AB152" i="2"/>
  <c r="AB204" i="2"/>
  <c r="AC204" i="2"/>
  <c r="AC34" i="2"/>
  <c r="AB34" i="2"/>
  <c r="AB194" i="2"/>
  <c r="AC194" i="2"/>
  <c r="AD124" i="2"/>
  <c r="AD228" i="2"/>
  <c r="AD202" i="2"/>
  <c r="AD175" i="2"/>
  <c r="AC64" i="2"/>
  <c r="AB64" i="2"/>
  <c r="AC126" i="2"/>
  <c r="AB126" i="2"/>
  <c r="AC214" i="2"/>
  <c r="AB214" i="2"/>
  <c r="AC145" i="2"/>
  <c r="AB145" i="2"/>
  <c r="AC164" i="2"/>
  <c r="AB164" i="2"/>
  <c r="AB117" i="2"/>
  <c r="AC117" i="2"/>
  <c r="AC114" i="2"/>
  <c r="AB114" i="2"/>
  <c r="AC167" i="2"/>
  <c r="AB167" i="2"/>
  <c r="AC73" i="2"/>
  <c r="AB73" i="2"/>
  <c r="AB209" i="2"/>
  <c r="AC209" i="2"/>
  <c r="AC137" i="2"/>
  <c r="AB137" i="2"/>
  <c r="AB86" i="2"/>
  <c r="AC86" i="2"/>
  <c r="AD198" i="2"/>
  <c r="AD46" i="2"/>
  <c r="AD96" i="2"/>
  <c r="AC151" i="2"/>
  <c r="AB151" i="2"/>
  <c r="AC78" i="2"/>
  <c r="AB78" i="2"/>
  <c r="AC147" i="2"/>
  <c r="AB147" i="2"/>
  <c r="AB85" i="2"/>
  <c r="AC85" i="2"/>
  <c r="AC94" i="2"/>
  <c r="AB94" i="2"/>
  <c r="AB201" i="2"/>
  <c r="AC201" i="2"/>
  <c r="AB177" i="2"/>
  <c r="AC177" i="2"/>
  <c r="AC165" i="2"/>
  <c r="AB165" i="2"/>
  <c r="AC76" i="2"/>
  <c r="AB76" i="2"/>
  <c r="AC51" i="2"/>
  <c r="AB51" i="2"/>
  <c r="AC91" i="2"/>
  <c r="AB91" i="2"/>
  <c r="AB87" i="2"/>
  <c r="AC87" i="2"/>
  <c r="AC120" i="2"/>
  <c r="AB120" i="2"/>
  <c r="AB140" i="2"/>
  <c r="AC140" i="2"/>
  <c r="AB188" i="2"/>
  <c r="AC188" i="2"/>
  <c r="AC102" i="2"/>
  <c r="AB102" i="2"/>
  <c r="AC82" i="2"/>
  <c r="AB82" i="2"/>
  <c r="AD33" i="2"/>
  <c r="AB106" i="2"/>
  <c r="AC106" i="2"/>
  <c r="AC132" i="2"/>
  <c r="AB132" i="2"/>
  <c r="AB133" i="2"/>
  <c r="AC133" i="2"/>
  <c r="AC95" i="2"/>
  <c r="AB95" i="2"/>
  <c r="AB98" i="2"/>
  <c r="AC98" i="2"/>
  <c r="AC216" i="2"/>
  <c r="AB216" i="2"/>
  <c r="AB90" i="2"/>
  <c r="AC90" i="2"/>
  <c r="AB169" i="2"/>
  <c r="AC169" i="2"/>
  <c r="AB148" i="2"/>
  <c r="AC148" i="2"/>
  <c r="AB56" i="2"/>
  <c r="AC56" i="2"/>
  <c r="AD44" i="2"/>
  <c r="AD130" i="2"/>
  <c r="AD229" i="2"/>
  <c r="AD224" i="2"/>
  <c r="AD115" i="2"/>
  <c r="AD208" i="2"/>
  <c r="V202" i="2" l="1"/>
  <c r="W202" i="2" s="1"/>
  <c r="X202" i="2" s="1"/>
  <c r="Y202" i="2" s="1"/>
  <c r="AI202" i="2"/>
  <c r="V100" i="2"/>
  <c r="W100" i="2" s="1"/>
  <c r="X100" i="2" s="1"/>
  <c r="Y100" i="2" s="1"/>
  <c r="AI100" i="2"/>
  <c r="V119" i="2"/>
  <c r="W119" i="2" s="1"/>
  <c r="X119" i="2" s="1"/>
  <c r="Y119" i="2" s="1"/>
  <c r="AI119" i="2"/>
  <c r="V218" i="2"/>
  <c r="W218" i="2" s="1"/>
  <c r="X218" i="2" s="1"/>
  <c r="Y218" i="2" s="1"/>
  <c r="AI218" i="2"/>
  <c r="V62" i="2"/>
  <c r="W62" i="2" s="1"/>
  <c r="AI62" i="2"/>
  <c r="V40" i="2"/>
  <c r="AI40" i="2"/>
  <c r="V227" i="2"/>
  <c r="W227" i="2" s="1"/>
  <c r="X227" i="2" s="1"/>
  <c r="Y227" i="2" s="1"/>
  <c r="AI227" i="2"/>
  <c r="V34" i="2"/>
  <c r="W34" i="2" s="1"/>
  <c r="X34" i="2" s="1"/>
  <c r="Y34" i="2" s="1"/>
  <c r="AI34" i="2"/>
  <c r="V191" i="2"/>
  <c r="W191" i="2" s="1"/>
  <c r="X191" i="2" s="1"/>
  <c r="Y191" i="2" s="1"/>
  <c r="AI191" i="2"/>
  <c r="V153" i="2"/>
  <c r="W153" i="2" s="1"/>
  <c r="X153" i="2" s="1"/>
  <c r="Y153" i="2" s="1"/>
  <c r="AI153" i="2"/>
  <c r="V229" i="2"/>
  <c r="W229" i="2" s="1"/>
  <c r="X229" i="2" s="1"/>
  <c r="Y229" i="2" s="1"/>
  <c r="AI229" i="2"/>
  <c r="V69" i="2"/>
  <c r="W69" i="2" s="1"/>
  <c r="X69" i="2" s="1"/>
  <c r="Y69" i="2" s="1"/>
  <c r="AI69" i="2"/>
  <c r="V169" i="2"/>
  <c r="W169" i="2" s="1"/>
  <c r="X169" i="2" s="1"/>
  <c r="Y169" i="2" s="1"/>
  <c r="AI169" i="2"/>
  <c r="V73" i="2"/>
  <c r="W73" i="2" s="1"/>
  <c r="X73" i="2" s="1"/>
  <c r="Y73" i="2" s="1"/>
  <c r="AI73" i="2"/>
  <c r="V137" i="2"/>
  <c r="W137" i="2" s="1"/>
  <c r="X137" i="2" s="1"/>
  <c r="Y137" i="2" s="1"/>
  <c r="AI137" i="2"/>
  <c r="V180" i="2"/>
  <c r="W180" i="2" s="1"/>
  <c r="X180" i="2" s="1"/>
  <c r="Y180" i="2" s="1"/>
  <c r="AI180" i="2"/>
  <c r="V113" i="2"/>
  <c r="W113" i="2" s="1"/>
  <c r="X113" i="2" s="1"/>
  <c r="Y113" i="2" s="1"/>
  <c r="AI113" i="2"/>
  <c r="V55" i="2"/>
  <c r="W55" i="2" s="1"/>
  <c r="X55" i="2" s="1"/>
  <c r="Y55" i="2" s="1"/>
  <c r="AI55" i="2"/>
  <c r="V111" i="2"/>
  <c r="W111" i="2" s="1"/>
  <c r="X111" i="2" s="1"/>
  <c r="Y111" i="2" s="1"/>
  <c r="AI111" i="2"/>
  <c r="V104" i="2"/>
  <c r="W104" i="2" s="1"/>
  <c r="X104" i="2" s="1"/>
  <c r="Y104" i="2" s="1"/>
  <c r="AI104" i="2"/>
  <c r="V49" i="2"/>
  <c r="W49" i="2" s="1"/>
  <c r="AI49" i="2"/>
  <c r="V211" i="2"/>
  <c r="W211" i="2" s="1"/>
  <c r="X211" i="2" s="1"/>
  <c r="Y211" i="2" s="1"/>
  <c r="AI211" i="2"/>
  <c r="V91" i="2"/>
  <c r="W91" i="2" s="1"/>
  <c r="X91" i="2" s="1"/>
  <c r="Y91" i="2" s="1"/>
  <c r="AI91" i="2"/>
  <c r="V161" i="2"/>
  <c r="W161" i="2" s="1"/>
  <c r="X161" i="2" s="1"/>
  <c r="Y161" i="2" s="1"/>
  <c r="AI161" i="2"/>
  <c r="V93" i="2"/>
  <c r="W93" i="2" s="1"/>
  <c r="X93" i="2" s="1"/>
  <c r="Y93" i="2" s="1"/>
  <c r="AI93" i="2"/>
  <c r="V82" i="2"/>
  <c r="W82" i="2" s="1"/>
  <c r="X82" i="2" s="1"/>
  <c r="Y82" i="2" s="1"/>
  <c r="AI82" i="2"/>
  <c r="V195" i="2"/>
  <c r="W195" i="2" s="1"/>
  <c r="X195" i="2" s="1"/>
  <c r="Y195" i="2" s="1"/>
  <c r="AI195" i="2"/>
  <c r="V74" i="2"/>
  <c r="W74" i="2" s="1"/>
  <c r="X74" i="2" s="1"/>
  <c r="Y74" i="2" s="1"/>
  <c r="AI74" i="2"/>
  <c r="V167" i="2"/>
  <c r="W167" i="2" s="1"/>
  <c r="X167" i="2" s="1"/>
  <c r="Y167" i="2" s="1"/>
  <c r="AI167" i="2"/>
  <c r="V92" i="2"/>
  <c r="W92" i="2" s="1"/>
  <c r="X92" i="2" s="1"/>
  <c r="Y92" i="2" s="1"/>
  <c r="AI92" i="2"/>
  <c r="V84" i="2"/>
  <c r="W84" i="2" s="1"/>
  <c r="X84" i="2" s="1"/>
  <c r="Y84" i="2" s="1"/>
  <c r="AI84" i="2"/>
  <c r="V98" i="2"/>
  <c r="W98" i="2" s="1"/>
  <c r="X98" i="2" s="1"/>
  <c r="Y98" i="2" s="1"/>
  <c r="AI98" i="2"/>
  <c r="V172" i="2"/>
  <c r="W172" i="2" s="1"/>
  <c r="X172" i="2" s="1"/>
  <c r="Y172" i="2" s="1"/>
  <c r="AI172" i="2"/>
  <c r="V42" i="2"/>
  <c r="W42" i="2" s="1"/>
  <c r="X42" i="2" s="1"/>
  <c r="Y42" i="2" s="1"/>
  <c r="AI42" i="2"/>
  <c r="V223" i="2"/>
  <c r="W223" i="2" s="1"/>
  <c r="X223" i="2" s="1"/>
  <c r="Y223" i="2" s="1"/>
  <c r="AI223" i="2"/>
  <c r="V222" i="2"/>
  <c r="W222" i="2" s="1"/>
  <c r="X222" i="2" s="1"/>
  <c r="Y222" i="2" s="1"/>
  <c r="AI222" i="2"/>
  <c r="V43" i="2"/>
  <c r="W43" i="2" s="1"/>
  <c r="AI43" i="2"/>
  <c r="V52" i="2"/>
  <c r="W52" i="2" s="1"/>
  <c r="X52" i="2" s="1"/>
  <c r="Y52" i="2" s="1"/>
  <c r="AI52" i="2"/>
  <c r="V176" i="2"/>
  <c r="W176" i="2" s="1"/>
  <c r="X176" i="2" s="1"/>
  <c r="Y176" i="2" s="1"/>
  <c r="AI176" i="2"/>
  <c r="V151" i="2"/>
  <c r="W151" i="2" s="1"/>
  <c r="X151" i="2" s="1"/>
  <c r="Y151" i="2" s="1"/>
  <c r="AI151" i="2"/>
  <c r="V81" i="2"/>
  <c r="T12" i="2" s="1"/>
  <c r="AI81" i="2"/>
  <c r="V136" i="2"/>
  <c r="W136" i="2" s="1"/>
  <c r="X136" i="2" s="1"/>
  <c r="Y136" i="2" s="1"/>
  <c r="AI136" i="2"/>
  <c r="V193" i="2"/>
  <c r="W193" i="2" s="1"/>
  <c r="X193" i="2" s="1"/>
  <c r="Y193" i="2" s="1"/>
  <c r="AI193" i="2"/>
  <c r="V103" i="2"/>
  <c r="W103" i="2" s="1"/>
  <c r="X103" i="2" s="1"/>
  <c r="Y103" i="2" s="1"/>
  <c r="AI103" i="2"/>
  <c r="V154" i="2"/>
  <c r="W154" i="2" s="1"/>
  <c r="X154" i="2" s="1"/>
  <c r="Y154" i="2" s="1"/>
  <c r="AI154" i="2"/>
  <c r="V107" i="2"/>
  <c r="W107" i="2" s="1"/>
  <c r="X107" i="2" s="1"/>
  <c r="Y107" i="2" s="1"/>
  <c r="AI107" i="2"/>
  <c r="V147" i="2"/>
  <c r="W147" i="2" s="1"/>
  <c r="X147" i="2" s="1"/>
  <c r="Y147" i="2" s="1"/>
  <c r="AI147" i="2"/>
  <c r="V114" i="2"/>
  <c r="W114" i="2" s="1"/>
  <c r="X114" i="2" s="1"/>
  <c r="Y114" i="2" s="1"/>
  <c r="AI114" i="2"/>
  <c r="V140" i="2"/>
  <c r="W140" i="2" s="1"/>
  <c r="X140" i="2" s="1"/>
  <c r="Y140" i="2" s="1"/>
  <c r="AI140" i="2"/>
  <c r="V116" i="2"/>
  <c r="W116" i="2" s="1"/>
  <c r="X116" i="2" s="1"/>
  <c r="Y116" i="2" s="1"/>
  <c r="AI116" i="2"/>
  <c r="V87" i="2"/>
  <c r="W87" i="2" s="1"/>
  <c r="X87" i="2" s="1"/>
  <c r="Y87" i="2" s="1"/>
  <c r="AI87" i="2"/>
  <c r="V89" i="2"/>
  <c r="W89" i="2" s="1"/>
  <c r="X89" i="2" s="1"/>
  <c r="Y89" i="2" s="1"/>
  <c r="AI89" i="2"/>
  <c r="V152" i="2"/>
  <c r="W152" i="2" s="1"/>
  <c r="X152" i="2" s="1"/>
  <c r="Y152" i="2" s="1"/>
  <c r="AI152" i="2"/>
  <c r="V67" i="2"/>
  <c r="W67" i="2" s="1"/>
  <c r="X67" i="2" s="1"/>
  <c r="Y67" i="2" s="1"/>
  <c r="AI67" i="2"/>
  <c r="V46" i="2"/>
  <c r="W46" i="2" s="1"/>
  <c r="X46" i="2" s="1"/>
  <c r="Y46" i="2" s="1"/>
  <c r="AI46" i="2"/>
  <c r="V96" i="2"/>
  <c r="W96" i="2" s="1"/>
  <c r="X96" i="2" s="1"/>
  <c r="Y96" i="2" s="1"/>
  <c r="AI96" i="2"/>
  <c r="V221" i="2"/>
  <c r="W221" i="2" s="1"/>
  <c r="X221" i="2" s="1"/>
  <c r="Y221" i="2" s="1"/>
  <c r="AI221" i="2"/>
  <c r="V44" i="2"/>
  <c r="W44" i="2" s="1"/>
  <c r="X44" i="2" s="1"/>
  <c r="Y44" i="2" s="1"/>
  <c r="AI44" i="2"/>
  <c r="V68" i="2"/>
  <c r="W68" i="2" s="1"/>
  <c r="X68" i="2" s="1"/>
  <c r="Y68" i="2" s="1"/>
  <c r="AI68" i="2"/>
  <c r="V120" i="2"/>
  <c r="W120" i="2" s="1"/>
  <c r="X120" i="2" s="1"/>
  <c r="Y120" i="2" s="1"/>
  <c r="AI120" i="2"/>
  <c r="V192" i="2"/>
  <c r="W192" i="2" s="1"/>
  <c r="X192" i="2" s="1"/>
  <c r="Y192" i="2" s="1"/>
  <c r="AI192" i="2"/>
  <c r="V157" i="2"/>
  <c r="W157" i="2" s="1"/>
  <c r="X157" i="2" s="1"/>
  <c r="Y157" i="2" s="1"/>
  <c r="AI157" i="2"/>
  <c r="V228" i="2"/>
  <c r="W228" i="2" s="1"/>
  <c r="X228" i="2" s="1"/>
  <c r="Y228" i="2" s="1"/>
  <c r="AI228" i="2"/>
  <c r="V188" i="2"/>
  <c r="W188" i="2" s="1"/>
  <c r="X188" i="2" s="1"/>
  <c r="Y188" i="2" s="1"/>
  <c r="AI188" i="2"/>
  <c r="V150" i="2"/>
  <c r="W150" i="2" s="1"/>
  <c r="X150" i="2" s="1"/>
  <c r="Y150" i="2" s="1"/>
  <c r="AI150" i="2"/>
  <c r="V198" i="2"/>
  <c r="W198" i="2" s="1"/>
  <c r="X198" i="2" s="1"/>
  <c r="Y198" i="2" s="1"/>
  <c r="AI198" i="2"/>
  <c r="V109" i="2"/>
  <c r="W109" i="2" s="1"/>
  <c r="X109" i="2" s="1"/>
  <c r="Y109" i="2" s="1"/>
  <c r="AI109" i="2"/>
  <c r="V135" i="2"/>
  <c r="W135" i="2" s="1"/>
  <c r="X135" i="2" s="1"/>
  <c r="Y135" i="2" s="1"/>
  <c r="AI135" i="2"/>
  <c r="V163" i="2"/>
  <c r="W163" i="2" s="1"/>
  <c r="X163" i="2" s="1"/>
  <c r="Y163" i="2" s="1"/>
  <c r="AI163" i="2"/>
  <c r="V164" i="2"/>
  <c r="W164" i="2" s="1"/>
  <c r="X164" i="2" s="1"/>
  <c r="Y164" i="2" s="1"/>
  <c r="AI164" i="2"/>
  <c r="V131" i="2"/>
  <c r="W131" i="2" s="1"/>
  <c r="X131" i="2" s="1"/>
  <c r="Y131" i="2" s="1"/>
  <c r="AI131" i="2"/>
  <c r="V72" i="2"/>
  <c r="W72" i="2" s="1"/>
  <c r="X72" i="2" s="1"/>
  <c r="Y72" i="2" s="1"/>
  <c r="AI72" i="2"/>
  <c r="V60" i="2"/>
  <c r="W60" i="2" s="1"/>
  <c r="X60" i="2" s="1"/>
  <c r="Y60" i="2" s="1"/>
  <c r="AI60" i="2"/>
  <c r="V79" i="2"/>
  <c r="W79" i="2" s="1"/>
  <c r="X79" i="2" s="1"/>
  <c r="Y79" i="2" s="1"/>
  <c r="AI79" i="2"/>
  <c r="V171" i="2"/>
  <c r="W171" i="2" s="1"/>
  <c r="X171" i="2" s="1"/>
  <c r="Y171" i="2" s="1"/>
  <c r="AI171" i="2"/>
  <c r="V220" i="2"/>
  <c r="W220" i="2" s="1"/>
  <c r="X220" i="2" s="1"/>
  <c r="Y220" i="2" s="1"/>
  <c r="AI220" i="2"/>
  <c r="V95" i="2"/>
  <c r="W95" i="2" s="1"/>
  <c r="X95" i="2" s="1"/>
  <c r="Y95" i="2" s="1"/>
  <c r="AI95" i="2"/>
  <c r="V189" i="2"/>
  <c r="W189" i="2" s="1"/>
  <c r="X189" i="2" s="1"/>
  <c r="Y189" i="2" s="1"/>
  <c r="AI189" i="2"/>
  <c r="V182" i="2"/>
  <c r="W182" i="2" s="1"/>
  <c r="X182" i="2" s="1"/>
  <c r="Y182" i="2" s="1"/>
  <c r="AI182" i="2"/>
  <c r="V159" i="2"/>
  <c r="W159" i="2" s="1"/>
  <c r="X159" i="2" s="1"/>
  <c r="Y159" i="2" s="1"/>
  <c r="AI159" i="2"/>
  <c r="V185" i="2"/>
  <c r="W185" i="2" s="1"/>
  <c r="X185" i="2" s="1"/>
  <c r="Y185" i="2" s="1"/>
  <c r="AI185" i="2"/>
  <c r="V207" i="2"/>
  <c r="W207" i="2" s="1"/>
  <c r="X207" i="2" s="1"/>
  <c r="Y207" i="2" s="1"/>
  <c r="AI207" i="2"/>
  <c r="V101" i="2"/>
  <c r="W101" i="2" s="1"/>
  <c r="X101" i="2" s="1"/>
  <c r="Y101" i="2" s="1"/>
  <c r="AI101" i="2"/>
  <c r="V121" i="2"/>
  <c r="W121" i="2" s="1"/>
  <c r="X121" i="2" s="1"/>
  <c r="Y121" i="2" s="1"/>
  <c r="AI121" i="2"/>
  <c r="V48" i="2"/>
  <c r="W48" i="2" s="1"/>
  <c r="X48" i="2" s="1"/>
  <c r="Y48" i="2" s="1"/>
  <c r="AI48" i="2"/>
  <c r="V149" i="2"/>
  <c r="W149" i="2" s="1"/>
  <c r="X149" i="2" s="1"/>
  <c r="Y149" i="2" s="1"/>
  <c r="AI149" i="2"/>
  <c r="V216" i="2"/>
  <c r="W216" i="2" s="1"/>
  <c r="X216" i="2" s="1"/>
  <c r="Y216" i="2" s="1"/>
  <c r="AI216" i="2"/>
  <c r="V85" i="2"/>
  <c r="W85" i="2" s="1"/>
  <c r="X85" i="2" s="1"/>
  <c r="Y85" i="2" s="1"/>
  <c r="AI85" i="2"/>
  <c r="V125" i="2"/>
  <c r="W125" i="2" s="1"/>
  <c r="X125" i="2" s="1"/>
  <c r="Y125" i="2" s="1"/>
  <c r="AI125" i="2"/>
  <c r="V77" i="2"/>
  <c r="W77" i="2" s="1"/>
  <c r="X77" i="2" s="1"/>
  <c r="Y77" i="2" s="1"/>
  <c r="AI77" i="2"/>
  <c r="V181" i="2"/>
  <c r="W181" i="2" s="1"/>
  <c r="X181" i="2" s="1"/>
  <c r="Y181" i="2" s="1"/>
  <c r="AI181" i="2"/>
  <c r="V37" i="2"/>
  <c r="W37" i="2" s="1"/>
  <c r="X37" i="2" s="1"/>
  <c r="Y37" i="2" s="1"/>
  <c r="AI37" i="2"/>
  <c r="V57" i="2"/>
  <c r="W57" i="2" s="1"/>
  <c r="X57" i="2" s="1"/>
  <c r="Y57" i="2" s="1"/>
  <c r="AI57" i="2"/>
  <c r="V108" i="2"/>
  <c r="W108" i="2" s="1"/>
  <c r="X108" i="2" s="1"/>
  <c r="Y108" i="2" s="1"/>
  <c r="AI108" i="2"/>
  <c r="V138" i="2"/>
  <c r="W138" i="2" s="1"/>
  <c r="X138" i="2" s="1"/>
  <c r="Y138" i="2" s="1"/>
  <c r="AI138" i="2"/>
  <c r="V112" i="2"/>
  <c r="W112" i="2" s="1"/>
  <c r="X112" i="2" s="1"/>
  <c r="Y112" i="2" s="1"/>
  <c r="AI112" i="2"/>
  <c r="V65" i="2"/>
  <c r="W65" i="2" s="1"/>
  <c r="X65" i="2" s="1"/>
  <c r="Y65" i="2" s="1"/>
  <c r="AI65" i="2"/>
  <c r="V33" i="2"/>
  <c r="W33" i="2" s="1"/>
  <c r="X33" i="2" s="1"/>
  <c r="Y33" i="2" s="1"/>
  <c r="AI33" i="2"/>
  <c r="V168" i="2"/>
  <c r="W168" i="2" s="1"/>
  <c r="X168" i="2" s="1"/>
  <c r="Y168" i="2" s="1"/>
  <c r="AI168" i="2"/>
  <c r="V196" i="2"/>
  <c r="W196" i="2" s="1"/>
  <c r="X196" i="2" s="1"/>
  <c r="Y196" i="2" s="1"/>
  <c r="AI196" i="2"/>
  <c r="V66" i="2"/>
  <c r="W66" i="2" s="1"/>
  <c r="X66" i="2" s="1"/>
  <c r="Y66" i="2" s="1"/>
  <c r="AI66" i="2"/>
  <c r="V78" i="2"/>
  <c r="W78" i="2" s="1"/>
  <c r="X78" i="2" s="1"/>
  <c r="Y78" i="2" s="1"/>
  <c r="AI78" i="2"/>
  <c r="V110" i="2"/>
  <c r="W110" i="2" s="1"/>
  <c r="X110" i="2" s="1"/>
  <c r="Y110" i="2" s="1"/>
  <c r="AI110" i="2"/>
  <c r="V38" i="2"/>
  <c r="W38" i="2" s="1"/>
  <c r="X38" i="2" s="1"/>
  <c r="Y38" i="2" s="1"/>
  <c r="AI38" i="2"/>
  <c r="V59" i="2"/>
  <c r="W59" i="2" s="1"/>
  <c r="X59" i="2" s="1"/>
  <c r="Y59" i="2" s="1"/>
  <c r="AI59" i="2"/>
  <c r="V54" i="2"/>
  <c r="W54" i="2" s="1"/>
  <c r="X54" i="2" s="1"/>
  <c r="Y54" i="2" s="1"/>
  <c r="AI54" i="2"/>
  <c r="V56" i="2"/>
  <c r="W56" i="2" s="1"/>
  <c r="AI56" i="2"/>
  <c r="V94" i="2"/>
  <c r="W94" i="2" s="1"/>
  <c r="X94" i="2" s="1"/>
  <c r="Y94" i="2" s="1"/>
  <c r="AI94" i="2"/>
  <c r="V105" i="2"/>
  <c r="W105" i="2" s="1"/>
  <c r="X105" i="2" s="1"/>
  <c r="Y105" i="2" s="1"/>
  <c r="AI105" i="2"/>
  <c r="V32" i="2"/>
  <c r="W32" i="2" s="1"/>
  <c r="AI32" i="2"/>
  <c r="V219" i="2"/>
  <c r="W219" i="2" s="1"/>
  <c r="X219" i="2" s="1"/>
  <c r="Y219" i="2" s="1"/>
  <c r="AI219" i="2"/>
  <c r="V200" i="2"/>
  <c r="W200" i="2" s="1"/>
  <c r="X200" i="2" s="1"/>
  <c r="Y200" i="2" s="1"/>
  <c r="AI200" i="2"/>
  <c r="V97" i="2"/>
  <c r="W97" i="2" s="1"/>
  <c r="X97" i="2" s="1"/>
  <c r="Y97" i="2" s="1"/>
  <c r="AI97" i="2"/>
  <c r="V177" i="2"/>
  <c r="W177" i="2" s="1"/>
  <c r="X177" i="2" s="1"/>
  <c r="Y177" i="2" s="1"/>
  <c r="AI177" i="2"/>
  <c r="V204" i="2"/>
  <c r="W204" i="2" s="1"/>
  <c r="X204" i="2" s="1"/>
  <c r="Y204" i="2" s="1"/>
  <c r="AI204" i="2"/>
  <c r="V214" i="2"/>
  <c r="W214" i="2" s="1"/>
  <c r="X214" i="2" s="1"/>
  <c r="Y214" i="2" s="1"/>
  <c r="AI214" i="2"/>
  <c r="V156" i="2"/>
  <c r="W156" i="2" s="1"/>
  <c r="X156" i="2" s="1"/>
  <c r="Y156" i="2" s="1"/>
  <c r="AI156" i="2"/>
  <c r="V64" i="2"/>
  <c r="W64" i="2" s="1"/>
  <c r="X64" i="2" s="1"/>
  <c r="Y64" i="2" s="1"/>
  <c r="AI64" i="2"/>
  <c r="V201" i="2"/>
  <c r="W201" i="2" s="1"/>
  <c r="X201" i="2" s="1"/>
  <c r="Y201" i="2" s="1"/>
  <c r="AI201" i="2"/>
  <c r="V162" i="2"/>
  <c r="W162" i="2" s="1"/>
  <c r="X162" i="2" s="1"/>
  <c r="Y162" i="2" s="1"/>
  <c r="AI162" i="2"/>
  <c r="V129" i="2"/>
  <c r="W129" i="2" s="1"/>
  <c r="X129" i="2" s="1"/>
  <c r="Y129" i="2" s="1"/>
  <c r="AI129" i="2"/>
  <c r="V123" i="2"/>
  <c r="W123" i="2" s="1"/>
  <c r="X123" i="2" s="1"/>
  <c r="Y123" i="2" s="1"/>
  <c r="AI123" i="2"/>
  <c r="V75" i="2"/>
  <c r="W75" i="2" s="1"/>
  <c r="X75" i="2" s="1"/>
  <c r="Y75" i="2" s="1"/>
  <c r="AI75" i="2"/>
  <c r="V90" i="2"/>
  <c r="W90" i="2" s="1"/>
  <c r="X90" i="2" s="1"/>
  <c r="Y90" i="2" s="1"/>
  <c r="AI90" i="2"/>
  <c r="V226" i="2"/>
  <c r="W226" i="2" s="1"/>
  <c r="X226" i="2" s="1"/>
  <c r="Y226" i="2" s="1"/>
  <c r="AI226" i="2"/>
  <c r="V53" i="2"/>
  <c r="W53" i="2" s="1"/>
  <c r="X53" i="2" s="1"/>
  <c r="Y53" i="2" s="1"/>
  <c r="AI53" i="2"/>
  <c r="V173" i="2"/>
  <c r="W173" i="2" s="1"/>
  <c r="X173" i="2" s="1"/>
  <c r="Y173" i="2" s="1"/>
  <c r="AI173" i="2"/>
  <c r="V36" i="2"/>
  <c r="W36" i="2" s="1"/>
  <c r="X36" i="2" s="1"/>
  <c r="Y36" i="2" s="1"/>
  <c r="AI36" i="2"/>
  <c r="V199" i="2"/>
  <c r="W199" i="2" s="1"/>
  <c r="X199" i="2" s="1"/>
  <c r="Y199" i="2" s="1"/>
  <c r="AI199" i="2"/>
  <c r="V175" i="2"/>
  <c r="W175" i="2" s="1"/>
  <c r="X175" i="2" s="1"/>
  <c r="Y175" i="2" s="1"/>
  <c r="AI175" i="2"/>
  <c r="V45" i="2"/>
  <c r="W45" i="2" s="1"/>
  <c r="X45" i="2" s="1"/>
  <c r="Y45" i="2" s="1"/>
  <c r="AI45" i="2"/>
  <c r="V215" i="2"/>
  <c r="W215" i="2" s="1"/>
  <c r="X215" i="2" s="1"/>
  <c r="Y215" i="2" s="1"/>
  <c r="AI215" i="2"/>
  <c r="V187" i="2"/>
  <c r="W187" i="2" s="1"/>
  <c r="X187" i="2" s="1"/>
  <c r="Y187" i="2" s="1"/>
  <c r="AI187" i="2"/>
  <c r="V184" i="2"/>
  <c r="W184" i="2" s="1"/>
  <c r="X184" i="2" s="1"/>
  <c r="Y184" i="2" s="1"/>
  <c r="AI184" i="2"/>
  <c r="V170" i="2"/>
  <c r="W170" i="2" s="1"/>
  <c r="X170" i="2" s="1"/>
  <c r="Y170" i="2" s="1"/>
  <c r="AI170" i="2"/>
  <c r="V124" i="2"/>
  <c r="W124" i="2" s="1"/>
  <c r="X124" i="2" s="1"/>
  <c r="Y124" i="2" s="1"/>
  <c r="AI124" i="2"/>
  <c r="V186" i="2"/>
  <c r="W186" i="2" s="1"/>
  <c r="X186" i="2" s="1"/>
  <c r="Y186" i="2" s="1"/>
  <c r="AI186" i="2"/>
  <c r="V88" i="2"/>
  <c r="W88" i="2" s="1"/>
  <c r="X88" i="2" s="1"/>
  <c r="Y88" i="2" s="1"/>
  <c r="AI88" i="2"/>
  <c r="V106" i="2"/>
  <c r="W106" i="2" s="1"/>
  <c r="X106" i="2" s="1"/>
  <c r="Y106" i="2" s="1"/>
  <c r="AI106" i="2"/>
  <c r="V142" i="2"/>
  <c r="W142" i="2" s="1"/>
  <c r="X142" i="2" s="1"/>
  <c r="Y142" i="2" s="1"/>
  <c r="AI142" i="2"/>
  <c r="V155" i="2"/>
  <c r="W155" i="2" s="1"/>
  <c r="X155" i="2" s="1"/>
  <c r="Y155" i="2" s="1"/>
  <c r="AI155" i="2"/>
  <c r="V132" i="2"/>
  <c r="W132" i="2" s="1"/>
  <c r="X132" i="2" s="1"/>
  <c r="Y132" i="2" s="1"/>
  <c r="AI132" i="2"/>
  <c r="V102" i="2"/>
  <c r="W102" i="2" s="1"/>
  <c r="X102" i="2" s="1"/>
  <c r="Y102" i="2" s="1"/>
  <c r="AI102" i="2"/>
  <c r="V51" i="2"/>
  <c r="AI51" i="2"/>
  <c r="V224" i="2"/>
  <c r="W224" i="2" s="1"/>
  <c r="X224" i="2" s="1"/>
  <c r="Y224" i="2" s="1"/>
  <c r="AI224" i="2"/>
  <c r="V217" i="2"/>
  <c r="W217" i="2" s="1"/>
  <c r="X217" i="2" s="1"/>
  <c r="Y217" i="2" s="1"/>
  <c r="AI217" i="2"/>
  <c r="V212" i="2"/>
  <c r="W212" i="2" s="1"/>
  <c r="X212" i="2" s="1"/>
  <c r="Y212" i="2" s="1"/>
  <c r="AI212" i="2"/>
  <c r="V122" i="2"/>
  <c r="W122" i="2" s="1"/>
  <c r="X122" i="2" s="1"/>
  <c r="Y122" i="2" s="1"/>
  <c r="AI122" i="2"/>
  <c r="V35" i="2"/>
  <c r="AI35" i="2"/>
  <c r="V190" i="2"/>
  <c r="W190" i="2" s="1"/>
  <c r="X190" i="2" s="1"/>
  <c r="Y190" i="2" s="1"/>
  <c r="AI190" i="2"/>
  <c r="V70" i="2"/>
  <c r="W70" i="2" s="1"/>
  <c r="X70" i="2" s="1"/>
  <c r="Y70" i="2" s="1"/>
  <c r="AI70" i="2"/>
  <c r="V127" i="2"/>
  <c r="W127" i="2" s="1"/>
  <c r="X127" i="2" s="1"/>
  <c r="Y127" i="2" s="1"/>
  <c r="AI127" i="2"/>
  <c r="V179" i="2"/>
  <c r="W179" i="2" s="1"/>
  <c r="X179" i="2" s="1"/>
  <c r="Y179" i="2" s="1"/>
  <c r="AI179" i="2"/>
  <c r="V213" i="2"/>
  <c r="W213" i="2" s="1"/>
  <c r="X213" i="2" s="1"/>
  <c r="Y213" i="2" s="1"/>
  <c r="AI213" i="2"/>
  <c r="V61" i="2"/>
  <c r="W61" i="2" s="1"/>
  <c r="X61" i="2" s="1"/>
  <c r="Y61" i="2" s="1"/>
  <c r="AI61" i="2"/>
  <c r="V117" i="2"/>
  <c r="W117" i="2" s="1"/>
  <c r="X117" i="2" s="1"/>
  <c r="Y117" i="2" s="1"/>
  <c r="AI117" i="2"/>
  <c r="V39" i="2"/>
  <c r="W39" i="2" s="1"/>
  <c r="AI39" i="2"/>
  <c r="V146" i="2"/>
  <c r="W146" i="2" s="1"/>
  <c r="X146" i="2" s="1"/>
  <c r="Y146" i="2" s="1"/>
  <c r="AI146" i="2"/>
  <c r="V80" i="2"/>
  <c r="W80" i="2" s="1"/>
  <c r="X80" i="2" s="1"/>
  <c r="Y80" i="2" s="1"/>
  <c r="AI80" i="2"/>
  <c r="V209" i="2"/>
  <c r="W209" i="2" s="1"/>
  <c r="X209" i="2" s="1"/>
  <c r="Y209" i="2" s="1"/>
  <c r="AI209" i="2"/>
  <c r="V210" i="2"/>
  <c r="W210" i="2" s="1"/>
  <c r="X210" i="2" s="1"/>
  <c r="Y210" i="2" s="1"/>
  <c r="AI210" i="2"/>
  <c r="V158" i="2"/>
  <c r="W158" i="2" s="1"/>
  <c r="X158" i="2" s="1"/>
  <c r="Y158" i="2" s="1"/>
  <c r="AI158" i="2"/>
  <c r="V205" i="2"/>
  <c r="W205" i="2" s="1"/>
  <c r="X205" i="2" s="1"/>
  <c r="Y205" i="2" s="1"/>
  <c r="AI205" i="2"/>
  <c r="V225" i="2"/>
  <c r="W225" i="2" s="1"/>
  <c r="X225" i="2" s="1"/>
  <c r="Y225" i="2" s="1"/>
  <c r="AI225" i="2"/>
  <c r="V194" i="2"/>
  <c r="W194" i="2" s="1"/>
  <c r="X194" i="2" s="1"/>
  <c r="Y194" i="2" s="1"/>
  <c r="AI194" i="2"/>
  <c r="V197" i="2"/>
  <c r="W197" i="2" s="1"/>
  <c r="X197" i="2" s="1"/>
  <c r="Y197" i="2" s="1"/>
  <c r="AI197" i="2"/>
  <c r="V118" i="2"/>
  <c r="W118" i="2" s="1"/>
  <c r="X118" i="2" s="1"/>
  <c r="Y118" i="2" s="1"/>
  <c r="AI118" i="2"/>
  <c r="V134" i="2"/>
  <c r="W134" i="2" s="1"/>
  <c r="X134" i="2" s="1"/>
  <c r="Y134" i="2" s="1"/>
  <c r="AI134" i="2"/>
  <c r="V165" i="2"/>
  <c r="W165" i="2" s="1"/>
  <c r="X165" i="2" s="1"/>
  <c r="Y165" i="2" s="1"/>
  <c r="AI165" i="2"/>
  <c r="V160" i="2"/>
  <c r="W160" i="2" s="1"/>
  <c r="X160" i="2" s="1"/>
  <c r="Y160" i="2" s="1"/>
  <c r="AI160" i="2"/>
  <c r="V115" i="2"/>
  <c r="W115" i="2" s="1"/>
  <c r="X115" i="2" s="1"/>
  <c r="Y115" i="2" s="1"/>
  <c r="AI115" i="2"/>
  <c r="V143" i="2"/>
  <c r="W143" i="2" s="1"/>
  <c r="X143" i="2" s="1"/>
  <c r="Y143" i="2" s="1"/>
  <c r="AI143" i="2"/>
  <c r="V141" i="2"/>
  <c r="W141" i="2" s="1"/>
  <c r="X141" i="2" s="1"/>
  <c r="Y141" i="2" s="1"/>
  <c r="AI141" i="2"/>
  <c r="V76" i="2"/>
  <c r="AI76" i="2"/>
  <c r="V183" i="2"/>
  <c r="W183" i="2" s="1"/>
  <c r="X183" i="2" s="1"/>
  <c r="Y183" i="2" s="1"/>
  <c r="AI183" i="2"/>
  <c r="V47" i="2"/>
  <c r="W47" i="2" s="1"/>
  <c r="X47" i="2" s="1"/>
  <c r="Y47" i="2" s="1"/>
  <c r="AI47" i="2"/>
  <c r="V144" i="2"/>
  <c r="W144" i="2" s="1"/>
  <c r="X144" i="2" s="1"/>
  <c r="Y144" i="2" s="1"/>
  <c r="AI144" i="2"/>
  <c r="V166" i="2"/>
  <c r="W166" i="2" s="1"/>
  <c r="X166" i="2" s="1"/>
  <c r="Y166" i="2" s="1"/>
  <c r="AI166" i="2"/>
  <c r="V58" i="2"/>
  <c r="W58" i="2" s="1"/>
  <c r="X58" i="2" s="1"/>
  <c r="Y58" i="2" s="1"/>
  <c r="AI58" i="2"/>
  <c r="V148" i="2"/>
  <c r="W148" i="2" s="1"/>
  <c r="X148" i="2" s="1"/>
  <c r="Y148" i="2" s="1"/>
  <c r="AI148" i="2"/>
  <c r="V50" i="2"/>
  <c r="W50" i="2" s="1"/>
  <c r="X50" i="2" s="1"/>
  <c r="Y50" i="2" s="1"/>
  <c r="AI50" i="2"/>
  <c r="V86" i="2"/>
  <c r="W86" i="2" s="1"/>
  <c r="X86" i="2" s="1"/>
  <c r="Y86" i="2" s="1"/>
  <c r="AI86" i="2"/>
  <c r="V133" i="2"/>
  <c r="W133" i="2" s="1"/>
  <c r="X133" i="2" s="1"/>
  <c r="Y133" i="2" s="1"/>
  <c r="AI133" i="2"/>
  <c r="V139" i="2"/>
  <c r="W139" i="2" s="1"/>
  <c r="X139" i="2" s="1"/>
  <c r="Y139" i="2" s="1"/>
  <c r="AI139" i="2"/>
  <c r="V126" i="2"/>
  <c r="W126" i="2" s="1"/>
  <c r="X126" i="2" s="1"/>
  <c r="Y126" i="2" s="1"/>
  <c r="AI126" i="2"/>
  <c r="V145" i="2"/>
  <c r="W145" i="2" s="1"/>
  <c r="X145" i="2" s="1"/>
  <c r="Y145" i="2" s="1"/>
  <c r="AI145" i="2"/>
  <c r="V130" i="2"/>
  <c r="W130" i="2" s="1"/>
  <c r="X130" i="2" s="1"/>
  <c r="Y130" i="2" s="1"/>
  <c r="AI130" i="2"/>
  <c r="V208" i="2"/>
  <c r="W208" i="2" s="1"/>
  <c r="X208" i="2" s="1"/>
  <c r="Y208" i="2" s="1"/>
  <c r="AI208" i="2"/>
  <c r="V174" i="2"/>
  <c r="W174" i="2" s="1"/>
  <c r="X174" i="2" s="1"/>
  <c r="Y174" i="2" s="1"/>
  <c r="AI174" i="2"/>
  <c r="V41" i="2"/>
  <c r="AI41" i="2"/>
  <c r="V83" i="2"/>
  <c r="W83" i="2" s="1"/>
  <c r="X83" i="2" s="1"/>
  <c r="Y83" i="2" s="1"/>
  <c r="AI83" i="2"/>
  <c r="V128" i="2"/>
  <c r="W128" i="2" s="1"/>
  <c r="X128" i="2" s="1"/>
  <c r="Y128" i="2" s="1"/>
  <c r="AI128" i="2"/>
  <c r="V206" i="2"/>
  <c r="W206" i="2" s="1"/>
  <c r="X206" i="2" s="1"/>
  <c r="Y206" i="2" s="1"/>
  <c r="AI206" i="2"/>
  <c r="V178" i="2"/>
  <c r="W178" i="2" s="1"/>
  <c r="X178" i="2" s="1"/>
  <c r="Y178" i="2" s="1"/>
  <c r="AI178" i="2"/>
  <c r="V99" i="2"/>
  <c r="W99" i="2" s="1"/>
  <c r="X99" i="2" s="1"/>
  <c r="Y99" i="2" s="1"/>
  <c r="AI99" i="2"/>
  <c r="V203" i="2"/>
  <c r="W203" i="2" s="1"/>
  <c r="X203" i="2" s="1"/>
  <c r="Y203" i="2" s="1"/>
  <c r="AI203" i="2"/>
  <c r="V71" i="2"/>
  <c r="W71" i="2" s="1"/>
  <c r="X71" i="2" s="1"/>
  <c r="Y71" i="2" s="1"/>
  <c r="AI71" i="2"/>
  <c r="J35" i="3"/>
  <c r="K35" i="3"/>
  <c r="L35" i="3" s="1"/>
  <c r="K34" i="3"/>
  <c r="L34" i="3" s="1"/>
  <c r="AE166" i="2"/>
  <c r="R45" i="3" a="1"/>
  <c r="R45" i="3" s="1"/>
  <c r="U45" i="3" s="1"/>
  <c r="AE133" i="2"/>
  <c r="AE148" i="2"/>
  <c r="I41" i="3"/>
  <c r="J41" i="3" s="1"/>
  <c r="U20" i="3"/>
  <c r="AE167" i="2"/>
  <c r="AE50" i="2"/>
  <c r="AE86" i="2"/>
  <c r="AE45" i="2"/>
  <c r="AE48" i="2"/>
  <c r="AE162" i="2"/>
  <c r="AE134" i="2"/>
  <c r="AE144" i="2"/>
  <c r="AE53" i="2"/>
  <c r="AK32" i="2"/>
  <c r="AL32" i="2" s="1"/>
  <c r="AE160" i="2"/>
  <c r="AE47" i="2"/>
  <c r="AE90" i="2"/>
  <c r="AE111" i="2"/>
  <c r="AE94" i="2"/>
  <c r="AE117" i="2"/>
  <c r="AE76" i="2"/>
  <c r="AE123" i="2"/>
  <c r="AE143" i="2"/>
  <c r="AE197" i="2"/>
  <c r="AE171" i="2"/>
  <c r="AE59" i="2"/>
  <c r="AE173" i="2"/>
  <c r="AE141" i="2"/>
  <c r="AE66" i="2"/>
  <c r="AE115" i="2"/>
  <c r="AE91" i="2"/>
  <c r="AE211" i="2"/>
  <c r="AE165" i="2"/>
  <c r="AE129" i="2"/>
  <c r="AE33" i="2"/>
  <c r="AE209" i="2"/>
  <c r="AE194" i="2"/>
  <c r="AE200" i="2"/>
  <c r="AE204" i="2"/>
  <c r="AE156" i="2"/>
  <c r="AE201" i="2"/>
  <c r="AE36" i="2"/>
  <c r="AE80" i="2"/>
  <c r="AE68" i="2"/>
  <c r="AE159" i="2"/>
  <c r="AE210" i="2"/>
  <c r="AE181" i="2"/>
  <c r="AE105" i="2"/>
  <c r="AE75" i="2"/>
  <c r="AE205" i="2"/>
  <c r="AE37" i="2"/>
  <c r="AE77" i="2"/>
  <c r="AE121" i="2"/>
  <c r="AE87" i="2"/>
  <c r="AE126" i="2"/>
  <c r="AE101" i="2"/>
  <c r="AE39" i="2"/>
  <c r="AE216" i="2"/>
  <c r="AE64" i="2"/>
  <c r="AE152" i="2"/>
  <c r="AE38" i="2"/>
  <c r="AE182" i="2"/>
  <c r="AE118" i="2"/>
  <c r="AE32" i="2"/>
  <c r="AE226" i="2"/>
  <c r="AE186" i="2"/>
  <c r="AE99" i="2"/>
  <c r="AE138" i="2"/>
  <c r="AE212" i="2"/>
  <c r="AE41" i="2"/>
  <c r="AE170" i="2"/>
  <c r="AE65" i="2"/>
  <c r="AE161" i="2"/>
  <c r="AE102" i="2"/>
  <c r="AE51" i="2"/>
  <c r="AE112" i="2"/>
  <c r="AE142" i="2"/>
  <c r="AE113" i="2"/>
  <c r="AE153" i="2"/>
  <c r="AE49" i="2"/>
  <c r="AE137" i="2"/>
  <c r="AE108" i="2"/>
  <c r="AE71" i="2"/>
  <c r="AE40" i="2"/>
  <c r="AE206" i="2"/>
  <c r="AE88" i="2"/>
  <c r="AE168" i="2"/>
  <c r="AE175" i="2"/>
  <c r="AE55" i="2"/>
  <c r="AE79" i="2"/>
  <c r="AE196" i="2"/>
  <c r="AE178" i="2"/>
  <c r="AE128" i="2"/>
  <c r="AE83" i="2"/>
  <c r="AE203" i="2"/>
  <c r="AE145" i="2"/>
  <c r="AE104" i="2"/>
  <c r="AE100" i="2"/>
  <c r="AE217" i="2"/>
  <c r="AE70" i="2"/>
  <c r="AE190" i="2"/>
  <c r="AE218" i="2"/>
  <c r="AE169" i="2"/>
  <c r="AE122" i="2"/>
  <c r="AE119" i="2"/>
  <c r="AE132" i="2"/>
  <c r="AE177" i="2"/>
  <c r="AE73" i="2"/>
  <c r="AE214" i="2"/>
  <c r="AE34" i="2"/>
  <c r="AE69" i="2"/>
  <c r="AE62" i="2"/>
  <c r="AE202" i="2"/>
  <c r="AE98" i="2"/>
  <c r="AE110" i="2"/>
  <c r="AJ82" i="2"/>
  <c r="AJ62" i="2"/>
  <c r="AE221" i="2"/>
  <c r="AJ99" i="2"/>
  <c r="AJ32" i="2"/>
  <c r="AJ190" i="2"/>
  <c r="AJ49" i="2"/>
  <c r="AE179" i="2"/>
  <c r="AE56" i="2"/>
  <c r="AE139" i="2"/>
  <c r="AE184" i="2"/>
  <c r="AJ59" i="2"/>
  <c r="AJ115" i="2"/>
  <c r="AJ69" i="2"/>
  <c r="AK58" i="2"/>
  <c r="AL58" i="2" s="1"/>
  <c r="AR58" i="2" s="1"/>
  <c r="AE229" i="2"/>
  <c r="AE222" i="2"/>
  <c r="AK49" i="2"/>
  <c r="AL49" i="2" s="1"/>
  <c r="AR49" i="2" s="1"/>
  <c r="AE85" i="2"/>
  <c r="AE164" i="2"/>
  <c r="AE146" i="2"/>
  <c r="AJ43" i="2"/>
  <c r="AJ156" i="2"/>
  <c r="AJ146" i="2"/>
  <c r="AK41" i="2"/>
  <c r="AL41" i="2" s="1"/>
  <c r="AK69" i="2"/>
  <c r="AL69" i="2" s="1"/>
  <c r="AR69" i="2" s="1"/>
  <c r="AE183" i="2"/>
  <c r="AE109" i="2"/>
  <c r="AE67" i="2"/>
  <c r="AK62" i="2"/>
  <c r="AL62" i="2" s="1"/>
  <c r="AR62" i="2" s="1"/>
  <c r="AK39" i="2"/>
  <c r="AL39" i="2" s="1"/>
  <c r="AR39" i="2" s="1"/>
  <c r="AE224" i="2"/>
  <c r="AE97" i="2"/>
  <c r="AE154" i="2"/>
  <c r="AE72" i="2"/>
  <c r="AJ56" i="2"/>
  <c r="AE185" i="2"/>
  <c r="AE188" i="2"/>
  <c r="AE207" i="2"/>
  <c r="AE107" i="2"/>
  <c r="AE140" i="2"/>
  <c r="AE195" i="2"/>
  <c r="AE193" i="2"/>
  <c r="AE225" i="2"/>
  <c r="AE44" i="2"/>
  <c r="AE130" i="2"/>
  <c r="AJ163" i="2"/>
  <c r="AE42" i="2"/>
  <c r="AJ218" i="2"/>
  <c r="AE46" i="2"/>
  <c r="AE149" i="2"/>
  <c r="AE93" i="2"/>
  <c r="AE150" i="2"/>
  <c r="AE220" i="2"/>
  <c r="AE147" i="2"/>
  <c r="AE124" i="2"/>
  <c r="AE116" i="2"/>
  <c r="AE103" i="2"/>
  <c r="AE131" i="2"/>
  <c r="AE213" i="2"/>
  <c r="AE136" i="2"/>
  <c r="AE219" i="2"/>
  <c r="AE157" i="2"/>
  <c r="AE135" i="2"/>
  <c r="AJ39" i="2"/>
  <c r="AE180" i="2"/>
  <c r="AE208" i="2"/>
  <c r="AE189" i="2"/>
  <c r="AE228" i="2"/>
  <c r="AJ50" i="2"/>
  <c r="AE172" i="2"/>
  <c r="AJ194" i="2"/>
  <c r="AE223" i="2"/>
  <c r="AE114" i="2"/>
  <c r="AE176" i="2"/>
  <c r="AE92" i="2"/>
  <c r="AE82" i="2"/>
  <c r="AE127" i="2"/>
  <c r="AE95" i="2"/>
  <c r="AK56" i="2"/>
  <c r="AL56" i="2" s="1"/>
  <c r="AR56" i="2" s="1"/>
  <c r="AE43" i="2"/>
  <c r="AE61" i="2"/>
  <c r="AE60" i="2"/>
  <c r="AE78" i="2"/>
  <c r="AE174" i="2"/>
  <c r="AE81" i="2"/>
  <c r="AE158" i="2"/>
  <c r="AE106" i="2"/>
  <c r="AE120" i="2"/>
  <c r="AE151" i="2"/>
  <c r="AE125" i="2"/>
  <c r="AE89" i="2"/>
  <c r="AE52" i="2"/>
  <c r="AE163" i="2"/>
  <c r="AJ174" i="2"/>
  <c r="AK43" i="2"/>
  <c r="AL43" i="2" s="1"/>
  <c r="AR43" i="2" s="1"/>
  <c r="AE155" i="2"/>
  <c r="AE96" i="2"/>
  <c r="AE187" i="2"/>
  <c r="AE198" i="2"/>
  <c r="AB24" i="2"/>
  <c r="AE20" i="2" s="1"/>
  <c r="H39" i="3"/>
  <c r="G41" i="3"/>
  <c r="H41" i="3" s="1"/>
  <c r="AD218" i="2"/>
  <c r="AD171" i="2"/>
  <c r="AD184" i="2"/>
  <c r="AD88" i="2"/>
  <c r="AD47" i="2"/>
  <c r="AD50" i="2"/>
  <c r="AD92" i="2"/>
  <c r="AD135" i="2"/>
  <c r="AD143" i="2"/>
  <c r="AD65" i="2"/>
  <c r="AD166" i="2"/>
  <c r="AD37" i="2"/>
  <c r="AD62" i="2"/>
  <c r="AD84" i="2"/>
  <c r="AE84" i="2"/>
  <c r="AD205" i="2"/>
  <c r="AD35" i="2"/>
  <c r="AE35" i="2"/>
  <c r="AD227" i="2"/>
  <c r="AE227" i="2"/>
  <c r="AD58" i="2"/>
  <c r="AE58" i="2"/>
  <c r="AD32" i="2"/>
  <c r="AD192" i="2"/>
  <c r="AE192" i="2"/>
  <c r="AD74" i="2"/>
  <c r="AE74" i="2"/>
  <c r="AD215" i="2"/>
  <c r="AE215" i="2"/>
  <c r="AD54" i="2"/>
  <c r="AE54" i="2"/>
  <c r="AD199" i="2"/>
  <c r="AE199" i="2"/>
  <c r="AD57" i="2"/>
  <c r="AE57" i="2"/>
  <c r="AD191" i="2"/>
  <c r="AE191" i="2"/>
  <c r="AD203" i="2"/>
  <c r="AD144" i="2"/>
  <c r="AD134" i="2"/>
  <c r="AD138" i="2"/>
  <c r="AD83" i="2"/>
  <c r="AD170" i="2"/>
  <c r="AD156" i="2"/>
  <c r="AD45" i="2"/>
  <c r="AD190" i="2"/>
  <c r="AD197" i="2"/>
  <c r="AD131" i="2"/>
  <c r="AD56" i="2"/>
  <c r="AD100" i="2"/>
  <c r="AD182" i="2"/>
  <c r="AD99" i="2"/>
  <c r="AD91" i="2"/>
  <c r="AD165" i="2"/>
  <c r="AD64" i="2"/>
  <c r="AD34" i="2"/>
  <c r="AD159" i="2"/>
  <c r="AD133" i="2"/>
  <c r="AD204" i="2"/>
  <c r="AD38" i="2"/>
  <c r="AD185" i="2"/>
  <c r="AD102" i="2"/>
  <c r="AD51" i="2"/>
  <c r="AD73" i="2"/>
  <c r="AD89" i="2"/>
  <c r="AD217" i="2"/>
  <c r="AD103" i="2"/>
  <c r="AD141" i="2"/>
  <c r="AD55" i="2"/>
  <c r="AD220" i="2"/>
  <c r="AD188" i="2"/>
  <c r="AD201" i="2"/>
  <c r="AD85" i="2"/>
  <c r="AD196" i="2"/>
  <c r="AD212" i="2"/>
  <c r="AD40" i="2"/>
  <c r="AD66" i="2"/>
  <c r="AD41" i="2"/>
  <c r="AD132" i="2"/>
  <c r="AD167" i="2"/>
  <c r="AD164" i="2"/>
  <c r="AD152" i="2"/>
  <c r="AD207" i="2"/>
  <c r="AD136" i="2"/>
  <c r="AD200" i="2"/>
  <c r="AD90" i="2"/>
  <c r="AD104" i="2"/>
  <c r="AD108" i="2"/>
  <c r="AD206" i="2"/>
  <c r="AD94" i="2"/>
  <c r="AD145" i="2"/>
  <c r="AD128" i="2"/>
  <c r="AD48" i="2"/>
  <c r="AD129" i="2"/>
  <c r="AD101" i="2"/>
  <c r="AD219" i="2"/>
  <c r="AD117" i="2"/>
  <c r="AD221" i="2"/>
  <c r="AD210" i="2"/>
  <c r="AD52" i="2"/>
  <c r="AD216" i="2"/>
  <c r="AD78" i="2"/>
  <c r="AD214" i="2"/>
  <c r="AD125" i="2"/>
  <c r="AD112" i="2"/>
  <c r="AD193" i="2"/>
  <c r="AD87" i="2"/>
  <c r="AD194" i="2"/>
  <c r="AD150" i="2"/>
  <c r="AD71" i="2"/>
  <c r="AD68" i="2"/>
  <c r="AD110" i="2"/>
  <c r="AD61" i="2"/>
  <c r="AD105" i="2"/>
  <c r="AD209" i="2"/>
  <c r="AD53" i="2"/>
  <c r="AD70" i="2"/>
  <c r="AD158" i="2"/>
  <c r="AD95" i="2"/>
  <c r="AD82" i="2"/>
  <c r="AD80" i="2"/>
  <c r="AD186" i="2"/>
  <c r="AD113" i="2"/>
  <c r="AD181" i="2"/>
  <c r="AD93" i="2"/>
  <c r="AD148" i="2"/>
  <c r="AD177" i="2"/>
  <c r="AD81" i="2"/>
  <c r="AD118" i="2"/>
  <c r="AD39" i="2"/>
  <c r="AD139" i="2"/>
  <c r="AD142" i="2"/>
  <c r="AD211" i="2"/>
  <c r="AD169" i="2"/>
  <c r="AD162" i="2"/>
  <c r="AD122" i="2"/>
  <c r="AD76" i="2"/>
  <c r="AD123" i="2"/>
  <c r="AD60" i="2"/>
  <c r="AD106" i="2"/>
  <c r="AD140" i="2"/>
  <c r="AD195" i="2"/>
  <c r="AD149" i="2"/>
  <c r="AD119" i="2"/>
  <c r="AD147" i="2"/>
  <c r="AD114" i="2"/>
  <c r="AD173" i="2"/>
  <c r="AD63" i="2"/>
  <c r="AF63" i="2" s="1"/>
  <c r="AD86" i="2"/>
  <c r="AD157" i="2"/>
  <c r="AD146" i="2"/>
  <c r="AD69" i="2"/>
  <c r="AD120" i="2"/>
  <c r="AD116" i="2"/>
  <c r="AD176" i="2"/>
  <c r="AD213" i="2"/>
  <c r="AD98" i="2"/>
  <c r="AD151" i="2"/>
  <c r="AD137" i="2"/>
  <c r="AD126" i="2"/>
  <c r="AD174" i="2"/>
  <c r="AD160" i="2"/>
  <c r="AD111" i="2"/>
  <c r="AD172" i="2"/>
  <c r="AD127" i="2"/>
  <c r="AD75" i="2"/>
  <c r="W35" i="2" l="1"/>
  <c r="X35" i="2" s="1"/>
  <c r="Y35" i="2" s="1"/>
  <c r="AF35" i="2" s="1"/>
  <c r="T4" i="2"/>
  <c r="R4" i="2" s="1"/>
  <c r="AR32" i="2"/>
  <c r="AL30" i="2"/>
  <c r="T5" i="2"/>
  <c r="D36" i="3" s="1"/>
  <c r="D37" i="3" s="1"/>
  <c r="T9" i="2"/>
  <c r="R9" i="2" s="1"/>
  <c r="T11" i="2"/>
  <c r="R11" i="2" s="1"/>
  <c r="T8" i="2"/>
  <c r="R8" i="2" s="1"/>
  <c r="T14" i="2"/>
  <c r="R14" i="2" s="1"/>
  <c r="AC14" i="2" s="1"/>
  <c r="T19" i="2"/>
  <c r="R19" i="2" s="1"/>
  <c r="W41" i="2"/>
  <c r="X41" i="2" s="1"/>
  <c r="Y41" i="2" s="1"/>
  <c r="AF41" i="2" s="1"/>
  <c r="T6" i="2"/>
  <c r="R6" i="2" s="1"/>
  <c r="T20" i="2"/>
  <c r="R20" i="2" s="1"/>
  <c r="AF44" i="2"/>
  <c r="T7" i="2"/>
  <c r="R7" i="2" s="1"/>
  <c r="T23" i="2"/>
  <c r="R23" i="2" s="1"/>
  <c r="T15" i="2"/>
  <c r="R15" i="2" s="1"/>
  <c r="T21" i="2"/>
  <c r="R21" i="2" s="1"/>
  <c r="T16" i="2"/>
  <c r="R16" i="2" s="1"/>
  <c r="T13" i="2"/>
  <c r="R13" i="2" s="1"/>
  <c r="AF223" i="2"/>
  <c r="T17" i="2"/>
  <c r="R17" i="2" s="1"/>
  <c r="W51" i="2"/>
  <c r="X51" i="2" s="1"/>
  <c r="Y51" i="2" s="1"/>
  <c r="AF51" i="2" s="1"/>
  <c r="W40" i="2"/>
  <c r="X40" i="2" s="1"/>
  <c r="Y40" i="2" s="1"/>
  <c r="AF40" i="2" s="1"/>
  <c r="T18" i="2"/>
  <c r="R18" i="2" s="1"/>
  <c r="W76" i="2"/>
  <c r="X76" i="2" s="1"/>
  <c r="Y76" i="2" s="1"/>
  <c r="AF76" i="2" s="1"/>
  <c r="T22" i="2"/>
  <c r="R22" i="2" s="1"/>
  <c r="T10" i="2"/>
  <c r="R10" i="2" s="1"/>
  <c r="W81" i="2"/>
  <c r="X81" i="2" s="1"/>
  <c r="Y81" i="2" s="1"/>
  <c r="AF81" i="2" s="1"/>
  <c r="R84" i="3" a="1"/>
  <c r="R84" i="3" s="1"/>
  <c r="U84" i="3" s="1"/>
  <c r="AF198" i="2"/>
  <c r="AE7" i="2"/>
  <c r="AE18" i="2"/>
  <c r="AE12" i="2"/>
  <c r="AE14" i="2"/>
  <c r="AE5" i="2"/>
  <c r="I40" i="3" s="1"/>
  <c r="J40" i="3" s="1"/>
  <c r="AE16" i="2"/>
  <c r="AE23" i="2"/>
  <c r="AE15" i="2"/>
  <c r="AE4" i="2"/>
  <c r="G40" i="3" s="1"/>
  <c r="AE13" i="2"/>
  <c r="AE19" i="2"/>
  <c r="AE22" i="2"/>
  <c r="AE17" i="2"/>
  <c r="AE11" i="2"/>
  <c r="AE10" i="2"/>
  <c r="AE8" i="2"/>
  <c r="AE6" i="2"/>
  <c r="AE21" i="2"/>
  <c r="AE9" i="2"/>
  <c r="AF178" i="2"/>
  <c r="AF96" i="2"/>
  <c r="R70" i="3" a="1"/>
  <c r="R70" i="3" s="1"/>
  <c r="U70" i="3" s="1"/>
  <c r="R59" i="3" a="1"/>
  <c r="R59" i="3" s="1"/>
  <c r="U59" i="3" s="1"/>
  <c r="AF42" i="2"/>
  <c r="AF107" i="2"/>
  <c r="R77" i="3" a="1"/>
  <c r="R77" i="3" s="1"/>
  <c r="U77" i="3" s="1"/>
  <c r="R64" i="3" a="1"/>
  <c r="R64" i="3" s="1"/>
  <c r="U64" i="3" s="1"/>
  <c r="R51" i="3" a="1"/>
  <c r="R51" i="3" s="1"/>
  <c r="U51" i="3" s="1"/>
  <c r="R37" i="3" a="1"/>
  <c r="R37" i="3" s="1"/>
  <c r="U37" i="3" s="1"/>
  <c r="R27" i="3" a="1"/>
  <c r="R27" i="3" s="1"/>
  <c r="U27" i="3" s="1"/>
  <c r="AF130" i="2"/>
  <c r="R13" i="3" a="1"/>
  <c r="R13" i="3" s="1"/>
  <c r="U13" i="3" s="1"/>
  <c r="AF9" i="2" a="1"/>
  <c r="AF9" i="2" s="1"/>
  <c r="AX9" i="2" s="1"/>
  <c r="AF202" i="2"/>
  <c r="AF94" i="2"/>
  <c r="AF155" i="2"/>
  <c r="AF50" i="2"/>
  <c r="AF143" i="2"/>
  <c r="AF8" i="2" a="1"/>
  <c r="AF8" i="2" s="1"/>
  <c r="AF59" i="2"/>
  <c r="AF111" i="2"/>
  <c r="AF156" i="2"/>
  <c r="AF187" i="2"/>
  <c r="AF33" i="2"/>
  <c r="AF209" i="2"/>
  <c r="AF64" i="2"/>
  <c r="AF160" i="2"/>
  <c r="AF148" i="2"/>
  <c r="AF72" i="2"/>
  <c r="AF98" i="2"/>
  <c r="AF225" i="2"/>
  <c r="AF36" i="2"/>
  <c r="AF200" i="2"/>
  <c r="AF204" i="2"/>
  <c r="AF46" i="2"/>
  <c r="AF47" i="2"/>
  <c r="AF180" i="2"/>
  <c r="AF79" i="2"/>
  <c r="AF154" i="2"/>
  <c r="AF179" i="2"/>
  <c r="AF97" i="2"/>
  <c r="AF53" i="2"/>
  <c r="AF146" i="2"/>
  <c r="AF105" i="2"/>
  <c r="AF78" i="2"/>
  <c r="AF162" i="2"/>
  <c r="AF144" i="2"/>
  <c r="AF189" i="2"/>
  <c r="AF183" i="2"/>
  <c r="AF222" i="2"/>
  <c r="AF141" i="2"/>
  <c r="AF214" i="2"/>
  <c r="AF132" i="2"/>
  <c r="AF170" i="2"/>
  <c r="AF157" i="2"/>
  <c r="AF83" i="2"/>
  <c r="AF226" i="2"/>
  <c r="AF91" i="2"/>
  <c r="AF138" i="2"/>
  <c r="AF229" i="2"/>
  <c r="AF115" i="2"/>
  <c r="AF17" i="2" a="1"/>
  <c r="AF17" i="2" s="1"/>
  <c r="AX17" i="2" s="1"/>
  <c r="AF167" i="2"/>
  <c r="AF13" i="2" a="1"/>
  <c r="AF13" i="2" s="1"/>
  <c r="AX13" i="2" s="1"/>
  <c r="AF93" i="2"/>
  <c r="AF61" i="2"/>
  <c r="AF216" i="2"/>
  <c r="AF206" i="2"/>
  <c r="AF66" i="2"/>
  <c r="AF12" i="2" a="1"/>
  <c r="AF12" i="2" s="1"/>
  <c r="AI12" i="2" s="1"/>
  <c r="AJ12" i="2" s="1"/>
  <c r="AP12" i="2" s="1"/>
  <c r="AF121" i="2"/>
  <c r="AF4" i="2" a="1"/>
  <c r="AF4" i="2" s="1"/>
  <c r="R12" i="3" s="1"/>
  <c r="AF21" i="2" a="1"/>
  <c r="AF21" i="2" s="1"/>
  <c r="AI21" i="2" s="1"/>
  <c r="AJ21" i="2" s="1"/>
  <c r="AP21" i="2" s="1"/>
  <c r="AF15" i="2" a="1"/>
  <c r="AF15" i="2" s="1"/>
  <c r="AX15" i="2" s="1"/>
  <c r="AF60" i="2"/>
  <c r="AF145" i="2"/>
  <c r="AF22" i="2" a="1"/>
  <c r="AF22" i="2" s="1"/>
  <c r="AX22" i="2" s="1"/>
  <c r="AF23" i="2" a="1"/>
  <c r="AF23" i="2" s="1"/>
  <c r="AX23" i="2" s="1"/>
  <c r="AF217" i="2"/>
  <c r="AF137" i="2"/>
  <c r="AF68" i="2"/>
  <c r="AF153" i="2"/>
  <c r="AF16" i="2" a="1"/>
  <c r="AF16" i="2" s="1"/>
  <c r="AX16" i="2" s="1"/>
  <c r="AF6" i="2" a="1"/>
  <c r="AF6" i="2" s="1"/>
  <c r="AF177" i="2"/>
  <c r="AF92" i="2"/>
  <c r="AF123" i="2"/>
  <c r="AF20" i="2" a="1"/>
  <c r="AF20" i="2" s="1"/>
  <c r="AI20" i="2" s="1"/>
  <c r="AJ20" i="2" s="1"/>
  <c r="AP20" i="2" s="1"/>
  <c r="AF122" i="2"/>
  <c r="AF110" i="2"/>
  <c r="AF52" i="2"/>
  <c r="AF108" i="2"/>
  <c r="AF10" i="2" a="1"/>
  <c r="AF10" i="2" s="1"/>
  <c r="AF80" i="2"/>
  <c r="AF142" i="2"/>
  <c r="AF194" i="2"/>
  <c r="AF201" i="2"/>
  <c r="AF37" i="2"/>
  <c r="AF228" i="2"/>
  <c r="AF149" i="2"/>
  <c r="AF87" i="2"/>
  <c r="AF197" i="2"/>
  <c r="AF11" i="2" a="1"/>
  <c r="AF11" i="2" s="1"/>
  <c r="AX11" i="2" s="1"/>
  <c r="AF77" i="2"/>
  <c r="AF89" i="2"/>
  <c r="AF73" i="2"/>
  <c r="X62" i="2"/>
  <c r="Y62" i="2" s="1"/>
  <c r="AF62" i="2" s="1"/>
  <c r="AF175" i="2"/>
  <c r="AF169" i="2"/>
  <c r="AF221" i="2"/>
  <c r="AF102" i="2"/>
  <c r="AF100" i="2"/>
  <c r="AF171" i="2"/>
  <c r="AF7" i="2" a="1"/>
  <c r="AF7" i="2" s="1"/>
  <c r="AF208" i="2"/>
  <c r="AF103" i="2"/>
  <c r="AF205" i="2"/>
  <c r="AF173" i="2"/>
  <c r="AF182" i="2"/>
  <c r="AF147" i="2"/>
  <c r="AF211" i="2"/>
  <c r="AF150" i="2"/>
  <c r="AF85" i="2"/>
  <c r="AF185" i="2"/>
  <c r="AF218" i="2"/>
  <c r="AF165" i="2"/>
  <c r="AF139" i="2"/>
  <c r="AF95" i="2"/>
  <c r="AF101" i="2"/>
  <c r="AF207" i="2"/>
  <c r="AF188" i="2"/>
  <c r="AF166" i="2"/>
  <c r="AF163" i="2"/>
  <c r="AF67" i="2"/>
  <c r="AF99" i="2"/>
  <c r="AF124" i="2"/>
  <c r="AF213" i="2"/>
  <c r="AF219" i="2"/>
  <c r="AF38" i="2"/>
  <c r="AF131" i="2"/>
  <c r="AF161" i="2"/>
  <c r="AF168" i="2"/>
  <c r="AF75" i="2"/>
  <c r="AF116" i="2"/>
  <c r="AF195" i="2"/>
  <c r="AF158" i="2"/>
  <c r="AF193" i="2"/>
  <c r="AF129" i="2"/>
  <c r="AF152" i="2"/>
  <c r="AF133" i="2"/>
  <c r="AF190" i="2"/>
  <c r="AF65" i="2"/>
  <c r="AF109" i="2"/>
  <c r="AF127" i="2"/>
  <c r="AF120" i="2"/>
  <c r="AF140" i="2"/>
  <c r="AF118" i="2"/>
  <c r="AF70" i="2"/>
  <c r="AF112" i="2"/>
  <c r="AF48" i="2"/>
  <c r="AF55" i="2"/>
  <c r="AF159" i="2"/>
  <c r="AF45" i="2"/>
  <c r="AF184" i="2"/>
  <c r="AF82" i="2"/>
  <c r="X32" i="2"/>
  <c r="Y32" i="2" s="1"/>
  <c r="AF32" i="2" s="1"/>
  <c r="X39" i="2"/>
  <c r="Y39" i="2" s="1"/>
  <c r="AF39" i="2" s="1"/>
  <c r="AF119" i="2"/>
  <c r="AF136" i="2"/>
  <c r="AF176" i="2"/>
  <c r="AF224" i="2"/>
  <c r="U10" i="2"/>
  <c r="AF117" i="2"/>
  <c r="U7" i="2"/>
  <c r="X56" i="2"/>
  <c r="Y56" i="2" s="1"/>
  <c r="AF56" i="2" s="1"/>
  <c r="X49" i="2"/>
  <c r="Y49" i="2" s="1"/>
  <c r="AF49" i="2" s="1"/>
  <c r="AF174" i="2"/>
  <c r="AF86" i="2"/>
  <c r="AF220" i="2"/>
  <c r="AF164" i="2"/>
  <c r="AR41" i="2"/>
  <c r="AF5" i="2" a="1"/>
  <c r="AF5" i="2" s="1"/>
  <c r="R26" i="3" s="1"/>
  <c r="U25" i="3" s="1"/>
  <c r="AM32" i="2"/>
  <c r="AN32" i="2" s="1"/>
  <c r="AO32" i="2" s="1"/>
  <c r="AP32" i="2" s="1"/>
  <c r="AQ32" i="2" s="1"/>
  <c r="AF172" i="2"/>
  <c r="AF69" i="2"/>
  <c r="AF106" i="2"/>
  <c r="AF125" i="2"/>
  <c r="AF128" i="2"/>
  <c r="AF34" i="2"/>
  <c r="AF135" i="2"/>
  <c r="AF18" i="2" a="1"/>
  <c r="AF18" i="2" s="1"/>
  <c r="X43" i="2"/>
  <c r="Y43" i="2" s="1"/>
  <c r="AF43" i="2" s="1"/>
  <c r="AF19" i="2" a="1"/>
  <c r="AF19" i="2" s="1"/>
  <c r="AF126" i="2"/>
  <c r="AF181" i="2"/>
  <c r="AF134" i="2"/>
  <c r="R12" i="2"/>
  <c r="AF113" i="2"/>
  <c r="AF210" i="2"/>
  <c r="AF104" i="2"/>
  <c r="AF212" i="2"/>
  <c r="AF151" i="2"/>
  <c r="AF114" i="2"/>
  <c r="AF186" i="2"/>
  <c r="AF71" i="2"/>
  <c r="AF90" i="2"/>
  <c r="AF196" i="2"/>
  <c r="AF203" i="2"/>
  <c r="AF88" i="2"/>
  <c r="AF14" i="2" a="1"/>
  <c r="AF14" i="2" s="1"/>
  <c r="AF54" i="2"/>
  <c r="AF227" i="2"/>
  <c r="AF74" i="2"/>
  <c r="AF84" i="2"/>
  <c r="AF191" i="2"/>
  <c r="AF192" i="2"/>
  <c r="AF199" i="2"/>
  <c r="AF215" i="2"/>
  <c r="AF57" i="2"/>
  <c r="AF58" i="2"/>
  <c r="U4" i="2" l="1"/>
  <c r="V4" i="2" s="1"/>
  <c r="W4" i="2" s="1"/>
  <c r="R5" i="2"/>
  <c r="S26" i="3" s="1"/>
  <c r="AR30" i="2"/>
  <c r="AS223" i="2" s="1"/>
  <c r="AT223" i="2" s="1"/>
  <c r="U12" i="2"/>
  <c r="S12" i="2" s="1"/>
  <c r="U19" i="2"/>
  <c r="S19" i="2" s="1"/>
  <c r="U21" i="2"/>
  <c r="S21" i="2" s="1"/>
  <c r="U22" i="2"/>
  <c r="S22" i="2" s="1"/>
  <c r="S10" i="2"/>
  <c r="U17" i="2"/>
  <c r="S17" i="2" s="1"/>
  <c r="U11" i="2"/>
  <c r="S11" i="2" s="1"/>
  <c r="U18" i="2"/>
  <c r="V18" i="2" s="1"/>
  <c r="W18" i="2" s="1"/>
  <c r="U14" i="2"/>
  <c r="V14" i="2" s="1"/>
  <c r="W14" i="2" s="1"/>
  <c r="AD14" i="2" s="1"/>
  <c r="U23" i="2"/>
  <c r="V23" i="2" s="1"/>
  <c r="W23" i="2" s="1"/>
  <c r="U13" i="2"/>
  <c r="V13" i="2" s="1"/>
  <c r="W13" i="2" s="1"/>
  <c r="S7" i="2"/>
  <c r="U20" i="2"/>
  <c r="S20" i="2" s="1"/>
  <c r="C36" i="3"/>
  <c r="C37" i="3" s="1"/>
  <c r="U6" i="2"/>
  <c r="S6" i="2" s="1"/>
  <c r="U15" i="2"/>
  <c r="S15" i="2" s="1"/>
  <c r="U8" i="2"/>
  <c r="V8" i="2" s="1"/>
  <c r="W8" i="2" s="1"/>
  <c r="T24" i="2"/>
  <c r="U16" i="2"/>
  <c r="S16" i="2" s="1"/>
  <c r="U9" i="2"/>
  <c r="S9" i="2" s="1"/>
  <c r="U5" i="2"/>
  <c r="H40" i="3"/>
  <c r="K40" i="3"/>
  <c r="L40" i="3" s="1"/>
  <c r="AX10" i="2"/>
  <c r="R83" i="3"/>
  <c r="U82" i="3" s="1"/>
  <c r="R63" i="3"/>
  <c r="U62" i="3" s="1"/>
  <c r="BB9" i="2"/>
  <c r="AA70" i="3" s="1"/>
  <c r="AI9" i="2"/>
  <c r="AJ9" i="2" s="1"/>
  <c r="AP9" i="2" s="1"/>
  <c r="R76" i="3"/>
  <c r="U75" i="3" s="1"/>
  <c r="AI8" i="2"/>
  <c r="AJ8" i="2" s="1"/>
  <c r="AP8" i="2" s="1"/>
  <c r="AX8" i="2"/>
  <c r="AI7" i="2"/>
  <c r="AJ7" i="2" s="1"/>
  <c r="AP7" i="2" s="1"/>
  <c r="R50" i="3"/>
  <c r="U49" i="3" s="1"/>
  <c r="AX6" i="2"/>
  <c r="R36" i="3"/>
  <c r="U35" i="3" s="1"/>
  <c r="AX20" i="2"/>
  <c r="AI13" i="2"/>
  <c r="AJ13" i="2" s="1"/>
  <c r="AP13" i="2" s="1"/>
  <c r="AI22" i="2"/>
  <c r="AJ22" i="2" s="1"/>
  <c r="AP22" i="2" s="1"/>
  <c r="AI17" i="2"/>
  <c r="AJ17" i="2" s="1"/>
  <c r="AP17" i="2" s="1"/>
  <c r="AI15" i="2"/>
  <c r="AJ15" i="2" s="1"/>
  <c r="AP15" i="2" s="1"/>
  <c r="BB18" i="2"/>
  <c r="BB13" i="2"/>
  <c r="BB23" i="2"/>
  <c r="AX4" i="2"/>
  <c r="AI23" i="2"/>
  <c r="AJ23" i="2" s="1"/>
  <c r="AP23" i="2" s="1"/>
  <c r="AI11" i="2"/>
  <c r="AJ11" i="2" s="1"/>
  <c r="AP11" i="2" s="1"/>
  <c r="BB16" i="2"/>
  <c r="BB15" i="2"/>
  <c r="AI6" i="2"/>
  <c r="AJ6" i="2" s="1"/>
  <c r="AP6" i="2" s="1"/>
  <c r="BB10" i="2"/>
  <c r="AX21" i="2"/>
  <c r="BB20" i="2"/>
  <c r="BB8" i="2"/>
  <c r="BB22" i="2"/>
  <c r="V10" i="2"/>
  <c r="W10" i="2" s="1"/>
  <c r="BB21" i="2"/>
  <c r="BB11" i="2"/>
  <c r="AX12" i="2"/>
  <c r="U11" i="3"/>
  <c r="V7" i="2"/>
  <c r="W7" i="2" s="1"/>
  <c r="BB6" i="2"/>
  <c r="AA67" i="3" s="1"/>
  <c r="AI16" i="2"/>
  <c r="AJ16" i="2" s="1"/>
  <c r="AP16" i="2" s="1"/>
  <c r="BB5" i="2"/>
  <c r="AI10" i="2"/>
  <c r="AJ10" i="2" s="1"/>
  <c r="AP10" i="2" s="1"/>
  <c r="AI4" i="2"/>
  <c r="AJ4" i="2" s="1"/>
  <c r="AP4" i="2" s="1"/>
  <c r="BB17" i="2"/>
  <c r="BB4" i="2"/>
  <c r="AA65" i="3" s="1"/>
  <c r="BB12" i="2"/>
  <c r="BB7" i="2"/>
  <c r="AA68" i="3" s="1"/>
  <c r="AX7" i="2"/>
  <c r="AC19" i="2"/>
  <c r="AC6" i="2"/>
  <c r="AX19" i="2"/>
  <c r="AI19" i="2"/>
  <c r="AJ19" i="2" s="1"/>
  <c r="AP19" i="2" s="1"/>
  <c r="AC16" i="2"/>
  <c r="AC13" i="2"/>
  <c r="AX18" i="2"/>
  <c r="AI18" i="2"/>
  <c r="AJ18" i="2" s="1"/>
  <c r="AP18" i="2" s="1"/>
  <c r="BC11" i="2"/>
  <c r="BC16" i="2"/>
  <c r="BC21" i="2"/>
  <c r="BC18" i="2"/>
  <c r="BC5" i="2"/>
  <c r="BC15" i="2"/>
  <c r="BC14" i="2"/>
  <c r="BC10" i="2"/>
  <c r="BC19" i="2"/>
  <c r="BC7" i="2"/>
  <c r="AC68" i="3" s="1"/>
  <c r="BC8" i="2"/>
  <c r="BC17" i="2"/>
  <c r="BC22" i="2"/>
  <c r="BC4" i="2"/>
  <c r="AC65" i="3" s="1"/>
  <c r="BC12" i="2"/>
  <c r="BC13" i="2"/>
  <c r="AX5" i="2"/>
  <c r="BC23" i="2"/>
  <c r="BC20" i="2"/>
  <c r="AI5" i="2"/>
  <c r="AJ5" i="2" s="1"/>
  <c r="BC6" i="2"/>
  <c r="AC67" i="3" s="1"/>
  <c r="BC9" i="2"/>
  <c r="AC20" i="2"/>
  <c r="AX14" i="2"/>
  <c r="AI14" i="2"/>
  <c r="AJ14" i="2" s="1"/>
  <c r="AP14" i="2" s="1"/>
  <c r="AC23" i="2"/>
  <c r="BB14" i="2"/>
  <c r="AC12" i="2"/>
  <c r="AC7" i="2"/>
  <c r="S12" i="3"/>
  <c r="AC4" i="2"/>
  <c r="AC11" i="2"/>
  <c r="AC15" i="2"/>
  <c r="AC17" i="2"/>
  <c r="AC9" i="2"/>
  <c r="AC8" i="2"/>
  <c r="AC10" i="2"/>
  <c r="AC21" i="2"/>
  <c r="AC22" i="2"/>
  <c r="BB19" i="2"/>
  <c r="AC18" i="2"/>
  <c r="S4" i="2" l="1"/>
  <c r="T12" i="3" s="1"/>
  <c r="AC5" i="2"/>
  <c r="I36" i="3" s="1"/>
  <c r="AS184" i="2"/>
  <c r="AT184" i="2" s="1"/>
  <c r="AV184" i="2" s="1"/>
  <c r="AS80" i="2"/>
  <c r="AT80" i="2" s="1"/>
  <c r="AU80" i="2" s="1"/>
  <c r="AS137" i="2"/>
  <c r="AT137" i="2" s="1"/>
  <c r="AU137" i="2" s="1"/>
  <c r="AS45" i="2"/>
  <c r="AT45" i="2" s="1"/>
  <c r="AV45" i="2" s="1"/>
  <c r="AS198" i="2"/>
  <c r="AT198" i="2" s="1"/>
  <c r="AV198" i="2" s="1"/>
  <c r="AS49" i="2"/>
  <c r="AT49" i="2" s="1"/>
  <c r="AU49" i="2" s="1"/>
  <c r="AS200" i="2"/>
  <c r="AT200" i="2" s="1"/>
  <c r="AV200" i="2" s="1"/>
  <c r="AS111" i="2"/>
  <c r="AT111" i="2" s="1"/>
  <c r="AU111" i="2" s="1"/>
  <c r="AS81" i="2"/>
  <c r="AT81" i="2" s="1"/>
  <c r="AU81" i="2" s="1"/>
  <c r="AS190" i="2"/>
  <c r="AT190" i="2" s="1"/>
  <c r="AU190" i="2" s="1"/>
  <c r="AS195" i="2"/>
  <c r="AT195" i="2" s="1"/>
  <c r="AV195" i="2" s="1"/>
  <c r="AS207" i="2"/>
  <c r="AT207" i="2" s="1"/>
  <c r="AV207" i="2" s="1"/>
  <c r="AS47" i="2"/>
  <c r="AT47" i="2" s="1"/>
  <c r="AU47" i="2" s="1"/>
  <c r="AS227" i="2"/>
  <c r="AT227" i="2" s="1"/>
  <c r="AU227" i="2" s="1"/>
  <c r="AS192" i="2"/>
  <c r="AT192" i="2" s="1"/>
  <c r="AU192" i="2" s="1"/>
  <c r="AS208" i="2"/>
  <c r="AT208" i="2" s="1"/>
  <c r="AU208" i="2" s="1"/>
  <c r="AS77" i="2"/>
  <c r="AT77" i="2" s="1"/>
  <c r="AV77" i="2" s="1"/>
  <c r="AS127" i="2"/>
  <c r="AT127" i="2" s="1"/>
  <c r="AV127" i="2" s="1"/>
  <c r="AS36" i="2"/>
  <c r="AT36" i="2" s="1"/>
  <c r="AV36" i="2" s="1"/>
  <c r="AS113" i="2"/>
  <c r="AT113" i="2" s="1"/>
  <c r="AV113" i="2" s="1"/>
  <c r="AS196" i="2"/>
  <c r="AT196" i="2" s="1"/>
  <c r="AU196" i="2" s="1"/>
  <c r="AS181" i="2"/>
  <c r="AT181" i="2" s="1"/>
  <c r="AU181" i="2" s="1"/>
  <c r="AS121" i="2"/>
  <c r="AT121" i="2" s="1"/>
  <c r="AV121" i="2" s="1"/>
  <c r="AS37" i="2"/>
  <c r="AT37" i="2" s="1"/>
  <c r="AV37" i="2" s="1"/>
  <c r="AS189" i="2"/>
  <c r="AT189" i="2" s="1"/>
  <c r="AU189" i="2" s="1"/>
  <c r="AS180" i="2"/>
  <c r="AT180" i="2" s="1"/>
  <c r="AU180" i="2" s="1"/>
  <c r="AS220" i="2"/>
  <c r="AT220" i="2" s="1"/>
  <c r="AV220" i="2" s="1"/>
  <c r="AS41" i="2"/>
  <c r="AT41" i="2" s="1"/>
  <c r="AV41" i="2" s="1"/>
  <c r="AS92" i="2"/>
  <c r="AT92" i="2" s="1"/>
  <c r="AU92" i="2" s="1"/>
  <c r="AS130" i="2"/>
  <c r="AT130" i="2" s="1"/>
  <c r="AU130" i="2" s="1"/>
  <c r="AS114" i="2"/>
  <c r="AT114" i="2" s="1"/>
  <c r="AU114" i="2" s="1"/>
  <c r="AS90" i="2"/>
  <c r="AT90" i="2" s="1"/>
  <c r="AU90" i="2" s="1"/>
  <c r="AS67" i="2"/>
  <c r="AT67" i="2" s="1"/>
  <c r="AV67" i="2" s="1"/>
  <c r="AS176" i="2"/>
  <c r="AT176" i="2" s="1"/>
  <c r="AU176" i="2" s="1"/>
  <c r="AS135" i="2"/>
  <c r="AT135" i="2" s="1"/>
  <c r="AV135" i="2" s="1"/>
  <c r="AS123" i="2"/>
  <c r="AT123" i="2" s="1"/>
  <c r="AU123" i="2" s="1"/>
  <c r="AS79" i="2"/>
  <c r="AT79" i="2" s="1"/>
  <c r="AV79" i="2" s="1"/>
  <c r="AS70" i="2"/>
  <c r="AT70" i="2" s="1"/>
  <c r="AV70" i="2" s="1"/>
  <c r="AS215" i="2"/>
  <c r="AT215" i="2" s="1"/>
  <c r="AV215" i="2" s="1"/>
  <c r="AS142" i="2"/>
  <c r="AT142" i="2" s="1"/>
  <c r="AU142" i="2" s="1"/>
  <c r="AS83" i="2"/>
  <c r="AT83" i="2" s="1"/>
  <c r="AV83" i="2" s="1"/>
  <c r="AS204" i="2"/>
  <c r="AT204" i="2" s="1"/>
  <c r="AU204" i="2" s="1"/>
  <c r="AS162" i="2"/>
  <c r="AT162" i="2" s="1"/>
  <c r="AU162" i="2" s="1"/>
  <c r="AS212" i="2"/>
  <c r="AT212" i="2" s="1"/>
  <c r="AU212" i="2" s="1"/>
  <c r="AS157" i="2"/>
  <c r="AT157" i="2" s="1"/>
  <c r="AU157" i="2" s="1"/>
  <c r="AS213" i="2"/>
  <c r="AT213" i="2" s="1"/>
  <c r="AV213" i="2" s="1"/>
  <c r="AS131" i="2"/>
  <c r="AT131" i="2" s="1"/>
  <c r="AV131" i="2" s="1"/>
  <c r="AS172" i="2"/>
  <c r="AT172" i="2" s="1"/>
  <c r="AV172" i="2" s="1"/>
  <c r="AS69" i="2"/>
  <c r="AT69" i="2" s="1"/>
  <c r="AV69" i="2" s="1"/>
  <c r="AS42" i="2"/>
  <c r="AT42" i="2" s="1"/>
  <c r="AU42" i="2" s="1"/>
  <c r="AS129" i="2"/>
  <c r="AT129" i="2" s="1"/>
  <c r="AV129" i="2" s="1"/>
  <c r="AS44" i="2"/>
  <c r="AT44" i="2" s="1"/>
  <c r="AV44" i="2" s="1"/>
  <c r="AS52" i="2"/>
  <c r="AT52" i="2" s="1"/>
  <c r="AU52" i="2" s="1"/>
  <c r="AS56" i="2"/>
  <c r="AT56" i="2" s="1"/>
  <c r="AV56" i="2" s="1"/>
  <c r="AS173" i="2"/>
  <c r="AT173" i="2" s="1"/>
  <c r="AV173" i="2" s="1"/>
  <c r="AS210" i="2"/>
  <c r="AT210" i="2" s="1"/>
  <c r="AU210" i="2" s="1"/>
  <c r="AS60" i="2"/>
  <c r="AT60" i="2" s="1"/>
  <c r="AV60" i="2" s="1"/>
  <c r="AS209" i="2"/>
  <c r="AT209" i="2" s="1"/>
  <c r="AU209" i="2" s="1"/>
  <c r="AS124" i="2"/>
  <c r="AT124" i="2" s="1"/>
  <c r="AV124" i="2" s="1"/>
  <c r="AS188" i="2"/>
  <c r="AT188" i="2" s="1"/>
  <c r="AU188" i="2" s="1"/>
  <c r="AS32" i="2"/>
  <c r="AT32" i="2" s="1"/>
  <c r="AU32" i="2" s="1"/>
  <c r="AS97" i="2"/>
  <c r="AT97" i="2" s="1"/>
  <c r="AV97" i="2" s="1"/>
  <c r="AS128" i="2"/>
  <c r="AT128" i="2" s="1"/>
  <c r="AV128" i="2" s="1"/>
  <c r="AS38" i="2"/>
  <c r="AT38" i="2" s="1"/>
  <c r="AV38" i="2" s="1"/>
  <c r="AS178" i="2"/>
  <c r="AT178" i="2" s="1"/>
  <c r="AU178" i="2" s="1"/>
  <c r="AS106" i="2"/>
  <c r="AT106" i="2" s="1"/>
  <c r="AU106" i="2" s="1"/>
  <c r="AS166" i="2"/>
  <c r="AT166" i="2" s="1"/>
  <c r="AU166" i="2" s="1"/>
  <c r="AS138" i="2"/>
  <c r="AT138" i="2" s="1"/>
  <c r="AU138" i="2" s="1"/>
  <c r="AS103" i="2"/>
  <c r="AT103" i="2" s="1"/>
  <c r="AV103" i="2" s="1"/>
  <c r="AS217" i="2"/>
  <c r="AT217" i="2" s="1"/>
  <c r="AV217" i="2" s="1"/>
  <c r="AS76" i="2"/>
  <c r="AT76" i="2" s="1"/>
  <c r="AV76" i="2" s="1"/>
  <c r="AS99" i="2"/>
  <c r="AT99" i="2" s="1"/>
  <c r="AU99" i="2" s="1"/>
  <c r="AS160" i="2"/>
  <c r="AT160" i="2" s="1"/>
  <c r="AU160" i="2" s="1"/>
  <c r="AS85" i="2"/>
  <c r="AT85" i="2" s="1"/>
  <c r="AU85" i="2" s="1"/>
  <c r="AS43" i="2"/>
  <c r="AT43" i="2" s="1"/>
  <c r="AU43" i="2" s="1"/>
  <c r="AS126" i="2"/>
  <c r="AT126" i="2" s="1"/>
  <c r="AU126" i="2" s="1"/>
  <c r="AS174" i="2"/>
  <c r="AT174" i="2" s="1"/>
  <c r="AU174" i="2" s="1"/>
  <c r="AS100" i="2"/>
  <c r="AT100" i="2" s="1"/>
  <c r="AV100" i="2" s="1"/>
  <c r="AS119" i="2"/>
  <c r="AT119" i="2" s="1"/>
  <c r="AU119" i="2" s="1"/>
  <c r="AS182" i="2"/>
  <c r="AT182" i="2" s="1"/>
  <c r="AV182" i="2" s="1"/>
  <c r="AS61" i="2"/>
  <c r="AT61" i="2" s="1"/>
  <c r="AV61" i="2" s="1"/>
  <c r="AS226" i="2"/>
  <c r="AT226" i="2" s="1"/>
  <c r="AU226" i="2" s="1"/>
  <c r="AS110" i="2"/>
  <c r="AT110" i="2" s="1"/>
  <c r="AU110" i="2" s="1"/>
  <c r="AS139" i="2"/>
  <c r="AT139" i="2" s="1"/>
  <c r="AU139" i="2" s="1"/>
  <c r="AS145" i="2"/>
  <c r="AT145" i="2" s="1"/>
  <c r="AU145" i="2" s="1"/>
  <c r="AS115" i="2"/>
  <c r="AT115" i="2" s="1"/>
  <c r="AV115" i="2" s="1"/>
  <c r="AS211" i="2"/>
  <c r="AT211" i="2" s="1"/>
  <c r="AU211" i="2" s="1"/>
  <c r="AS57" i="2"/>
  <c r="AT57" i="2" s="1"/>
  <c r="AU57" i="2" s="1"/>
  <c r="AS202" i="2"/>
  <c r="AT202" i="2" s="1"/>
  <c r="AV202" i="2" s="1"/>
  <c r="AS206" i="2"/>
  <c r="AT206" i="2" s="1"/>
  <c r="AU206" i="2" s="1"/>
  <c r="AS84" i="2"/>
  <c r="AT84" i="2" s="1"/>
  <c r="AU84" i="2" s="1"/>
  <c r="AS34" i="2"/>
  <c r="AT34" i="2" s="1"/>
  <c r="AU34" i="2" s="1"/>
  <c r="AS58" i="2"/>
  <c r="AT58" i="2" s="1"/>
  <c r="AV58" i="2" s="1"/>
  <c r="AS82" i="2"/>
  <c r="AT82" i="2" s="1"/>
  <c r="AU82" i="2" s="1"/>
  <c r="AS109" i="2"/>
  <c r="AT109" i="2" s="1"/>
  <c r="AU109" i="2" s="1"/>
  <c r="AS156" i="2"/>
  <c r="AT156" i="2" s="1"/>
  <c r="AU156" i="2" s="1"/>
  <c r="AS197" i="2"/>
  <c r="AT197" i="2" s="1"/>
  <c r="AU197" i="2" s="1"/>
  <c r="AS175" i="2"/>
  <c r="AT175" i="2" s="1"/>
  <c r="AU175" i="2" s="1"/>
  <c r="AS147" i="2"/>
  <c r="AT147" i="2" s="1"/>
  <c r="AU147" i="2" s="1"/>
  <c r="AS75" i="2"/>
  <c r="AT75" i="2" s="1"/>
  <c r="AV75" i="2" s="1"/>
  <c r="AS98" i="2"/>
  <c r="AT98" i="2" s="1"/>
  <c r="AU98" i="2" s="1"/>
  <c r="AS164" i="2"/>
  <c r="AT164" i="2" s="1"/>
  <c r="AV164" i="2" s="1"/>
  <c r="AS107" i="2"/>
  <c r="AT107" i="2" s="1"/>
  <c r="AV107" i="2" s="1"/>
  <c r="AS185" i="2"/>
  <c r="AT185" i="2" s="1"/>
  <c r="AU185" i="2" s="1"/>
  <c r="AS122" i="2"/>
  <c r="AT122" i="2" s="1"/>
  <c r="AV122" i="2" s="1"/>
  <c r="AS155" i="2"/>
  <c r="AT155" i="2" s="1"/>
  <c r="AV155" i="2" s="1"/>
  <c r="AS118" i="2"/>
  <c r="AT118" i="2" s="1"/>
  <c r="AV118" i="2" s="1"/>
  <c r="AS140" i="2"/>
  <c r="AT140" i="2" s="1"/>
  <c r="AU140" i="2" s="1"/>
  <c r="AS203" i="2"/>
  <c r="AT203" i="2" s="1"/>
  <c r="AU203" i="2" s="1"/>
  <c r="AS201" i="2"/>
  <c r="AT201" i="2" s="1"/>
  <c r="AU201" i="2" s="1"/>
  <c r="AS59" i="2"/>
  <c r="AT59" i="2" s="1"/>
  <c r="AV59" i="2" s="1"/>
  <c r="AS133" i="2"/>
  <c r="AT133" i="2" s="1"/>
  <c r="AV133" i="2" s="1"/>
  <c r="AS104" i="2"/>
  <c r="AT104" i="2" s="1"/>
  <c r="AV104" i="2" s="1"/>
  <c r="AS219" i="2"/>
  <c r="AT219" i="2" s="1"/>
  <c r="AV219" i="2" s="1"/>
  <c r="AS117" i="2"/>
  <c r="AT117" i="2" s="1"/>
  <c r="AV117" i="2" s="1"/>
  <c r="AS89" i="2"/>
  <c r="AT89" i="2" s="1"/>
  <c r="AU89" i="2" s="1"/>
  <c r="AS183" i="2"/>
  <c r="AT183" i="2" s="1"/>
  <c r="AU183" i="2" s="1"/>
  <c r="AS169" i="2"/>
  <c r="AT169" i="2" s="1"/>
  <c r="AU169" i="2" s="1"/>
  <c r="AS33" i="2"/>
  <c r="AT33" i="2" s="1"/>
  <c r="AV33" i="2" s="1"/>
  <c r="AS48" i="2"/>
  <c r="AT48" i="2" s="1"/>
  <c r="AU48" i="2" s="1"/>
  <c r="AS96" i="2"/>
  <c r="AT96" i="2" s="1"/>
  <c r="AU96" i="2" s="1"/>
  <c r="AS87" i="2"/>
  <c r="AT87" i="2" s="1"/>
  <c r="AU87" i="2" s="1"/>
  <c r="AS40" i="2"/>
  <c r="AT40" i="2" s="1"/>
  <c r="AU40" i="2" s="1"/>
  <c r="AS86" i="2"/>
  <c r="AT86" i="2" s="1"/>
  <c r="AV86" i="2" s="1"/>
  <c r="AS159" i="2"/>
  <c r="AT159" i="2" s="1"/>
  <c r="AU159" i="2" s="1"/>
  <c r="AS216" i="2"/>
  <c r="AT216" i="2" s="1"/>
  <c r="AV216" i="2" s="1"/>
  <c r="AS161" i="2"/>
  <c r="AT161" i="2" s="1"/>
  <c r="AU161" i="2" s="1"/>
  <c r="AS102" i="2"/>
  <c r="AT102" i="2" s="1"/>
  <c r="AV102" i="2" s="1"/>
  <c r="AS62" i="2"/>
  <c r="AT62" i="2" s="1"/>
  <c r="AU62" i="2" s="1"/>
  <c r="AS170" i="2"/>
  <c r="AT170" i="2" s="1"/>
  <c r="AU170" i="2" s="1"/>
  <c r="AS120" i="2"/>
  <c r="AT120" i="2" s="1"/>
  <c r="AV120" i="2" s="1"/>
  <c r="AS149" i="2"/>
  <c r="AT149" i="2" s="1"/>
  <c r="AV149" i="2" s="1"/>
  <c r="AS193" i="2"/>
  <c r="AT193" i="2" s="1"/>
  <c r="AV193" i="2" s="1"/>
  <c r="AS151" i="2"/>
  <c r="AT151" i="2" s="1"/>
  <c r="AU151" i="2" s="1"/>
  <c r="AS105" i="2"/>
  <c r="AT105" i="2" s="1"/>
  <c r="AV105" i="2" s="1"/>
  <c r="AS148" i="2"/>
  <c r="AT148" i="2" s="1"/>
  <c r="AV148" i="2" s="1"/>
  <c r="AS64" i="2"/>
  <c r="AT64" i="2" s="1"/>
  <c r="AV64" i="2" s="1"/>
  <c r="AS101" i="2"/>
  <c r="AT101" i="2" s="1"/>
  <c r="AV101" i="2" s="1"/>
  <c r="AS186" i="2"/>
  <c r="AT186" i="2" s="1"/>
  <c r="AU186" i="2" s="1"/>
  <c r="AS125" i="2"/>
  <c r="AT125" i="2" s="1"/>
  <c r="AU125" i="2" s="1"/>
  <c r="AS177" i="2"/>
  <c r="AT177" i="2" s="1"/>
  <c r="AU177" i="2" s="1"/>
  <c r="AS39" i="2"/>
  <c r="AT39" i="2" s="1"/>
  <c r="AU39" i="2" s="1"/>
  <c r="AS55" i="2"/>
  <c r="AT55" i="2" s="1"/>
  <c r="AV55" i="2" s="1"/>
  <c r="AS134" i="2"/>
  <c r="AT134" i="2" s="1"/>
  <c r="AU134" i="2" s="1"/>
  <c r="AS187" i="2"/>
  <c r="AT187" i="2" s="1"/>
  <c r="AU187" i="2" s="1"/>
  <c r="AS228" i="2"/>
  <c r="AT228" i="2" s="1"/>
  <c r="AV228" i="2" s="1"/>
  <c r="AS163" i="2"/>
  <c r="AT163" i="2" s="1"/>
  <c r="AV163" i="2" s="1"/>
  <c r="AS95" i="2"/>
  <c r="AT95" i="2" s="1"/>
  <c r="AU95" i="2" s="1"/>
  <c r="AS224" i="2"/>
  <c r="AT224" i="2" s="1"/>
  <c r="AU224" i="2" s="1"/>
  <c r="AS146" i="2"/>
  <c r="AT146" i="2" s="1"/>
  <c r="AU146" i="2" s="1"/>
  <c r="AS229" i="2"/>
  <c r="AT229" i="2" s="1"/>
  <c r="AU229" i="2" s="1"/>
  <c r="AS144" i="2"/>
  <c r="AT144" i="2" s="1"/>
  <c r="AU144" i="2" s="1"/>
  <c r="AS158" i="2"/>
  <c r="AT158" i="2" s="1"/>
  <c r="AU158" i="2" s="1"/>
  <c r="AS51" i="2"/>
  <c r="AT51" i="2" s="1"/>
  <c r="AV51" i="2" s="1"/>
  <c r="AS94" i="2"/>
  <c r="AT94" i="2" s="1"/>
  <c r="AV94" i="2" s="1"/>
  <c r="AS141" i="2"/>
  <c r="AT141" i="2" s="1"/>
  <c r="AV141" i="2" s="1"/>
  <c r="AS168" i="2"/>
  <c r="AT168" i="2" s="1"/>
  <c r="AV168" i="2" s="1"/>
  <c r="AS65" i="2"/>
  <c r="AT65" i="2" s="1"/>
  <c r="AU65" i="2" s="1"/>
  <c r="AS218" i="2"/>
  <c r="AT218" i="2" s="1"/>
  <c r="AU218" i="2" s="1"/>
  <c r="AS88" i="2"/>
  <c r="AT88" i="2" s="1"/>
  <c r="AU88" i="2" s="1"/>
  <c r="AS73" i="2"/>
  <c r="AT73" i="2" s="1"/>
  <c r="AV73" i="2" s="1"/>
  <c r="AS154" i="2"/>
  <c r="AT154" i="2" s="1"/>
  <c r="AV154" i="2" s="1"/>
  <c r="AS74" i="2"/>
  <c r="AT74" i="2" s="1"/>
  <c r="AU74" i="2" s="1"/>
  <c r="AS78" i="2"/>
  <c r="AT78" i="2" s="1"/>
  <c r="AU78" i="2" s="1"/>
  <c r="AS63" i="2"/>
  <c r="AT63" i="2" s="1"/>
  <c r="AV63" i="2" s="1"/>
  <c r="AS171" i="2"/>
  <c r="AT171" i="2" s="1"/>
  <c r="AV171" i="2" s="1"/>
  <c r="AS167" i="2"/>
  <c r="AT167" i="2" s="1"/>
  <c r="AU167" i="2" s="1"/>
  <c r="AS150" i="2"/>
  <c r="AT150" i="2" s="1"/>
  <c r="AV150" i="2" s="1"/>
  <c r="AS222" i="2"/>
  <c r="AT222" i="2" s="1"/>
  <c r="AU222" i="2" s="1"/>
  <c r="AS194" i="2"/>
  <c r="AT194" i="2" s="1"/>
  <c r="AU194" i="2" s="1"/>
  <c r="AS165" i="2"/>
  <c r="AT165" i="2" s="1"/>
  <c r="AV165" i="2" s="1"/>
  <c r="AS71" i="2"/>
  <c r="AT71" i="2" s="1"/>
  <c r="AU71" i="2" s="1"/>
  <c r="AS225" i="2"/>
  <c r="AT225" i="2" s="1"/>
  <c r="AV225" i="2" s="1"/>
  <c r="AS143" i="2"/>
  <c r="AT143" i="2" s="1"/>
  <c r="AV143" i="2" s="1"/>
  <c r="AS53" i="2"/>
  <c r="AT53" i="2" s="1"/>
  <c r="AU53" i="2" s="1"/>
  <c r="AS54" i="2"/>
  <c r="AT54" i="2" s="1"/>
  <c r="AV54" i="2" s="1"/>
  <c r="AS68" i="2"/>
  <c r="AT68" i="2" s="1"/>
  <c r="AU68" i="2" s="1"/>
  <c r="AS214" i="2"/>
  <c r="AT214" i="2" s="1"/>
  <c r="AV214" i="2" s="1"/>
  <c r="AS72" i="2"/>
  <c r="AT72" i="2" s="1"/>
  <c r="AU72" i="2" s="1"/>
  <c r="AS199" i="2"/>
  <c r="AT199" i="2" s="1"/>
  <c r="AU199" i="2" s="1"/>
  <c r="AS112" i="2"/>
  <c r="AT112" i="2" s="1"/>
  <c r="AU112" i="2" s="1"/>
  <c r="AS116" i="2"/>
  <c r="AT116" i="2" s="1"/>
  <c r="AU116" i="2" s="1"/>
  <c r="AS108" i="2"/>
  <c r="AT108" i="2" s="1"/>
  <c r="AU108" i="2" s="1"/>
  <c r="AS179" i="2"/>
  <c r="AT179" i="2" s="1"/>
  <c r="AV179" i="2" s="1"/>
  <c r="AS66" i="2"/>
  <c r="AT66" i="2" s="1"/>
  <c r="AU66" i="2" s="1"/>
  <c r="AS35" i="2"/>
  <c r="AT35" i="2" s="1"/>
  <c r="AV35" i="2" s="1"/>
  <c r="AS205" i="2"/>
  <c r="AT205" i="2" s="1"/>
  <c r="AU205" i="2" s="1"/>
  <c r="AS91" i="2"/>
  <c r="AT91" i="2" s="1"/>
  <c r="AU91" i="2" s="1"/>
  <c r="AS191" i="2"/>
  <c r="AT191" i="2" s="1"/>
  <c r="AV191" i="2" s="1"/>
  <c r="AS221" i="2"/>
  <c r="AT221" i="2" s="1"/>
  <c r="AV221" i="2" s="1"/>
  <c r="AS136" i="2"/>
  <c r="AT136" i="2" s="1"/>
  <c r="AU136" i="2" s="1"/>
  <c r="AS132" i="2"/>
  <c r="AT132" i="2" s="1"/>
  <c r="AU132" i="2" s="1"/>
  <c r="AS50" i="2"/>
  <c r="AT50" i="2" s="1"/>
  <c r="AV50" i="2" s="1"/>
  <c r="AS153" i="2"/>
  <c r="AT153" i="2" s="1"/>
  <c r="AU153" i="2" s="1"/>
  <c r="AS152" i="2"/>
  <c r="AT152" i="2" s="1"/>
  <c r="AV152" i="2" s="1"/>
  <c r="AS46" i="2"/>
  <c r="AT46" i="2" s="1"/>
  <c r="AU46" i="2" s="1"/>
  <c r="AS93" i="2"/>
  <c r="AT93" i="2" s="1"/>
  <c r="AU93" i="2" s="1"/>
  <c r="S18" i="2"/>
  <c r="V12" i="2"/>
  <c r="W12" i="2" s="1"/>
  <c r="AD12" i="2" s="1"/>
  <c r="V19" i="2"/>
  <c r="W19" i="2" s="1"/>
  <c r="AD19" i="2" s="1"/>
  <c r="V11" i="2"/>
  <c r="W11" i="2" s="1"/>
  <c r="AD11" i="2" s="1"/>
  <c r="V17" i="2"/>
  <c r="W17" i="2" s="1"/>
  <c r="AD17" i="2" s="1"/>
  <c r="V15" i="2"/>
  <c r="W15" i="2" s="1"/>
  <c r="AD15" i="2" s="1"/>
  <c r="V22" i="2"/>
  <c r="W22" i="2" s="1"/>
  <c r="AD22" i="2" s="1"/>
  <c r="S14" i="2"/>
  <c r="V6" i="2"/>
  <c r="W6" i="2" s="1"/>
  <c r="AD6" i="2" s="1"/>
  <c r="S23" i="2"/>
  <c r="V16" i="2"/>
  <c r="W16" i="2" s="1"/>
  <c r="AD16" i="2" s="1"/>
  <c r="U24" i="2"/>
  <c r="C38" i="3"/>
  <c r="D38" i="3"/>
  <c r="V20" i="2"/>
  <c r="W20" i="2" s="1"/>
  <c r="AD20" i="2" s="1"/>
  <c r="S5" i="2"/>
  <c r="T26" i="3" s="1"/>
  <c r="V5" i="2"/>
  <c r="W5" i="2" s="1"/>
  <c r="E36" i="3"/>
  <c r="V21" i="2"/>
  <c r="W21" i="2" s="1"/>
  <c r="AD21" i="2" s="1"/>
  <c r="S13" i="2"/>
  <c r="AD8" i="2"/>
  <c r="V9" i="2"/>
  <c r="W9" i="2" s="1"/>
  <c r="AD9" i="2" s="1"/>
  <c r="S8" i="2"/>
  <c r="AC70" i="3"/>
  <c r="AC69" i="3"/>
  <c r="AA69" i="3"/>
  <c r="AA66" i="3"/>
  <c r="AC66" i="3"/>
  <c r="AD18" i="2"/>
  <c r="AD23" i="2"/>
  <c r="AD10" i="2"/>
  <c r="AD13" i="2"/>
  <c r="AD7" i="2"/>
  <c r="AP5" i="2"/>
  <c r="AP24" i="2" s="1"/>
  <c r="AQ18" i="2" s="1"/>
  <c r="AR18" i="2" s="1"/>
  <c r="AJ24" i="2"/>
  <c r="AU223" i="2"/>
  <c r="AV223" i="2"/>
  <c r="AK4" i="2"/>
  <c r="AL4" i="2" s="1"/>
  <c r="AM4" i="2" s="1"/>
  <c r="AN4" i="2" s="1"/>
  <c r="AO4" i="2" s="1"/>
  <c r="G36" i="3"/>
  <c r="AD4" i="2"/>
  <c r="AD5" i="2" l="1"/>
  <c r="I38" i="3" s="1"/>
  <c r="J38" i="3" s="1"/>
  <c r="AV49" i="2"/>
  <c r="AX49" i="2" s="1"/>
  <c r="AU198" i="2"/>
  <c r="AU129" i="2"/>
  <c r="AV92" i="2"/>
  <c r="AW92" i="2" s="1"/>
  <c r="AV174" i="2"/>
  <c r="AW174" i="2" s="1"/>
  <c r="AV52" i="2"/>
  <c r="AW52" i="2" s="1"/>
  <c r="AU200" i="2"/>
  <c r="AU41" i="2"/>
  <c r="AV137" i="2"/>
  <c r="AX137" i="2" s="1"/>
  <c r="AU220" i="2"/>
  <c r="AU70" i="2"/>
  <c r="AV180" i="2"/>
  <c r="AW180" i="2" s="1"/>
  <c r="AU184" i="2"/>
  <c r="AV142" i="2"/>
  <c r="AX142" i="2" s="1"/>
  <c r="AV80" i="2"/>
  <c r="AV227" i="2"/>
  <c r="AW227" i="2" s="1"/>
  <c r="AU164" i="2"/>
  <c r="AU101" i="2"/>
  <c r="AU113" i="2"/>
  <c r="AU45" i="2"/>
  <c r="AV208" i="2"/>
  <c r="AW208" i="2" s="1"/>
  <c r="AU44" i="2"/>
  <c r="AU117" i="2"/>
  <c r="AV85" i="2"/>
  <c r="AW85" i="2" s="1"/>
  <c r="AV196" i="2"/>
  <c r="AW196" i="2" s="1"/>
  <c r="AV42" i="2"/>
  <c r="AW42" i="2" s="1"/>
  <c r="AV212" i="2"/>
  <c r="AW212" i="2" s="1"/>
  <c r="AU36" i="2"/>
  <c r="AV84" i="2"/>
  <c r="AW84" i="2" s="1"/>
  <c r="AU173" i="2"/>
  <c r="AV111" i="2"/>
  <c r="AW111" i="2" s="1"/>
  <c r="AU122" i="2"/>
  <c r="AU107" i="2"/>
  <c r="AU213" i="2"/>
  <c r="AU182" i="2"/>
  <c r="AV114" i="2"/>
  <c r="AW114" i="2" s="1"/>
  <c r="AV210" i="2"/>
  <c r="AW210" i="2" s="1"/>
  <c r="AV185" i="2"/>
  <c r="AW185" i="2" s="1"/>
  <c r="AV162" i="2"/>
  <c r="AX162" i="2" s="1"/>
  <c r="AU118" i="2"/>
  <c r="AV90" i="2"/>
  <c r="AX90" i="2" s="1"/>
  <c r="AU127" i="2"/>
  <c r="AU100" i="2"/>
  <c r="AU135" i="2"/>
  <c r="AV166" i="2"/>
  <c r="AX166" i="2" s="1"/>
  <c r="AU76" i="2"/>
  <c r="AU131" i="2"/>
  <c r="AU195" i="2"/>
  <c r="AV181" i="2"/>
  <c r="AX181" i="2" s="1"/>
  <c r="AV119" i="2"/>
  <c r="AX119" i="2" s="1"/>
  <c r="AU56" i="2"/>
  <c r="AV130" i="2"/>
  <c r="AX130" i="2" s="1"/>
  <c r="AV209" i="2"/>
  <c r="AW209" i="2" s="1"/>
  <c r="AV204" i="2"/>
  <c r="AW204" i="2" s="1"/>
  <c r="AV138" i="2"/>
  <c r="AW138" i="2" s="1"/>
  <c r="AU121" i="2"/>
  <c r="AV176" i="2"/>
  <c r="AX176" i="2" s="1"/>
  <c r="AV157" i="2"/>
  <c r="AW157" i="2" s="1"/>
  <c r="AU60" i="2"/>
  <c r="AU124" i="2"/>
  <c r="AV206" i="2"/>
  <c r="AW206" i="2" s="1"/>
  <c r="AU83" i="2"/>
  <c r="AV34" i="2"/>
  <c r="AW34" i="2" s="1"/>
  <c r="AV190" i="2"/>
  <c r="AW190" i="2" s="1"/>
  <c r="AU79" i="2"/>
  <c r="AU172" i="2"/>
  <c r="AU207" i="2"/>
  <c r="AV99" i="2"/>
  <c r="AX99" i="2" s="1"/>
  <c r="AU37" i="2"/>
  <c r="AV189" i="2"/>
  <c r="AX189" i="2" s="1"/>
  <c r="AV47" i="2"/>
  <c r="AX47" i="2" s="1"/>
  <c r="AU69" i="2"/>
  <c r="AU155" i="2"/>
  <c r="AV201" i="2"/>
  <c r="AW201" i="2" s="1"/>
  <c r="AV81" i="2"/>
  <c r="AX81" i="2" s="1"/>
  <c r="AU61" i="2"/>
  <c r="AV32" i="2"/>
  <c r="AW32" i="2" s="1"/>
  <c r="AU67" i="2"/>
  <c r="AU77" i="2"/>
  <c r="AV211" i="2"/>
  <c r="AX211" i="2" s="1"/>
  <c r="AV156" i="2"/>
  <c r="AX156" i="2" s="1"/>
  <c r="AV160" i="2"/>
  <c r="AX160" i="2" s="1"/>
  <c r="AV123" i="2"/>
  <c r="AX123" i="2" s="1"/>
  <c r="AV192" i="2"/>
  <c r="AW192" i="2" s="1"/>
  <c r="AV140" i="2"/>
  <c r="AX140" i="2" s="1"/>
  <c r="AV188" i="2"/>
  <c r="AW188" i="2" s="1"/>
  <c r="AU215" i="2"/>
  <c r="AU73" i="2"/>
  <c r="AV178" i="2"/>
  <c r="AW178" i="2" s="1"/>
  <c r="AV126" i="2"/>
  <c r="AW126" i="2" s="1"/>
  <c r="AV146" i="2"/>
  <c r="AX146" i="2" s="1"/>
  <c r="AU202" i="2"/>
  <c r="AU64" i="2"/>
  <c r="AV43" i="2"/>
  <c r="AW43" i="2" s="1"/>
  <c r="AU97" i="2"/>
  <c r="AU128" i="2"/>
  <c r="AV147" i="2"/>
  <c r="AW147" i="2" s="1"/>
  <c r="AV106" i="2"/>
  <c r="AW106" i="2" s="1"/>
  <c r="AU216" i="2"/>
  <c r="AV197" i="2"/>
  <c r="AX197" i="2" s="1"/>
  <c r="AU133" i="2"/>
  <c r="AV145" i="2"/>
  <c r="AX145" i="2" s="1"/>
  <c r="AV203" i="2"/>
  <c r="AW203" i="2" s="1"/>
  <c r="AV98" i="2"/>
  <c r="AX98" i="2" s="1"/>
  <c r="AU38" i="2"/>
  <c r="AV175" i="2"/>
  <c r="AX175" i="2" s="1"/>
  <c r="AU154" i="2"/>
  <c r="AU103" i="2"/>
  <c r="AV224" i="2"/>
  <c r="AX224" i="2" s="1"/>
  <c r="AV109" i="2"/>
  <c r="AW109" i="2" s="1"/>
  <c r="AU58" i="2"/>
  <c r="AV110" i="2"/>
  <c r="AW110" i="2" s="1"/>
  <c r="AV82" i="2"/>
  <c r="AW82" i="2" s="1"/>
  <c r="AV226" i="2"/>
  <c r="AX226" i="2" s="1"/>
  <c r="AU217" i="2"/>
  <c r="AU35" i="2"/>
  <c r="AU115" i="2"/>
  <c r="AU104" i="2"/>
  <c r="AU59" i="2"/>
  <c r="AU143" i="2"/>
  <c r="AU75" i="2"/>
  <c r="AV139" i="2"/>
  <c r="AX139" i="2" s="1"/>
  <c r="AU225" i="2"/>
  <c r="AV40" i="2"/>
  <c r="AX40" i="2" s="1"/>
  <c r="AU105" i="2"/>
  <c r="AV57" i="2"/>
  <c r="AX57" i="2" s="1"/>
  <c r="AU219" i="2"/>
  <c r="AV89" i="2"/>
  <c r="AW89" i="2" s="1"/>
  <c r="AU120" i="2"/>
  <c r="AU33" i="2"/>
  <c r="AU94" i="2"/>
  <c r="AV170" i="2"/>
  <c r="AW170" i="2" s="1"/>
  <c r="AU51" i="2"/>
  <c r="AV177" i="2"/>
  <c r="AW177" i="2" s="1"/>
  <c r="AU171" i="2"/>
  <c r="AV159" i="2"/>
  <c r="AW159" i="2" s="1"/>
  <c r="AV183" i="2"/>
  <c r="AW183" i="2" s="1"/>
  <c r="AV169" i="2"/>
  <c r="AW169" i="2" s="1"/>
  <c r="AV39" i="2"/>
  <c r="AV93" i="2"/>
  <c r="AW93" i="2" s="1"/>
  <c r="AV62" i="2"/>
  <c r="BC58" i="2" s="1"/>
  <c r="AU221" i="2"/>
  <c r="AV66" i="2"/>
  <c r="AW66" i="2" s="1"/>
  <c r="AU228" i="2"/>
  <c r="AV167" i="2"/>
  <c r="AW167" i="2" s="1"/>
  <c r="AV91" i="2"/>
  <c r="AW91" i="2" s="1"/>
  <c r="AU214" i="2"/>
  <c r="AV68" i="2"/>
  <c r="AX68" i="2" s="1"/>
  <c r="AV153" i="2"/>
  <c r="AW153" i="2" s="1"/>
  <c r="AV229" i="2"/>
  <c r="AW229" i="2" s="1"/>
  <c r="AV158" i="2"/>
  <c r="AW158" i="2" s="1"/>
  <c r="AU191" i="2"/>
  <c r="AV186" i="2"/>
  <c r="AW186" i="2" s="1"/>
  <c r="AV78" i="2"/>
  <c r="AU63" i="2"/>
  <c r="AV87" i="2"/>
  <c r="AW87" i="2" s="1"/>
  <c r="AV125" i="2"/>
  <c r="AW125" i="2" s="1"/>
  <c r="AU102" i="2"/>
  <c r="AV144" i="2"/>
  <c r="AX144" i="2" s="1"/>
  <c r="AV199" i="2"/>
  <c r="AX199" i="2" s="1"/>
  <c r="AV72" i="2"/>
  <c r="AX72" i="2" s="1"/>
  <c r="AV161" i="2"/>
  <c r="AW161" i="2" s="1"/>
  <c r="AU54" i="2"/>
  <c r="AV74" i="2"/>
  <c r="AX74" i="2" s="1"/>
  <c r="AV205" i="2"/>
  <c r="AX205" i="2" s="1"/>
  <c r="AV53" i="2"/>
  <c r="AV136" i="2"/>
  <c r="AX136" i="2" s="1"/>
  <c r="AU55" i="2"/>
  <c r="AV65" i="2"/>
  <c r="AU50" i="2"/>
  <c r="AU150" i="2"/>
  <c r="AV134" i="2"/>
  <c r="AW134" i="2" s="1"/>
  <c r="AV132" i="2"/>
  <c r="AX132" i="2" s="1"/>
  <c r="AV96" i="2"/>
  <c r="AU149" i="2"/>
  <c r="AU141" i="2"/>
  <c r="AV151" i="2"/>
  <c r="AX151" i="2" s="1"/>
  <c r="AV48" i="2"/>
  <c r="AV95" i="2"/>
  <c r="AX95" i="2" s="1"/>
  <c r="AU86" i="2"/>
  <c r="AV71" i="2"/>
  <c r="AV88" i="2"/>
  <c r="AW88" i="2" s="1"/>
  <c r="AU193" i="2"/>
  <c r="AV46" i="2"/>
  <c r="AX46" i="2" s="1"/>
  <c r="AU179" i="2"/>
  <c r="AU165" i="2"/>
  <c r="AV218" i="2"/>
  <c r="AW218" i="2" s="1"/>
  <c r="AV187" i="2"/>
  <c r="AX187" i="2" s="1"/>
  <c r="AV116" i="2"/>
  <c r="AW116" i="2" s="1"/>
  <c r="AU163" i="2"/>
  <c r="AU152" i="2"/>
  <c r="AV108" i="2"/>
  <c r="AX108" i="2" s="1"/>
  <c r="AV194" i="2"/>
  <c r="AW194" i="2" s="1"/>
  <c r="AU168" i="2"/>
  <c r="AV112" i="2"/>
  <c r="AW112" i="2" s="1"/>
  <c r="AV222" i="2"/>
  <c r="AW222" i="2" s="1"/>
  <c r="AU148" i="2"/>
  <c r="K36" i="3"/>
  <c r="G38" i="3"/>
  <c r="H38" i="3" s="1"/>
  <c r="AT18" i="2"/>
  <c r="AS18" i="2"/>
  <c r="AX56" i="2"/>
  <c r="AW56" i="2"/>
  <c r="J36" i="3"/>
  <c r="I37" i="3"/>
  <c r="J37" i="3" s="1"/>
  <c r="AW37" i="2"/>
  <c r="AX37" i="2"/>
  <c r="AW163" i="2"/>
  <c r="AX163" i="2"/>
  <c r="AX198" i="2"/>
  <c r="AW198" i="2"/>
  <c r="AX219" i="2"/>
  <c r="AW219" i="2"/>
  <c r="AX216" i="2"/>
  <c r="AW216" i="2"/>
  <c r="AX165" i="2"/>
  <c r="AW165" i="2"/>
  <c r="AW172" i="2"/>
  <c r="AX172" i="2"/>
  <c r="AX41" i="2"/>
  <c r="AW41" i="2"/>
  <c r="AX217" i="2"/>
  <c r="AW217" i="2"/>
  <c r="AW105" i="2"/>
  <c r="AX105" i="2"/>
  <c r="AW200" i="2"/>
  <c r="AX200" i="2"/>
  <c r="G37" i="3"/>
  <c r="H37" i="3" s="1"/>
  <c r="H36" i="3"/>
  <c r="AW149" i="2"/>
  <c r="AX149" i="2"/>
  <c r="AW152" i="2"/>
  <c r="AX152" i="2"/>
  <c r="AX191" i="2"/>
  <c r="AW191" i="2"/>
  <c r="AX67" i="2"/>
  <c r="AW67" i="2"/>
  <c r="AW102" i="2"/>
  <c r="AX102" i="2"/>
  <c r="AX171" i="2"/>
  <c r="AW171" i="2"/>
  <c r="AX54" i="2"/>
  <c r="AW54" i="2"/>
  <c r="AX220" i="2"/>
  <c r="AW220" i="2"/>
  <c r="AX61" i="2"/>
  <c r="AW61" i="2"/>
  <c r="AX70" i="2"/>
  <c r="AW70" i="2"/>
  <c r="AX128" i="2"/>
  <c r="AW128" i="2"/>
  <c r="AX86" i="2"/>
  <c r="AW86" i="2"/>
  <c r="AW38" i="2"/>
  <c r="AX38" i="2"/>
  <c r="AW64" i="2"/>
  <c r="AX64" i="2"/>
  <c r="AX173" i="2"/>
  <c r="AW173" i="2"/>
  <c r="AX75" i="2"/>
  <c r="AW75" i="2"/>
  <c r="AX115" i="2"/>
  <c r="AW115" i="2"/>
  <c r="AX155" i="2"/>
  <c r="AW155" i="2"/>
  <c r="AW168" i="2"/>
  <c r="AX168" i="2"/>
  <c r="AX164" i="2"/>
  <c r="AW164" i="2"/>
  <c r="AX33" i="2"/>
  <c r="AW33" i="2"/>
  <c r="AX129" i="2"/>
  <c r="AW129" i="2"/>
  <c r="AW133" i="2"/>
  <c r="AX133" i="2"/>
  <c r="AW193" i="2"/>
  <c r="AX193" i="2"/>
  <c r="AX117" i="2"/>
  <c r="AW117" i="2"/>
  <c r="AX131" i="2"/>
  <c r="AW131" i="2"/>
  <c r="AX83" i="2"/>
  <c r="AW83" i="2"/>
  <c r="AX79" i="2"/>
  <c r="AW79" i="2"/>
  <c r="AW50" i="2"/>
  <c r="AX50" i="2"/>
  <c r="AQ5" i="2"/>
  <c r="AR5" i="2" s="1"/>
  <c r="AB39" i="3" s="1"/>
  <c r="AW55" i="2"/>
  <c r="AX55" i="2"/>
  <c r="AX141" i="2"/>
  <c r="AW141" i="2"/>
  <c r="AW148" i="2"/>
  <c r="AX148" i="2"/>
  <c r="AW195" i="2"/>
  <c r="AX195" i="2"/>
  <c r="AW214" i="2"/>
  <c r="AX214" i="2"/>
  <c r="AW60" i="2"/>
  <c r="AX60" i="2"/>
  <c r="AW179" i="2"/>
  <c r="AX179" i="2"/>
  <c r="AX63" i="2"/>
  <c r="AW63" i="2"/>
  <c r="AW100" i="2"/>
  <c r="AX100" i="2"/>
  <c r="AW182" i="2"/>
  <c r="AX182" i="2"/>
  <c r="AW59" i="2"/>
  <c r="AX59" i="2"/>
  <c r="AW143" i="2"/>
  <c r="AX143" i="2"/>
  <c r="AX154" i="2"/>
  <c r="AW154" i="2"/>
  <c r="AW94" i="2"/>
  <c r="AX94" i="2"/>
  <c r="AW69" i="2"/>
  <c r="AX69" i="2"/>
  <c r="AW221" i="2"/>
  <c r="AX221" i="2"/>
  <c r="AW228" i="2"/>
  <c r="AX228" i="2"/>
  <c r="AW36" i="2"/>
  <c r="AX36" i="2"/>
  <c r="AW101" i="2"/>
  <c r="AX101" i="2"/>
  <c r="AW113" i="2"/>
  <c r="AX113" i="2"/>
  <c r="AX44" i="2"/>
  <c r="AW44" i="2"/>
  <c r="AX223" i="2"/>
  <c r="AW223" i="2"/>
  <c r="AW35" i="2"/>
  <c r="AX35" i="2"/>
  <c r="AX58" i="2"/>
  <c r="AW58" i="2"/>
  <c r="AX150" i="2"/>
  <c r="AW150" i="2"/>
  <c r="AX77" i="2"/>
  <c r="AW77" i="2"/>
  <c r="AW107" i="2"/>
  <c r="AX107" i="2"/>
  <c r="AX45" i="2"/>
  <c r="AW45" i="2"/>
  <c r="AQ23" i="2"/>
  <c r="AR23" i="2" s="1"/>
  <c r="AQ21" i="2"/>
  <c r="AR21" i="2" s="1"/>
  <c r="AQ9" i="2"/>
  <c r="AR9" i="2" s="1"/>
  <c r="AQ16" i="2"/>
  <c r="AR16" i="2" s="1"/>
  <c r="AQ13" i="2"/>
  <c r="AR13" i="2" s="1"/>
  <c r="AQ10" i="2"/>
  <c r="AR10" i="2" s="1"/>
  <c r="AQ17" i="2"/>
  <c r="AR17" i="2" s="1"/>
  <c r="AQ4" i="2"/>
  <c r="AR4" i="2" s="1"/>
  <c r="Z39" i="3" s="1"/>
  <c r="AQ6" i="2"/>
  <c r="AR6" i="2" s="1"/>
  <c r="AQ22" i="2"/>
  <c r="AR22" i="2" s="1"/>
  <c r="AQ14" i="2"/>
  <c r="AR14" i="2" s="1"/>
  <c r="AQ20" i="2"/>
  <c r="AR20" i="2" s="1"/>
  <c r="AQ8" i="2"/>
  <c r="AR8" i="2" s="1"/>
  <c r="AQ15" i="2"/>
  <c r="AR15" i="2" s="1"/>
  <c r="AQ19" i="2"/>
  <c r="AR19" i="2" s="1"/>
  <c r="AQ24" i="2"/>
  <c r="AR24" i="2" s="1"/>
  <c r="AS24" i="2" s="1"/>
  <c r="AQ11" i="2"/>
  <c r="AR11" i="2" s="1"/>
  <c r="AQ7" i="2"/>
  <c r="AR7" i="2" s="1"/>
  <c r="AQ12" i="2"/>
  <c r="AR12" i="2" s="1"/>
  <c r="AW207" i="2"/>
  <c r="AX207" i="2"/>
  <c r="AW127" i="2"/>
  <c r="AX127" i="2"/>
  <c r="AW97" i="2"/>
  <c r="AX97" i="2"/>
  <c r="AX135" i="2"/>
  <c r="AW135" i="2"/>
  <c r="AW104" i="2"/>
  <c r="AX104" i="2"/>
  <c r="AW213" i="2"/>
  <c r="AX213" i="2"/>
  <c r="AW124" i="2"/>
  <c r="AX124" i="2"/>
  <c r="AX215" i="2"/>
  <c r="AW215" i="2"/>
  <c r="AX103" i="2"/>
  <c r="AW103" i="2"/>
  <c r="AW202" i="2"/>
  <c r="AX202" i="2"/>
  <c r="AX122" i="2"/>
  <c r="AW122" i="2"/>
  <c r="AX184" i="2"/>
  <c r="AW184" i="2"/>
  <c r="AX121" i="2"/>
  <c r="AW121" i="2"/>
  <c r="AX76" i="2"/>
  <c r="AW76" i="2"/>
  <c r="AX225" i="2"/>
  <c r="AW225" i="2"/>
  <c r="AX73" i="2"/>
  <c r="AW73" i="2"/>
  <c r="AW51" i="2"/>
  <c r="AX51" i="2"/>
  <c r="AX118" i="2"/>
  <c r="AW118" i="2"/>
  <c r="AW120" i="2"/>
  <c r="AX120" i="2"/>
  <c r="AX80" i="2" l="1"/>
  <c r="AW80" i="2"/>
  <c r="AW49" i="2"/>
  <c r="AY49" i="2" s="1"/>
  <c r="AX52" i="2"/>
  <c r="AY52" i="2" s="1"/>
  <c r="AW137" i="2"/>
  <c r="AY137" i="2" s="1"/>
  <c r="AX174" i="2"/>
  <c r="AY174" i="2" s="1"/>
  <c r="AX180" i="2"/>
  <c r="AY180" i="2" s="1"/>
  <c r="AX92" i="2"/>
  <c r="AY92" i="2" s="1"/>
  <c r="BC79" i="2"/>
  <c r="AW142" i="2"/>
  <c r="AY142" i="2" s="1"/>
  <c r="AX204" i="2"/>
  <c r="AY204" i="2" s="1"/>
  <c r="AX227" i="2"/>
  <c r="AY227" i="2" s="1"/>
  <c r="AX85" i="2"/>
  <c r="AY85" i="2" s="1"/>
  <c r="AX208" i="2"/>
  <c r="AY208" i="2" s="1"/>
  <c r="AX114" i="2"/>
  <c r="AY114" i="2" s="1"/>
  <c r="AX209" i="2"/>
  <c r="AY209" i="2" s="1"/>
  <c r="AX196" i="2"/>
  <c r="AY196" i="2" s="1"/>
  <c r="AX111" i="2"/>
  <c r="AY111" i="2" s="1"/>
  <c r="AW162" i="2"/>
  <c r="AY162" i="2" s="1"/>
  <c r="AW57" i="2"/>
  <c r="AY57" i="2" s="1"/>
  <c r="AX206" i="2"/>
  <c r="AY206" i="2" s="1"/>
  <c r="AX84" i="2"/>
  <c r="AY84" i="2" s="1"/>
  <c r="AX42" i="2"/>
  <c r="AY42" i="2" s="1"/>
  <c r="AW90" i="2"/>
  <c r="AY90" i="2" s="1"/>
  <c r="AW130" i="2"/>
  <c r="AY130" i="2" s="1"/>
  <c r="AW72" i="2"/>
  <c r="AY72" i="2" s="1"/>
  <c r="AX178" i="2"/>
  <c r="AY178" i="2" s="1"/>
  <c r="AX138" i="2"/>
  <c r="AY138" i="2" s="1"/>
  <c r="AW175" i="2"/>
  <c r="AY175" i="2" s="1"/>
  <c r="AX212" i="2"/>
  <c r="AY212" i="2" s="1"/>
  <c r="AW98" i="2"/>
  <c r="AY98" i="2" s="1"/>
  <c r="AW226" i="2"/>
  <c r="AY226" i="2" s="1"/>
  <c r="AW99" i="2"/>
  <c r="AY99" i="2" s="1"/>
  <c r="AX126" i="2"/>
  <c r="AY126" i="2" s="1"/>
  <c r="AW119" i="2"/>
  <c r="AY119" i="2" s="1"/>
  <c r="AX188" i="2"/>
  <c r="AY188" i="2" s="1"/>
  <c r="AX190" i="2"/>
  <c r="AY190" i="2" s="1"/>
  <c r="AX106" i="2"/>
  <c r="AY106" i="2" s="1"/>
  <c r="AX167" i="2"/>
  <c r="AY167" i="2" s="1"/>
  <c r="AW81" i="2"/>
  <c r="AW181" i="2"/>
  <c r="AY181" i="2" s="1"/>
  <c r="AW224" i="2"/>
  <c r="AY224" i="2" s="1"/>
  <c r="AX34" i="2"/>
  <c r="AY34" i="2" s="1"/>
  <c r="AX210" i="2"/>
  <c r="AY210" i="2" s="1"/>
  <c r="AW47" i="2"/>
  <c r="AY47" i="2" s="1"/>
  <c r="AW197" i="2"/>
  <c r="AY197" i="2" s="1"/>
  <c r="AX82" i="2"/>
  <c r="AY82" i="2" s="1"/>
  <c r="AX185" i="2"/>
  <c r="AY185" i="2" s="1"/>
  <c r="AX147" i="2"/>
  <c r="AY147" i="2" s="1"/>
  <c r="AX222" i="2"/>
  <c r="AY222" i="2" s="1"/>
  <c r="AW62" i="2"/>
  <c r="AZ60" i="2" s="1"/>
  <c r="AW166" i="2"/>
  <c r="AY166" i="2" s="1"/>
  <c r="AX32" i="2"/>
  <c r="AY32" i="2" s="1"/>
  <c r="AW176" i="2"/>
  <c r="AY176" i="2" s="1"/>
  <c r="AX157" i="2"/>
  <c r="AY157" i="2" s="1"/>
  <c r="AW189" i="2"/>
  <c r="AY189" i="2" s="1"/>
  <c r="AW146" i="2"/>
  <c r="AY146" i="2" s="1"/>
  <c r="AX192" i="2"/>
  <c r="AY192" i="2" s="1"/>
  <c r="AX183" i="2"/>
  <c r="AY183" i="2" s="1"/>
  <c r="AW145" i="2"/>
  <c r="AY145" i="2" s="1"/>
  <c r="AW123" i="2"/>
  <c r="AY123" i="2" s="1"/>
  <c r="BC80" i="2"/>
  <c r="AX109" i="2"/>
  <c r="AY109" i="2" s="1"/>
  <c r="AW139" i="2"/>
  <c r="AY139" i="2" s="1"/>
  <c r="AW78" i="2"/>
  <c r="AX201" i="2"/>
  <c r="AY201" i="2" s="1"/>
  <c r="AX43" i="2"/>
  <c r="AY43" i="2" s="1"/>
  <c r="AW160" i="2"/>
  <c r="AY160" i="2" s="1"/>
  <c r="AW211" i="2"/>
  <c r="AY211" i="2" s="1"/>
  <c r="AX203" i="2"/>
  <c r="AY203" i="2" s="1"/>
  <c r="AX110" i="2"/>
  <c r="AY110" i="2" s="1"/>
  <c r="AW140" i="2"/>
  <c r="AY140" i="2" s="1"/>
  <c r="AX186" i="2"/>
  <c r="AY186" i="2" s="1"/>
  <c r="AX62" i="2"/>
  <c r="AG4" i="2" s="1"/>
  <c r="BC61" i="2"/>
  <c r="BC63" i="2"/>
  <c r="AX89" i="2"/>
  <c r="AY89" i="2" s="1"/>
  <c r="AW132" i="2"/>
  <c r="AY132" i="2" s="1"/>
  <c r="AW156" i="2"/>
  <c r="AY156" i="2" s="1"/>
  <c r="BC75" i="2"/>
  <c r="AW40" i="2"/>
  <c r="AY40" i="2" s="1"/>
  <c r="AW199" i="2"/>
  <c r="AX93" i="2"/>
  <c r="AY93" i="2" s="1"/>
  <c r="AX169" i="2"/>
  <c r="AY169" i="2" s="1"/>
  <c r="BC53" i="2"/>
  <c r="BC59" i="2"/>
  <c r="AW151" i="2"/>
  <c r="AY151" i="2" s="1"/>
  <c r="BC62" i="2"/>
  <c r="BC60" i="2"/>
  <c r="BC52" i="2"/>
  <c r="AW53" i="2"/>
  <c r="AW205" i="2"/>
  <c r="AY205" i="2" s="1"/>
  <c r="AX153" i="2"/>
  <c r="AY153" i="2" s="1"/>
  <c r="BC36" i="2"/>
  <c r="AX161" i="2"/>
  <c r="AY161" i="2" s="1"/>
  <c r="BC57" i="2"/>
  <c r="AX159" i="2"/>
  <c r="AY159" i="2" s="1"/>
  <c r="BC38" i="2"/>
  <c r="AX116" i="2"/>
  <c r="AY116" i="2" s="1"/>
  <c r="AX66" i="2"/>
  <c r="AY66" i="2" s="1"/>
  <c r="AX170" i="2"/>
  <c r="AY170" i="2" s="1"/>
  <c r="AW39" i="2"/>
  <c r="AX39" i="2"/>
  <c r="AG9" i="2" s="1"/>
  <c r="BC41" i="2"/>
  <c r="BC40" i="2"/>
  <c r="BC39" i="2"/>
  <c r="AX88" i="2"/>
  <c r="AY88" i="2" s="1"/>
  <c r="AW95" i="2"/>
  <c r="AY95" i="2" s="1"/>
  <c r="AW136" i="2"/>
  <c r="AY136" i="2" s="1"/>
  <c r="AX91" i="2"/>
  <c r="AY91" i="2" s="1"/>
  <c r="AX177" i="2"/>
  <c r="AY177" i="2" s="1"/>
  <c r="BC68" i="2"/>
  <c r="BC43" i="2"/>
  <c r="AX87" i="2"/>
  <c r="AY87" i="2" s="1"/>
  <c r="BC42" i="2"/>
  <c r="BC64" i="2"/>
  <c r="AX65" i="2"/>
  <c r="AW65" i="2"/>
  <c r="AX125" i="2"/>
  <c r="AY125" i="2" s="1"/>
  <c r="BC33" i="2"/>
  <c r="AW46" i="2"/>
  <c r="AY46" i="2" s="1"/>
  <c r="AW68" i="2"/>
  <c r="AY68" i="2" s="1"/>
  <c r="BC51" i="2"/>
  <c r="BC37" i="2"/>
  <c r="BC67" i="2"/>
  <c r="BC35" i="2"/>
  <c r="BC77" i="2"/>
  <c r="AX53" i="2"/>
  <c r="AX78" i="2"/>
  <c r="BC56" i="2"/>
  <c r="BC55" i="2"/>
  <c r="BC34" i="2"/>
  <c r="BC76" i="2"/>
  <c r="BC65" i="2"/>
  <c r="AW74" i="2"/>
  <c r="AY74" i="2" s="1"/>
  <c r="BC78" i="2"/>
  <c r="AW187" i="2"/>
  <c r="AY187" i="2" s="1"/>
  <c r="AX158" i="2"/>
  <c r="AY158" i="2" s="1"/>
  <c r="AX229" i="2"/>
  <c r="AY229" i="2" s="1"/>
  <c r="BC66" i="2"/>
  <c r="AW144" i="2"/>
  <c r="AY144" i="2" s="1"/>
  <c r="AX112" i="2"/>
  <c r="AY112" i="2" s="1"/>
  <c r="AW108" i="2"/>
  <c r="AY108" i="2" s="1"/>
  <c r="BC54" i="2"/>
  <c r="BC69" i="2"/>
  <c r="BC127" i="2"/>
  <c r="AX134" i="2"/>
  <c r="AY134" i="2" s="1"/>
  <c r="BC45" i="2"/>
  <c r="BC129" i="2"/>
  <c r="BC104" i="2"/>
  <c r="AX96" i="2"/>
  <c r="AW96" i="2"/>
  <c r="BC85" i="2"/>
  <c r="BC100" i="2"/>
  <c r="BC118" i="2"/>
  <c r="BC136" i="2"/>
  <c r="BC160" i="2"/>
  <c r="BC223" i="2"/>
  <c r="BC72" i="2"/>
  <c r="BC48" i="2"/>
  <c r="BC212" i="2"/>
  <c r="BC191" i="2"/>
  <c r="BC150" i="2"/>
  <c r="BC71" i="2"/>
  <c r="BC74" i="2"/>
  <c r="BC220" i="2"/>
  <c r="BC73" i="2"/>
  <c r="BC125" i="2"/>
  <c r="BC32" i="2"/>
  <c r="BC47" i="2"/>
  <c r="BC106" i="2"/>
  <c r="BC222" i="2"/>
  <c r="BC224" i="2"/>
  <c r="BC46" i="2"/>
  <c r="BC196" i="2"/>
  <c r="BC134" i="2"/>
  <c r="BC193" i="2"/>
  <c r="BC214" i="2"/>
  <c r="BC148" i="2"/>
  <c r="BC189" i="2"/>
  <c r="BC119" i="2"/>
  <c r="BC207" i="2"/>
  <c r="BC181" i="2"/>
  <c r="BC161" i="2"/>
  <c r="BC96" i="2"/>
  <c r="AW48" i="2"/>
  <c r="AX71" i="2"/>
  <c r="BC186" i="2"/>
  <c r="BC44" i="2"/>
  <c r="BC70" i="2"/>
  <c r="BC49" i="2"/>
  <c r="AW71" i="2"/>
  <c r="BC128" i="2"/>
  <c r="BC50" i="2"/>
  <c r="BC201" i="2"/>
  <c r="AX48" i="2"/>
  <c r="AX194" i="2"/>
  <c r="AY194" i="2" s="1"/>
  <c r="BC142" i="2"/>
  <c r="BC175" i="2"/>
  <c r="BC188" i="2"/>
  <c r="BC152" i="2"/>
  <c r="BC202" i="2"/>
  <c r="BC121" i="2"/>
  <c r="BC139" i="2"/>
  <c r="BC155" i="2"/>
  <c r="BC87" i="2"/>
  <c r="BC184" i="2"/>
  <c r="BC133" i="2"/>
  <c r="BC199" i="2"/>
  <c r="BC179" i="2"/>
  <c r="BC180" i="2"/>
  <c r="BC210" i="2"/>
  <c r="BC101" i="2"/>
  <c r="BC137" i="2"/>
  <c r="BC149" i="2"/>
  <c r="BC172" i="2"/>
  <c r="BC182" i="2"/>
  <c r="BC123" i="2"/>
  <c r="BC159" i="2"/>
  <c r="BC209" i="2"/>
  <c r="BC213" i="2"/>
  <c r="BC131" i="2"/>
  <c r="BC111" i="2"/>
  <c r="BC200" i="2"/>
  <c r="BC205" i="2"/>
  <c r="BC91" i="2"/>
  <c r="BC204" i="2"/>
  <c r="BC88" i="2"/>
  <c r="BC105" i="2"/>
  <c r="BC138" i="2"/>
  <c r="BC107" i="2"/>
  <c r="BC164" i="2"/>
  <c r="BC217" i="2"/>
  <c r="BC147" i="2"/>
  <c r="BC178" i="2"/>
  <c r="BC112" i="2"/>
  <c r="BC167" i="2"/>
  <c r="BC153" i="2"/>
  <c r="BC92" i="2"/>
  <c r="BC187" i="2"/>
  <c r="BC171" i="2"/>
  <c r="BC115" i="2"/>
  <c r="BC135" i="2"/>
  <c r="BC174" i="2"/>
  <c r="BC163" i="2"/>
  <c r="BC109" i="2"/>
  <c r="BC173" i="2"/>
  <c r="BC194" i="2"/>
  <c r="BC144" i="2"/>
  <c r="BC132" i="2"/>
  <c r="BC227" i="2"/>
  <c r="BC120" i="2"/>
  <c r="BC84" i="2"/>
  <c r="BC126" i="2"/>
  <c r="BC140" i="2"/>
  <c r="BC219" i="2"/>
  <c r="BC229" i="2"/>
  <c r="BC89" i="2"/>
  <c r="BC177" i="2"/>
  <c r="BC195" i="2"/>
  <c r="BC215" i="2"/>
  <c r="BC183" i="2"/>
  <c r="BC116" i="2"/>
  <c r="BC198" i="2"/>
  <c r="BC99" i="2"/>
  <c r="BC82" i="2"/>
  <c r="BC83" i="2"/>
  <c r="BC117" i="2"/>
  <c r="BC206" i="2"/>
  <c r="BC93" i="2"/>
  <c r="BC141" i="2"/>
  <c r="BC208" i="2"/>
  <c r="BC145" i="2"/>
  <c r="BC151" i="2"/>
  <c r="BC122" i="2"/>
  <c r="BC185" i="2"/>
  <c r="BC90" i="2"/>
  <c r="BC113" i="2"/>
  <c r="BC176" i="2"/>
  <c r="BC169" i="2"/>
  <c r="BC157" i="2"/>
  <c r="BC94" i="2"/>
  <c r="BC228" i="2"/>
  <c r="BC211" i="2"/>
  <c r="BC86" i="2"/>
  <c r="BC166" i="2"/>
  <c r="BC98" i="2"/>
  <c r="BC108" i="2"/>
  <c r="BC218" i="2"/>
  <c r="BC170" i="2"/>
  <c r="AX218" i="2"/>
  <c r="AY218" i="2" s="1"/>
  <c r="BC110" i="2"/>
  <c r="BC192" i="2"/>
  <c r="BC102" i="2"/>
  <c r="BC95" i="2"/>
  <c r="BC226" i="2"/>
  <c r="BC154" i="2"/>
  <c r="BC168" i="2"/>
  <c r="BC103" i="2"/>
  <c r="BC158" i="2"/>
  <c r="BC225" i="2"/>
  <c r="BC203" i="2"/>
  <c r="BC162" i="2"/>
  <c r="BC221" i="2"/>
  <c r="BC97" i="2"/>
  <c r="BC190" i="2"/>
  <c r="BC146" i="2"/>
  <c r="BC114" i="2"/>
  <c r="BC81" i="2"/>
  <c r="BC124" i="2"/>
  <c r="BC130" i="2"/>
  <c r="BC143" i="2"/>
  <c r="BC165" i="2"/>
  <c r="BC216" i="2"/>
  <c r="BC197" i="2"/>
  <c r="BC156" i="2"/>
  <c r="L36" i="3"/>
  <c r="AD39" i="3"/>
  <c r="AE39" i="3" s="1"/>
  <c r="AY73" i="2"/>
  <c r="AY193" i="2"/>
  <c r="AY168" i="2"/>
  <c r="AY102" i="2"/>
  <c r="AY172" i="2"/>
  <c r="AY37" i="2"/>
  <c r="AY76" i="2"/>
  <c r="AY225" i="2"/>
  <c r="AY50" i="2"/>
  <c r="AY219" i="2"/>
  <c r="AY59" i="2"/>
  <c r="AY100" i="2"/>
  <c r="AY63" i="2"/>
  <c r="AY58" i="2"/>
  <c r="AY35" i="2"/>
  <c r="AY36" i="2"/>
  <c r="AY195" i="2"/>
  <c r="AY121" i="2"/>
  <c r="AY184" i="2"/>
  <c r="AY103" i="2"/>
  <c r="AY104" i="2"/>
  <c r="AY207" i="2"/>
  <c r="AY133" i="2"/>
  <c r="AY38" i="2"/>
  <c r="AY70" i="2"/>
  <c r="AY67" i="2"/>
  <c r="AY216" i="2"/>
  <c r="AY120" i="2"/>
  <c r="AY202" i="2"/>
  <c r="AY118" i="2"/>
  <c r="AY124" i="2"/>
  <c r="AY97" i="2"/>
  <c r="AY79" i="2"/>
  <c r="AY149" i="2"/>
  <c r="AY56" i="2"/>
  <c r="AY51" i="2"/>
  <c r="AY127" i="2"/>
  <c r="AY141" i="2"/>
  <c r="AY117" i="2"/>
  <c r="AY164" i="2"/>
  <c r="AY64" i="2"/>
  <c r="AY61" i="2"/>
  <c r="AY171" i="2"/>
  <c r="AY105" i="2"/>
  <c r="AY163" i="2"/>
  <c r="AY44" i="2"/>
  <c r="AY228" i="2"/>
  <c r="AY94" i="2"/>
  <c r="AY148" i="2"/>
  <c r="AY86" i="2"/>
  <c r="AY77" i="2"/>
  <c r="AY122" i="2"/>
  <c r="AY215" i="2"/>
  <c r="AY135" i="2"/>
  <c r="AS7" i="2"/>
  <c r="AT7" i="2"/>
  <c r="AS10" i="2"/>
  <c r="AT10" i="2"/>
  <c r="AY223" i="2"/>
  <c r="AY113" i="2"/>
  <c r="AY179" i="2"/>
  <c r="AY129" i="2"/>
  <c r="AY155" i="2"/>
  <c r="AY173" i="2"/>
  <c r="AY54" i="2"/>
  <c r="AY191" i="2"/>
  <c r="AY165" i="2"/>
  <c r="AS14" i="2"/>
  <c r="AT14" i="2"/>
  <c r="AY213" i="2"/>
  <c r="AS11" i="2"/>
  <c r="AT11" i="2"/>
  <c r="AS13" i="2"/>
  <c r="AT13" i="2"/>
  <c r="AY152" i="2"/>
  <c r="AY200" i="2"/>
  <c r="AY41" i="2"/>
  <c r="AS5" i="2"/>
  <c r="AT5" i="2"/>
  <c r="AS17" i="2"/>
  <c r="AT17" i="2"/>
  <c r="AY217" i="2"/>
  <c r="AS19" i="2"/>
  <c r="AT19" i="2"/>
  <c r="AY150" i="2"/>
  <c r="AS15" i="2"/>
  <c r="AT15" i="2"/>
  <c r="AS21" i="2"/>
  <c r="AT21" i="2"/>
  <c r="AY221" i="2"/>
  <c r="AY154" i="2"/>
  <c r="AY60" i="2"/>
  <c r="AY33" i="2"/>
  <c r="AY198" i="2"/>
  <c r="AY75" i="2"/>
  <c r="AY128" i="2"/>
  <c r="AS6" i="2"/>
  <c r="AT6" i="2"/>
  <c r="AY131" i="2"/>
  <c r="AY220" i="2"/>
  <c r="AS12" i="2"/>
  <c r="AT12" i="2"/>
  <c r="AY45" i="2"/>
  <c r="AS8" i="2"/>
  <c r="AT8" i="2"/>
  <c r="AS22" i="2"/>
  <c r="AT22" i="2"/>
  <c r="AY83" i="2"/>
  <c r="AS4" i="2"/>
  <c r="AT4" i="2"/>
  <c r="AS16" i="2"/>
  <c r="AT16" i="2"/>
  <c r="AS9" i="2"/>
  <c r="AT9" i="2"/>
  <c r="AT23" i="2"/>
  <c r="AS23" i="2"/>
  <c r="AS20" i="2"/>
  <c r="AT20" i="2"/>
  <c r="AY107" i="2"/>
  <c r="AY101" i="2"/>
  <c r="AY69" i="2"/>
  <c r="AY143" i="2"/>
  <c r="AY182" i="2"/>
  <c r="AY214" i="2"/>
  <c r="AY55" i="2"/>
  <c r="AY115" i="2"/>
  <c r="AU18" i="2"/>
  <c r="AG5" i="2" l="1"/>
  <c r="AV5" i="2" s="1"/>
  <c r="BH82" i="2"/>
  <c r="BI90" i="2" s="1"/>
  <c r="AY80" i="2"/>
  <c r="AY81" i="2"/>
  <c r="AZ79" i="2"/>
  <c r="BD55" i="2"/>
  <c r="AZ53" i="2"/>
  <c r="AZ77" i="2"/>
  <c r="AZ38" i="2"/>
  <c r="AZ40" i="2"/>
  <c r="AZ36" i="2"/>
  <c r="AZ63" i="2"/>
  <c r="AZ58" i="2"/>
  <c r="BD60" i="2"/>
  <c r="AZ61" i="2"/>
  <c r="AZ37" i="2"/>
  <c r="AZ68" i="2"/>
  <c r="AZ35" i="2"/>
  <c r="AZ59" i="2"/>
  <c r="AZ62" i="2"/>
  <c r="AZ39" i="2"/>
  <c r="AZ78" i="2"/>
  <c r="AZ76" i="2"/>
  <c r="BD72" i="2"/>
  <c r="AZ80" i="2"/>
  <c r="BD75" i="2"/>
  <c r="AZ75" i="2"/>
  <c r="AG7" i="2"/>
  <c r="AV7" i="2" s="1"/>
  <c r="AZ33" i="2"/>
  <c r="BD41" i="2"/>
  <c r="AZ57" i="2"/>
  <c r="AZ67" i="2"/>
  <c r="AZ207" i="2"/>
  <c r="AZ64" i="2"/>
  <c r="BD39" i="2"/>
  <c r="AZ66" i="2"/>
  <c r="BD47" i="2"/>
  <c r="AY199" i="2"/>
  <c r="AZ45" i="2"/>
  <c r="AZ49" i="2"/>
  <c r="AZ56" i="2"/>
  <c r="AY62" i="2"/>
  <c r="AH4" i="2" s="1"/>
  <c r="Z38" i="3" s="1"/>
  <c r="AG8" i="2"/>
  <c r="AV8" i="2" s="1"/>
  <c r="AY78" i="2"/>
  <c r="AY65" i="2"/>
  <c r="AH8" i="2" s="1"/>
  <c r="AZ41" i="2"/>
  <c r="AZ43" i="2"/>
  <c r="AZ65" i="2"/>
  <c r="AZ44" i="2"/>
  <c r="AZ42" i="2"/>
  <c r="AY53" i="2"/>
  <c r="AH6" i="2" s="1"/>
  <c r="AY96" i="2"/>
  <c r="AY71" i="2"/>
  <c r="AH10" i="2" s="1"/>
  <c r="AZ183" i="2"/>
  <c r="AZ111" i="2"/>
  <c r="AG6" i="2"/>
  <c r="AV6" i="2" s="1"/>
  <c r="AY39" i="2"/>
  <c r="AH9" i="2" s="1"/>
  <c r="AZ134" i="2"/>
  <c r="AZ34" i="2"/>
  <c r="AZ55" i="2"/>
  <c r="AG10" i="2"/>
  <c r="AV10" i="2" s="1"/>
  <c r="AZ52" i="2"/>
  <c r="AZ51" i="2"/>
  <c r="AZ54" i="2"/>
  <c r="AZ74" i="2"/>
  <c r="AZ48" i="2"/>
  <c r="BD142" i="2"/>
  <c r="AZ46" i="2"/>
  <c r="AY48" i="2"/>
  <c r="AH7" i="2" s="1"/>
  <c r="AZ50" i="2"/>
  <c r="AZ32" i="2"/>
  <c r="AZ47" i="2"/>
  <c r="AZ146" i="2"/>
  <c r="AZ141" i="2"/>
  <c r="AZ114" i="2"/>
  <c r="AZ201" i="2"/>
  <c r="AZ116" i="2"/>
  <c r="AZ145" i="2"/>
  <c r="AZ106" i="2"/>
  <c r="AZ125" i="2"/>
  <c r="AZ128" i="2"/>
  <c r="AZ205" i="2"/>
  <c r="AZ171" i="2"/>
  <c r="AZ173" i="2"/>
  <c r="AZ214" i="2"/>
  <c r="AZ165" i="2"/>
  <c r="AZ102" i="2"/>
  <c r="AZ208" i="2"/>
  <c r="AZ132" i="2"/>
  <c r="AZ85" i="2"/>
  <c r="AZ219" i="2"/>
  <c r="AZ222" i="2"/>
  <c r="AZ228" i="2"/>
  <c r="AZ160" i="2"/>
  <c r="AZ220" i="2"/>
  <c r="AZ149" i="2"/>
  <c r="AZ97" i="2"/>
  <c r="AZ152" i="2"/>
  <c r="AZ91" i="2"/>
  <c r="AZ179" i="2"/>
  <c r="AZ94" i="2"/>
  <c r="AZ150" i="2"/>
  <c r="AZ124" i="2"/>
  <c r="AZ224" i="2"/>
  <c r="AZ113" i="2"/>
  <c r="AZ112" i="2"/>
  <c r="AZ162" i="2"/>
  <c r="AZ84" i="2"/>
  <c r="AZ147" i="2"/>
  <c r="AZ167" i="2"/>
  <c r="AG11" i="2"/>
  <c r="AV11" i="2" s="1"/>
  <c r="AZ83" i="2"/>
  <c r="AZ210" i="2"/>
  <c r="AZ156" i="2"/>
  <c r="AZ135" i="2"/>
  <c r="AZ103" i="2"/>
  <c r="AZ107" i="2"/>
  <c r="AZ197" i="2"/>
  <c r="AZ192" i="2"/>
  <c r="AZ82" i="2"/>
  <c r="AZ164" i="2"/>
  <c r="AZ213" i="2"/>
  <c r="AZ123" i="2"/>
  <c r="AZ140" i="2"/>
  <c r="AZ118" i="2"/>
  <c r="AZ166" i="2"/>
  <c r="AZ159" i="2"/>
  <c r="AZ169" i="2"/>
  <c r="AZ108" i="2"/>
  <c r="AZ202" i="2"/>
  <c r="AZ131" i="2"/>
  <c r="AZ101" i="2"/>
  <c r="AZ99" i="2"/>
  <c r="AZ226" i="2"/>
  <c r="AZ87" i="2"/>
  <c r="AZ144" i="2"/>
  <c r="AZ110" i="2"/>
  <c r="AZ120" i="2"/>
  <c r="AZ155" i="2"/>
  <c r="AZ177" i="2"/>
  <c r="AZ90" i="2"/>
  <c r="AZ119" i="2"/>
  <c r="AZ81" i="2"/>
  <c r="AZ180" i="2"/>
  <c r="AZ181" i="2"/>
  <c r="AZ154" i="2"/>
  <c r="AZ153" i="2"/>
  <c r="AZ168" i="2"/>
  <c r="AZ137" i="2"/>
  <c r="AZ188" i="2"/>
  <c r="AZ198" i="2"/>
  <c r="AZ196" i="2"/>
  <c r="AZ203" i="2"/>
  <c r="AZ223" i="2"/>
  <c r="AZ88" i="2"/>
  <c r="AZ126" i="2"/>
  <c r="AZ209" i="2"/>
  <c r="AZ133" i="2"/>
  <c r="AZ151" i="2"/>
  <c r="AZ86" i="2"/>
  <c r="AZ158" i="2"/>
  <c r="AZ174" i="2"/>
  <c r="AZ200" i="2"/>
  <c r="AZ185" i="2"/>
  <c r="AZ211" i="2"/>
  <c r="AZ136" i="2"/>
  <c r="AZ199" i="2"/>
  <c r="AZ176" i="2"/>
  <c r="AZ178" i="2"/>
  <c r="AZ194" i="2"/>
  <c r="AZ187" i="2"/>
  <c r="AZ215" i="2"/>
  <c r="AZ182" i="2"/>
  <c r="AZ89" i="2"/>
  <c r="AZ157" i="2"/>
  <c r="AZ190" i="2"/>
  <c r="AZ204" i="2"/>
  <c r="AZ127" i="2"/>
  <c r="AZ163" i="2"/>
  <c r="AZ93" i="2"/>
  <c r="AZ189" i="2"/>
  <c r="AZ104" i="2"/>
  <c r="AZ216" i="2"/>
  <c r="AZ117" i="2"/>
  <c r="AZ148" i="2"/>
  <c r="AZ225" i="2"/>
  <c r="AZ138" i="2"/>
  <c r="AZ186" i="2"/>
  <c r="AZ175" i="2"/>
  <c r="AZ227" i="2"/>
  <c r="AZ129" i="2"/>
  <c r="AZ121" i="2"/>
  <c r="AZ206" i="2"/>
  <c r="AZ184" i="2"/>
  <c r="AZ92" i="2"/>
  <c r="AZ139" i="2"/>
  <c r="AZ217" i="2"/>
  <c r="AZ115" i="2"/>
  <c r="AZ229" i="2"/>
  <c r="AZ98" i="2"/>
  <c r="AZ96" i="2"/>
  <c r="AZ130" i="2"/>
  <c r="AZ212" i="2"/>
  <c r="AZ95" i="2"/>
  <c r="AZ122" i="2"/>
  <c r="AZ109" i="2"/>
  <c r="AZ221" i="2"/>
  <c r="AZ161" i="2"/>
  <c r="AZ100" i="2"/>
  <c r="AZ195" i="2"/>
  <c r="AZ143" i="2"/>
  <c r="AZ170" i="2"/>
  <c r="AZ142" i="2"/>
  <c r="AZ218" i="2"/>
  <c r="AZ193" i="2"/>
  <c r="AZ105" i="2"/>
  <c r="AZ191" i="2"/>
  <c r="AZ172" i="2"/>
  <c r="AG23" i="2"/>
  <c r="AV23" i="2" s="1"/>
  <c r="AG14" i="2"/>
  <c r="AV14" i="2" s="1"/>
  <c r="AZ70" i="2"/>
  <c r="AZ72" i="2"/>
  <c r="AZ69" i="2"/>
  <c r="AZ71" i="2"/>
  <c r="AZ73" i="2"/>
  <c r="AG12" i="2"/>
  <c r="AV12" i="2" s="1"/>
  <c r="AG13" i="2"/>
  <c r="AV13" i="2" s="1"/>
  <c r="AG15" i="2"/>
  <c r="AV15" i="2" s="1"/>
  <c r="AG16" i="2"/>
  <c r="AV16" i="2" s="1"/>
  <c r="AG17" i="2"/>
  <c r="AV17" i="2" s="1"/>
  <c r="AG18" i="2"/>
  <c r="AV18" i="2" s="1"/>
  <c r="AW18" i="2" s="1"/>
  <c r="AG20" i="2"/>
  <c r="AV20" i="2" s="1"/>
  <c r="AG19" i="2"/>
  <c r="AV19" i="2" s="1"/>
  <c r="AG21" i="2"/>
  <c r="AV21" i="2" s="1"/>
  <c r="AG22" i="2"/>
  <c r="AV22" i="2" s="1"/>
  <c r="BD110" i="2"/>
  <c r="BD53" i="2"/>
  <c r="BD211" i="2"/>
  <c r="BD80" i="2"/>
  <c r="BD69" i="2"/>
  <c r="BD123" i="2"/>
  <c r="BD165" i="2"/>
  <c r="BD54" i="2"/>
  <c r="BD137" i="2"/>
  <c r="BD146" i="2"/>
  <c r="BD74" i="2"/>
  <c r="BD68" i="2"/>
  <c r="BD124" i="2"/>
  <c r="BD163" i="2"/>
  <c r="BD102" i="2"/>
  <c r="BD95" i="2"/>
  <c r="BD103" i="2"/>
  <c r="BD206" i="2"/>
  <c r="BD168" i="2"/>
  <c r="BD184" i="2"/>
  <c r="BD40" i="2"/>
  <c r="BD196" i="2"/>
  <c r="BD192" i="2"/>
  <c r="BD182" i="2"/>
  <c r="BD118" i="2"/>
  <c r="BD97" i="2"/>
  <c r="BD227" i="2"/>
  <c r="BD164" i="2"/>
  <c r="BD115" i="2"/>
  <c r="BD51" i="2"/>
  <c r="BD228" i="2"/>
  <c r="BD221" i="2"/>
  <c r="BD35" i="2"/>
  <c r="BD76" i="2"/>
  <c r="BD33" i="2"/>
  <c r="BD144" i="2"/>
  <c r="BD85" i="2"/>
  <c r="BD178" i="2"/>
  <c r="BD119" i="2"/>
  <c r="BD147" i="2"/>
  <c r="BD84" i="2"/>
  <c r="BD88" i="2"/>
  <c r="BD208" i="2"/>
  <c r="BD120" i="2"/>
  <c r="BD127" i="2"/>
  <c r="BD83" i="2"/>
  <c r="BD62" i="2"/>
  <c r="BD89" i="2"/>
  <c r="BD130" i="2"/>
  <c r="BD79" i="2"/>
  <c r="BD113" i="2"/>
  <c r="BD190" i="2"/>
  <c r="BD154" i="2"/>
  <c r="BD93" i="2"/>
  <c r="BD91" i="2"/>
  <c r="BD78" i="2"/>
  <c r="BD158" i="2"/>
  <c r="BD141" i="2"/>
  <c r="BD157" i="2"/>
  <c r="BD131" i="2"/>
  <c r="BD34" i="2"/>
  <c r="BD219" i="2"/>
  <c r="BD193" i="2"/>
  <c r="BD101" i="2"/>
  <c r="BD129" i="2"/>
  <c r="BD149" i="2"/>
  <c r="BD160" i="2"/>
  <c r="BD125" i="2"/>
  <c r="BD132" i="2"/>
  <c r="BD96" i="2"/>
  <c r="BD161" i="2"/>
  <c r="BD105" i="2"/>
  <c r="BD61" i="2"/>
  <c r="BD201" i="2"/>
  <c r="BD183" i="2"/>
  <c r="BD155" i="2"/>
  <c r="BD172" i="2"/>
  <c r="BD188" i="2"/>
  <c r="BD57" i="2"/>
  <c r="BD52" i="2"/>
  <c r="BD36" i="2"/>
  <c r="BD152" i="2"/>
  <c r="BD66" i="2"/>
  <c r="BD140" i="2"/>
  <c r="BD181" i="2"/>
  <c r="BD58" i="2"/>
  <c r="BD43" i="2"/>
  <c r="BD194" i="2"/>
  <c r="BD87" i="2"/>
  <c r="BD189" i="2"/>
  <c r="BD210" i="2"/>
  <c r="BD173" i="2"/>
  <c r="BD216" i="2"/>
  <c r="BD48" i="2"/>
  <c r="BD32" i="2"/>
  <c r="BD153" i="2"/>
  <c r="BD223" i="2"/>
  <c r="BD205" i="2"/>
  <c r="BD218" i="2"/>
  <c r="BD111" i="2"/>
  <c r="BD81" i="2"/>
  <c r="BD143" i="2"/>
  <c r="BD150" i="2"/>
  <c r="BD167" i="2"/>
  <c r="BD134" i="2"/>
  <c r="BD82" i="2"/>
  <c r="BD100" i="2"/>
  <c r="BD217" i="2"/>
  <c r="BD213" i="2"/>
  <c r="BD126" i="2"/>
  <c r="BD148" i="2"/>
  <c r="BD203" i="2"/>
  <c r="BD151" i="2"/>
  <c r="BD226" i="2"/>
  <c r="BD177" i="2"/>
  <c r="BD67" i="2"/>
  <c r="BD198" i="2"/>
  <c r="BD45" i="2"/>
  <c r="BD133" i="2"/>
  <c r="BD121" i="2"/>
  <c r="BD170" i="2"/>
  <c r="BD138" i="2"/>
  <c r="BD159" i="2"/>
  <c r="BD42" i="2"/>
  <c r="BD180" i="2"/>
  <c r="BD195" i="2"/>
  <c r="BD174" i="2"/>
  <c r="BD222" i="2"/>
  <c r="BD179" i="2"/>
  <c r="BD73" i="2"/>
  <c r="BD70" i="2"/>
  <c r="BD108" i="2"/>
  <c r="BD122" i="2"/>
  <c r="BD176" i="2"/>
  <c r="BD191" i="2"/>
  <c r="BD116" i="2"/>
  <c r="BD212" i="2"/>
  <c r="BD109" i="2"/>
  <c r="BD209" i="2"/>
  <c r="BD77" i="2"/>
  <c r="BD139" i="2"/>
  <c r="BD65" i="2"/>
  <c r="BD50" i="2"/>
  <c r="BD114" i="2"/>
  <c r="BD46" i="2"/>
  <c r="BD98" i="2"/>
  <c r="BD86" i="2"/>
  <c r="BD94" i="2"/>
  <c r="BD63" i="2"/>
  <c r="BD200" i="2"/>
  <c r="BD162" i="2"/>
  <c r="BD112" i="2"/>
  <c r="BD107" i="2"/>
  <c r="BD171" i="2"/>
  <c r="BD128" i="2"/>
  <c r="BD90" i="2"/>
  <c r="BD187" i="2"/>
  <c r="AV9" i="2"/>
  <c r="BD38" i="2"/>
  <c r="BD220" i="2"/>
  <c r="BD145" i="2"/>
  <c r="BD64" i="2"/>
  <c r="BD92" i="2"/>
  <c r="BD71" i="2"/>
  <c r="BD156" i="2"/>
  <c r="BD185" i="2"/>
  <c r="BD106" i="2"/>
  <c r="BD136" i="2"/>
  <c r="BD186" i="2"/>
  <c r="BD169" i="2"/>
  <c r="BD229" i="2"/>
  <c r="BD99" i="2"/>
  <c r="BD215" i="2"/>
  <c r="BD49" i="2"/>
  <c r="BD197" i="2"/>
  <c r="BD104" i="2"/>
  <c r="BD166" i="2"/>
  <c r="BD224" i="2"/>
  <c r="BD59" i="2"/>
  <c r="BD117" i="2"/>
  <c r="BD207" i="2"/>
  <c r="BD202" i="2"/>
  <c r="BD214" i="2"/>
  <c r="BD44" i="2"/>
  <c r="BD37" i="2"/>
  <c r="BD199" i="2"/>
  <c r="BD225" i="2"/>
  <c r="BD175" i="2"/>
  <c r="BD56" i="2"/>
  <c r="BD135" i="2"/>
  <c r="BD204" i="2"/>
  <c r="AV4" i="2"/>
  <c r="AU7" i="2"/>
  <c r="AU15" i="2"/>
  <c r="AU16" i="2"/>
  <c r="AU17" i="2"/>
  <c r="AU10" i="2"/>
  <c r="AU8" i="2"/>
  <c r="AU23" i="2"/>
  <c r="AU9" i="2"/>
  <c r="AU6" i="2"/>
  <c r="AB35" i="3"/>
  <c r="AU5" i="2"/>
  <c r="AU21" i="2"/>
  <c r="AU13" i="2"/>
  <c r="AU19" i="2"/>
  <c r="AU11" i="2"/>
  <c r="AU12" i="2"/>
  <c r="Z35" i="3"/>
  <c r="AT24" i="2"/>
  <c r="AU4" i="2"/>
  <c r="AU14" i="2"/>
  <c r="AU20" i="2"/>
  <c r="AU22" i="2"/>
  <c r="AH5" i="2" l="1"/>
  <c r="AB38" i="3" s="1"/>
  <c r="BI85" i="2"/>
  <c r="BI87" i="2"/>
  <c r="BI88" i="2"/>
  <c r="BI83" i="2"/>
  <c r="BI86" i="2"/>
  <c r="BI84" i="2"/>
  <c r="BI82" i="2"/>
  <c r="BI89" i="2"/>
  <c r="AH12" i="2"/>
  <c r="AH17" i="2"/>
  <c r="AH18" i="2"/>
  <c r="AH13" i="2"/>
  <c r="AH14" i="2"/>
  <c r="AH15" i="2"/>
  <c r="AH16" i="2"/>
  <c r="AH22" i="2"/>
  <c r="AH19" i="2"/>
  <c r="AH20" i="2"/>
  <c r="AH11" i="2"/>
  <c r="AH21" i="2"/>
  <c r="AH23" i="2"/>
  <c r="BE44" i="2"/>
  <c r="W52" i="3" s="1"/>
  <c r="BE76" i="2"/>
  <c r="W29" i="3" s="1"/>
  <c r="BE200" i="2"/>
  <c r="BE53" i="2"/>
  <c r="W40" i="3" s="1"/>
  <c r="BE88" i="2"/>
  <c r="BE153" i="2"/>
  <c r="BE137" i="2"/>
  <c r="BE215" i="2"/>
  <c r="BE34" i="2"/>
  <c r="W47" i="3" s="1"/>
  <c r="BE94" i="2"/>
  <c r="BE180" i="2"/>
  <c r="BE45" i="2"/>
  <c r="W53" i="3" s="1"/>
  <c r="BE32" i="2"/>
  <c r="W60" i="3" s="1"/>
  <c r="W59" i="3" s="1"/>
  <c r="BE113" i="2"/>
  <c r="BE207" i="2"/>
  <c r="BE71" i="2"/>
  <c r="W87" i="3" s="1"/>
  <c r="BE96" i="2"/>
  <c r="BE191" i="2"/>
  <c r="BE183" i="2"/>
  <c r="BE134" i="2"/>
  <c r="BE48" i="2"/>
  <c r="W56" i="3" s="1"/>
  <c r="BE227" i="2"/>
  <c r="BE117" i="2"/>
  <c r="BE92" i="2"/>
  <c r="BE41" i="2"/>
  <c r="W71" i="3" s="1"/>
  <c r="BE98" i="2"/>
  <c r="BE67" i="2"/>
  <c r="W68" i="3" s="1"/>
  <c r="BE216" i="2"/>
  <c r="BE221" i="2"/>
  <c r="BE224" i="2"/>
  <c r="BE186" i="2"/>
  <c r="BE188" i="2"/>
  <c r="BE219" i="2"/>
  <c r="BE108" i="2"/>
  <c r="BE226" i="2"/>
  <c r="BE56" i="2"/>
  <c r="W43" i="3" s="1"/>
  <c r="BE136" i="2"/>
  <c r="BE104" i="2"/>
  <c r="BE38" i="2"/>
  <c r="W78" i="3" s="1"/>
  <c r="BE91" i="2"/>
  <c r="BE149" i="2"/>
  <c r="BE152" i="2"/>
  <c r="BE73" i="2"/>
  <c r="W89" i="3" s="1"/>
  <c r="BE161" i="2"/>
  <c r="BE111" i="2"/>
  <c r="BE225" i="2"/>
  <c r="BE75" i="2"/>
  <c r="W28" i="3" s="1"/>
  <c r="BE185" i="2"/>
  <c r="BE184" i="2"/>
  <c r="BE62" i="2"/>
  <c r="W18" i="3" s="1"/>
  <c r="BE84" i="2"/>
  <c r="BE139" i="2"/>
  <c r="BE179" i="2"/>
  <c r="BE80" i="2"/>
  <c r="W33" i="3" s="1"/>
  <c r="BE57" i="2"/>
  <c r="W44" i="3" s="1"/>
  <c r="BE201" i="2"/>
  <c r="BE148" i="2"/>
  <c r="BE218" i="2"/>
  <c r="BE87" i="2"/>
  <c r="BE43" i="2"/>
  <c r="W73" i="3" s="1"/>
  <c r="BE123" i="2"/>
  <c r="BE214" i="2"/>
  <c r="BE52" i="2"/>
  <c r="W39" i="3" s="1"/>
  <c r="BE63" i="2"/>
  <c r="W19" i="3" s="1"/>
  <c r="BE195" i="2"/>
  <c r="BE115" i="2"/>
  <c r="BE129" i="2"/>
  <c r="BE133" i="2"/>
  <c r="BE79" i="2"/>
  <c r="W32" i="3" s="1"/>
  <c r="BE160" i="2"/>
  <c r="BE93" i="2"/>
  <c r="BE202" i="2"/>
  <c r="BE107" i="2"/>
  <c r="BE154" i="2"/>
  <c r="BE33" i="2"/>
  <c r="W46" i="3" s="1"/>
  <c r="BE116" i="2"/>
  <c r="BE124" i="2"/>
  <c r="BE97" i="2"/>
  <c r="BE82" i="2"/>
  <c r="BE164" i="2"/>
  <c r="BE229" i="2"/>
  <c r="BE162" i="2"/>
  <c r="BE147" i="2"/>
  <c r="BE176" i="2"/>
  <c r="BE61" i="2"/>
  <c r="W17" i="3" s="1"/>
  <c r="BE72" i="2"/>
  <c r="W88" i="3" s="1"/>
  <c r="BE51" i="2"/>
  <c r="W38" i="3" s="1"/>
  <c r="BE167" i="2"/>
  <c r="BE54" i="2"/>
  <c r="W41" i="3" s="1"/>
  <c r="BE135" i="2"/>
  <c r="BE145" i="2"/>
  <c r="BE102" i="2"/>
  <c r="BE114" i="2"/>
  <c r="BE159" i="2"/>
  <c r="BE85" i="2"/>
  <c r="BE89" i="2"/>
  <c r="BE143" i="2"/>
  <c r="BE173" i="2"/>
  <c r="BE40" i="2"/>
  <c r="W80" i="3" s="1"/>
  <c r="BE127" i="2"/>
  <c r="BE166" i="2"/>
  <c r="BE220" i="2"/>
  <c r="BE125" i="2"/>
  <c r="BE144" i="2"/>
  <c r="BE146" i="2"/>
  <c r="BE50" i="2"/>
  <c r="W58" i="3" s="1"/>
  <c r="BE70" i="2"/>
  <c r="W86" i="3" s="1"/>
  <c r="BE138" i="2"/>
  <c r="BE69" i="2"/>
  <c r="W85" i="3" s="1"/>
  <c r="BE196" i="2"/>
  <c r="BE151" i="2"/>
  <c r="BE81" i="2"/>
  <c r="BE210" i="2"/>
  <c r="BE208" i="2"/>
  <c r="BE158" i="2"/>
  <c r="BE175" i="2"/>
  <c r="BE106" i="2"/>
  <c r="BE65" i="2"/>
  <c r="W66" i="3" s="1"/>
  <c r="BE170" i="2"/>
  <c r="BE132" i="2"/>
  <c r="BE203" i="2"/>
  <c r="BE189" i="2"/>
  <c r="BE206" i="2"/>
  <c r="BE74" i="2"/>
  <c r="W90" i="3" s="1"/>
  <c r="BE199" i="2"/>
  <c r="BE55" i="2"/>
  <c r="W42" i="3" s="1"/>
  <c r="BE78" i="2"/>
  <c r="W31" i="3" s="1"/>
  <c r="BE187" i="2"/>
  <c r="BE157" i="2"/>
  <c r="BE68" i="2"/>
  <c r="W69" i="3" s="1"/>
  <c r="BE35" i="2"/>
  <c r="W21" i="3" s="1"/>
  <c r="BE77" i="2"/>
  <c r="W30" i="3" s="1"/>
  <c r="BE222" i="2"/>
  <c r="BE131" i="2"/>
  <c r="BE155" i="2"/>
  <c r="BE165" i="2"/>
  <c r="BE126" i="2"/>
  <c r="BE205" i="2"/>
  <c r="BE194" i="2"/>
  <c r="BE228" i="2"/>
  <c r="BE211" i="2"/>
  <c r="BE197" i="2"/>
  <c r="BE128" i="2"/>
  <c r="BE101" i="2"/>
  <c r="BE193" i="2"/>
  <c r="BE109" i="2"/>
  <c r="BE130" i="2"/>
  <c r="BE121" i="2"/>
  <c r="BE217" i="2"/>
  <c r="BE178" i="2"/>
  <c r="BE49" i="2"/>
  <c r="W57" i="3" s="1"/>
  <c r="BE171" i="2"/>
  <c r="BE105" i="2"/>
  <c r="BE163" i="2"/>
  <c r="BE212" i="2"/>
  <c r="BE100" i="2"/>
  <c r="BE99" i="2"/>
  <c r="BE112" i="2"/>
  <c r="BE182" i="2"/>
  <c r="BE86" i="2"/>
  <c r="BE42" i="2"/>
  <c r="W72" i="3" s="1"/>
  <c r="BE110" i="2"/>
  <c r="BE198" i="2"/>
  <c r="BE103" i="2"/>
  <c r="BE204" i="2"/>
  <c r="BE59" i="2"/>
  <c r="W15" i="3" s="1"/>
  <c r="BE169" i="2"/>
  <c r="BE64" i="2"/>
  <c r="W65" i="3" s="1"/>
  <c r="BE58" i="2"/>
  <c r="W14" i="3" s="1"/>
  <c r="BE141" i="2"/>
  <c r="BE83" i="2"/>
  <c r="BE46" i="2"/>
  <c r="W54" i="3" s="1"/>
  <c r="BE122" i="2"/>
  <c r="BE36" i="2"/>
  <c r="W22" i="3" s="1"/>
  <c r="BE172" i="2"/>
  <c r="BE66" i="2"/>
  <c r="W67" i="3" s="1"/>
  <c r="BE177" i="2"/>
  <c r="BE150" i="2"/>
  <c r="BE47" i="2"/>
  <c r="W55" i="3" s="1"/>
  <c r="BE181" i="2"/>
  <c r="BE192" i="2"/>
  <c r="BE37" i="2"/>
  <c r="W23" i="3" s="1"/>
  <c r="BE60" i="2"/>
  <c r="W16" i="3" s="1"/>
  <c r="BE156" i="2"/>
  <c r="BE90" i="2"/>
  <c r="BE118" i="2"/>
  <c r="BE190" i="2"/>
  <c r="BE119" i="2"/>
  <c r="BE209" i="2"/>
  <c r="BE174" i="2"/>
  <c r="BE120" i="2"/>
  <c r="BE140" i="2"/>
  <c r="BE95" i="2"/>
  <c r="BE213" i="2"/>
  <c r="BE223" i="2"/>
  <c r="BE142" i="2"/>
  <c r="BE168" i="2"/>
  <c r="BE39" i="2"/>
  <c r="W79" i="3" s="1"/>
  <c r="AD35" i="3"/>
  <c r="AE35" i="3" s="1"/>
  <c r="BA112" i="2"/>
  <c r="BA38" i="2"/>
  <c r="BA60" i="2"/>
  <c r="BA82" i="2"/>
  <c r="BA76" i="2"/>
  <c r="BA51" i="2"/>
  <c r="BA64" i="2"/>
  <c r="BA73" i="2"/>
  <c r="BA47" i="2"/>
  <c r="BA57" i="2"/>
  <c r="BA61" i="2"/>
  <c r="BA58" i="2"/>
  <c r="BA111" i="2"/>
  <c r="BA190" i="2"/>
  <c r="BA204" i="2"/>
  <c r="BA213" i="2"/>
  <c r="BA183" i="2"/>
  <c r="BA208" i="2"/>
  <c r="BA218" i="2"/>
  <c r="BA224" i="2"/>
  <c r="BA91" i="2"/>
  <c r="BA124" i="2"/>
  <c r="BA161" i="2"/>
  <c r="BA156" i="2"/>
  <c r="BA146" i="2"/>
  <c r="BA129" i="2"/>
  <c r="BA205" i="2"/>
  <c r="BA108" i="2"/>
  <c r="BA176" i="2"/>
  <c r="BA102" i="2"/>
  <c r="BA225" i="2"/>
  <c r="BA33" i="2"/>
  <c r="BA139" i="2"/>
  <c r="BA113" i="2"/>
  <c r="BA223" i="2"/>
  <c r="BA169" i="2"/>
  <c r="BA126" i="2"/>
  <c r="BA160" i="2"/>
  <c r="BA212" i="2"/>
  <c r="BA145" i="2"/>
  <c r="BA189" i="2"/>
  <c r="BA219" i="2"/>
  <c r="BA110" i="2"/>
  <c r="BA162" i="2"/>
  <c r="BA105" i="2"/>
  <c r="BA133" i="2"/>
  <c r="BA163" i="2"/>
  <c r="BA226" i="2"/>
  <c r="BA167" i="2"/>
  <c r="BA221" i="2"/>
  <c r="BA165" i="2"/>
  <c r="BA222" i="2"/>
  <c r="BA215" i="2"/>
  <c r="BA121" i="2"/>
  <c r="BA140" i="2"/>
  <c r="BA128" i="2"/>
  <c r="BA104" i="2"/>
  <c r="BA192" i="2"/>
  <c r="BA32" i="2"/>
  <c r="BA56" i="2"/>
  <c r="BA118" i="2"/>
  <c r="BA106" i="2"/>
  <c r="BA196" i="2"/>
  <c r="BA130" i="2"/>
  <c r="BA188" i="2"/>
  <c r="BA216" i="2"/>
  <c r="BA199" i="2"/>
  <c r="BA119" i="2"/>
  <c r="BA214" i="2"/>
  <c r="BA142" i="2"/>
  <c r="BA138" i="2"/>
  <c r="BA97" i="2"/>
  <c r="BA170" i="2"/>
  <c r="BA220" i="2"/>
  <c r="BA173" i="2"/>
  <c r="BA147" i="2"/>
  <c r="BA95" i="2"/>
  <c r="BA136" i="2"/>
  <c r="BA39" i="2"/>
  <c r="BA158" i="2"/>
  <c r="BA209" i="2"/>
  <c r="BA143" i="2"/>
  <c r="BA116" i="2"/>
  <c r="BA120" i="2"/>
  <c r="BA50" i="2"/>
  <c r="BA125" i="2"/>
  <c r="BA93" i="2"/>
  <c r="BA144" i="2"/>
  <c r="BA185" i="2"/>
  <c r="BA174" i="2"/>
  <c r="BA168" i="2"/>
  <c r="BA134" i="2"/>
  <c r="BA109" i="2"/>
  <c r="BA149" i="2"/>
  <c r="BA179" i="2"/>
  <c r="BA193" i="2"/>
  <c r="BA123" i="2"/>
  <c r="BA182" i="2"/>
  <c r="BA152" i="2"/>
  <c r="BA166" i="2"/>
  <c r="BA150" i="2"/>
  <c r="BA210" i="2"/>
  <c r="BA114" i="2"/>
  <c r="BA177" i="2"/>
  <c r="BA49" i="2"/>
  <c r="BA217" i="2"/>
  <c r="BA191" i="2"/>
  <c r="BA135" i="2"/>
  <c r="BA55" i="2"/>
  <c r="BA98" i="2"/>
  <c r="BA229" i="2"/>
  <c r="BA172" i="2"/>
  <c r="BA131" i="2"/>
  <c r="BA100" i="2"/>
  <c r="BA201" i="2"/>
  <c r="BA151" i="2"/>
  <c r="BA203" i="2"/>
  <c r="BA171" i="2"/>
  <c r="BA127" i="2"/>
  <c r="BA180" i="2"/>
  <c r="BA89" i="2"/>
  <c r="BA92" i="2"/>
  <c r="BA227" i="2"/>
  <c r="BA69" i="2"/>
  <c r="BA66" i="2"/>
  <c r="BA36" i="2"/>
  <c r="BA77" i="2"/>
  <c r="BA42" i="2"/>
  <c r="BA84" i="2"/>
  <c r="BA53" i="2"/>
  <c r="BA59" i="2"/>
  <c r="BA195" i="2"/>
  <c r="BA115" i="2"/>
  <c r="BA86" i="2"/>
  <c r="BA164" i="2"/>
  <c r="BA197" i="2"/>
  <c r="BA34" i="2"/>
  <c r="BA148" i="2"/>
  <c r="BA206" i="2"/>
  <c r="BA178" i="2"/>
  <c r="BA154" i="2"/>
  <c r="BA132" i="2"/>
  <c r="BA200" i="2"/>
  <c r="BA141" i="2"/>
  <c r="BA48" i="2"/>
  <c r="BA70" i="2"/>
  <c r="BA72" i="2"/>
  <c r="BA79" i="2"/>
  <c r="BA37" i="2"/>
  <c r="BA75" i="2"/>
  <c r="BA88" i="2"/>
  <c r="BA67" i="2"/>
  <c r="BA35" i="2"/>
  <c r="BA63" i="2"/>
  <c r="BA90" i="2"/>
  <c r="BA181" i="2"/>
  <c r="BA99" i="2"/>
  <c r="BA52" i="2"/>
  <c r="BA40" i="2"/>
  <c r="BA96" i="2"/>
  <c r="BA198" i="2"/>
  <c r="BA153" i="2"/>
  <c r="BA186" i="2"/>
  <c r="BA207" i="2"/>
  <c r="BA187" i="2"/>
  <c r="BA122" i="2"/>
  <c r="BA44" i="2"/>
  <c r="BA157" i="2"/>
  <c r="BA74" i="2"/>
  <c r="BA107" i="2"/>
  <c r="BA41" i="2"/>
  <c r="BA155" i="2"/>
  <c r="BA54" i="2"/>
  <c r="BA65" i="2"/>
  <c r="BA43" i="2"/>
  <c r="AB34" i="3"/>
  <c r="AC34" i="3" s="1"/>
  <c r="BA83" i="2"/>
  <c r="BA71" i="2"/>
  <c r="BA85" i="2"/>
  <c r="BA46" i="2"/>
  <c r="BA81" i="2"/>
  <c r="BA78" i="2"/>
  <c r="BA80" i="2"/>
  <c r="BA94" i="2"/>
  <c r="BA117" i="2"/>
  <c r="BA68" i="2"/>
  <c r="BA62" i="2"/>
  <c r="BA211" i="2"/>
  <c r="BA184" i="2"/>
  <c r="BA202" i="2"/>
  <c r="BA194" i="2"/>
  <c r="BA45" i="2"/>
  <c r="BA159" i="2"/>
  <c r="BA175" i="2"/>
  <c r="BA101" i="2"/>
  <c r="BA103" i="2"/>
  <c r="BA228" i="2"/>
  <c r="BA137" i="2"/>
  <c r="BA87" i="2"/>
  <c r="AW21" i="2"/>
  <c r="AW6" i="2"/>
  <c r="AW16" i="2"/>
  <c r="AW12" i="2"/>
  <c r="AW10" i="2"/>
  <c r="AW22" i="2"/>
  <c r="AW11" i="2"/>
  <c r="AW9" i="2"/>
  <c r="AW15" i="2"/>
  <c r="AW23" i="2"/>
  <c r="AW20" i="2"/>
  <c r="AW7" i="2"/>
  <c r="AW14" i="2"/>
  <c r="AW8" i="2"/>
  <c r="AC39" i="3"/>
  <c r="AA35" i="3"/>
  <c r="AB36" i="3"/>
  <c r="AW5" i="2"/>
  <c r="AW17" i="2"/>
  <c r="Z34" i="3"/>
  <c r="AU24" i="2"/>
  <c r="AY10" i="2" s="1"/>
  <c r="Z36" i="3"/>
  <c r="AW4" i="2"/>
  <c r="AA39" i="3"/>
  <c r="AC35" i="3"/>
  <c r="AW19" i="2"/>
  <c r="AW13" i="2"/>
  <c r="W64" i="3" l="1"/>
  <c r="W27" i="3"/>
  <c r="W25" i="3" s="1"/>
  <c r="W20" i="3"/>
  <c r="W51" i="3"/>
  <c r="W49" i="3" s="1"/>
  <c r="W13" i="3"/>
  <c r="W84" i="3"/>
  <c r="W82" i="3" s="1"/>
  <c r="W70" i="3"/>
  <c r="W37" i="3"/>
  <c r="W45" i="3"/>
  <c r="W77" i="3"/>
  <c r="W75" i="3" s="1"/>
  <c r="AD36" i="3"/>
  <c r="AE36" i="3" s="1"/>
  <c r="AA34" i="3"/>
  <c r="AD34" i="3"/>
  <c r="AE34" i="3" s="1"/>
  <c r="AY7" i="2"/>
  <c r="AY14" i="2"/>
  <c r="AY6" i="2"/>
  <c r="AY16" i="2"/>
  <c r="AY8" i="2"/>
  <c r="AY18" i="2"/>
  <c r="AY21" i="2"/>
  <c r="AY23" i="2"/>
  <c r="AY19" i="2"/>
  <c r="AY22" i="2"/>
  <c r="AY15" i="2"/>
  <c r="AY17" i="2"/>
  <c r="AY11" i="2"/>
  <c r="AY13" i="2"/>
  <c r="AY20" i="2"/>
  <c r="AY12" i="2"/>
  <c r="AY9" i="2"/>
  <c r="AY4" i="2"/>
  <c r="Z40" i="3" s="1"/>
  <c r="AA40" i="3" s="1"/>
  <c r="AY5" i="2"/>
  <c r="AB40" i="3" s="1"/>
  <c r="AC40" i="3" s="1"/>
  <c r="AA38" i="3"/>
  <c r="AB41" i="3"/>
  <c r="AC41" i="3" s="1"/>
  <c r="BB184" i="2"/>
  <c r="BB82" i="2"/>
  <c r="BB170" i="2"/>
  <c r="BB92" i="2"/>
  <c r="BB74" i="2"/>
  <c r="BB102" i="2"/>
  <c r="BB135" i="2"/>
  <c r="BB211" i="2"/>
  <c r="BB167" i="2"/>
  <c r="BB192" i="2"/>
  <c r="BB183" i="2"/>
  <c r="BB88" i="2"/>
  <c r="BB215" i="2"/>
  <c r="BB32" i="2"/>
  <c r="V60" i="3" s="1"/>
  <c r="V59" i="3" s="1"/>
  <c r="BB62" i="2"/>
  <c r="BB171" i="2"/>
  <c r="BB90" i="2"/>
  <c r="BB174" i="2"/>
  <c r="BB47" i="2"/>
  <c r="BB225" i="2"/>
  <c r="BB109" i="2"/>
  <c r="BB137" i="2"/>
  <c r="BB122" i="2"/>
  <c r="BB218" i="2"/>
  <c r="BB64" i="2"/>
  <c r="BB204" i="2"/>
  <c r="BB45" i="2"/>
  <c r="BB190" i="2"/>
  <c r="BB201" i="2"/>
  <c r="BB177" i="2"/>
  <c r="BB43" i="2"/>
  <c r="V73" i="3" s="1"/>
  <c r="BB155" i="2"/>
  <c r="BB96" i="2"/>
  <c r="BB138" i="2"/>
  <c r="BB104" i="2"/>
  <c r="BB168" i="2"/>
  <c r="BB131" i="2"/>
  <c r="BB178" i="2"/>
  <c r="BB185" i="2"/>
  <c r="BB51" i="2"/>
  <c r="BB176" i="2"/>
  <c r="BB114" i="2"/>
  <c r="BB194" i="2"/>
  <c r="BB127" i="2"/>
  <c r="BB229" i="2"/>
  <c r="BB173" i="2"/>
  <c r="BB214" i="2"/>
  <c r="BB41" i="2"/>
  <c r="V71" i="3" s="1"/>
  <c r="BB40" i="2"/>
  <c r="V80" i="3" s="1"/>
  <c r="BB60" i="2"/>
  <c r="BB50" i="2"/>
  <c r="V53" i="3" s="1"/>
  <c r="BB193" i="2"/>
  <c r="BB145" i="2"/>
  <c r="BB206" i="2"/>
  <c r="BB84" i="2"/>
  <c r="BB209" i="2"/>
  <c r="BB160" i="2"/>
  <c r="BB57" i="2"/>
  <c r="BB202" i="2"/>
  <c r="BB172" i="2"/>
  <c r="BB227" i="2"/>
  <c r="BB217" i="2"/>
  <c r="BB151" i="2"/>
  <c r="BB107" i="2"/>
  <c r="BB52" i="2"/>
  <c r="BB67" i="2"/>
  <c r="BB95" i="2"/>
  <c r="BB150" i="2"/>
  <c r="BB191" i="2"/>
  <c r="BB148" i="2"/>
  <c r="BB42" i="2"/>
  <c r="V72" i="3" s="1"/>
  <c r="BB149" i="2"/>
  <c r="BB220" i="2"/>
  <c r="BB152" i="2"/>
  <c r="BB56" i="2"/>
  <c r="BB99" i="2"/>
  <c r="BB123" i="2"/>
  <c r="BB208" i="2"/>
  <c r="BB188" i="2"/>
  <c r="BB224" i="2"/>
  <c r="BB157" i="2"/>
  <c r="BB37" i="2"/>
  <c r="V23" i="3" s="1"/>
  <c r="BB216" i="2"/>
  <c r="BB97" i="2"/>
  <c r="BB55" i="2"/>
  <c r="BB46" i="2"/>
  <c r="BB89" i="2"/>
  <c r="BB164" i="2"/>
  <c r="BB221" i="2"/>
  <c r="BB213" i="2"/>
  <c r="BB63" i="2"/>
  <c r="BB223" i="2"/>
  <c r="BB179" i="2"/>
  <c r="BB117" i="2"/>
  <c r="BB85" i="2"/>
  <c r="BB134" i="2"/>
  <c r="BB128" i="2"/>
  <c r="BB113" i="2"/>
  <c r="BB139" i="2"/>
  <c r="BB103" i="2"/>
  <c r="BB133" i="2"/>
  <c r="BB207" i="2"/>
  <c r="BB119" i="2"/>
  <c r="BB33" i="2"/>
  <c r="V46" i="3" s="1"/>
  <c r="BB141" i="2"/>
  <c r="BB121" i="2"/>
  <c r="BB219" i="2"/>
  <c r="BB120" i="2"/>
  <c r="BB101" i="2"/>
  <c r="BB38" i="2"/>
  <c r="V78" i="3" s="1"/>
  <c r="BB182" i="2"/>
  <c r="BB116" i="2"/>
  <c r="BB186" i="2"/>
  <c r="BB163" i="2"/>
  <c r="BB140" i="2"/>
  <c r="BB189" i="2"/>
  <c r="BB59" i="2"/>
  <c r="BB69" i="2"/>
  <c r="BB162" i="2"/>
  <c r="BB175" i="2"/>
  <c r="BB80" i="2"/>
  <c r="BB81" i="2"/>
  <c r="BB71" i="2"/>
  <c r="BB118" i="2"/>
  <c r="BB73" i="2"/>
  <c r="BB153" i="2"/>
  <c r="BB203" i="2"/>
  <c r="BB142" i="2"/>
  <c r="BB79" i="2"/>
  <c r="BB70" i="2"/>
  <c r="BB132" i="2"/>
  <c r="BB53" i="2"/>
  <c r="BB124" i="2"/>
  <c r="BB111" i="2"/>
  <c r="BB158" i="2"/>
  <c r="BB110" i="2"/>
  <c r="BB65" i="2"/>
  <c r="BB34" i="2"/>
  <c r="V47" i="3" s="1"/>
  <c r="BB222" i="2"/>
  <c r="BB106" i="2"/>
  <c r="BB181" i="2"/>
  <c r="BB197" i="2"/>
  <c r="BB147" i="2"/>
  <c r="BB87" i="2"/>
  <c r="BB205" i="2"/>
  <c r="BB44" i="2"/>
  <c r="BB93" i="2"/>
  <c r="BB76" i="2"/>
  <c r="BB212" i="2"/>
  <c r="BB68" i="2"/>
  <c r="BB98" i="2"/>
  <c r="BB126" i="2"/>
  <c r="BB129" i="2"/>
  <c r="BB161" i="2"/>
  <c r="BB86" i="2"/>
  <c r="BB66" i="2"/>
  <c r="BB108" i="2"/>
  <c r="BB228" i="2"/>
  <c r="BB165" i="2"/>
  <c r="BB187" i="2"/>
  <c r="BB75" i="2"/>
  <c r="BB144" i="2"/>
  <c r="BB48" i="2"/>
  <c r="BB115" i="2"/>
  <c r="BB77" i="2"/>
  <c r="BB196" i="2"/>
  <c r="BB130" i="2"/>
  <c r="BB199" i="2"/>
  <c r="BB94" i="2"/>
  <c r="BB61" i="2"/>
  <c r="BB83" i="2"/>
  <c r="BB226" i="2"/>
  <c r="BB136" i="2"/>
  <c r="BB125" i="2"/>
  <c r="BB195" i="2"/>
  <c r="BB210" i="2"/>
  <c r="BB146" i="2"/>
  <c r="BB35" i="2"/>
  <c r="V21" i="3" s="1"/>
  <c r="BB200" i="2"/>
  <c r="BB36" i="2"/>
  <c r="V22" i="3" s="1"/>
  <c r="BB100" i="2"/>
  <c r="AC38" i="3"/>
  <c r="BB159" i="2"/>
  <c r="BB78" i="2"/>
  <c r="BB166" i="2"/>
  <c r="BB49" i="2"/>
  <c r="BB58" i="2"/>
  <c r="BB54" i="2"/>
  <c r="BB198" i="2"/>
  <c r="BB39" i="2"/>
  <c r="V79" i="3" s="1"/>
  <c r="BB180" i="2"/>
  <c r="BB72" i="2"/>
  <c r="BB169" i="2"/>
  <c r="BB154" i="2"/>
  <c r="BB156" i="2"/>
  <c r="BB143" i="2"/>
  <c r="BB105" i="2"/>
  <c r="BB91" i="2"/>
  <c r="BB112" i="2"/>
  <c r="AF24" i="2"/>
  <c r="AA36" i="3"/>
  <c r="Z37" i="3"/>
  <c r="AA37" i="3" s="1"/>
  <c r="Z41" i="3"/>
  <c r="AA41" i="3" s="1"/>
  <c r="AB37" i="3"/>
  <c r="AC37" i="3" s="1"/>
  <c r="AC36" i="3"/>
  <c r="W62" i="3" l="1"/>
  <c r="W11" i="3"/>
  <c r="V68" i="3"/>
  <c r="V56" i="3"/>
  <c r="W35" i="3"/>
  <c r="V90" i="3"/>
  <c r="V17" i="3"/>
  <c r="V57" i="3"/>
  <c r="V41" i="3"/>
  <c r="V66" i="3"/>
  <c r="V39" i="3"/>
  <c r="V33" i="3"/>
  <c r="V65" i="3"/>
  <c r="V52" i="3"/>
  <c r="V16" i="3"/>
  <c r="V87" i="3"/>
  <c r="V18" i="3"/>
  <c r="V89" i="3"/>
  <c r="V86" i="3"/>
  <c r="V85" i="3"/>
  <c r="V43" i="3"/>
  <c r="V88" i="3"/>
  <c r="V29" i="3"/>
  <c r="V58" i="3"/>
  <c r="V31" i="3"/>
  <c r="V38" i="3"/>
  <c r="V14" i="3"/>
  <c r="V54" i="3"/>
  <c r="V69" i="3"/>
  <c r="V67" i="3"/>
  <c r="V44" i="3"/>
  <c r="V42" i="3"/>
  <c r="V30" i="3"/>
  <c r="V40" i="3"/>
  <c r="V32" i="3"/>
  <c r="V19" i="3"/>
  <c r="V55" i="3"/>
  <c r="V28" i="3"/>
  <c r="V15" i="3"/>
  <c r="AD40" i="3"/>
  <c r="AE40" i="3" s="1"/>
  <c r="V45" i="3"/>
  <c r="V70" i="3"/>
  <c r="V77" i="3"/>
  <c r="V75" i="3" s="1"/>
  <c r="V20" i="3"/>
  <c r="BB24" i="2"/>
  <c r="AA71" i="3" s="1"/>
  <c r="BC24" i="2"/>
  <c r="AC71" i="3" s="1"/>
  <c r="V64" i="3" l="1"/>
  <c r="V62" i="3" s="1"/>
  <c r="V84" i="3"/>
  <c r="V82" i="3" s="1"/>
  <c r="V27" i="3"/>
  <c r="V25" i="3" s="1"/>
  <c r="V51" i="3"/>
  <c r="V49" i="3" s="1"/>
  <c r="V13" i="3"/>
  <c r="V11" i="3" s="1"/>
  <c r="V37" i="3"/>
  <c r="V35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<sst xmlns="http://schemas.openxmlformats.org/spreadsheetml/2006/main" count="2620" uniqueCount="165">
  <si>
    <t>Channel</t>
  </si>
  <si>
    <t>Brand</t>
  </si>
  <si>
    <t>PPG</t>
  </si>
  <si>
    <t>RSV</t>
  </si>
  <si>
    <t>Vol</t>
  </si>
  <si>
    <t>CSF</t>
  </si>
  <si>
    <t>MCV</t>
  </si>
  <si>
    <t>RSV_Total</t>
  </si>
  <si>
    <t>Volume_Total</t>
  </si>
  <si>
    <t>Key</t>
  </si>
  <si>
    <t>Current Price</t>
  </si>
  <si>
    <t>Elasticity</t>
  </si>
  <si>
    <t>Price_FP</t>
  </si>
  <si>
    <t>New Price</t>
  </si>
  <si>
    <t>Price_Chng</t>
  </si>
  <si>
    <t>Revised_New_Vol</t>
  </si>
  <si>
    <t>NSV_to_RSV</t>
  </si>
  <si>
    <t>NSV_to_GM</t>
  </si>
  <si>
    <t>GM</t>
  </si>
  <si>
    <t>Vol. Share</t>
  </si>
  <si>
    <t>Val Share</t>
  </si>
  <si>
    <t>NSV_i</t>
  </si>
  <si>
    <t>TPV</t>
  </si>
  <si>
    <t>PVS</t>
  </si>
  <si>
    <t>MS Headroom</t>
  </si>
  <si>
    <t>New RSV</t>
  </si>
  <si>
    <t>Vol_i</t>
  </si>
  <si>
    <t>NSV_to_RSV_o</t>
  </si>
  <si>
    <t>NSV_to_GM_o</t>
  </si>
  <si>
    <t>NSV_o</t>
  </si>
  <si>
    <t>GM_o</t>
  </si>
  <si>
    <t>New Category Price</t>
  </si>
  <si>
    <t>Chng in Cat Vol.</t>
  </si>
  <si>
    <t>Category MCV</t>
  </si>
  <si>
    <t>New Cat Vol</t>
  </si>
  <si>
    <t>New Cat Val</t>
  </si>
  <si>
    <t>TPV_n</t>
  </si>
  <si>
    <t>TPV_Share</t>
  </si>
  <si>
    <t>New Vol</t>
  </si>
  <si>
    <t>New NSV</t>
  </si>
  <si>
    <t>New GP</t>
  </si>
  <si>
    <t>Key_Input</t>
  </si>
  <si>
    <t>Key_Brand</t>
  </si>
  <si>
    <t>TOTAL CATEGORY</t>
  </si>
  <si>
    <t>PVS_N</t>
  </si>
  <si>
    <t>MSP_N</t>
  </si>
  <si>
    <t>RSV_N</t>
  </si>
  <si>
    <t>Fixed Cost</t>
  </si>
  <si>
    <t>Fixed Cost per Unit</t>
  </si>
  <si>
    <t>Current Scenario</t>
  </si>
  <si>
    <t>Price Change</t>
  </si>
  <si>
    <t>Proposed Price</t>
  </si>
  <si>
    <t>RSV to NSV</t>
  </si>
  <si>
    <t>NSV to GM</t>
  </si>
  <si>
    <t>Price Change %</t>
  </si>
  <si>
    <t>Current</t>
  </si>
  <si>
    <t>Total Category</t>
  </si>
  <si>
    <t>Value</t>
  </si>
  <si>
    <t>Volume (Litres)</t>
  </si>
  <si>
    <t>NSV</t>
  </si>
  <si>
    <t>Value Realization</t>
  </si>
  <si>
    <t>GM%</t>
  </si>
  <si>
    <t>N/A</t>
  </si>
  <si>
    <t>Price</t>
  </si>
  <si>
    <t>Channel:</t>
  </si>
  <si>
    <t>Simulated Scenario</t>
  </si>
  <si>
    <t>Delta</t>
  </si>
  <si>
    <t>Simulated (Delta from Current)</t>
  </si>
  <si>
    <t>RSV_i</t>
  </si>
  <si>
    <t>GM_i</t>
  </si>
  <si>
    <t>Final CSF</t>
  </si>
  <si>
    <t>Current RPI</t>
  </si>
  <si>
    <t>Current RPI_1</t>
  </si>
  <si>
    <t>Current RPI_2</t>
  </si>
  <si>
    <t>Proposed RPI_1</t>
  </si>
  <si>
    <t>Proposed RPI_2</t>
  </si>
  <si>
    <t>Brands</t>
  </si>
  <si>
    <t>Historical Financial Metrics</t>
  </si>
  <si>
    <t>Simulated Financial Metrics</t>
  </si>
  <si>
    <t>Value Share % (Delta in BPS)</t>
  </si>
  <si>
    <t>Volume Share % (Delta in BPS)</t>
  </si>
  <si>
    <t>Unique Brands</t>
  </si>
  <si>
    <t>Fill Sorting Order</t>
  </si>
  <si>
    <t>Chg Category Price</t>
  </si>
  <si>
    <t>Brand Level</t>
  </si>
  <si>
    <t>Simulated RPI</t>
  </si>
  <si>
    <t>Graph_Colour</t>
  </si>
  <si>
    <t>#FFC000</t>
  </si>
  <si>
    <t>#B7A19F</t>
  </si>
  <si>
    <t>#0F9ED5</t>
  </si>
  <si>
    <t>#156082</t>
  </si>
  <si>
    <t>#A02B93</t>
  </si>
  <si>
    <t>#F2AA84</t>
  </si>
  <si>
    <t>Fill Manually; Empy cells fill with ""</t>
  </si>
  <si>
    <t>c1</t>
  </si>
  <si>
    <t>c2</t>
  </si>
  <si>
    <t>c3</t>
  </si>
  <si>
    <t>c4</t>
  </si>
  <si>
    <t>c5</t>
  </si>
  <si>
    <t>c6</t>
  </si>
  <si>
    <t>Variant</t>
  </si>
  <si>
    <t>Brand-Variant-Pack Level</t>
  </si>
  <si>
    <t>Variant1</t>
  </si>
  <si>
    <t>L2_Key</t>
  </si>
  <si>
    <t>US FOOD</t>
  </si>
  <si>
    <t>DUKES</t>
  </si>
  <si>
    <t>HELLMANNS BEST FOODS</t>
  </si>
  <si>
    <t>KRAFT</t>
  </si>
  <si>
    <t>MCCORMICK AIOLI</t>
  </si>
  <si>
    <t>MIRACLE WHIP</t>
  </si>
  <si>
    <t>PRIVATE LABEL</t>
  </si>
  <si>
    <t>RESTOFCATEGORY</t>
  </si>
  <si>
    <t>AIOLI</t>
  </si>
  <si>
    <t>MAYO</t>
  </si>
  <si>
    <t>WHIPPED DRESSING</t>
  </si>
  <si>
    <t>OTHER</t>
  </si>
  <si>
    <t>JAR 15OZ</t>
  </si>
  <si>
    <t>SQUEEZY 12OZ</t>
  </si>
  <si>
    <t>JAR 30OZ</t>
  </si>
  <si>
    <t>JAR 8OZ</t>
  </si>
  <si>
    <t>SQUEEZY 18 TO 22OZ</t>
  </si>
  <si>
    <t>JAR 48OZ</t>
  </si>
  <si>
    <t>Mayo</t>
  </si>
  <si>
    <t>Variant2</t>
  </si>
  <si>
    <t>Aioli</t>
  </si>
  <si>
    <t>Whipped Dressing</t>
  </si>
  <si>
    <t>#4EA72E</t>
  </si>
  <si>
    <t>Simulated</t>
  </si>
  <si>
    <t>Vol_Contri</t>
  </si>
  <si>
    <t>Updated_Vol</t>
  </si>
  <si>
    <t>Sim. Vol Share</t>
  </si>
  <si>
    <t>Vol_Share_i</t>
  </si>
  <si>
    <t>Vol_Share</t>
  </si>
  <si>
    <t>Total Portfolio</t>
  </si>
  <si>
    <t>TARGET</t>
  </si>
  <si>
    <t>WALMART</t>
  </si>
  <si>
    <t>Nov-23 to Oct-24</t>
  </si>
  <si>
    <t>dukes</t>
  </si>
  <si>
    <t>aioli</t>
  </si>
  <si>
    <t>other</t>
  </si>
  <si>
    <t>hellmanns best foods</t>
  </si>
  <si>
    <t>jar 15oz</t>
  </si>
  <si>
    <t>kraft</t>
  </si>
  <si>
    <t>squeezy 12oz</t>
  </si>
  <si>
    <t>jar 30oz</t>
  </si>
  <si>
    <t>mccormick aioli</t>
  </si>
  <si>
    <t>private label</t>
  </si>
  <si>
    <t>jar 8oz</t>
  </si>
  <si>
    <t>mayo</t>
  </si>
  <si>
    <t>squeezy 18 to 22oz</t>
  </si>
  <si>
    <t>jar 48oz</t>
  </si>
  <si>
    <t>restofcategory</t>
  </si>
  <si>
    <t>miracle whip</t>
  </si>
  <si>
    <t>whipped dressing</t>
  </si>
  <si>
    <t>RestofCategory</t>
  </si>
  <si>
    <t>RestOfCategory</t>
  </si>
  <si>
    <t>Val. Share</t>
  </si>
  <si>
    <t>Val_Contri</t>
  </si>
  <si>
    <t>Updated_Val</t>
  </si>
  <si>
    <t>Sim. Val Share</t>
  </si>
  <si>
    <t>TPV(cs)</t>
  </si>
  <si>
    <t>PVS(CSS)</t>
  </si>
  <si>
    <t>`</t>
  </si>
  <si>
    <t>TPV_n(cs)</t>
  </si>
  <si>
    <t>TPV_Share(css)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</si>
</sst>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64" formatCode="0.0%"/>
    <numFmt numFmtId="165" formatCode="0.0"/>
    <numFmt numFmtId="166" formatCode="#,##0.0"/>
    <numFmt numFmtId="167" formatCode="&quot;₹&quot;\ #,##0.00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name val="Aptos Narrow"/>
      <family val="2"/>
      <scheme val="minor"/>
    </font>
    <font>
      <b/>
      <sz val="14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8"/>
      <color theme="0" tint="-0.499984740745262"/>
      <name val="Aptos Narrow"/>
      <family val="2"/>
      <scheme val="minor"/>
    </font>
    <font>
      <b/>
      <sz val="18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name val="Aptos Narrow"/>
      <family val="2"/>
      <scheme val="minor"/>
    </font>
    <font>
      <b/>
      <sz val="20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8D1D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DB3"/>
        <bgColor indexed="64"/>
      </patternFill>
    </fill>
    <fill>
      <patternFill patternType="solid">
        <fgColor rgb="FFD3A29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D54F"/>
        <bgColor indexed="64"/>
      </patternFill>
    </fill>
    <fill>
      <patternFill patternType="solid">
        <fgColor rgb="FFD1C2C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3CA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85DFFF"/>
        <bgColor indexed="64"/>
      </patternFill>
    </fill>
    <fill>
      <patternFill patternType="solid">
        <fgColor rgb="FFFFE89F"/>
        <bgColor indexed="64"/>
      </patternFill>
    </fill>
    <fill>
      <patternFill patternType="solid">
        <fgColor rgb="FFC7ECBA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D8E4F8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32">
    <xf numFmtId="0" fontId="0" fillId="0" borderId="0" xfId="0"/>
    <xf numFmtId="0" fontId="0" fillId="0" borderId="1" xfId="0" applyBorder="1"/>
    <xf numFmtId="0" fontId="0" fillId="2" borderId="0" xfId="0" applyFill="1"/>
    <xf numFmtId="0" fontId="0" fillId="2" borderId="1" xfId="0" applyFill="1" applyBorder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0" xfId="1" applyNumberFormat="1" applyFont="1"/>
    <xf numFmtId="9" fontId="0" fillId="0" borderId="0" xfId="1" applyFont="1" applyAlignment="1">
      <alignment horizontal="center"/>
    </xf>
    <xf numFmtId="164" fontId="0" fillId="0" borderId="0" xfId="1" applyNumberFormat="1" applyFont="1" applyAlignment="1">
      <alignment horizontal="center"/>
    </xf>
    <xf numFmtId="2" fontId="0" fillId="0" borderId="0" xfId="1" applyNumberFormat="1" applyFont="1" applyAlignment="1">
      <alignment horizontal="center"/>
    </xf>
    <xf numFmtId="0" fontId="0" fillId="0" borderId="2" xfId="0" applyBorder="1"/>
    <xf numFmtId="2" fontId="0" fillId="0" borderId="0" xfId="0" applyNumberFormat="1"/>
    <xf numFmtId="10" fontId="0" fillId="0" borderId="0" xfId="1" applyNumberFormat="1" applyFont="1" applyAlignment="1">
      <alignment horizontal="center"/>
    </xf>
    <xf numFmtId="165" fontId="0" fillId="0" borderId="0" xfId="0" applyNumberFormat="1"/>
    <xf numFmtId="1" fontId="0" fillId="0" borderId="0" xfId="0" applyNumberFormat="1"/>
    <xf numFmtId="1" fontId="0" fillId="0" borderId="0" xfId="1" applyNumberFormat="1" applyFont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0" xfId="0" applyFill="1" applyAlignment="1">
      <alignment horizontal="center"/>
    </xf>
    <xf numFmtId="164" fontId="0" fillId="4" borderId="0" xfId="0" applyNumberFormat="1" applyFill="1"/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9" fontId="0" fillId="2" borderId="0" xfId="0" applyNumberFormat="1" applyFill="1" applyAlignment="1">
      <alignment horizontal="center"/>
    </xf>
    <xf numFmtId="9" fontId="0" fillId="3" borderId="0" xfId="0" applyNumberFormat="1" applyFill="1" applyAlignment="1">
      <alignment horizontal="center"/>
    </xf>
    <xf numFmtId="164" fontId="0" fillId="4" borderId="0" xfId="1" applyNumberFormat="1" applyFont="1" applyFill="1" applyAlignment="1">
      <alignment horizontal="center"/>
    </xf>
    <xf numFmtId="1" fontId="0" fillId="4" borderId="0" xfId="0" applyNumberFormat="1" applyFill="1" applyAlignment="1">
      <alignment horizontal="center"/>
    </xf>
    <xf numFmtId="0" fontId="0" fillId="5" borderId="0" xfId="0" applyFill="1"/>
    <xf numFmtId="2" fontId="0" fillId="0" borderId="0" xfId="0" applyNumberFormat="1" applyAlignment="1">
      <alignment horizontal="center"/>
    </xf>
    <xf numFmtId="0" fontId="2" fillId="6" borderId="0" xfId="0" applyFont="1" applyFill="1"/>
    <xf numFmtId="165" fontId="2" fillId="6" borderId="0" xfId="0" applyNumberFormat="1" applyFont="1" applyFill="1" applyAlignment="1">
      <alignment horizontal="center"/>
    </xf>
    <xf numFmtId="9" fontId="0" fillId="0" borderId="0" xfId="0" applyNumberFormat="1"/>
    <xf numFmtId="0" fontId="0" fillId="7" borderId="2" xfId="0" applyFill="1" applyBorder="1" applyAlignment="1">
      <alignment horizontal="center"/>
    </xf>
    <xf numFmtId="165" fontId="0" fillId="3" borderId="0" xfId="0" applyNumberFormat="1" applyFill="1" applyAlignment="1">
      <alignment horizontal="center"/>
    </xf>
    <xf numFmtId="0" fontId="3" fillId="0" borderId="0" xfId="0" applyFont="1" applyAlignment="1" applyProtection="1">
      <alignment horizontal="center" vertical="center" wrapText="1"/>
      <protection hidden="1"/>
    </xf>
    <xf numFmtId="0" fontId="6" fillId="0" borderId="0" xfId="0" applyFont="1" applyAlignment="1">
      <alignment horizontal="right" vertical="center"/>
    </xf>
    <xf numFmtId="0" fontId="3" fillId="0" borderId="0" xfId="0" applyFont="1" applyAlignment="1" applyProtection="1">
      <alignment horizontal="center"/>
      <protection hidden="1"/>
    </xf>
    <xf numFmtId="3" fontId="6" fillId="0" borderId="0" xfId="2" applyNumberFormat="1" applyFont="1" applyFill="1" applyBorder="1" applyAlignment="1" applyProtection="1">
      <alignment horizontal="center" vertical="center"/>
      <protection hidden="1"/>
    </xf>
    <xf numFmtId="1" fontId="9" fillId="0" borderId="0" xfId="2" applyNumberFormat="1" applyFont="1" applyBorder="1" applyAlignment="1" applyProtection="1">
      <alignment horizontal="center" vertical="center"/>
      <protection hidden="1"/>
    </xf>
    <xf numFmtId="0" fontId="10" fillId="0" borderId="0" xfId="0" applyFont="1" applyProtection="1">
      <protection hidden="1"/>
    </xf>
    <xf numFmtId="1" fontId="9" fillId="0" borderId="0" xfId="2" applyNumberFormat="1" applyFont="1" applyFill="1" applyBorder="1" applyAlignment="1" applyProtection="1">
      <alignment horizontal="center" vertical="center"/>
      <protection hidden="1"/>
    </xf>
    <xf numFmtId="165" fontId="9" fillId="0" borderId="0" xfId="2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vertical="center"/>
    </xf>
    <xf numFmtId="0" fontId="7" fillId="0" borderId="0" xfId="0" applyFont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166" fontId="6" fillId="0" borderId="0" xfId="2" applyNumberFormat="1" applyFont="1" applyFill="1" applyBorder="1" applyAlignment="1" applyProtection="1">
      <alignment horizontal="center" vertical="center"/>
      <protection hidden="1"/>
    </xf>
    <xf numFmtId="164" fontId="6" fillId="0" borderId="0" xfId="1" applyNumberFormat="1" applyFont="1" applyFill="1" applyBorder="1" applyAlignment="1" applyProtection="1">
      <alignment horizontal="center" vertical="center"/>
      <protection hidden="1"/>
    </xf>
    <xf numFmtId="0" fontId="4" fillId="0" borderId="0" xfId="0" applyFont="1" applyAlignment="1">
      <alignment horizontal="center"/>
    </xf>
    <xf numFmtId="165" fontId="5" fillId="0" borderId="0" xfId="0" applyNumberFormat="1" applyFont="1" applyAlignment="1" applyProtection="1">
      <alignment horizontal="center" vertical="center"/>
      <protection hidden="1"/>
    </xf>
    <xf numFmtId="165" fontId="9" fillId="0" borderId="0" xfId="0" applyNumberFormat="1" applyFont="1" applyAlignment="1" applyProtection="1">
      <alignment horizontal="center" vertical="center"/>
      <protection hidden="1"/>
    </xf>
    <xf numFmtId="0" fontId="9" fillId="0" borderId="0" xfId="0" applyFont="1"/>
    <xf numFmtId="0" fontId="14" fillId="0" borderId="0" xfId="0" applyFont="1" applyAlignment="1" applyProtection="1">
      <alignment horizontal="center" vertical="center"/>
      <protection hidden="1"/>
    </xf>
    <xf numFmtId="9" fontId="5" fillId="13" borderId="0" xfId="1" applyFont="1" applyFill="1" applyAlignment="1" applyProtection="1">
      <alignment horizontal="center" vertical="center"/>
      <protection hidden="1"/>
    </xf>
    <xf numFmtId="9" fontId="15" fillId="10" borderId="0" xfId="0" applyNumberFormat="1" applyFont="1" applyFill="1" applyAlignment="1" applyProtection="1">
      <alignment horizontal="center" vertical="center"/>
      <protection hidden="1"/>
    </xf>
    <xf numFmtId="0" fontId="11" fillId="12" borderId="6" xfId="0" applyFont="1" applyFill="1" applyBorder="1" applyAlignment="1" applyProtection="1">
      <alignment horizontal="center" vertical="center"/>
      <protection hidden="1"/>
    </xf>
    <xf numFmtId="0" fontId="11" fillId="12" borderId="8" xfId="0" applyFont="1" applyFill="1" applyBorder="1" applyAlignment="1" applyProtection="1">
      <alignment horizontal="center" vertical="center"/>
      <protection hidden="1"/>
    </xf>
    <xf numFmtId="0" fontId="3" fillId="0" borderId="0" xfId="0" applyFont="1" applyAlignment="1">
      <alignment horizontal="right" vertical="center"/>
    </xf>
    <xf numFmtId="0" fontId="5" fillId="0" borderId="16" xfId="0" applyFont="1" applyBorder="1" applyAlignment="1" applyProtection="1">
      <alignment horizontal="center" vertical="center"/>
      <protection hidden="1"/>
    </xf>
    <xf numFmtId="0" fontId="5" fillId="0" borderId="15" xfId="0" applyFont="1" applyBorder="1" applyAlignment="1" applyProtection="1">
      <alignment horizontal="center" vertical="center"/>
      <protection hidden="1"/>
    </xf>
    <xf numFmtId="3" fontId="9" fillId="0" borderId="13" xfId="2" applyNumberFormat="1" applyFont="1" applyFill="1" applyBorder="1" applyAlignment="1" applyProtection="1">
      <alignment horizontal="center" vertical="center"/>
      <protection hidden="1"/>
    </xf>
    <xf numFmtId="166" fontId="9" fillId="0" borderId="13" xfId="2" applyNumberFormat="1" applyFont="1" applyFill="1" applyBorder="1" applyAlignment="1" applyProtection="1">
      <alignment horizontal="center" vertical="center"/>
      <protection hidden="1"/>
    </xf>
    <xf numFmtId="9" fontId="9" fillId="0" borderId="13" xfId="1" applyFont="1" applyFill="1" applyBorder="1" applyAlignment="1" applyProtection="1">
      <alignment horizontal="center" vertical="center"/>
      <protection hidden="1"/>
    </xf>
    <xf numFmtId="164" fontId="9" fillId="0" borderId="13" xfId="1" applyNumberFormat="1" applyFont="1" applyFill="1" applyBorder="1" applyAlignment="1" applyProtection="1">
      <alignment horizontal="center" vertical="center"/>
      <protection hidden="1"/>
    </xf>
    <xf numFmtId="0" fontId="14" fillId="9" borderId="7" xfId="0" applyFont="1" applyFill="1" applyBorder="1" applyAlignment="1" applyProtection="1">
      <alignment horizontal="center" vertical="center"/>
      <protection hidden="1"/>
    </xf>
    <xf numFmtId="0" fontId="14" fillId="9" borderId="22" xfId="0" applyFont="1" applyFill="1" applyBorder="1" applyAlignment="1" applyProtection="1">
      <alignment horizontal="center" vertical="center"/>
      <protection hidden="1"/>
    </xf>
    <xf numFmtId="0" fontId="11" fillId="12" borderId="22" xfId="0" applyFont="1" applyFill="1" applyBorder="1" applyAlignment="1" applyProtection="1">
      <alignment horizontal="center" vertical="center"/>
      <protection hidden="1"/>
    </xf>
    <xf numFmtId="0" fontId="14" fillId="9" borderId="8" xfId="0" applyFont="1" applyFill="1" applyBorder="1" applyAlignment="1" applyProtection="1">
      <alignment horizontal="center" vertical="center"/>
      <protection hidden="1"/>
    </xf>
    <xf numFmtId="0" fontId="14" fillId="11" borderId="7" xfId="0" applyFont="1" applyFill="1" applyBorder="1" applyAlignment="1" applyProtection="1">
      <alignment horizontal="center" vertical="center"/>
      <protection hidden="1"/>
    </xf>
    <xf numFmtId="0" fontId="14" fillId="11" borderId="8" xfId="0" applyFont="1" applyFill="1" applyBorder="1" applyAlignment="1" applyProtection="1">
      <alignment horizontal="center" vertical="center"/>
      <protection hidden="1"/>
    </xf>
    <xf numFmtId="0" fontId="14" fillId="9" borderId="21" xfId="0" applyFont="1" applyFill="1" applyBorder="1" applyAlignment="1" applyProtection="1">
      <alignment horizontal="center" vertical="center"/>
      <protection hidden="1"/>
    </xf>
    <xf numFmtId="0" fontId="5" fillId="0" borderId="24" xfId="0" applyFont="1" applyBorder="1" applyAlignment="1" applyProtection="1">
      <alignment horizontal="center" vertical="center"/>
      <protection hidden="1"/>
    </xf>
    <xf numFmtId="0" fontId="5" fillId="0" borderId="25" xfId="0" applyFont="1" applyBorder="1" applyAlignment="1" applyProtection="1">
      <alignment horizontal="center" vertical="center"/>
      <protection hidden="1"/>
    </xf>
    <xf numFmtId="3" fontId="9" fillId="0" borderId="26" xfId="2" applyNumberFormat="1" applyFont="1" applyFill="1" applyBorder="1" applyAlignment="1" applyProtection="1">
      <alignment horizontal="center" vertical="center"/>
      <protection hidden="1"/>
    </xf>
    <xf numFmtId="166" fontId="9" fillId="0" borderId="26" xfId="2" applyNumberFormat="1" applyFont="1" applyFill="1" applyBorder="1" applyAlignment="1" applyProtection="1">
      <alignment horizontal="center" vertical="center"/>
      <protection hidden="1"/>
    </xf>
    <xf numFmtId="9" fontId="9" fillId="0" borderId="26" xfId="1" applyFont="1" applyFill="1" applyBorder="1" applyAlignment="1" applyProtection="1">
      <alignment horizontal="center" vertical="center"/>
      <protection hidden="1"/>
    </xf>
    <xf numFmtId="164" fontId="9" fillId="0" borderId="26" xfId="1" applyNumberFormat="1" applyFont="1" applyFill="1" applyBorder="1" applyAlignment="1" applyProtection="1">
      <alignment horizontal="center" vertical="center"/>
      <protection hidden="1"/>
    </xf>
    <xf numFmtId="3" fontId="9" fillId="0" borderId="28" xfId="2" applyNumberFormat="1" applyFont="1" applyFill="1" applyBorder="1" applyAlignment="1" applyProtection="1">
      <alignment horizontal="center" vertical="center"/>
      <protection hidden="1"/>
    </xf>
    <xf numFmtId="166" fontId="9" fillId="0" borderId="28" xfId="2" applyNumberFormat="1" applyFont="1" applyFill="1" applyBorder="1" applyAlignment="1" applyProtection="1">
      <alignment horizontal="center" vertical="center"/>
      <protection hidden="1"/>
    </xf>
    <xf numFmtId="0" fontId="14" fillId="11" borderId="3" xfId="0" applyFont="1" applyFill="1" applyBorder="1" applyAlignment="1" applyProtection="1">
      <alignment horizontal="center" vertical="center"/>
      <protection hidden="1"/>
    </xf>
    <xf numFmtId="0" fontId="14" fillId="11" borderId="4" xfId="0" applyFont="1" applyFill="1" applyBorder="1" applyAlignment="1" applyProtection="1">
      <alignment horizontal="center" vertical="center"/>
      <protection hidden="1"/>
    </xf>
    <xf numFmtId="3" fontId="9" fillId="0" borderId="24" xfId="2" applyNumberFormat="1" applyFont="1" applyFill="1" applyBorder="1" applyAlignment="1" applyProtection="1">
      <alignment horizontal="center" vertical="center"/>
      <protection hidden="1"/>
    </xf>
    <xf numFmtId="166" fontId="9" fillId="0" borderId="24" xfId="2" applyNumberFormat="1" applyFont="1" applyFill="1" applyBorder="1" applyAlignment="1" applyProtection="1">
      <alignment horizontal="center" vertical="center"/>
      <protection hidden="1"/>
    </xf>
    <xf numFmtId="9" fontId="9" fillId="0" borderId="24" xfId="1" applyFont="1" applyFill="1" applyBorder="1" applyAlignment="1" applyProtection="1">
      <alignment horizontal="center" vertical="center"/>
      <protection hidden="1"/>
    </xf>
    <xf numFmtId="164" fontId="9" fillId="0" borderId="24" xfId="1" applyNumberFormat="1" applyFont="1" applyFill="1" applyBorder="1" applyAlignment="1" applyProtection="1">
      <alignment horizontal="center" vertical="center"/>
      <protection hidden="1"/>
    </xf>
    <xf numFmtId="0" fontId="0" fillId="6" borderId="0" xfId="0" applyFill="1" applyAlignment="1">
      <alignment horizontal="center"/>
    </xf>
    <xf numFmtId="1" fontId="9" fillId="0" borderId="14" xfId="0" applyNumberFormat="1" applyFont="1" applyBorder="1" applyAlignment="1">
      <alignment horizontal="center"/>
    </xf>
    <xf numFmtId="1" fontId="9" fillId="0" borderId="11" xfId="0" applyNumberFormat="1" applyFont="1" applyBorder="1" applyAlignment="1">
      <alignment horizontal="center"/>
    </xf>
    <xf numFmtId="1" fontId="9" fillId="0" borderId="12" xfId="0" applyNumberFormat="1" applyFont="1" applyBorder="1" applyAlignment="1">
      <alignment horizontal="center"/>
    </xf>
    <xf numFmtId="0" fontId="11" fillId="0" borderId="11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1" fontId="9" fillId="0" borderId="19" xfId="0" applyNumberFormat="1" applyFont="1" applyBorder="1" applyAlignment="1">
      <alignment horizontal="center"/>
    </xf>
    <xf numFmtId="1" fontId="9" fillId="0" borderId="20" xfId="0" applyNumberFormat="1" applyFont="1" applyBorder="1" applyAlignment="1">
      <alignment horizontal="center"/>
    </xf>
    <xf numFmtId="1" fontId="9" fillId="0" borderId="18" xfId="0" applyNumberFormat="1" applyFont="1" applyBorder="1" applyAlignment="1">
      <alignment horizontal="center"/>
    </xf>
    <xf numFmtId="0" fontId="0" fillId="13" borderId="0" xfId="0" applyFill="1"/>
    <xf numFmtId="0" fontId="11" fillId="0" borderId="23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0" fillId="17" borderId="0" xfId="0" applyFill="1"/>
    <xf numFmtId="0" fontId="0" fillId="17" borderId="1" xfId="0" applyFill="1" applyBorder="1"/>
    <xf numFmtId="3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7" fillId="0" borderId="0" xfId="0" applyFont="1"/>
    <xf numFmtId="0" fontId="18" fillId="15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0" fillId="4" borderId="0" xfId="0" applyFill="1"/>
    <xf numFmtId="9" fontId="5" fillId="0" borderId="0" xfId="1" applyFont="1" applyFill="1" applyAlignment="1" applyProtection="1">
      <alignment horizontal="center" vertical="center"/>
      <protection hidden="1"/>
    </xf>
    <xf numFmtId="9" fontId="15" fillId="0" borderId="0" xfId="0" applyNumberFormat="1" applyFont="1" applyAlignment="1" applyProtection="1">
      <alignment horizontal="center" vertical="center"/>
      <protection hidden="1"/>
    </xf>
    <xf numFmtId="0" fontId="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9" fontId="9" fillId="0" borderId="0" xfId="1" applyFont="1" applyFill="1" applyAlignment="1" applyProtection="1">
      <alignment horizontal="center" vertical="center"/>
      <protection hidden="1"/>
    </xf>
    <xf numFmtId="0" fontId="12" fillId="5" borderId="0" xfId="0" applyFont="1" applyFill="1" applyAlignment="1">
      <alignment horizontal="center" vertical="center"/>
    </xf>
    <xf numFmtId="0" fontId="3" fillId="13" borderId="0" xfId="0" applyFont="1" applyFill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 wrapText="1"/>
      <protection hidden="1"/>
    </xf>
    <xf numFmtId="0" fontId="5" fillId="0" borderId="30" xfId="0" applyFont="1" applyBorder="1" applyAlignment="1" applyProtection="1">
      <alignment horizontal="center" vertical="center"/>
      <protection hidden="1"/>
    </xf>
    <xf numFmtId="3" fontId="9" fillId="0" borderId="31" xfId="2" applyNumberFormat="1" applyFont="1" applyFill="1" applyBorder="1" applyAlignment="1" applyProtection="1">
      <alignment horizontal="center" vertical="center"/>
      <protection hidden="1"/>
    </xf>
    <xf numFmtId="3" fontId="9" fillId="0" borderId="30" xfId="2" applyNumberFormat="1" applyFont="1" applyFill="1" applyBorder="1" applyAlignment="1" applyProtection="1">
      <alignment horizontal="center" vertical="center"/>
      <protection hidden="1"/>
    </xf>
    <xf numFmtId="3" fontId="9" fillId="0" borderId="32" xfId="2" applyNumberFormat="1" applyFont="1" applyFill="1" applyBorder="1" applyAlignment="1" applyProtection="1">
      <alignment horizontal="center" vertical="center"/>
      <protection hidden="1"/>
    </xf>
    <xf numFmtId="166" fontId="9" fillId="0" borderId="27" xfId="2" applyNumberFormat="1" applyFont="1" applyFill="1" applyBorder="1" applyAlignment="1" applyProtection="1">
      <alignment horizontal="center" vertical="center"/>
      <protection hidden="1"/>
    </xf>
    <xf numFmtId="166" fontId="9" fillId="0" borderId="25" xfId="2" applyNumberFormat="1" applyFont="1" applyFill="1" applyBorder="1" applyAlignment="1" applyProtection="1">
      <alignment horizontal="center" vertical="center"/>
      <protection hidden="1"/>
    </xf>
    <xf numFmtId="166" fontId="9" fillId="0" borderId="29" xfId="2" applyNumberFormat="1" applyFont="1" applyFill="1" applyBorder="1" applyAlignment="1" applyProtection="1">
      <alignment horizontal="center" vertical="center"/>
      <protection hidden="1"/>
    </xf>
    <xf numFmtId="3" fontId="9" fillId="0" borderId="33" xfId="2" applyNumberFormat="1" applyFont="1" applyFill="1" applyBorder="1" applyAlignment="1" applyProtection="1">
      <alignment horizontal="center" vertical="center"/>
      <protection hidden="1"/>
    </xf>
    <xf numFmtId="166" fontId="9" fillId="0" borderId="10" xfId="2" applyNumberFormat="1" applyFont="1" applyFill="1" applyBorder="1" applyAlignment="1" applyProtection="1">
      <alignment horizontal="center" vertical="center"/>
      <protection hidden="1"/>
    </xf>
    <xf numFmtId="0" fontId="5" fillId="0" borderId="34" xfId="0" applyFont="1" applyBorder="1" applyAlignment="1" applyProtection="1">
      <alignment horizontal="center" vertical="center"/>
      <protection hidden="1"/>
    </xf>
    <xf numFmtId="0" fontId="0" fillId="17" borderId="0" xfId="0" applyFill="1" applyAlignment="1">
      <alignment horizontal="left"/>
    </xf>
    <xf numFmtId="0" fontId="0" fillId="17" borderId="0" xfId="0" applyFill="1" applyAlignment="1">
      <alignment horizontal="center"/>
    </xf>
    <xf numFmtId="164" fontId="15" fillId="0" borderId="0" xfId="1" applyNumberFormat="1" applyFont="1" applyFill="1" applyBorder="1" applyAlignment="1" applyProtection="1">
      <alignment horizontal="center" vertical="center"/>
      <protection locked="0"/>
    </xf>
    <xf numFmtId="164" fontId="0" fillId="0" borderId="0" xfId="0" applyNumberFormat="1" applyAlignment="1">
      <alignment vertical="center"/>
    </xf>
    <xf numFmtId="164" fontId="0" fillId="0" borderId="0" xfId="0" applyNumberFormat="1"/>
    <xf numFmtId="164" fontId="0" fillId="13" borderId="0" xfId="0" applyNumberFormat="1" applyFill="1"/>
    <xf numFmtId="164" fontId="11" fillId="0" borderId="0" xfId="1" applyNumberFormat="1" applyFont="1" applyFill="1" applyBorder="1" applyAlignment="1" applyProtection="1">
      <alignment horizontal="center" vertical="center"/>
      <protection locked="0"/>
    </xf>
    <xf numFmtId="164" fontId="11" fillId="6" borderId="0" xfId="1" applyNumberFormat="1" applyFont="1" applyFill="1" applyBorder="1" applyAlignment="1" applyProtection="1">
      <alignment horizontal="center" vertical="center"/>
      <protection locked="0"/>
    </xf>
    <xf numFmtId="164" fontId="11" fillId="17" borderId="0" xfId="1" applyNumberFormat="1" applyFont="1" applyFill="1" applyBorder="1" applyAlignment="1" applyProtection="1">
      <alignment horizontal="center" vertical="center"/>
      <protection locked="0"/>
    </xf>
    <xf numFmtId="164" fontId="11" fillId="3" borderId="0" xfId="1" applyNumberFormat="1" applyFont="1" applyFill="1" applyBorder="1" applyAlignment="1" applyProtection="1">
      <alignment horizontal="center" vertical="center"/>
      <protection locked="0"/>
    </xf>
    <xf numFmtId="164" fontId="11" fillId="25" borderId="0" xfId="1" applyNumberFormat="1" applyFont="1" applyFill="1" applyBorder="1" applyAlignment="1" applyProtection="1">
      <alignment horizontal="center" vertical="center"/>
      <protection locked="0"/>
    </xf>
    <xf numFmtId="164" fontId="11" fillId="26" borderId="0" xfId="1" applyNumberFormat="1" applyFont="1" applyFill="1" applyBorder="1" applyAlignment="1" applyProtection="1">
      <alignment horizontal="center" vertical="center"/>
      <protection locked="0"/>
    </xf>
    <xf numFmtId="164" fontId="11" fillId="19" borderId="0" xfId="1" applyNumberFormat="1" applyFont="1" applyFill="1" applyBorder="1" applyAlignment="1" applyProtection="1">
      <alignment horizontal="center" vertical="center"/>
      <protection locked="0"/>
    </xf>
    <xf numFmtId="164" fontId="11" fillId="27" borderId="0" xfId="1" applyNumberFormat="1" applyFont="1" applyFill="1" applyBorder="1" applyAlignment="1" applyProtection="1">
      <alignment horizontal="center" vertical="center"/>
      <protection locked="0"/>
    </xf>
    <xf numFmtId="9" fontId="0" fillId="0" borderId="2" xfId="1" applyFont="1" applyBorder="1" applyAlignment="1">
      <alignment horizontal="center"/>
    </xf>
    <xf numFmtId="164" fontId="9" fillId="0" borderId="28" xfId="1" applyNumberFormat="1" applyFont="1" applyFill="1" applyBorder="1" applyAlignment="1" applyProtection="1">
      <alignment horizontal="center" vertical="center"/>
      <protection hidden="1"/>
    </xf>
    <xf numFmtId="0" fontId="11" fillId="12" borderId="7" xfId="0" applyFont="1" applyFill="1" applyBorder="1" applyAlignment="1" applyProtection="1">
      <alignment horizontal="center" vertical="center"/>
      <protection hidden="1"/>
    </xf>
    <xf numFmtId="2" fontId="5" fillId="0" borderId="0" xfId="0" applyNumberFormat="1" applyFont="1" applyAlignment="1" applyProtection="1">
      <alignment horizontal="center" vertical="center"/>
      <protection hidden="1"/>
    </xf>
    <xf numFmtId="2" fontId="5" fillId="18" borderId="0" xfId="0" applyNumberFormat="1" applyFont="1" applyFill="1" applyAlignment="1" applyProtection="1">
      <alignment horizontal="center" vertical="center"/>
      <protection hidden="1"/>
    </xf>
    <xf numFmtId="2" fontId="9" fillId="0" borderId="0" xfId="0" applyNumberFormat="1" applyFont="1" applyAlignment="1" applyProtection="1">
      <alignment horizontal="center" vertical="center"/>
      <protection hidden="1"/>
    </xf>
    <xf numFmtId="2" fontId="9" fillId="18" borderId="0" xfId="0" applyNumberFormat="1" applyFont="1" applyFill="1" applyAlignment="1" applyProtection="1">
      <alignment horizontal="center" vertical="center"/>
      <protection hidden="1"/>
    </xf>
    <xf numFmtId="2" fontId="5" fillId="19" borderId="0" xfId="0" applyNumberFormat="1" applyFont="1" applyFill="1" applyAlignment="1" applyProtection="1">
      <alignment horizontal="center" vertical="center"/>
      <protection hidden="1"/>
    </xf>
    <xf numFmtId="2" fontId="9" fillId="19" borderId="0" xfId="0" applyNumberFormat="1" applyFont="1" applyFill="1" applyAlignment="1" applyProtection="1">
      <alignment horizontal="center" vertical="center"/>
      <protection hidden="1"/>
    </xf>
    <xf numFmtId="2" fontId="5" fillId="21" borderId="0" xfId="0" applyNumberFormat="1" applyFont="1" applyFill="1" applyAlignment="1" applyProtection="1">
      <alignment horizontal="center" vertical="center"/>
      <protection hidden="1"/>
    </xf>
    <xf numFmtId="2" fontId="9" fillId="21" borderId="0" xfId="0" applyNumberFormat="1" applyFont="1" applyFill="1" applyAlignment="1" applyProtection="1">
      <alignment horizontal="center" vertical="center"/>
      <protection hidden="1"/>
    </xf>
    <xf numFmtId="2" fontId="5" fillId="23" borderId="0" xfId="0" applyNumberFormat="1" applyFont="1" applyFill="1" applyAlignment="1" applyProtection="1">
      <alignment horizontal="center" vertical="center"/>
      <protection hidden="1"/>
    </xf>
    <xf numFmtId="2" fontId="9" fillId="23" borderId="0" xfId="0" applyNumberFormat="1" applyFont="1" applyFill="1" applyAlignment="1" applyProtection="1">
      <alignment horizontal="center" vertical="center"/>
      <protection hidden="1"/>
    </xf>
    <xf numFmtId="2" fontId="5" fillId="16" borderId="0" xfId="0" applyNumberFormat="1" applyFont="1" applyFill="1" applyAlignment="1" applyProtection="1">
      <alignment horizontal="center" vertical="center"/>
      <protection hidden="1"/>
    </xf>
    <xf numFmtId="2" fontId="9" fillId="16" borderId="0" xfId="0" applyNumberFormat="1" applyFont="1" applyFill="1" applyAlignment="1" applyProtection="1">
      <alignment horizontal="center" vertical="center"/>
      <protection hidden="1"/>
    </xf>
    <xf numFmtId="2" fontId="5" fillId="17" borderId="0" xfId="0" applyNumberFormat="1" applyFont="1" applyFill="1" applyAlignment="1" applyProtection="1">
      <alignment horizontal="center" vertical="center"/>
      <protection hidden="1"/>
    </xf>
    <xf numFmtId="2" fontId="9" fillId="17" borderId="0" xfId="0" applyNumberFormat="1" applyFont="1" applyFill="1" applyAlignment="1" applyProtection="1">
      <alignment horizontal="center" vertical="center"/>
      <protection hidden="1"/>
    </xf>
    <xf numFmtId="2" fontId="5" fillId="6" borderId="0" xfId="0" applyNumberFormat="1" applyFont="1" applyFill="1" applyAlignment="1" applyProtection="1">
      <alignment horizontal="center" vertical="center"/>
      <protection hidden="1"/>
    </xf>
    <xf numFmtId="2" fontId="9" fillId="6" borderId="0" xfId="0" applyNumberFormat="1" applyFont="1" applyFill="1" applyAlignment="1" applyProtection="1">
      <alignment horizontal="center" vertical="center"/>
      <protection hidden="1"/>
    </xf>
    <xf numFmtId="164" fontId="11" fillId="13" borderId="0" xfId="1" applyNumberFormat="1" applyFont="1" applyFill="1" applyBorder="1" applyAlignment="1" applyProtection="1">
      <alignment horizontal="center" vertical="center"/>
      <protection locked="0"/>
    </xf>
    <xf numFmtId="2" fontId="5" fillId="28" borderId="0" xfId="0" applyNumberFormat="1" applyFont="1" applyFill="1" applyAlignment="1" applyProtection="1">
      <alignment horizontal="center" vertical="center"/>
      <protection hidden="1"/>
    </xf>
    <xf numFmtId="2" fontId="9" fillId="28" borderId="0" xfId="0" applyNumberFormat="1" applyFont="1" applyFill="1" applyAlignment="1" applyProtection="1">
      <alignment horizontal="center" vertical="center"/>
      <protection hidden="1"/>
    </xf>
    <xf numFmtId="164" fontId="11" fillId="28" borderId="0" xfId="1" applyNumberFormat="1" applyFont="1" applyFill="1" applyBorder="1" applyAlignment="1" applyProtection="1">
      <alignment horizontal="center" vertical="center"/>
      <protection locked="0"/>
    </xf>
    <xf numFmtId="164" fontId="9" fillId="0" borderId="9" xfId="1" applyNumberFormat="1" applyFont="1" applyBorder="1" applyAlignment="1" applyProtection="1">
      <alignment horizontal="center" vertical="center"/>
      <protection hidden="1"/>
    </xf>
    <xf numFmtId="164" fontId="9" fillId="0" borderId="14" xfId="1" applyNumberFormat="1" applyFont="1" applyBorder="1" applyAlignment="1" applyProtection="1">
      <alignment horizontal="center" vertical="center"/>
      <protection hidden="1"/>
    </xf>
    <xf numFmtId="1" fontId="9" fillId="0" borderId="14" xfId="2" applyNumberFormat="1" applyFont="1" applyBorder="1" applyAlignment="1" applyProtection="1">
      <alignment horizontal="center" vertical="center"/>
      <protection hidden="1"/>
    </xf>
    <xf numFmtId="164" fontId="9" fillId="0" borderId="11" xfId="1" applyNumberFormat="1" applyFont="1" applyBorder="1" applyAlignment="1" applyProtection="1">
      <alignment horizontal="center" vertical="center"/>
      <protection hidden="1"/>
    </xf>
    <xf numFmtId="10" fontId="0" fillId="0" borderId="0" xfId="0" applyNumberFormat="1"/>
    <xf numFmtId="0" fontId="19" fillId="0" borderId="2" xfId="0" applyFont="1" applyBorder="1" applyAlignment="1">
      <alignment horizontal="center"/>
    </xf>
    <xf numFmtId="164" fontId="19" fillId="0" borderId="0" xfId="1" applyNumberFormat="1" applyFont="1" applyAlignment="1">
      <alignment horizontal="center"/>
    </xf>
    <xf numFmtId="0" fontId="0" fillId="29" borderId="0" xfId="0" applyFill="1"/>
    <xf numFmtId="0" fontId="0" fillId="29" borderId="1" xfId="0" applyFill="1" applyBorder="1"/>
    <xf numFmtId="1" fontId="0" fillId="29" borderId="0" xfId="0" applyNumberFormat="1" applyFill="1" applyAlignment="1">
      <alignment horizontal="center"/>
    </xf>
    <xf numFmtId="165" fontId="0" fillId="29" borderId="0" xfId="0" applyNumberFormat="1" applyFill="1" applyAlignment="1">
      <alignment horizontal="center"/>
    </xf>
    <xf numFmtId="164" fontId="0" fillId="29" borderId="0" xfId="1" applyNumberFormat="1" applyFont="1" applyFill="1" applyAlignment="1">
      <alignment horizontal="center"/>
    </xf>
    <xf numFmtId="9" fontId="0" fillId="29" borderId="0" xfId="0" applyNumberFormat="1" applyFill="1" applyAlignment="1">
      <alignment horizontal="center"/>
    </xf>
    <xf numFmtId="1" fontId="0" fillId="29" borderId="0" xfId="1" applyNumberFormat="1" applyFont="1" applyFill="1" applyAlignment="1">
      <alignment horizontal="center"/>
    </xf>
    <xf numFmtId="2" fontId="0" fillId="29" borderId="0" xfId="1" applyNumberFormat="1" applyFont="1" applyFill="1" applyAlignment="1">
      <alignment horizontal="center"/>
    </xf>
    <xf numFmtId="10" fontId="0" fillId="29" borderId="0" xfId="1" applyNumberFormat="1" applyFont="1" applyFill="1" applyAlignment="1">
      <alignment horizontal="center"/>
    </xf>
    <xf numFmtId="0" fontId="0" fillId="29" borderId="0" xfId="0" applyFill="1" applyAlignment="1">
      <alignment horizontal="center"/>
    </xf>
    <xf numFmtId="0" fontId="19" fillId="0" borderId="0" xfId="0" applyFont="1"/>
    <xf numFmtId="0" fontId="19" fillId="4" borderId="2" xfId="0" applyFont="1" applyFill="1" applyBorder="1" applyAlignment="1">
      <alignment horizontal="center"/>
    </xf>
    <xf numFmtId="2" fontId="19" fillId="0" borderId="0" xfId="0" applyNumberFormat="1" applyFont="1"/>
    <xf numFmtId="165" fontId="19" fillId="0" borderId="0" xfId="0" applyNumberFormat="1" applyFont="1"/>
    <xf numFmtId="0" fontId="19" fillId="4" borderId="0" xfId="0" applyFont="1" applyFill="1" applyAlignment="1">
      <alignment horizontal="center"/>
    </xf>
    <xf numFmtId="0" fontId="19" fillId="29" borderId="0" xfId="0" applyFont="1" applyFill="1" applyAlignment="1">
      <alignment horizontal="center"/>
    </xf>
    <xf numFmtId="0" fontId="19" fillId="0" borderId="0" xfId="0" applyFont="1" applyAlignment="1">
      <alignment horizontal="center"/>
    </xf>
    <xf numFmtId="10" fontId="0" fillId="4" borderId="0" xfId="1" applyNumberFormat="1" applyFont="1" applyFill="1" applyAlignment="1">
      <alignment horizontal="center"/>
    </xf>
    <xf numFmtId="2" fontId="2" fillId="6" borderId="0" xfId="0" applyNumberFormat="1" applyFont="1" applyFill="1" applyAlignment="1">
      <alignment horizontal="center"/>
    </xf>
    <xf numFmtId="0" fontId="0" fillId="4" borderId="1" xfId="0" applyFill="1" applyBorder="1" applyAlignment="1">
      <alignment horizontal="center"/>
    </xf>
    <xf numFmtId="0" fontId="19" fillId="0" borderId="1" xfId="0" applyFont="1" applyBorder="1" applyAlignment="1">
      <alignment horizontal="center"/>
    </xf>
    <xf numFmtId="9" fontId="19" fillId="0" borderId="2" xfId="1" applyFont="1" applyBorder="1" applyAlignment="1">
      <alignment horizontal="center"/>
    </xf>
    <xf numFmtId="2" fontId="0" fillId="4" borderId="0" xfId="0" applyNumberFormat="1" applyFill="1" applyAlignment="1">
      <alignment horizontal="center"/>
    </xf>
    <xf numFmtId="1" fontId="0" fillId="30" borderId="0" xfId="1" applyNumberFormat="1" applyFont="1" applyFill="1" applyAlignment="1">
      <alignment horizontal="center"/>
    </xf>
    <xf numFmtId="165" fontId="0" fillId="30" borderId="0" xfId="0" applyNumberFormat="1" applyFill="1" applyAlignment="1">
      <alignment horizontal="center"/>
    </xf>
    <xf numFmtId="0" fontId="0" fillId="4" borderId="1" xfId="0" applyFill="1" applyBorder="1"/>
    <xf numFmtId="165" fontId="0" fillId="4" borderId="0" xfId="0" applyNumberFormat="1" applyFill="1" applyAlignment="1">
      <alignment horizontal="center"/>
    </xf>
    <xf numFmtId="9" fontId="0" fillId="4" borderId="0" xfId="0" applyNumberFormat="1" applyFill="1" applyAlignment="1">
      <alignment horizontal="center"/>
    </xf>
    <xf numFmtId="1" fontId="0" fillId="4" borderId="0" xfId="1" applyNumberFormat="1" applyFont="1" applyFill="1" applyAlignment="1">
      <alignment horizontal="center"/>
    </xf>
    <xf numFmtId="2" fontId="0" fillId="4" borderId="0" xfId="1" applyNumberFormat="1" applyFont="1" applyFill="1" applyAlignment="1">
      <alignment horizontal="center"/>
    </xf>
    <xf numFmtId="9" fontId="0" fillId="4" borderId="0" xfId="1" applyFont="1" applyFill="1" applyAlignment="1">
      <alignment horizontal="center"/>
    </xf>
    <xf numFmtId="164" fontId="0" fillId="4" borderId="0" xfId="1" applyNumberFormat="1" applyFont="1" applyFill="1"/>
    <xf numFmtId="10" fontId="0" fillId="4" borderId="0" xfId="0" applyNumberFormat="1" applyFill="1"/>
    <xf numFmtId="0" fontId="16" fillId="24" borderId="0" xfId="0" applyFont="1" applyFill="1" applyAlignment="1" applyProtection="1">
      <alignment horizontal="center" vertical="center"/>
      <protection hidden="1"/>
    </xf>
    <xf numFmtId="0" fontId="3" fillId="6" borderId="0" xfId="0" applyFont="1" applyFill="1" applyAlignment="1" applyProtection="1">
      <alignment horizontal="center" vertical="center"/>
      <protection hidden="1"/>
    </xf>
    <xf numFmtId="0" fontId="11" fillId="12" borderId="5" xfId="0" applyFont="1" applyFill="1" applyBorder="1" applyAlignment="1" applyProtection="1">
      <alignment horizontal="center" vertical="center"/>
      <protection hidden="1"/>
    </xf>
    <xf numFmtId="0" fontId="11" fillId="12" borderId="6" xfId="0" applyFont="1" applyFill="1" applyBorder="1" applyAlignment="1" applyProtection="1">
      <alignment horizontal="center" vertical="center"/>
      <protection hidden="1"/>
    </xf>
    <xf numFmtId="0" fontId="16" fillId="0" borderId="0" xfId="0" applyFont="1" applyAlignment="1" applyProtection="1">
      <alignment horizontal="center" vertical="center"/>
      <protection hidden="1"/>
    </xf>
    <xf numFmtId="0" fontId="16" fillId="17" borderId="0" xfId="0" applyFont="1" applyFill="1" applyAlignment="1" applyProtection="1">
      <alignment horizontal="center" vertical="center"/>
      <protection hidden="1"/>
    </xf>
    <xf numFmtId="0" fontId="16" fillId="14" borderId="0" xfId="0" applyFont="1" applyFill="1" applyAlignment="1" applyProtection="1">
      <alignment horizontal="center" vertical="center"/>
      <protection hidden="1"/>
    </xf>
    <xf numFmtId="0" fontId="16" fillId="22" borderId="0" xfId="0" applyFont="1" applyFill="1" applyAlignment="1" applyProtection="1">
      <alignment horizontal="center" vertical="center"/>
      <protection hidden="1"/>
    </xf>
    <xf numFmtId="0" fontId="16" fillId="15" borderId="0" xfId="0" applyFont="1" applyFill="1" applyAlignment="1" applyProtection="1">
      <alignment horizontal="center" vertical="center"/>
      <protection hidden="1"/>
    </xf>
    <xf numFmtId="167" fontId="3" fillId="6" borderId="0" xfId="0" applyNumberFormat="1" applyFont="1" applyFill="1" applyAlignment="1" applyProtection="1">
      <alignment horizontal="center" vertical="center"/>
      <protection hidden="1"/>
    </xf>
    <xf numFmtId="0" fontId="5" fillId="8" borderId="0" xfId="0" applyFont="1" applyFill="1" applyAlignment="1" applyProtection="1">
      <alignment horizontal="center" vertical="center"/>
      <protection hidden="1"/>
    </xf>
    <xf numFmtId="0" fontId="14" fillId="20" borderId="3" xfId="0" applyFont="1" applyFill="1" applyBorder="1" applyAlignment="1" applyProtection="1">
      <alignment horizontal="center" vertical="center"/>
      <protection hidden="1"/>
    </xf>
    <xf numFmtId="0" fontId="14" fillId="20" borderId="4" xfId="0" applyFont="1" applyFill="1" applyBorder="1" applyAlignment="1" applyProtection="1">
      <alignment horizontal="center" vertical="center"/>
      <protection hidden="1"/>
    </xf>
    <xf numFmtId="0" fontId="16" fillId="19" borderId="0" xfId="0" applyFont="1" applyFill="1" applyAlignment="1" applyProtection="1">
      <alignment horizontal="center" vertical="center"/>
      <protection hidden="1"/>
    </xf>
    <xf numFmtId="0" fontId="16" fillId="9" borderId="0" xfId="0" applyFont="1" applyFill="1" applyAlignment="1" applyProtection="1">
      <alignment horizontal="center" vertical="center"/>
      <protection hidden="1"/>
    </xf>
    <xf numFmtId="0" fontId="14" fillId="9" borderId="5" xfId="0" applyFont="1" applyFill="1" applyBorder="1" applyAlignment="1" applyProtection="1">
      <alignment horizontal="center" vertical="center"/>
      <protection hidden="1"/>
    </xf>
    <xf numFmtId="0" fontId="14" fillId="9" borderId="6" xfId="0" applyFont="1" applyFill="1" applyBorder="1" applyAlignment="1" applyProtection="1">
      <alignment horizontal="center" vertical="center"/>
      <protection hidden="1"/>
    </xf>
    <xf numFmtId="0" fontId="14" fillId="11" borderId="5" xfId="0" applyFont="1" applyFill="1" applyBorder="1" applyAlignment="1" applyProtection="1">
      <alignment horizontal="center" vertical="center"/>
      <protection hidden="1"/>
    </xf>
    <xf numFmtId="0" fontId="14" fillId="11" borderId="6" xfId="0" applyFont="1" applyFill="1" applyBorder="1" applyAlignment="1" applyProtection="1">
      <alignment horizontal="center" vertical="center"/>
      <protection hidden="1"/>
    </xf>
    <xf numFmtId="0" fontId="5" fillId="9" borderId="17" xfId="0" applyFont="1" applyFill="1" applyBorder="1" applyAlignment="1">
      <alignment horizontal="center" vertical="center"/>
    </xf>
    <xf numFmtId="0" fontId="5" fillId="9" borderId="9" xfId="0" applyFont="1" applyFill="1" applyBorder="1" applyAlignment="1">
      <alignment horizontal="center" vertical="center"/>
    </xf>
    <xf numFmtId="0" fontId="5" fillId="19" borderId="17" xfId="0" applyFont="1" applyFill="1" applyBorder="1" applyAlignment="1">
      <alignment horizontal="center" vertical="center"/>
    </xf>
    <xf numFmtId="0" fontId="5" fillId="19" borderId="9" xfId="0" applyFont="1" applyFill="1" applyBorder="1" applyAlignment="1">
      <alignment horizontal="center" vertical="center"/>
    </xf>
    <xf numFmtId="0" fontId="5" fillId="3" borderId="30" xfId="0" applyFont="1" applyFill="1" applyBorder="1" applyAlignment="1">
      <alignment horizontal="center" vertical="center"/>
    </xf>
    <xf numFmtId="0" fontId="5" fillId="3" borderId="25" xfId="0" applyFont="1" applyFill="1" applyBorder="1" applyAlignment="1">
      <alignment horizontal="center" vertical="center"/>
    </xf>
    <xf numFmtId="0" fontId="13" fillId="20" borderId="5" xfId="0" applyFont="1" applyFill="1" applyBorder="1" applyAlignment="1" applyProtection="1">
      <alignment horizontal="center" vertical="center" wrapText="1"/>
      <protection hidden="1"/>
    </xf>
    <xf numFmtId="0" fontId="13" fillId="20" borderId="7" xfId="0" applyFont="1" applyFill="1" applyBorder="1" applyAlignment="1" applyProtection="1">
      <alignment horizontal="center" vertical="center" wrapText="1"/>
      <protection hidden="1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9" borderId="34" xfId="0" applyFont="1" applyFill="1" applyBorder="1" applyAlignment="1">
      <alignment horizontal="center" vertical="center"/>
    </xf>
    <xf numFmtId="0" fontId="5" fillId="9" borderId="32" xfId="0" applyFont="1" applyFill="1" applyBorder="1" applyAlignment="1">
      <alignment horizontal="center" vertical="center"/>
    </xf>
    <xf numFmtId="0" fontId="5" fillId="19" borderId="34" xfId="0" applyFont="1" applyFill="1" applyBorder="1" applyAlignment="1">
      <alignment horizontal="center" vertical="center"/>
    </xf>
    <xf numFmtId="0" fontId="5" fillId="19" borderId="32" xfId="0" applyFont="1" applyFill="1" applyBorder="1" applyAlignment="1">
      <alignment horizontal="center" vertical="center"/>
    </xf>
  </cellXfs>
  <cellStyles count="3">
    <cellStyle name="Comma" xfId="2" builtinId="3"/>
    <cellStyle name="Normal" xfId="0" builtinId="0"/>
    <cellStyle name="Percent" xfId="1" builtinId="5"/>
  </cellStyles>
  <dxfs count="6">
    <dxf>
      <fill>
        <patternFill>
          <bgColor theme="9" tint="0.79998168889431442"/>
        </patternFill>
      </fill>
    </dxf>
    <dxf>
      <fill>
        <patternFill>
          <bgColor rgb="FFFFB9B9"/>
        </patternFill>
      </fill>
    </dxf>
    <dxf>
      <fill>
        <patternFill>
          <bgColor theme="9" tint="0.79998168889431442"/>
        </patternFill>
      </fill>
    </dxf>
    <dxf>
      <fill>
        <patternFill>
          <bgColor rgb="FFFFB9B9"/>
        </patternFill>
      </fill>
    </dxf>
    <dxf>
      <fill>
        <patternFill>
          <bgColor theme="9" tint="0.79998168889431442"/>
        </patternFill>
      </fill>
    </dxf>
    <dxf>
      <fill>
        <patternFill>
          <bgColor rgb="FFFFB9B9"/>
        </patternFill>
      </fill>
    </dxf>
  </dxfs>
  <tableStyles count="0" defaultTableStyle="TableStyleMedium2" defaultPivotStyle="PivotStyleLight16"/>
  <colors>
    <mruColors>
      <color rgb="FFD8E4F8"/>
      <color rgb="FFC7ECBA"/>
      <color rgb="FFFFE89F"/>
      <color rgb="FFD1C2C1"/>
      <color rgb="FF85DFFF"/>
      <color rgb="FF33CAFF"/>
      <color rgb="FF897EF6"/>
      <color rgb="FFFFB9B9"/>
      <color rgb="FFF7BFBF"/>
      <color rgb="FFB7A19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147348694291602"/>
          <c:y val="2.2907848573541736E-2"/>
          <c:w val="0.68773467086463957"/>
          <c:h val="0.9295658638974850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485-469B-AC94-3FB5997BF5AD}"/>
              </c:ext>
            </c:extLst>
          </c:dPt>
          <c:dPt>
            <c:idx val="1"/>
            <c:bubble3D val="0"/>
            <c:spPr>
              <a:solidFill>
                <a:srgbClr val="B7A19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485-469B-AC94-3FB5997BF5AD}"/>
              </c:ext>
            </c:extLst>
          </c:dPt>
          <c:dPt>
            <c:idx val="2"/>
            <c:bubble3D val="0"/>
            <c:spPr>
              <a:solidFill>
                <a:srgbClr val="0F9ED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485-469B-AC94-3FB5997BF5AD}"/>
              </c:ext>
            </c:extLst>
          </c:dPt>
          <c:dPt>
            <c:idx val="3"/>
            <c:bubble3D val="0"/>
            <c:spPr>
              <a:solidFill>
                <a:srgbClr val="15608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485-469B-AC94-3FB5997BF5AD}"/>
              </c:ext>
            </c:extLst>
          </c:dPt>
          <c:dPt>
            <c:idx val="4"/>
            <c:bubble3D val="0"/>
            <c:spPr>
              <a:solidFill>
                <a:srgbClr val="A02B9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485-469B-AC94-3FB5997BF5AD}"/>
              </c:ext>
            </c:extLst>
          </c:dPt>
          <c:dPt>
            <c:idx val="5"/>
            <c:bubble3D val="0"/>
            <c:spPr>
              <a:solidFill>
                <a:srgbClr val="F2AA8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485-469B-AC94-3FB5997BF5AD}"/>
              </c:ext>
            </c:extLst>
          </c:dPt>
          <c:dPt>
            <c:idx val="6"/>
            <c:bubble3D val="0"/>
            <c:spPr>
              <a:solidFill>
                <a:srgbClr val="4EA72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BB37-47AC-B6CE-F93B6705286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[0]!Graph_Brand_List_ch1</c:f>
              <c:strCache>
                <c:ptCount val="7"/>
                <c:pt idx="0">
                  <c:v>KRAFT</c:v>
                </c:pt>
                <c:pt idx="1">
                  <c:v>MIRACLE WHIP</c:v>
                </c:pt>
                <c:pt idx="2">
                  <c:v>HELLMANNS BEST FOODS</c:v>
                </c:pt>
                <c:pt idx="3">
                  <c:v>DUKES</c:v>
                </c:pt>
                <c:pt idx="4">
                  <c:v>PRIVATE LABEL</c:v>
                </c:pt>
                <c:pt idx="5">
                  <c:v>MCCORMICK AIOLI</c:v>
                </c:pt>
                <c:pt idx="6">
                  <c:v>RESTOFCATEGORY</c:v>
                </c:pt>
              </c:strCache>
            </c:strRef>
          </c:cat>
          <c:val>
            <c:numRef>
              <c:f>[0]!Graph_MS_Do_Nothing_ch1</c:f>
              <c:numCache>
                <c:formatCode>0.0%</c:formatCode>
                <c:ptCount val="7"/>
                <c:pt idx="0">
                  <c:v>9.3009611966128447E-2</c:v>
                </c:pt>
                <c:pt idx="1">
                  <c:v>0.11045428302687428</c:v>
                </c:pt>
                <c:pt idx="2">
                  <c:v>0.46584077544883734</c:v>
                </c:pt>
                <c:pt idx="3">
                  <c:v>0.10124850511940348</c:v>
                </c:pt>
                <c:pt idx="4">
                  <c:v>0.10328004426178949</c:v>
                </c:pt>
                <c:pt idx="5">
                  <c:v>1.9816997316769197E-2</c:v>
                </c:pt>
                <c:pt idx="6">
                  <c:v>0.10634978286019783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485-469B-AC94-3FB5997BF5A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147348694291602"/>
          <c:y val="2.2907848573541736E-2"/>
          <c:w val="0.68773467086463957"/>
          <c:h val="0.9295658638974850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8E1-40B0-8F7A-39B87E0E7DE2}"/>
              </c:ext>
            </c:extLst>
          </c:dPt>
          <c:dPt>
            <c:idx val="1"/>
            <c:bubble3D val="0"/>
            <c:spPr>
              <a:solidFill>
                <a:srgbClr val="B7A19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8E1-40B0-8F7A-39B87E0E7DE2}"/>
              </c:ext>
            </c:extLst>
          </c:dPt>
          <c:dPt>
            <c:idx val="2"/>
            <c:bubble3D val="0"/>
            <c:spPr>
              <a:solidFill>
                <a:srgbClr val="0F9ED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8E1-40B0-8F7A-39B87E0E7DE2}"/>
              </c:ext>
            </c:extLst>
          </c:dPt>
          <c:dPt>
            <c:idx val="3"/>
            <c:bubble3D val="0"/>
            <c:spPr>
              <a:solidFill>
                <a:srgbClr val="15608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8E1-40B0-8F7A-39B87E0E7DE2}"/>
              </c:ext>
            </c:extLst>
          </c:dPt>
          <c:dPt>
            <c:idx val="4"/>
            <c:bubble3D val="0"/>
            <c:spPr>
              <a:solidFill>
                <a:srgbClr val="A02B9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8E1-40B0-8F7A-39B87E0E7DE2}"/>
              </c:ext>
            </c:extLst>
          </c:dPt>
          <c:dPt>
            <c:idx val="5"/>
            <c:bubble3D val="0"/>
            <c:spPr>
              <a:solidFill>
                <a:srgbClr val="F2AA8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8E1-40B0-8F7A-39B87E0E7DE2}"/>
              </c:ext>
            </c:extLst>
          </c:dPt>
          <c:dPt>
            <c:idx val="6"/>
            <c:bubble3D val="0"/>
            <c:spPr>
              <a:solidFill>
                <a:srgbClr val="4EA72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D4FB-4AA6-9FFC-C2ED83D7BBA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[0]!Graph_Brand_List_ch1</c:f>
              <c:strCache>
                <c:ptCount val="7"/>
                <c:pt idx="0">
                  <c:v>KRAFT</c:v>
                </c:pt>
                <c:pt idx="1">
                  <c:v>MIRACLE WHIP</c:v>
                </c:pt>
                <c:pt idx="2">
                  <c:v>HELLMANNS BEST FOODS</c:v>
                </c:pt>
                <c:pt idx="3">
                  <c:v>DUKES</c:v>
                </c:pt>
                <c:pt idx="4">
                  <c:v>PRIVATE LABEL</c:v>
                </c:pt>
                <c:pt idx="5">
                  <c:v>MCCORMICK AIOLI</c:v>
                </c:pt>
                <c:pt idx="6">
                  <c:v>RESTOFCATEGORY</c:v>
                </c:pt>
              </c:strCache>
            </c:strRef>
          </c:cat>
          <c:val>
            <c:numRef>
              <c:f>[0]!Graph_MS_Final_ch1</c:f>
              <c:numCache>
                <c:formatCode>0.0%</c:formatCode>
                <c:ptCount val="7"/>
                <c:pt idx="0">
                  <c:v>9.3009611966128447E-2</c:v>
                </c:pt>
                <c:pt idx="1">
                  <c:v>0.11045428302687428</c:v>
                </c:pt>
                <c:pt idx="2">
                  <c:v>0.46584077544883734</c:v>
                </c:pt>
                <c:pt idx="3">
                  <c:v>0.10124850511940348</c:v>
                </c:pt>
                <c:pt idx="4">
                  <c:v>0.10328004426178949</c:v>
                </c:pt>
                <c:pt idx="5">
                  <c:v>1.9816997316769201E-2</c:v>
                </c:pt>
                <c:pt idx="6">
                  <c:v>0.10634978286019786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8E1-40B0-8F7A-39B87E0E7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21801801771834334"/>
          <c:w val="0.2871297076113678"/>
          <c:h val="0.555428783176987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79938840527207"/>
          <c:y val="3.2798696909239686E-2"/>
          <c:w val="0.8170260584815261"/>
          <c:h val="0.93440250519509149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8B6-40DD-A1BA-1B0B4B808740}"/>
              </c:ext>
            </c:extLst>
          </c:dPt>
          <c:dPt>
            <c:idx val="1"/>
            <c:invertIfNegative val="0"/>
            <c:bubble3D val="0"/>
            <c:spPr>
              <a:solidFill>
                <a:srgbClr val="B7A19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8B6-40DD-A1BA-1B0B4B808740}"/>
              </c:ext>
            </c:extLst>
          </c:dPt>
          <c:dPt>
            <c:idx val="2"/>
            <c:invertIfNegative val="0"/>
            <c:bubble3D val="0"/>
            <c:spPr>
              <a:solidFill>
                <a:srgbClr val="0F9E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B6-40DD-A1BA-1B0B4B808740}"/>
              </c:ext>
            </c:extLst>
          </c:dPt>
          <c:dPt>
            <c:idx val="3"/>
            <c:invertIfNegative val="0"/>
            <c:bubble3D val="0"/>
            <c:spPr>
              <a:solidFill>
                <a:srgbClr val="1560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8B6-40DD-A1BA-1B0B4B808740}"/>
              </c:ext>
            </c:extLst>
          </c:dPt>
          <c:dPt>
            <c:idx val="4"/>
            <c:invertIfNegative val="0"/>
            <c:bubble3D val="0"/>
            <c:spPr>
              <a:solidFill>
                <a:srgbClr val="A02B9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B6-40DD-A1BA-1B0B4B808740}"/>
              </c:ext>
            </c:extLst>
          </c:dPt>
          <c:dPt>
            <c:idx val="5"/>
            <c:invertIfNegative val="0"/>
            <c:bubble3D val="0"/>
            <c:spPr>
              <a:solidFill>
                <a:srgbClr val="F2AA8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A8B6-40DD-A1BA-1B0B4B808740}"/>
              </c:ext>
            </c:extLst>
          </c:dPt>
          <c:dPt>
            <c:idx val="6"/>
            <c:invertIfNegative val="0"/>
            <c:bubble3D val="0"/>
            <c:spPr>
              <a:solidFill>
                <a:srgbClr val="4EA72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4D22-4A31-880E-205697E4351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[0]!Graph_Brand_List_ch1</c:f>
              <c:strCache>
                <c:ptCount val="7"/>
                <c:pt idx="0">
                  <c:v>KRAFT</c:v>
                </c:pt>
                <c:pt idx="1">
                  <c:v>MIRACLE WHIP</c:v>
                </c:pt>
                <c:pt idx="2">
                  <c:v>HELLMANNS BEST FOODS</c:v>
                </c:pt>
                <c:pt idx="3">
                  <c:v>DUKES</c:v>
                </c:pt>
                <c:pt idx="4">
                  <c:v>PRIVATE LABEL</c:v>
                </c:pt>
                <c:pt idx="5">
                  <c:v>MCCORMICK AIOLI</c:v>
                </c:pt>
                <c:pt idx="6">
                  <c:v>RESTOFCATEGORY</c:v>
                </c:pt>
              </c:strCache>
            </c:strRef>
          </c:cat>
          <c:val>
            <c:numRef>
              <c:f>[0]!Graph_Final_MSP_ch1</c:f>
              <c:numCache>
                <c:formatCode>0.00%</c:formatCode>
                <c:ptCount val="7"/>
                <c:pt idx="0">
                  <c:v>-3.1688952867340442E-3</c:v>
                </c:pt>
                <c:pt idx="1">
                  <c:v>-5.6916507898742974E-3</c:v>
                </c:pt>
                <c:pt idx="2">
                  <c:v>3.8624233183587875E-3</c:v>
                </c:pt>
                <c:pt idx="3">
                  <c:v>2.0237098700669059E-3</c:v>
                </c:pt>
                <c:pt idx="4">
                  <c:v>1.7184629905872134E-3</c:v>
                </c:pt>
                <c:pt idx="5">
                  <c:v>-3.6591347309552005E-4</c:v>
                </c:pt>
                <c:pt idx="6">
                  <c:v>1.6218633706910485E-3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B6-40DD-A1BA-1B0B4B808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47769904"/>
        <c:axId val="947770384"/>
      </c:barChart>
      <c:catAx>
        <c:axId val="94776990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947770384"/>
        <c:crosses val="autoZero"/>
        <c:auto val="1"/>
        <c:lblAlgn val="ctr"/>
        <c:lblOffset val="100"/>
        <c:noMultiLvlLbl val="0"/>
      </c:catAx>
      <c:valAx>
        <c:axId val="947770384"/>
        <c:scaling>
          <c:orientation val="minMax"/>
        </c:scaling>
        <c:delete val="1"/>
        <c:axPos val="t"/>
        <c:numFmt formatCode="0.00%" sourceLinked="1"/>
        <c:majorTickMark val="none"/>
        <c:minorTickMark val="none"/>
        <c:tickLblPos val="nextTo"/>
        <c:crossAx val="94776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9151738494448326"/>
          <c:y val="3.5654554582222796E-2"/>
          <c:w val="0.68684291835854416"/>
          <c:h val="0.9286908908355544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E56-48F8-B487-3481B5F2AE1D}"/>
              </c:ext>
            </c:extLst>
          </c:dPt>
          <c:dPt>
            <c:idx val="1"/>
            <c:invertIfNegative val="0"/>
            <c:bubble3D val="0"/>
            <c:spPr>
              <a:solidFill>
                <a:srgbClr val="B7A19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E56-48F8-B487-3481B5F2AE1D}"/>
              </c:ext>
            </c:extLst>
          </c:dPt>
          <c:dPt>
            <c:idx val="2"/>
            <c:invertIfNegative val="0"/>
            <c:bubble3D val="0"/>
            <c:spPr>
              <a:solidFill>
                <a:srgbClr val="0F9E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9E56-48F8-B487-3481B5F2AE1D}"/>
              </c:ext>
            </c:extLst>
          </c:dPt>
          <c:dPt>
            <c:idx val="3"/>
            <c:invertIfNegative val="0"/>
            <c:bubble3D val="0"/>
            <c:spPr>
              <a:solidFill>
                <a:srgbClr val="1560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E56-48F8-B487-3481B5F2AE1D}"/>
              </c:ext>
            </c:extLst>
          </c:dPt>
          <c:dPt>
            <c:idx val="4"/>
            <c:invertIfNegative val="0"/>
            <c:bubble3D val="0"/>
            <c:spPr>
              <a:solidFill>
                <a:srgbClr val="A02B9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9E56-48F8-B487-3481B5F2AE1D}"/>
              </c:ext>
            </c:extLst>
          </c:dPt>
          <c:dPt>
            <c:idx val="5"/>
            <c:invertIfNegative val="0"/>
            <c:bubble3D val="0"/>
            <c:spPr>
              <a:solidFill>
                <a:srgbClr val="F2AA8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E56-48F8-B487-3481B5F2AE1D}"/>
              </c:ext>
            </c:extLst>
          </c:dPt>
          <c:dPt>
            <c:idx val="6"/>
            <c:invertIfNegative val="0"/>
            <c:bubble3D val="0"/>
            <c:spPr>
              <a:solidFill>
                <a:srgbClr val="4EA72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3A0E-4957-A714-5C83F1A0239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[0]!Graph_Brand_List_ch1</c:f>
              <c:strCache>
                <c:ptCount val="7"/>
                <c:pt idx="0">
                  <c:v>KRAFT</c:v>
                </c:pt>
                <c:pt idx="1">
                  <c:v>MIRACLE WHIP</c:v>
                </c:pt>
                <c:pt idx="2">
                  <c:v>HELLMANNS BEST FOODS</c:v>
                </c:pt>
                <c:pt idx="3">
                  <c:v>DUKES</c:v>
                </c:pt>
                <c:pt idx="4">
                  <c:v>PRIVATE LABEL</c:v>
                </c:pt>
                <c:pt idx="5">
                  <c:v>MCCORMICK AIOLI</c:v>
                </c:pt>
                <c:pt idx="6">
                  <c:v>RESTOFCATEGORY</c:v>
                </c:pt>
              </c:strCache>
            </c:strRef>
          </c:cat>
          <c:val>
            <c:numRef>
              <c:f>[0]!Initial_CSF_ch1</c:f>
              <c:numCache>
                <c:formatCode>0.00</c:formatCode>
                <c:ptCount val="7"/>
                <c:pt idx="0">
                  <c:v>2.0737012395424501</c:v>
                </c:pt>
                <c:pt idx="1">
                  <c:v>2.0226676839361799</c:v>
                </c:pt>
                <c:pt idx="2">
                  <c:v>2.20499773298901</c:v>
                </c:pt>
                <c:pt idx="3">
                  <c:v>2.2432487578206901</c:v>
                </c:pt>
                <c:pt idx="4">
                  <c:v>2.2322043719954499</c:v>
                </c:pt>
                <c:pt idx="5">
                  <c:v>2.1207997463947401</c:v>
                </c:pt>
                <c:pt idx="6">
                  <c:v>2.2276466481725499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56-48F8-B487-3481B5F2A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05499151"/>
        <c:axId val="1005499631"/>
      </c:barChart>
      <c:catAx>
        <c:axId val="100549915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499631"/>
        <c:crosses val="autoZero"/>
        <c:auto val="1"/>
        <c:lblAlgn val="ctr"/>
        <c:lblOffset val="100"/>
        <c:noMultiLvlLbl val="0"/>
      </c:catAx>
      <c:valAx>
        <c:axId val="1005499631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1005499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797690227987626"/>
          <c:y val="3.5656929797962783E-2"/>
          <c:w val="0.70237112639528998"/>
          <c:h val="0.92868614040407449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1-459C-A677-B9E64C177480}"/>
              </c:ext>
            </c:extLst>
          </c:dPt>
          <c:dPt>
            <c:idx val="1"/>
            <c:invertIfNegative val="0"/>
            <c:bubble3D val="0"/>
            <c:spPr>
              <a:solidFill>
                <a:srgbClr val="B7A19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1-459C-A677-B9E64C177480}"/>
              </c:ext>
            </c:extLst>
          </c:dPt>
          <c:dPt>
            <c:idx val="2"/>
            <c:invertIfNegative val="0"/>
            <c:bubble3D val="0"/>
            <c:spPr>
              <a:solidFill>
                <a:srgbClr val="0F9E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1-459C-A677-B9E64C177480}"/>
              </c:ext>
            </c:extLst>
          </c:dPt>
          <c:dPt>
            <c:idx val="3"/>
            <c:invertIfNegative val="0"/>
            <c:bubble3D val="0"/>
            <c:spPr>
              <a:solidFill>
                <a:srgbClr val="1560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1-459C-A677-B9E64C177480}"/>
              </c:ext>
            </c:extLst>
          </c:dPt>
          <c:dPt>
            <c:idx val="4"/>
            <c:invertIfNegative val="0"/>
            <c:bubble3D val="0"/>
            <c:spPr>
              <a:solidFill>
                <a:srgbClr val="A02B9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EC1-459C-A677-B9E64C177480}"/>
              </c:ext>
            </c:extLst>
          </c:dPt>
          <c:dPt>
            <c:idx val="5"/>
            <c:invertIfNegative val="0"/>
            <c:bubble3D val="0"/>
            <c:spPr>
              <a:solidFill>
                <a:srgbClr val="F2AA8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EC1-459C-A677-B9E64C177480}"/>
              </c:ext>
            </c:extLst>
          </c:dPt>
          <c:dPt>
            <c:idx val="6"/>
            <c:invertIfNegative val="0"/>
            <c:bubble3D val="0"/>
            <c:spPr>
              <a:solidFill>
                <a:srgbClr val="4EA72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E773-4632-9196-00DB13EFA534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[0]!Graph_Brand_List_ch1</c:f>
              <c:strCache>
                <c:ptCount val="7"/>
                <c:pt idx="0">
                  <c:v>KRAFT</c:v>
                </c:pt>
                <c:pt idx="1">
                  <c:v>MIRACLE WHIP</c:v>
                </c:pt>
                <c:pt idx="2">
                  <c:v>HELLMANNS BEST FOODS</c:v>
                </c:pt>
                <c:pt idx="3">
                  <c:v>DUKES</c:v>
                </c:pt>
                <c:pt idx="4">
                  <c:v>PRIVATE LABEL</c:v>
                </c:pt>
                <c:pt idx="5">
                  <c:v>MCCORMICK AIOLI</c:v>
                </c:pt>
                <c:pt idx="6">
                  <c:v>RESTOFCATEGORY</c:v>
                </c:pt>
              </c:strCache>
            </c:strRef>
          </c:cat>
          <c:val>
            <c:numRef>
              <c:f>[0]!Final_CSF_ch1</c:f>
              <c:numCache>
                <c:formatCode>General</c:formatCode>
                <c:ptCount val="7"/>
                <c:pt idx="0">
                  <c:v>2.0737012395424506</c:v>
                </c:pt>
                <c:pt idx="1">
                  <c:v>2.0226676839361835</c:v>
                </c:pt>
                <c:pt idx="2">
                  <c:v>2.2049977329890051</c:v>
                </c:pt>
                <c:pt idx="3">
                  <c:v>2.2432487578206906</c:v>
                </c:pt>
                <c:pt idx="4">
                  <c:v>2.2322043719954467</c:v>
                </c:pt>
                <c:pt idx="5">
                  <c:v>2.1207997463947428</c:v>
                </c:pt>
                <c:pt idx="6">
                  <c:v>2.2276466481725476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EC1-459C-A677-B9E64C177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05499151"/>
        <c:axId val="1005499631"/>
      </c:barChart>
      <c:catAx>
        <c:axId val="100549915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499631"/>
        <c:crosses val="autoZero"/>
        <c:auto val="1"/>
        <c:lblAlgn val="ctr"/>
        <c:lblOffset val="100"/>
        <c:noMultiLvlLbl val="0"/>
      </c:catAx>
      <c:valAx>
        <c:axId val="1005499631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005499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147348694291602"/>
          <c:y val="2.2907848573541736E-2"/>
          <c:w val="0.68773467086463957"/>
          <c:h val="0.9295658638974850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162-4F5C-A225-717F1C7872FC}"/>
              </c:ext>
            </c:extLst>
          </c:dPt>
          <c:dPt>
            <c:idx val="1"/>
            <c:bubble3D val="0"/>
            <c:spPr>
              <a:solidFill>
                <a:srgbClr val="B7A19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162-4F5C-A225-717F1C7872FC}"/>
              </c:ext>
            </c:extLst>
          </c:dPt>
          <c:dPt>
            <c:idx val="2"/>
            <c:bubble3D val="0"/>
            <c:spPr>
              <a:solidFill>
                <a:srgbClr val="0F9ED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162-4F5C-A225-717F1C7872FC}"/>
              </c:ext>
            </c:extLst>
          </c:dPt>
          <c:dPt>
            <c:idx val="3"/>
            <c:bubble3D val="0"/>
            <c:spPr>
              <a:solidFill>
                <a:srgbClr val="15608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162-4F5C-A225-717F1C7872FC}"/>
              </c:ext>
            </c:extLst>
          </c:dPt>
          <c:dPt>
            <c:idx val="4"/>
            <c:bubble3D val="0"/>
            <c:spPr>
              <a:solidFill>
                <a:srgbClr val="A02B9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162-4F5C-A225-717F1C7872FC}"/>
              </c:ext>
            </c:extLst>
          </c:dPt>
          <c:dPt>
            <c:idx val="5"/>
            <c:bubble3D val="0"/>
            <c:spPr>
              <a:solidFill>
                <a:srgbClr val="F2AA8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162-4F5C-A225-717F1C7872FC}"/>
              </c:ext>
            </c:extLst>
          </c:dPt>
          <c:dPt>
            <c:idx val="6"/>
            <c:bubble3D val="0"/>
            <c:spPr>
              <a:solidFill>
                <a:srgbClr val="4EA72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1AEA-4958-AE45-3ECF4276230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[0]!Graph_Brand_List_ch1</c:f>
              <c:strCache>
                <c:ptCount val="7"/>
                <c:pt idx="0">
                  <c:v>KRAFT</c:v>
                </c:pt>
                <c:pt idx="1">
                  <c:v>MIRACLE WHIP</c:v>
                </c:pt>
                <c:pt idx="2">
                  <c:v>HELLMANNS BEST FOODS</c:v>
                </c:pt>
                <c:pt idx="3">
                  <c:v>DUKES</c:v>
                </c:pt>
                <c:pt idx="4">
                  <c:v>PRIVATE LABEL</c:v>
                </c:pt>
                <c:pt idx="5">
                  <c:v>MCCORMICK AIOLI</c:v>
                </c:pt>
                <c:pt idx="6">
                  <c:v>RESTOFCATEGORY</c:v>
                </c:pt>
              </c:strCache>
            </c:strRef>
          </c:cat>
          <c:val>
            <c:numRef>
              <c:f>[0]!Graph_MS_Initial_c1</c:f>
              <c:numCache>
                <c:formatCode>0.0%</c:formatCode>
                <c:ptCount val="7"/>
                <c:pt idx="0">
                  <c:v>9.6178507252862491E-2</c:v>
                </c:pt>
                <c:pt idx="1">
                  <c:v>0.11614593381674858</c:v>
                </c:pt>
                <c:pt idx="2">
                  <c:v>0.46197835213047855</c:v>
                </c:pt>
                <c:pt idx="3">
                  <c:v>9.922479524933657E-2</c:v>
                </c:pt>
                <c:pt idx="4">
                  <c:v>0.10156158127120228</c:v>
                </c:pt>
                <c:pt idx="5">
                  <c:v>2.0182910789864721E-2</c:v>
                </c:pt>
                <c:pt idx="6">
                  <c:v>0.10472791948950681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1162-4F5C-A225-717F1C787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5357178623554879E-2"/>
          <c:y val="0.25205764946645665"/>
          <c:w val="0.26249804462552062"/>
          <c:h val="0.585074564972864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147348694291602"/>
          <c:y val="2.2907848573541736E-2"/>
          <c:w val="0.68773467086463957"/>
          <c:h val="0.9295658638974850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358-46FD-8AC9-B50DC067989E}"/>
              </c:ext>
            </c:extLst>
          </c:dPt>
          <c:dPt>
            <c:idx val="1"/>
            <c:bubble3D val="0"/>
            <c:spPr>
              <a:solidFill>
                <a:srgbClr val="B7A19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358-46FD-8AC9-B50DC067989E}"/>
              </c:ext>
            </c:extLst>
          </c:dPt>
          <c:dPt>
            <c:idx val="2"/>
            <c:bubble3D val="0"/>
            <c:spPr>
              <a:solidFill>
                <a:srgbClr val="0F9ED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358-46FD-8AC9-B50DC067989E}"/>
              </c:ext>
            </c:extLst>
          </c:dPt>
          <c:dPt>
            <c:idx val="3"/>
            <c:bubble3D val="0"/>
            <c:spPr>
              <a:solidFill>
                <a:srgbClr val="15608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358-46FD-8AC9-B50DC067989E}"/>
              </c:ext>
            </c:extLst>
          </c:dPt>
          <c:dPt>
            <c:idx val="4"/>
            <c:bubble3D val="0"/>
            <c:spPr>
              <a:solidFill>
                <a:srgbClr val="A02B9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358-46FD-8AC9-B50DC067989E}"/>
              </c:ext>
            </c:extLst>
          </c:dPt>
          <c:dPt>
            <c:idx val="5"/>
            <c:bubble3D val="0"/>
            <c:spPr>
              <a:solidFill>
                <a:srgbClr val="4EA72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358-46FD-8AC9-B50DC067989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'Calculations - Target'!$F$4:$F$9</c:f>
              <c:strCache>
                <c:ptCount val="6"/>
                <c:pt idx="0">
                  <c:v>KRAFT</c:v>
                </c:pt>
                <c:pt idx="1">
                  <c:v>MIRACLE WHIP</c:v>
                </c:pt>
                <c:pt idx="2">
                  <c:v>HELLMANNS BEST FOODS</c:v>
                </c:pt>
                <c:pt idx="3">
                  <c:v>DUKES</c:v>
                </c:pt>
                <c:pt idx="4">
                  <c:v>PRIVATE LABEL</c:v>
                </c:pt>
                <c:pt idx="5">
                  <c:v>RESTOFCATEGORY</c:v>
                </c:pt>
              </c:strCache>
            </c:strRef>
          </c:cat>
          <c:val>
            <c:numRef>
              <c:f>'Calculations - Target'!$Y$4:$Y$9</c:f>
              <c:numCache>
                <c:formatCode>0.0%</c:formatCode>
                <c:ptCount val="6"/>
                <c:pt idx="0">
                  <c:v>0.10501400224943863</c:v>
                </c:pt>
                <c:pt idx="1">
                  <c:v>6.5100208949918373E-2</c:v>
                </c:pt>
                <c:pt idx="2">
                  <c:v>0.54163978678406199</c:v>
                </c:pt>
                <c:pt idx="3">
                  <c:v>2.7406129076150212E-2</c:v>
                </c:pt>
                <c:pt idx="4">
                  <c:v>7.97368509255105E-2</c:v>
                </c:pt>
                <c:pt idx="5">
                  <c:v>0.18110302201492023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358-46FD-8AC9-B50DC067989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147348694291602"/>
          <c:y val="2.2907848573541736E-2"/>
          <c:w val="0.68773467086463957"/>
          <c:h val="0.9295658638974850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D01-46E5-AE3F-0179EB495A42}"/>
              </c:ext>
            </c:extLst>
          </c:dPt>
          <c:dPt>
            <c:idx val="1"/>
            <c:bubble3D val="0"/>
            <c:spPr>
              <a:solidFill>
                <a:srgbClr val="B7A19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D01-46E5-AE3F-0179EB495A42}"/>
              </c:ext>
            </c:extLst>
          </c:dPt>
          <c:dPt>
            <c:idx val="2"/>
            <c:bubble3D val="0"/>
            <c:spPr>
              <a:solidFill>
                <a:srgbClr val="0F9ED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D01-46E5-AE3F-0179EB495A42}"/>
              </c:ext>
            </c:extLst>
          </c:dPt>
          <c:dPt>
            <c:idx val="3"/>
            <c:bubble3D val="0"/>
            <c:spPr>
              <a:solidFill>
                <a:srgbClr val="15608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D01-46E5-AE3F-0179EB495A42}"/>
              </c:ext>
            </c:extLst>
          </c:dPt>
          <c:dPt>
            <c:idx val="4"/>
            <c:bubble3D val="0"/>
            <c:spPr>
              <a:solidFill>
                <a:srgbClr val="A02B9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D01-46E5-AE3F-0179EB495A42}"/>
              </c:ext>
            </c:extLst>
          </c:dPt>
          <c:dPt>
            <c:idx val="5"/>
            <c:bubble3D val="0"/>
            <c:spPr>
              <a:solidFill>
                <a:srgbClr val="4EA72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D01-46E5-AE3F-0179EB495A4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'Calculations - Target'!$F$4:$F$9</c:f>
              <c:strCache>
                <c:ptCount val="6"/>
                <c:pt idx="0">
                  <c:v>KRAFT</c:v>
                </c:pt>
                <c:pt idx="1">
                  <c:v>MIRACLE WHIP</c:v>
                </c:pt>
                <c:pt idx="2">
                  <c:v>HELLMANNS BEST FOODS</c:v>
                </c:pt>
                <c:pt idx="3">
                  <c:v>DUKES</c:v>
                </c:pt>
                <c:pt idx="4">
                  <c:v>PRIVATE LABEL</c:v>
                </c:pt>
                <c:pt idx="5">
                  <c:v>RESTOFCATEGORY</c:v>
                </c:pt>
              </c:strCache>
            </c:strRef>
          </c:cat>
          <c:val>
            <c:numRef>
              <c:f>'Calculations - Target'!$AR$4:$AR$9</c:f>
              <c:numCache>
                <c:formatCode>0.0%</c:formatCode>
                <c:ptCount val="6"/>
                <c:pt idx="0">
                  <c:v>0.10501400224943851</c:v>
                </c:pt>
                <c:pt idx="1">
                  <c:v>6.5100208949918359E-2</c:v>
                </c:pt>
                <c:pt idx="2">
                  <c:v>0.54163978678406199</c:v>
                </c:pt>
                <c:pt idx="3">
                  <c:v>2.7406129076150212E-2</c:v>
                </c:pt>
                <c:pt idx="4">
                  <c:v>7.9736850925510597E-2</c:v>
                </c:pt>
                <c:pt idx="5">
                  <c:v>0.18110302201492023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D01-46E5-AE3F-0179EB495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21801801771834334"/>
          <c:w val="0.2871297076113678"/>
          <c:h val="0.555428783176987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79938840527207"/>
          <c:y val="3.2798696909239686E-2"/>
          <c:w val="0.8170260584815261"/>
          <c:h val="0.93440250519509149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44-49D8-9226-7D464362CF0B}"/>
              </c:ext>
            </c:extLst>
          </c:dPt>
          <c:dPt>
            <c:idx val="1"/>
            <c:invertIfNegative val="0"/>
            <c:bubble3D val="0"/>
            <c:spPr>
              <a:solidFill>
                <a:srgbClr val="B7A19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44-49D8-9226-7D464362CF0B}"/>
              </c:ext>
            </c:extLst>
          </c:dPt>
          <c:dPt>
            <c:idx val="2"/>
            <c:invertIfNegative val="0"/>
            <c:bubble3D val="0"/>
            <c:spPr>
              <a:solidFill>
                <a:srgbClr val="0F9E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44-49D8-9226-7D464362CF0B}"/>
              </c:ext>
            </c:extLst>
          </c:dPt>
          <c:dPt>
            <c:idx val="3"/>
            <c:invertIfNegative val="0"/>
            <c:bubble3D val="0"/>
            <c:spPr>
              <a:solidFill>
                <a:srgbClr val="1560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44-49D8-9226-7D464362CF0B}"/>
              </c:ext>
            </c:extLst>
          </c:dPt>
          <c:dPt>
            <c:idx val="4"/>
            <c:invertIfNegative val="0"/>
            <c:bubble3D val="0"/>
            <c:spPr>
              <a:solidFill>
                <a:srgbClr val="A02B9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44-49D8-9226-7D464362CF0B}"/>
              </c:ext>
            </c:extLst>
          </c:dPt>
          <c:dPt>
            <c:idx val="5"/>
            <c:invertIfNegative val="0"/>
            <c:bubble3D val="0"/>
            <c:spPr>
              <a:solidFill>
                <a:srgbClr val="4EA72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44-49D8-9226-7D464362CF0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'Calculations - Target'!$F$4:$F$9</c:f>
              <c:strCache>
                <c:ptCount val="6"/>
                <c:pt idx="0">
                  <c:v>KRAFT</c:v>
                </c:pt>
                <c:pt idx="1">
                  <c:v>MIRACLE WHIP</c:v>
                </c:pt>
                <c:pt idx="2">
                  <c:v>HELLMANNS BEST FOODS</c:v>
                </c:pt>
                <c:pt idx="3">
                  <c:v>DUKES</c:v>
                </c:pt>
                <c:pt idx="4">
                  <c:v>PRIVATE LABEL</c:v>
                </c:pt>
                <c:pt idx="5">
                  <c:v>RESTOFCATEGORY</c:v>
                </c:pt>
              </c:strCache>
            </c:strRef>
          </c:cat>
          <c:val>
            <c:numRef>
              <c:f>'Calculations - Target'!$AS$4:$AS$9</c:f>
              <c:numCache>
                <c:formatCode>0.00%</c:formatCode>
                <c:ptCount val="6"/>
                <c:pt idx="0">
                  <c:v>-1.2311303631369619E-3</c:v>
                </c:pt>
                <c:pt idx="1">
                  <c:v>-1.9089792196927968E-3</c:v>
                </c:pt>
                <c:pt idx="2">
                  <c:v>-3.1195791344582613E-3</c:v>
                </c:pt>
                <c:pt idx="3">
                  <c:v>-6.061405915555873E-4</c:v>
                </c:pt>
                <c:pt idx="4">
                  <c:v>-9.9979338089584147E-5</c:v>
                </c:pt>
                <c:pt idx="5">
                  <c:v>6.9658086469331637E-3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144-49D8-9226-7D464362CF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47769904"/>
        <c:axId val="947770384"/>
      </c:barChart>
      <c:catAx>
        <c:axId val="94776990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947770384"/>
        <c:crosses val="autoZero"/>
        <c:auto val="1"/>
        <c:lblAlgn val="ctr"/>
        <c:lblOffset val="100"/>
        <c:noMultiLvlLbl val="0"/>
      </c:catAx>
      <c:valAx>
        <c:axId val="947770384"/>
        <c:scaling>
          <c:orientation val="minMax"/>
        </c:scaling>
        <c:delete val="1"/>
        <c:axPos val="t"/>
        <c:numFmt formatCode="0.00%" sourceLinked="1"/>
        <c:majorTickMark val="none"/>
        <c:minorTickMark val="none"/>
        <c:tickLblPos val="nextTo"/>
        <c:crossAx val="94776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9151738494448326"/>
          <c:y val="3.5654554582222796E-2"/>
          <c:w val="0.68684291835854416"/>
          <c:h val="0.9286908908355544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BB6-40BB-AF6A-A2DA6A70D26B}"/>
              </c:ext>
            </c:extLst>
          </c:dPt>
          <c:dPt>
            <c:idx val="1"/>
            <c:invertIfNegative val="0"/>
            <c:bubble3D val="0"/>
            <c:spPr>
              <a:solidFill>
                <a:srgbClr val="B7A19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BB6-40BB-AF6A-A2DA6A70D26B}"/>
              </c:ext>
            </c:extLst>
          </c:dPt>
          <c:dPt>
            <c:idx val="2"/>
            <c:invertIfNegative val="0"/>
            <c:bubble3D val="0"/>
            <c:spPr>
              <a:solidFill>
                <a:srgbClr val="0F9E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BB6-40BB-AF6A-A2DA6A70D26B}"/>
              </c:ext>
            </c:extLst>
          </c:dPt>
          <c:dPt>
            <c:idx val="3"/>
            <c:invertIfNegative val="0"/>
            <c:bubble3D val="0"/>
            <c:spPr>
              <a:solidFill>
                <a:srgbClr val="1560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BB6-40BB-AF6A-A2DA6A70D26B}"/>
              </c:ext>
            </c:extLst>
          </c:dPt>
          <c:dPt>
            <c:idx val="4"/>
            <c:invertIfNegative val="0"/>
            <c:bubble3D val="0"/>
            <c:spPr>
              <a:solidFill>
                <a:srgbClr val="A02B9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BB6-40BB-AF6A-A2DA6A70D26B}"/>
              </c:ext>
            </c:extLst>
          </c:dPt>
          <c:dPt>
            <c:idx val="5"/>
            <c:invertIfNegative val="0"/>
            <c:bubble3D val="0"/>
            <c:spPr>
              <a:solidFill>
                <a:srgbClr val="4EA72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BB6-40BB-AF6A-A2DA6A70D26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'Calculations - Target'!$F$4:$F$9</c:f>
              <c:strCache>
                <c:ptCount val="6"/>
                <c:pt idx="0">
                  <c:v>KRAFT</c:v>
                </c:pt>
                <c:pt idx="1">
                  <c:v>MIRACLE WHIP</c:v>
                </c:pt>
                <c:pt idx="2">
                  <c:v>HELLMANNS BEST FOODS</c:v>
                </c:pt>
                <c:pt idx="3">
                  <c:v>DUKES</c:v>
                </c:pt>
                <c:pt idx="4">
                  <c:v>PRIVATE LABEL</c:v>
                </c:pt>
                <c:pt idx="5">
                  <c:v>RESTOFCATEGORY</c:v>
                </c:pt>
              </c:strCache>
            </c:strRef>
          </c:cat>
          <c:val>
            <c:numRef>
              <c:f>'Calculations - Target'!$I$4:$I$9</c:f>
              <c:numCache>
                <c:formatCode>0.00</c:formatCode>
                <c:ptCount val="6"/>
                <c:pt idx="0">
                  <c:v>2.1496229864106402</c:v>
                </c:pt>
                <c:pt idx="1">
                  <c:v>2.0957681652073901</c:v>
                </c:pt>
                <c:pt idx="2">
                  <c:v>2.1682997026224502</c:v>
                </c:pt>
                <c:pt idx="3">
                  <c:v>2.1175957740480902</c:v>
                </c:pt>
                <c:pt idx="4">
                  <c:v>2.1825570521841402</c:v>
                </c:pt>
                <c:pt idx="5">
                  <c:v>2.31401531259703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BB6-40BB-AF6A-A2DA6A70D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05499151"/>
        <c:axId val="1005499631"/>
      </c:barChart>
      <c:catAx>
        <c:axId val="100549915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499631"/>
        <c:crosses val="autoZero"/>
        <c:auto val="1"/>
        <c:lblAlgn val="ctr"/>
        <c:lblOffset val="100"/>
        <c:noMultiLvlLbl val="0"/>
      </c:catAx>
      <c:valAx>
        <c:axId val="1005499631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1005499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797690227987626"/>
          <c:y val="3.5656929797962783E-2"/>
          <c:w val="0.70237112639528998"/>
          <c:h val="0.92868614040407449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B-4E5C-9AA7-81AE19C46C4D}"/>
              </c:ext>
            </c:extLst>
          </c:dPt>
          <c:dPt>
            <c:idx val="1"/>
            <c:invertIfNegative val="0"/>
            <c:bubble3D val="0"/>
            <c:spPr>
              <a:solidFill>
                <a:srgbClr val="B7A19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B-4E5C-9AA7-81AE19C46C4D}"/>
              </c:ext>
            </c:extLst>
          </c:dPt>
          <c:dPt>
            <c:idx val="2"/>
            <c:invertIfNegative val="0"/>
            <c:bubble3D val="0"/>
            <c:spPr>
              <a:solidFill>
                <a:srgbClr val="0F9E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B-4E5C-9AA7-81AE19C46C4D}"/>
              </c:ext>
            </c:extLst>
          </c:dPt>
          <c:dPt>
            <c:idx val="3"/>
            <c:invertIfNegative val="0"/>
            <c:bubble3D val="0"/>
            <c:spPr>
              <a:solidFill>
                <a:srgbClr val="1560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B-4E5C-9AA7-81AE19C46C4D}"/>
              </c:ext>
            </c:extLst>
          </c:dPt>
          <c:dPt>
            <c:idx val="4"/>
            <c:invertIfNegative val="0"/>
            <c:bubble3D val="0"/>
            <c:spPr>
              <a:solidFill>
                <a:srgbClr val="A02B9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B-4E5C-9AA7-81AE19C46C4D}"/>
              </c:ext>
            </c:extLst>
          </c:dPt>
          <c:dPt>
            <c:idx val="5"/>
            <c:invertIfNegative val="0"/>
            <c:bubble3D val="0"/>
            <c:spPr>
              <a:solidFill>
                <a:srgbClr val="4EA72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B-4E5C-9AA7-81AE19C46C4D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'Calculations - Target'!$F$4:$F$9</c:f>
              <c:strCache>
                <c:ptCount val="6"/>
                <c:pt idx="0">
                  <c:v>KRAFT</c:v>
                </c:pt>
                <c:pt idx="1">
                  <c:v>MIRACLE WHIP</c:v>
                </c:pt>
                <c:pt idx="2">
                  <c:v>HELLMANNS BEST FOODS</c:v>
                </c:pt>
                <c:pt idx="3">
                  <c:v>DUKES</c:v>
                </c:pt>
                <c:pt idx="4">
                  <c:v>PRIVATE LABEL</c:v>
                </c:pt>
                <c:pt idx="5">
                  <c:v>RESTOFCATEGORY</c:v>
                </c:pt>
              </c:strCache>
            </c:strRef>
          </c:cat>
          <c:val>
            <c:numRef>
              <c:f>'Calculations - Target'!$AX$4:$AX$9</c:f>
              <c:numCache>
                <c:formatCode>General</c:formatCode>
                <c:ptCount val="6"/>
                <c:pt idx="0">
                  <c:v>2.1496229864106371</c:v>
                </c:pt>
                <c:pt idx="1">
                  <c:v>2.0957681652073847</c:v>
                </c:pt>
                <c:pt idx="2">
                  <c:v>2.1682997026224529</c:v>
                </c:pt>
                <c:pt idx="3">
                  <c:v>2.1175957740480884</c:v>
                </c:pt>
                <c:pt idx="4">
                  <c:v>2.1825570521841478</c:v>
                </c:pt>
                <c:pt idx="5">
                  <c:v>2.3140153125970255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EAB-4E5C-9AA7-81AE19C46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05499151"/>
        <c:axId val="1005499631"/>
      </c:barChart>
      <c:catAx>
        <c:axId val="100549915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499631"/>
        <c:crosses val="autoZero"/>
        <c:auto val="1"/>
        <c:lblAlgn val="ctr"/>
        <c:lblOffset val="100"/>
        <c:noMultiLvlLbl val="0"/>
      </c:catAx>
      <c:valAx>
        <c:axId val="1005499631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005499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147348694291602"/>
          <c:y val="2.2907848573541736E-2"/>
          <c:w val="0.68773467086463957"/>
          <c:h val="0.9295658638974850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FFF-403F-AF81-6FA84F3E3B1F}"/>
              </c:ext>
            </c:extLst>
          </c:dPt>
          <c:dPt>
            <c:idx val="1"/>
            <c:bubble3D val="0"/>
            <c:spPr>
              <a:solidFill>
                <a:srgbClr val="B7A19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FFF-403F-AF81-6FA84F3E3B1F}"/>
              </c:ext>
            </c:extLst>
          </c:dPt>
          <c:dPt>
            <c:idx val="2"/>
            <c:bubble3D val="0"/>
            <c:spPr>
              <a:solidFill>
                <a:srgbClr val="0F9ED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FFF-403F-AF81-6FA84F3E3B1F}"/>
              </c:ext>
            </c:extLst>
          </c:dPt>
          <c:dPt>
            <c:idx val="3"/>
            <c:bubble3D val="0"/>
            <c:spPr>
              <a:solidFill>
                <a:srgbClr val="15608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FFF-403F-AF81-6FA84F3E3B1F}"/>
              </c:ext>
            </c:extLst>
          </c:dPt>
          <c:dPt>
            <c:idx val="4"/>
            <c:bubble3D val="0"/>
            <c:spPr>
              <a:solidFill>
                <a:srgbClr val="A02B9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FFF-403F-AF81-6FA84F3E3B1F}"/>
              </c:ext>
            </c:extLst>
          </c:dPt>
          <c:dPt>
            <c:idx val="5"/>
            <c:bubble3D val="0"/>
            <c:spPr>
              <a:solidFill>
                <a:srgbClr val="4EA72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FFF-403F-AF81-6FA84F3E3B1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'Calculations - Target'!$F$4:$F$9</c:f>
              <c:strCache>
                <c:ptCount val="6"/>
                <c:pt idx="0">
                  <c:v>KRAFT</c:v>
                </c:pt>
                <c:pt idx="1">
                  <c:v>MIRACLE WHIP</c:v>
                </c:pt>
                <c:pt idx="2">
                  <c:v>HELLMANNS BEST FOODS</c:v>
                </c:pt>
                <c:pt idx="3">
                  <c:v>DUKES</c:v>
                </c:pt>
                <c:pt idx="4">
                  <c:v>PRIVATE LABEL</c:v>
                </c:pt>
                <c:pt idx="5">
                  <c:v>RESTOFCATEGORY</c:v>
                </c:pt>
              </c:strCache>
            </c:strRef>
          </c:cat>
          <c:val>
            <c:numRef>
              <c:f>'Calculations - Target'!$P$4:$P$9</c:f>
              <c:numCache>
                <c:formatCode>0.0%</c:formatCode>
                <c:ptCount val="6"/>
                <c:pt idx="0">
                  <c:v>0.10624513261257547</c:v>
                </c:pt>
                <c:pt idx="1">
                  <c:v>6.7009188169611156E-2</c:v>
                </c:pt>
                <c:pt idx="2">
                  <c:v>0.54475936591852026</c:v>
                </c:pt>
                <c:pt idx="3">
                  <c:v>2.80122696677058E-2</c:v>
                </c:pt>
                <c:pt idx="4">
                  <c:v>7.9836830263600181E-2</c:v>
                </c:pt>
                <c:pt idx="5">
                  <c:v>0.17413721336798707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FFF-403F-AF81-6FA84F3E3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5357178623554879E-2"/>
          <c:y val="0.25205764946645665"/>
          <c:w val="0.26249804462552062"/>
          <c:h val="0.585074564972864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147348694291602"/>
          <c:y val="2.2907848573541736E-2"/>
          <c:w val="0.68773467086463957"/>
          <c:h val="0.9295658638974850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D8F-40E8-B117-BBEB71E4B9D7}"/>
              </c:ext>
            </c:extLst>
          </c:dPt>
          <c:dPt>
            <c:idx val="1"/>
            <c:bubble3D val="0"/>
            <c:spPr>
              <a:solidFill>
                <a:srgbClr val="B7A19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D8F-40E8-B117-BBEB71E4B9D7}"/>
              </c:ext>
            </c:extLst>
          </c:dPt>
          <c:dPt>
            <c:idx val="2"/>
            <c:bubble3D val="0"/>
            <c:spPr>
              <a:solidFill>
                <a:srgbClr val="0F9ED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D8F-40E8-B117-BBEB71E4B9D7}"/>
              </c:ext>
            </c:extLst>
          </c:dPt>
          <c:dPt>
            <c:idx val="3"/>
            <c:bubble3D val="0"/>
            <c:spPr>
              <a:solidFill>
                <a:srgbClr val="15608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D8F-40E8-B117-BBEB71E4B9D7}"/>
              </c:ext>
            </c:extLst>
          </c:dPt>
          <c:dPt>
            <c:idx val="4"/>
            <c:bubble3D val="0"/>
            <c:spPr>
              <a:solidFill>
                <a:srgbClr val="A02B9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D8F-40E8-B117-BBEB71E4B9D7}"/>
              </c:ext>
            </c:extLst>
          </c:dPt>
          <c:dPt>
            <c:idx val="5"/>
            <c:bubble3D val="0"/>
            <c:spPr>
              <a:solidFill>
                <a:srgbClr val="F2AA8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D8F-40E8-B117-BBEB71E4B9D7}"/>
              </c:ext>
            </c:extLst>
          </c:dPt>
          <c:dPt>
            <c:idx val="6"/>
            <c:bubble3D val="0"/>
            <c:spPr>
              <a:solidFill>
                <a:srgbClr val="4EA72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D8F-40E8-B117-BBEB71E4B9D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'Calculations - Walmart'!$F$4:$F$10</c:f>
              <c:strCache>
                <c:ptCount val="7"/>
                <c:pt idx="0">
                  <c:v>KRAFT</c:v>
                </c:pt>
                <c:pt idx="1">
                  <c:v>MIRACLE WHIP</c:v>
                </c:pt>
                <c:pt idx="2">
                  <c:v>HELLMANNS BEST FOODS</c:v>
                </c:pt>
                <c:pt idx="3">
                  <c:v>DUKES</c:v>
                </c:pt>
                <c:pt idx="4">
                  <c:v>PRIVATE LABEL</c:v>
                </c:pt>
                <c:pt idx="5">
                  <c:v>MCCORMICK AIOLI</c:v>
                </c:pt>
                <c:pt idx="6">
                  <c:v>RESTOFCATEGORY</c:v>
                </c:pt>
              </c:strCache>
            </c:strRef>
          </c:cat>
          <c:val>
            <c:numRef>
              <c:f>'Calculations - Walmart'!$Y$4:$Y$10</c:f>
              <c:numCache>
                <c:formatCode>0.0%</c:formatCode>
                <c:ptCount val="7"/>
                <c:pt idx="0">
                  <c:v>0.13464471301495545</c:v>
                </c:pt>
                <c:pt idx="1">
                  <c:v>0.13635951026599438</c:v>
                </c:pt>
                <c:pt idx="2">
                  <c:v>0.37985385609179079</c:v>
                </c:pt>
                <c:pt idx="3">
                  <c:v>7.8996111045914127E-2</c:v>
                </c:pt>
                <c:pt idx="4">
                  <c:v>0.13566045055233922</c:v>
                </c:pt>
                <c:pt idx="5">
                  <c:v>5.5647462448585518E-2</c:v>
                </c:pt>
                <c:pt idx="6">
                  <c:v>7.8837896580420438E-2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8F-40E8-B117-BBEB71E4B9D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147348694291602"/>
          <c:y val="2.2907848573541736E-2"/>
          <c:w val="0.68773467086463957"/>
          <c:h val="0.9295658638974850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67E-4474-9C93-11CF1C799D30}"/>
              </c:ext>
            </c:extLst>
          </c:dPt>
          <c:dPt>
            <c:idx val="1"/>
            <c:bubble3D val="0"/>
            <c:spPr>
              <a:solidFill>
                <a:srgbClr val="B7A19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67E-4474-9C93-11CF1C799D30}"/>
              </c:ext>
            </c:extLst>
          </c:dPt>
          <c:dPt>
            <c:idx val="2"/>
            <c:bubble3D val="0"/>
            <c:spPr>
              <a:solidFill>
                <a:srgbClr val="0F9ED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67E-4474-9C93-11CF1C799D30}"/>
              </c:ext>
            </c:extLst>
          </c:dPt>
          <c:dPt>
            <c:idx val="3"/>
            <c:bubble3D val="0"/>
            <c:spPr>
              <a:solidFill>
                <a:srgbClr val="15608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67E-4474-9C93-11CF1C799D30}"/>
              </c:ext>
            </c:extLst>
          </c:dPt>
          <c:dPt>
            <c:idx val="4"/>
            <c:bubble3D val="0"/>
            <c:spPr>
              <a:solidFill>
                <a:srgbClr val="A02B9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67E-4474-9C93-11CF1C799D30}"/>
              </c:ext>
            </c:extLst>
          </c:dPt>
          <c:dPt>
            <c:idx val="5"/>
            <c:bubble3D val="0"/>
            <c:spPr>
              <a:solidFill>
                <a:srgbClr val="F2AA8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67E-4474-9C93-11CF1C799D30}"/>
              </c:ext>
            </c:extLst>
          </c:dPt>
          <c:dPt>
            <c:idx val="6"/>
            <c:bubble3D val="0"/>
            <c:spPr>
              <a:solidFill>
                <a:srgbClr val="4EA72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67E-4474-9C93-11CF1C799D3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'Calculations - Walmart'!$F$4:$F$10</c:f>
              <c:strCache>
                <c:ptCount val="7"/>
                <c:pt idx="0">
                  <c:v>KRAFT</c:v>
                </c:pt>
                <c:pt idx="1">
                  <c:v>MIRACLE WHIP</c:v>
                </c:pt>
                <c:pt idx="2">
                  <c:v>HELLMANNS BEST FOODS</c:v>
                </c:pt>
                <c:pt idx="3">
                  <c:v>DUKES</c:v>
                </c:pt>
                <c:pt idx="4">
                  <c:v>PRIVATE LABEL</c:v>
                </c:pt>
                <c:pt idx="5">
                  <c:v>MCCORMICK AIOLI</c:v>
                </c:pt>
                <c:pt idx="6">
                  <c:v>RESTOFCATEGORY</c:v>
                </c:pt>
              </c:strCache>
            </c:strRef>
          </c:cat>
          <c:val>
            <c:numRef>
              <c:f>'Calculations - Walmart'!$AR$4:$AR$10</c:f>
              <c:numCache>
                <c:formatCode>0.0%</c:formatCode>
                <c:ptCount val="7"/>
                <c:pt idx="0">
                  <c:v>0.13464471301495526</c:v>
                </c:pt>
                <c:pt idx="1">
                  <c:v>0.13635951026599441</c:v>
                </c:pt>
                <c:pt idx="2">
                  <c:v>0.37985385609179073</c:v>
                </c:pt>
                <c:pt idx="3">
                  <c:v>7.8996111045914086E-2</c:v>
                </c:pt>
                <c:pt idx="4">
                  <c:v>0.13566045055233925</c:v>
                </c:pt>
                <c:pt idx="5">
                  <c:v>5.5647462448585518E-2</c:v>
                </c:pt>
                <c:pt idx="6">
                  <c:v>7.8837896580420438E-2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67E-4474-9C93-11CF1C799D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21801801771834334"/>
          <c:w val="0.2871297076113678"/>
          <c:h val="0.555428783176987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79938840527207"/>
          <c:y val="3.2798696909239686E-2"/>
          <c:w val="0.8170260584815261"/>
          <c:h val="0.93440250519509149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792-4447-8F9C-895875B84548}"/>
              </c:ext>
            </c:extLst>
          </c:dPt>
          <c:dPt>
            <c:idx val="1"/>
            <c:invertIfNegative val="0"/>
            <c:bubble3D val="0"/>
            <c:spPr>
              <a:solidFill>
                <a:srgbClr val="B7A19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792-4447-8F9C-895875B84548}"/>
              </c:ext>
            </c:extLst>
          </c:dPt>
          <c:dPt>
            <c:idx val="2"/>
            <c:invertIfNegative val="0"/>
            <c:bubble3D val="0"/>
            <c:spPr>
              <a:solidFill>
                <a:srgbClr val="0F9E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792-4447-8F9C-895875B84548}"/>
              </c:ext>
            </c:extLst>
          </c:dPt>
          <c:dPt>
            <c:idx val="3"/>
            <c:invertIfNegative val="0"/>
            <c:bubble3D val="0"/>
            <c:spPr>
              <a:solidFill>
                <a:srgbClr val="1560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792-4447-8F9C-895875B84548}"/>
              </c:ext>
            </c:extLst>
          </c:dPt>
          <c:dPt>
            <c:idx val="4"/>
            <c:invertIfNegative val="0"/>
            <c:bubble3D val="0"/>
            <c:spPr>
              <a:solidFill>
                <a:srgbClr val="A02B9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792-4447-8F9C-895875B84548}"/>
              </c:ext>
            </c:extLst>
          </c:dPt>
          <c:dPt>
            <c:idx val="5"/>
            <c:invertIfNegative val="0"/>
            <c:bubble3D val="0"/>
            <c:spPr>
              <a:solidFill>
                <a:srgbClr val="F2AA8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792-4447-8F9C-895875B84548}"/>
              </c:ext>
            </c:extLst>
          </c:dPt>
          <c:dPt>
            <c:idx val="6"/>
            <c:invertIfNegative val="0"/>
            <c:bubble3D val="0"/>
            <c:spPr>
              <a:solidFill>
                <a:srgbClr val="4EA72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792-4447-8F9C-895875B845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'Calculations - Walmart'!$F$4:$F$10</c:f>
              <c:strCache>
                <c:ptCount val="7"/>
                <c:pt idx="0">
                  <c:v>KRAFT</c:v>
                </c:pt>
                <c:pt idx="1">
                  <c:v>MIRACLE WHIP</c:v>
                </c:pt>
                <c:pt idx="2">
                  <c:v>HELLMANNS BEST FOODS</c:v>
                </c:pt>
                <c:pt idx="3">
                  <c:v>DUKES</c:v>
                </c:pt>
                <c:pt idx="4">
                  <c:v>PRIVATE LABEL</c:v>
                </c:pt>
                <c:pt idx="5">
                  <c:v>MCCORMICK AIOLI</c:v>
                </c:pt>
                <c:pt idx="6">
                  <c:v>RESTOFCATEGORY</c:v>
                </c:pt>
              </c:strCache>
            </c:strRef>
          </c:cat>
          <c:val>
            <c:numRef>
              <c:f>'Calculations - Walmart'!$AS$4:$AS$10</c:f>
              <c:numCache>
                <c:formatCode>0.00%</c:formatCode>
                <c:ptCount val="7"/>
                <c:pt idx="0">
                  <c:v>-4.8810406048737098E-3</c:v>
                </c:pt>
                <c:pt idx="1">
                  <c:v>-7.7822095996603891E-3</c:v>
                </c:pt>
                <c:pt idx="2">
                  <c:v>5.5812092139991276E-3</c:v>
                </c:pt>
                <c:pt idx="3">
                  <c:v>2.5104076886326571E-3</c:v>
                </c:pt>
                <c:pt idx="4">
                  <c:v>5.5290492685605153E-3</c:v>
                </c:pt>
                <c:pt idx="5">
                  <c:v>1.4784282508482974E-3</c:v>
                </c:pt>
                <c:pt idx="6">
                  <c:v>-2.4358442175069772E-3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792-4447-8F9C-895875B84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47769904"/>
        <c:axId val="947770384"/>
      </c:barChart>
      <c:catAx>
        <c:axId val="94776990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947770384"/>
        <c:crosses val="autoZero"/>
        <c:auto val="1"/>
        <c:lblAlgn val="ctr"/>
        <c:lblOffset val="100"/>
        <c:noMultiLvlLbl val="0"/>
      </c:catAx>
      <c:valAx>
        <c:axId val="947770384"/>
        <c:scaling>
          <c:orientation val="minMax"/>
        </c:scaling>
        <c:delete val="1"/>
        <c:axPos val="t"/>
        <c:numFmt formatCode="0.00%" sourceLinked="1"/>
        <c:majorTickMark val="none"/>
        <c:minorTickMark val="none"/>
        <c:tickLblPos val="nextTo"/>
        <c:crossAx val="94776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9151738494448326"/>
          <c:y val="3.5654554582222796E-2"/>
          <c:w val="0.68684291835854416"/>
          <c:h val="0.9286908908355544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0B8-427A-A3C9-8C43DCA70F35}"/>
              </c:ext>
            </c:extLst>
          </c:dPt>
          <c:dPt>
            <c:idx val="1"/>
            <c:invertIfNegative val="0"/>
            <c:bubble3D val="0"/>
            <c:spPr>
              <a:solidFill>
                <a:srgbClr val="B7A19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0B8-427A-A3C9-8C43DCA70F35}"/>
              </c:ext>
            </c:extLst>
          </c:dPt>
          <c:dPt>
            <c:idx val="2"/>
            <c:invertIfNegative val="0"/>
            <c:bubble3D val="0"/>
            <c:spPr>
              <a:solidFill>
                <a:srgbClr val="0F9E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0B8-427A-A3C9-8C43DCA70F35}"/>
              </c:ext>
            </c:extLst>
          </c:dPt>
          <c:dPt>
            <c:idx val="3"/>
            <c:invertIfNegative val="0"/>
            <c:bubble3D val="0"/>
            <c:spPr>
              <a:solidFill>
                <a:srgbClr val="1560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0B8-427A-A3C9-8C43DCA70F35}"/>
              </c:ext>
            </c:extLst>
          </c:dPt>
          <c:dPt>
            <c:idx val="4"/>
            <c:invertIfNegative val="0"/>
            <c:bubble3D val="0"/>
            <c:spPr>
              <a:solidFill>
                <a:srgbClr val="A02B9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0B8-427A-A3C9-8C43DCA70F35}"/>
              </c:ext>
            </c:extLst>
          </c:dPt>
          <c:dPt>
            <c:idx val="5"/>
            <c:invertIfNegative val="0"/>
            <c:bubble3D val="0"/>
            <c:spPr>
              <a:solidFill>
                <a:srgbClr val="F2AA8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0B8-427A-A3C9-8C43DCA70F35}"/>
              </c:ext>
            </c:extLst>
          </c:dPt>
          <c:dPt>
            <c:idx val="6"/>
            <c:invertIfNegative val="0"/>
            <c:bubble3D val="0"/>
            <c:spPr>
              <a:solidFill>
                <a:srgbClr val="4EA72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0B8-427A-A3C9-8C43DCA70F3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'Calculations - Walmart'!$F$4:$F$10</c:f>
              <c:strCache>
                <c:ptCount val="7"/>
                <c:pt idx="0">
                  <c:v>KRAFT</c:v>
                </c:pt>
                <c:pt idx="1">
                  <c:v>MIRACLE WHIP</c:v>
                </c:pt>
                <c:pt idx="2">
                  <c:v>HELLMANNS BEST FOODS</c:v>
                </c:pt>
                <c:pt idx="3">
                  <c:v>DUKES</c:v>
                </c:pt>
                <c:pt idx="4">
                  <c:v>PRIVATE LABEL</c:v>
                </c:pt>
                <c:pt idx="5">
                  <c:v>MCCORMICK AIOLI</c:v>
                </c:pt>
                <c:pt idx="6">
                  <c:v>RESTOFCATEGORY</c:v>
                </c:pt>
              </c:strCache>
            </c:strRef>
          </c:cat>
          <c:val>
            <c:numRef>
              <c:f>'Calculations - Walmart'!$I$4:$I$10</c:f>
              <c:numCache>
                <c:formatCode>0.00</c:formatCode>
                <c:ptCount val="7"/>
                <c:pt idx="0">
                  <c:v>2.0999493299448702</c:v>
                </c:pt>
                <c:pt idx="1">
                  <c:v>2.0388929404677598</c:v>
                </c:pt>
                <c:pt idx="2">
                  <c:v>2.2602290892061201</c:v>
                </c:pt>
                <c:pt idx="3">
                  <c:v>2.3177611238704499</c:v>
                </c:pt>
                <c:pt idx="4">
                  <c:v>2.3488123746695102</c:v>
                </c:pt>
                <c:pt idx="5">
                  <c:v>2.2999999999999998</c:v>
                </c:pt>
                <c:pt idx="6">
                  <c:v>2.1160502044040901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0B8-427A-A3C9-8C43DCA70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05499151"/>
        <c:axId val="1005499631"/>
      </c:barChart>
      <c:catAx>
        <c:axId val="100549915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499631"/>
        <c:crosses val="autoZero"/>
        <c:auto val="1"/>
        <c:lblAlgn val="ctr"/>
        <c:lblOffset val="100"/>
        <c:noMultiLvlLbl val="0"/>
      </c:catAx>
      <c:valAx>
        <c:axId val="1005499631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1005499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797690227987626"/>
          <c:y val="3.5656929797962783E-2"/>
          <c:w val="0.70237112639528998"/>
          <c:h val="0.92868614040407449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5EA-4766-929B-2BB7FADD80C7}"/>
              </c:ext>
            </c:extLst>
          </c:dPt>
          <c:dPt>
            <c:idx val="1"/>
            <c:invertIfNegative val="0"/>
            <c:bubble3D val="0"/>
            <c:spPr>
              <a:solidFill>
                <a:srgbClr val="B7A19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5EA-4766-929B-2BB7FADD80C7}"/>
              </c:ext>
            </c:extLst>
          </c:dPt>
          <c:dPt>
            <c:idx val="2"/>
            <c:invertIfNegative val="0"/>
            <c:bubble3D val="0"/>
            <c:spPr>
              <a:solidFill>
                <a:srgbClr val="0F9E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5EA-4766-929B-2BB7FADD80C7}"/>
              </c:ext>
            </c:extLst>
          </c:dPt>
          <c:dPt>
            <c:idx val="3"/>
            <c:invertIfNegative val="0"/>
            <c:bubble3D val="0"/>
            <c:spPr>
              <a:solidFill>
                <a:srgbClr val="1560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5EA-4766-929B-2BB7FADD80C7}"/>
              </c:ext>
            </c:extLst>
          </c:dPt>
          <c:dPt>
            <c:idx val="4"/>
            <c:invertIfNegative val="0"/>
            <c:bubble3D val="0"/>
            <c:spPr>
              <a:solidFill>
                <a:srgbClr val="A02B9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5EA-4766-929B-2BB7FADD80C7}"/>
              </c:ext>
            </c:extLst>
          </c:dPt>
          <c:dPt>
            <c:idx val="5"/>
            <c:invertIfNegative val="0"/>
            <c:bubble3D val="0"/>
            <c:spPr>
              <a:solidFill>
                <a:srgbClr val="F2AA8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5EA-4766-929B-2BB7FADD80C7}"/>
              </c:ext>
            </c:extLst>
          </c:dPt>
          <c:dPt>
            <c:idx val="6"/>
            <c:invertIfNegative val="0"/>
            <c:bubble3D val="0"/>
            <c:spPr>
              <a:solidFill>
                <a:srgbClr val="4EA72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5EA-4766-929B-2BB7FADD80C7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'Calculations - Walmart'!$F$4:$F$10</c:f>
              <c:strCache>
                <c:ptCount val="7"/>
                <c:pt idx="0">
                  <c:v>KRAFT</c:v>
                </c:pt>
                <c:pt idx="1">
                  <c:v>MIRACLE WHIP</c:v>
                </c:pt>
                <c:pt idx="2">
                  <c:v>HELLMANNS BEST FOODS</c:v>
                </c:pt>
                <c:pt idx="3">
                  <c:v>DUKES</c:v>
                </c:pt>
                <c:pt idx="4">
                  <c:v>PRIVATE LABEL</c:v>
                </c:pt>
                <c:pt idx="5">
                  <c:v>MCCORMICK AIOLI</c:v>
                </c:pt>
                <c:pt idx="6">
                  <c:v>RESTOFCATEGORY</c:v>
                </c:pt>
              </c:strCache>
            </c:strRef>
          </c:cat>
          <c:val>
            <c:numRef>
              <c:f>'Calculations - Walmart'!$AX$4:$AX$10</c:f>
              <c:numCache>
                <c:formatCode>General</c:formatCode>
                <c:ptCount val="7"/>
                <c:pt idx="0">
                  <c:v>2.0999493299448737</c:v>
                </c:pt>
                <c:pt idx="1">
                  <c:v>2.0388929404677603</c:v>
                </c:pt>
                <c:pt idx="2">
                  <c:v>2.2602290892061196</c:v>
                </c:pt>
                <c:pt idx="3">
                  <c:v>2.3177611238704445</c:v>
                </c:pt>
                <c:pt idx="4">
                  <c:v>2.3488123746695111</c:v>
                </c:pt>
                <c:pt idx="5">
                  <c:v>2.2999999990583051</c:v>
                </c:pt>
                <c:pt idx="6">
                  <c:v>2.1160502044040919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5EA-4766-929B-2BB7FADD8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05499151"/>
        <c:axId val="1005499631"/>
      </c:barChart>
      <c:catAx>
        <c:axId val="100549915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499631"/>
        <c:crosses val="autoZero"/>
        <c:auto val="1"/>
        <c:lblAlgn val="ctr"/>
        <c:lblOffset val="100"/>
        <c:noMultiLvlLbl val="0"/>
      </c:catAx>
      <c:valAx>
        <c:axId val="1005499631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005499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147348694291602"/>
          <c:y val="2.2907848573541736E-2"/>
          <c:w val="0.68773467086463957"/>
          <c:h val="0.9295658638974850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43B-4969-8A2E-274FAF0211F6}"/>
              </c:ext>
            </c:extLst>
          </c:dPt>
          <c:dPt>
            <c:idx val="1"/>
            <c:bubble3D val="0"/>
            <c:spPr>
              <a:solidFill>
                <a:srgbClr val="B7A19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43B-4969-8A2E-274FAF0211F6}"/>
              </c:ext>
            </c:extLst>
          </c:dPt>
          <c:dPt>
            <c:idx val="2"/>
            <c:bubble3D val="0"/>
            <c:spPr>
              <a:solidFill>
                <a:srgbClr val="0F9ED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43B-4969-8A2E-274FAF0211F6}"/>
              </c:ext>
            </c:extLst>
          </c:dPt>
          <c:dPt>
            <c:idx val="3"/>
            <c:bubble3D val="0"/>
            <c:spPr>
              <a:solidFill>
                <a:srgbClr val="15608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43B-4969-8A2E-274FAF0211F6}"/>
              </c:ext>
            </c:extLst>
          </c:dPt>
          <c:dPt>
            <c:idx val="4"/>
            <c:bubble3D val="0"/>
            <c:spPr>
              <a:solidFill>
                <a:srgbClr val="A02B9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43B-4969-8A2E-274FAF0211F6}"/>
              </c:ext>
            </c:extLst>
          </c:dPt>
          <c:dPt>
            <c:idx val="5"/>
            <c:bubble3D val="0"/>
            <c:spPr>
              <a:solidFill>
                <a:srgbClr val="F2AA8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43B-4969-8A2E-274FAF0211F6}"/>
              </c:ext>
            </c:extLst>
          </c:dPt>
          <c:dPt>
            <c:idx val="6"/>
            <c:bubble3D val="0"/>
            <c:spPr>
              <a:solidFill>
                <a:srgbClr val="4EA72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43B-4969-8A2E-274FAF0211F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'Calculations - Walmart'!$F$4:$F$10</c:f>
              <c:strCache>
                <c:ptCount val="7"/>
                <c:pt idx="0">
                  <c:v>KRAFT</c:v>
                </c:pt>
                <c:pt idx="1">
                  <c:v>MIRACLE WHIP</c:v>
                </c:pt>
                <c:pt idx="2">
                  <c:v>HELLMANNS BEST FOODS</c:v>
                </c:pt>
                <c:pt idx="3">
                  <c:v>DUKES</c:v>
                </c:pt>
                <c:pt idx="4">
                  <c:v>PRIVATE LABEL</c:v>
                </c:pt>
                <c:pt idx="5">
                  <c:v>MCCORMICK AIOLI</c:v>
                </c:pt>
                <c:pt idx="6">
                  <c:v>RESTOFCATEGORY</c:v>
                </c:pt>
              </c:strCache>
            </c:strRef>
          </c:cat>
          <c:val>
            <c:numRef>
              <c:f>'Calculations - Walmart'!$P$4:$P$10</c:f>
              <c:numCache>
                <c:formatCode>0.0%</c:formatCode>
                <c:ptCount val="7"/>
                <c:pt idx="0">
                  <c:v>0.13952575361982897</c:v>
                </c:pt>
                <c:pt idx="1">
                  <c:v>0.1441417198656548</c:v>
                </c:pt>
                <c:pt idx="2">
                  <c:v>0.3742726468777916</c:v>
                </c:pt>
                <c:pt idx="3">
                  <c:v>7.6485703357281429E-2</c:v>
                </c:pt>
                <c:pt idx="4">
                  <c:v>0.13013140128377873</c:v>
                </c:pt>
                <c:pt idx="5">
                  <c:v>5.416903419773722E-2</c:v>
                </c:pt>
                <c:pt idx="6">
                  <c:v>8.1273740797927416E-2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43B-4969-8A2E-274FAF021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5357178623554879E-2"/>
          <c:y val="0.25205764946645665"/>
          <c:w val="0.26249804462552062"/>
          <c:h val="0.585074564972864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image" Target="../media/image2.svg"/><Relationship Id="rId7" Type="http://schemas.openxmlformats.org/officeDocument/2006/relationships/chart" Target="../charts/chart11.xml"/><Relationship Id="rId2" Type="http://schemas.openxmlformats.org/officeDocument/2006/relationships/image" Target="../media/image1.png"/><Relationship Id="rId1" Type="http://schemas.openxmlformats.org/officeDocument/2006/relationships/chart" Target="../charts/chart7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image" Target="../media/image2.svg"/><Relationship Id="rId7" Type="http://schemas.openxmlformats.org/officeDocument/2006/relationships/chart" Target="../charts/chart17.xml"/><Relationship Id="rId2" Type="http://schemas.openxmlformats.org/officeDocument/2006/relationships/image" Target="../media/image1.png"/><Relationship Id="rId1" Type="http://schemas.openxmlformats.org/officeDocument/2006/relationships/chart" Target="../charts/chart13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435809</xdr:colOff>
      <xdr:row>8</xdr:row>
      <xdr:rowOff>209289</xdr:rowOff>
    </xdr:from>
    <xdr:to>
      <xdr:col>10</xdr:col>
      <xdr:colOff>2000854</xdr:colOff>
      <xdr:row>26</xdr:row>
      <xdr:rowOff>74382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82F4671F-2E2D-4800-A6AC-CDA0AD6C3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30</xdr:col>
      <xdr:colOff>396413</xdr:colOff>
      <xdr:row>4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8A906B8-F814-43B5-AD18-EAD323A126E6}"/>
            </a:ext>
          </a:extLst>
        </xdr:cNvPr>
        <xdr:cNvGrpSpPr/>
      </xdr:nvGrpSpPr>
      <xdr:grpSpPr>
        <a:xfrm>
          <a:off x="0" y="0"/>
          <a:ext cx="58840041" cy="708837"/>
          <a:chOff x="380999" y="53072"/>
          <a:chExt cx="34077884" cy="818716"/>
        </a:xfrm>
        <a:solidFill>
          <a:srgbClr val="388087"/>
        </a:solidFill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D19D4F13-77DD-80A3-45DD-C52771FB4B02}"/>
              </a:ext>
            </a:extLst>
          </xdr:cNvPr>
          <xdr:cNvGrpSpPr/>
        </xdr:nvGrpSpPr>
        <xdr:grpSpPr>
          <a:xfrm>
            <a:off x="380999" y="53072"/>
            <a:ext cx="34077884" cy="818716"/>
            <a:chOff x="380999" y="53072"/>
            <a:chExt cx="34077884" cy="818716"/>
          </a:xfrm>
          <a:grpFill/>
        </xdr:grpSpPr>
        <xdr:sp macro="" textlink="">
          <xdr:nvSpPr>
            <xdr:cNvPr id="5" name="Rectangle: Rounded Corners 4">
              <a:extLst>
                <a:ext uri="{FF2B5EF4-FFF2-40B4-BE49-F238E27FC236}">
                  <a16:creationId xmlns:a16="http://schemas.microsoft.com/office/drawing/2014/main" id="{66CA2E5B-9535-6319-BF43-50B0F3B3A1D2}"/>
                </a:ext>
              </a:extLst>
            </xdr:cNvPr>
            <xdr:cNvSpPr/>
          </xdr:nvSpPr>
          <xdr:spPr>
            <a:xfrm>
              <a:off x="380999" y="72571"/>
              <a:ext cx="34077884" cy="799217"/>
            </a:xfrm>
            <a:prstGeom prst="roundRect">
              <a:avLst>
                <a:gd name="adj" fmla="val 48334"/>
              </a:avLst>
            </a:prstGeom>
            <a:grpFill/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vertOverflow="clip" horzOverflow="clip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IN" sz="3600" b="1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Strategic Scenario Planner </a:t>
              </a:r>
            </a:p>
          </xdr:txBody>
        </xdr:sp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1BF798B3-B42B-BB08-67DC-9DC8A5882F54}"/>
                </a:ext>
              </a:extLst>
            </xdr:cNvPr>
            <xdr:cNvSpPr txBox="1"/>
          </xdr:nvSpPr>
          <xdr:spPr>
            <a:xfrm>
              <a:off x="893428" y="149629"/>
              <a:ext cx="3510644" cy="468818"/>
            </a:xfrm>
            <a:prstGeom prst="rect">
              <a:avLst/>
            </a:prstGeom>
            <a:grp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IN" sz="2400" b="1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Period</a:t>
              </a:r>
              <a:r>
                <a:rPr kumimoji="0" lang="en-IN" sz="24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: Last 12 Months</a:t>
              </a:r>
            </a:p>
          </xdr:txBody>
        </xdr:sp>
        <xdr:pic>
          <xdr:nvPicPr>
            <xdr:cNvPr id="7" name="Graphic 6" descr="Daily calendar with solid fill">
              <a:extLst>
                <a:ext uri="{FF2B5EF4-FFF2-40B4-BE49-F238E27FC236}">
                  <a16:creationId xmlns:a16="http://schemas.microsoft.com/office/drawing/2014/main" id="{F03B0074-8690-C097-3FF5-B5518C240F3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634999" y="53072"/>
              <a:ext cx="574068" cy="568833"/>
            </a:xfrm>
            <a:prstGeom prst="rect">
              <a:avLst/>
            </a:prstGeom>
          </xdr:spPr>
        </xdr:pic>
      </xdr:grp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C4DD7170-F1DD-77BF-7488-F46657413EA7}"/>
              </a:ext>
            </a:extLst>
          </xdr:cNvPr>
          <xdr:cNvSpPr txBox="1"/>
        </xdr:nvSpPr>
        <xdr:spPr>
          <a:xfrm>
            <a:off x="23059063" y="173161"/>
            <a:ext cx="9047843" cy="521841"/>
          </a:xfrm>
          <a:prstGeom prst="rect">
            <a:avLst/>
          </a:prstGeom>
          <a:grp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2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Directions to Use</a:t>
            </a:r>
            <a:r>
              <a:rPr kumimoji="0" lang="en-IN" sz="2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: Please provide inputs in the cells highlighted below</a:t>
            </a:r>
          </a:p>
        </xdr:txBody>
      </xdr:sp>
    </xdr:grpSp>
    <xdr:clientData/>
  </xdr:twoCellAnchor>
  <xdr:twoCellAnchor editAs="absolute">
    <xdr:from>
      <xdr:col>5</xdr:col>
      <xdr:colOff>550025</xdr:colOff>
      <xdr:row>33</xdr:row>
      <xdr:rowOff>129540</xdr:rowOff>
    </xdr:from>
    <xdr:to>
      <xdr:col>5</xdr:col>
      <xdr:colOff>1464080</xdr:colOff>
      <xdr:row>36</xdr:row>
      <xdr:rowOff>244268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494E2970-E4FB-471E-BA70-3288987BD7BD}"/>
            </a:ext>
          </a:extLst>
        </xdr:cNvPr>
        <xdr:cNvSpPr/>
      </xdr:nvSpPr>
      <xdr:spPr>
        <a:xfrm>
          <a:off x="10941107" y="10264486"/>
          <a:ext cx="914055" cy="1049910"/>
        </a:xfrm>
        <a:prstGeom prst="right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5</xdr:col>
      <xdr:colOff>171624</xdr:colOff>
      <xdr:row>37</xdr:row>
      <xdr:rowOff>93479</xdr:rowOff>
    </xdr:from>
    <xdr:to>
      <xdr:col>5</xdr:col>
      <xdr:colOff>1581844</xdr:colOff>
      <xdr:row>41</xdr:row>
      <xdr:rowOff>209376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CE6A70F-1915-45E0-A7BE-D5EF27DA26C1}"/>
            </a:ext>
          </a:extLst>
        </xdr:cNvPr>
        <xdr:cNvSpPr txBox="1"/>
      </xdr:nvSpPr>
      <xdr:spPr>
        <a:xfrm>
          <a:off x="10562706" y="11484859"/>
          <a:ext cx="1417840" cy="13628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800" b="1" i="1"/>
            <a:t>if market</a:t>
          </a:r>
          <a:r>
            <a:rPr lang="en-IN" sz="1800" b="1" i="1" baseline="0"/>
            <a:t> conditions remain constant</a:t>
          </a:r>
          <a:endParaRPr lang="en-IN" sz="1800" b="1" i="1"/>
        </a:p>
      </xdr:txBody>
    </xdr:sp>
    <xdr:clientData/>
  </xdr:twoCellAnchor>
  <xdr:twoCellAnchor editAs="absolute">
    <xdr:from>
      <xdr:col>5</xdr:col>
      <xdr:colOff>781654</xdr:colOff>
      <xdr:row>12</xdr:row>
      <xdr:rowOff>285923</xdr:rowOff>
    </xdr:from>
    <xdr:to>
      <xdr:col>6</xdr:col>
      <xdr:colOff>1887681</xdr:colOff>
      <xdr:row>16</xdr:row>
      <xdr:rowOff>95593</xdr:rowOff>
    </xdr:to>
    <xdr:sp macro="" textlink="">
      <xdr:nvSpPr>
        <xdr:cNvPr id="17" name="Arrow: Right 16">
          <a:extLst>
            <a:ext uri="{FF2B5EF4-FFF2-40B4-BE49-F238E27FC236}">
              <a16:creationId xmlns:a16="http://schemas.microsoft.com/office/drawing/2014/main" id="{F881D85D-3B21-439F-AE62-7C07C3E5D437}"/>
            </a:ext>
          </a:extLst>
        </xdr:cNvPr>
        <xdr:cNvSpPr/>
      </xdr:nvSpPr>
      <xdr:spPr>
        <a:xfrm>
          <a:off x="11172736" y="3866977"/>
          <a:ext cx="2754891" cy="1056579"/>
        </a:xfrm>
        <a:prstGeom prst="right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5</xdr:col>
      <xdr:colOff>587692</xdr:colOff>
      <xdr:row>17</xdr:row>
      <xdr:rowOff>38408</xdr:rowOff>
    </xdr:from>
    <xdr:to>
      <xdr:col>6</xdr:col>
      <xdr:colOff>1962496</xdr:colOff>
      <xdr:row>22</xdr:row>
      <xdr:rowOff>174568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E3CE54F1-DE15-4446-874D-385390D7AD39}"/>
            </a:ext>
          </a:extLst>
        </xdr:cNvPr>
        <xdr:cNvSpPr txBox="1"/>
      </xdr:nvSpPr>
      <xdr:spPr>
        <a:xfrm>
          <a:off x="10997824" y="5181908"/>
          <a:ext cx="2983663" cy="1698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800" b="1" i="1"/>
            <a:t>if market</a:t>
          </a:r>
          <a:r>
            <a:rPr lang="en-IN" sz="1800" b="1" i="1" baseline="0"/>
            <a:t> conditions remain constant</a:t>
          </a:r>
          <a:endParaRPr lang="en-IN" sz="1800" b="1" i="1"/>
        </a:p>
      </xdr:txBody>
    </xdr:sp>
    <xdr:clientData/>
  </xdr:twoCellAnchor>
  <xdr:twoCellAnchor editAs="absolute">
    <xdr:from>
      <xdr:col>26</xdr:col>
      <xdr:colOff>1964302</xdr:colOff>
      <xdr:row>8</xdr:row>
      <xdr:rowOff>702427</xdr:rowOff>
    </xdr:from>
    <xdr:to>
      <xdr:col>31</xdr:col>
      <xdr:colOff>722772</xdr:colOff>
      <xdr:row>27</xdr:row>
      <xdr:rowOff>264969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497B7060-E885-45F7-B4E0-FC77F03740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24</xdr:col>
      <xdr:colOff>327141</xdr:colOff>
      <xdr:row>12</xdr:row>
      <xdr:rowOff>15596</xdr:rowOff>
    </xdr:from>
    <xdr:to>
      <xdr:col>27</xdr:col>
      <xdr:colOff>188769</xdr:colOff>
      <xdr:row>24</xdr:row>
      <xdr:rowOff>286616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48DFF790-1B34-4C67-B73A-96832E8490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2</xdr:col>
      <xdr:colOff>1388745</xdr:colOff>
      <xdr:row>47</xdr:row>
      <xdr:rowOff>228167</xdr:rowOff>
    </xdr:from>
    <xdr:to>
      <xdr:col>8</xdr:col>
      <xdr:colOff>1540367</xdr:colOff>
      <xdr:row>60</xdr:row>
      <xdr:rowOff>97675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62BD77-E2F4-4B5E-ACE7-DAB307ACD5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24</xdr:col>
      <xdr:colOff>2270582</xdr:colOff>
      <xdr:row>45</xdr:row>
      <xdr:rowOff>308520</xdr:rowOff>
    </xdr:from>
    <xdr:to>
      <xdr:col>30</xdr:col>
      <xdr:colOff>1618039</xdr:colOff>
      <xdr:row>58</xdr:row>
      <xdr:rowOff>170148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F5D0C27-2CB9-44EE-9E53-0CA3C94EF9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</xdr:col>
      <xdr:colOff>515564</xdr:colOff>
      <xdr:row>8</xdr:row>
      <xdr:rowOff>363682</xdr:rowOff>
    </xdr:from>
    <xdr:to>
      <xdr:col>2</xdr:col>
      <xdr:colOff>1050695</xdr:colOff>
      <xdr:row>9</xdr:row>
      <xdr:rowOff>321252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9347D0E4-11C4-5FA0-ED50-EB5F06A0CB39}"/>
            </a:ext>
          </a:extLst>
        </xdr:cNvPr>
        <xdr:cNvSpPr txBox="1"/>
      </xdr:nvSpPr>
      <xdr:spPr>
        <a:xfrm>
          <a:off x="1108365" y="2178281"/>
          <a:ext cx="3201958" cy="52526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Current Market Share</a:t>
          </a:r>
        </a:p>
      </xdr:txBody>
    </xdr:sp>
    <xdr:clientData/>
  </xdr:twoCellAnchor>
  <xdr:twoCellAnchor editAs="absolute">
    <xdr:from>
      <xdr:col>6</xdr:col>
      <xdr:colOff>396413</xdr:colOff>
      <xdr:row>8</xdr:row>
      <xdr:rowOff>475210</xdr:rowOff>
    </xdr:from>
    <xdr:to>
      <xdr:col>7</xdr:col>
      <xdr:colOff>1619943</xdr:colOff>
      <xdr:row>10</xdr:row>
      <xdr:rowOff>36540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10808F8-AAA9-43B9-BDDF-F920B35EDF2A}"/>
            </a:ext>
          </a:extLst>
        </xdr:cNvPr>
        <xdr:cNvSpPr txBox="1"/>
      </xdr:nvSpPr>
      <xdr:spPr>
        <a:xfrm>
          <a:off x="12072678" y="2289809"/>
          <a:ext cx="3194338" cy="51764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Projected Market Share</a:t>
          </a:r>
        </a:p>
      </xdr:txBody>
    </xdr:sp>
    <xdr:clientData/>
  </xdr:twoCellAnchor>
  <xdr:twoCellAnchor editAs="absolute">
    <xdr:from>
      <xdr:col>4</xdr:col>
      <xdr:colOff>2112990</xdr:colOff>
      <xdr:row>44</xdr:row>
      <xdr:rowOff>225138</xdr:rowOff>
    </xdr:from>
    <xdr:to>
      <xdr:col>6</xdr:col>
      <xdr:colOff>1316179</xdr:colOff>
      <xdr:row>46</xdr:row>
      <xdr:rowOff>117418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7AF5C402-651C-4E09-BF0D-846195CDCD6E}"/>
            </a:ext>
          </a:extLst>
        </xdr:cNvPr>
        <xdr:cNvSpPr txBox="1"/>
      </xdr:nvSpPr>
      <xdr:spPr>
        <a:xfrm>
          <a:off x="9780961" y="13594774"/>
          <a:ext cx="3203863" cy="51573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Initial CSF</a:t>
          </a:r>
        </a:p>
      </xdr:txBody>
    </xdr:sp>
    <xdr:clientData/>
  </xdr:twoCellAnchor>
  <xdr:twoCellAnchor editAs="absolute">
    <xdr:from>
      <xdr:col>26</xdr:col>
      <xdr:colOff>1960594</xdr:colOff>
      <xdr:row>43</xdr:row>
      <xdr:rowOff>55937</xdr:rowOff>
    </xdr:from>
    <xdr:to>
      <xdr:col>28</xdr:col>
      <xdr:colOff>1140924</xdr:colOff>
      <xdr:row>44</xdr:row>
      <xdr:rowOff>282805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5201FC2-A38C-48FA-AA65-3C605B00BA76}"/>
            </a:ext>
          </a:extLst>
        </xdr:cNvPr>
        <xdr:cNvSpPr txBox="1"/>
      </xdr:nvSpPr>
      <xdr:spPr>
        <a:xfrm>
          <a:off x="51989011" y="13317681"/>
          <a:ext cx="3201958" cy="51383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Simulated CSF</a:t>
          </a:r>
        </a:p>
      </xdr:txBody>
    </xdr:sp>
    <xdr:clientData/>
  </xdr:twoCellAnchor>
  <xdr:twoCellAnchor editAs="absolute">
    <xdr:from>
      <xdr:col>27</xdr:col>
      <xdr:colOff>284539</xdr:colOff>
      <xdr:row>8</xdr:row>
      <xdr:rowOff>435033</xdr:rowOff>
    </xdr:from>
    <xdr:to>
      <xdr:col>28</xdr:col>
      <xdr:colOff>1697355</xdr:colOff>
      <xdr:row>10</xdr:row>
      <xdr:rowOff>19223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5E91AEF5-04C0-4719-9BCB-086355ADBDB9}"/>
            </a:ext>
          </a:extLst>
        </xdr:cNvPr>
        <xdr:cNvSpPr txBox="1"/>
      </xdr:nvSpPr>
      <xdr:spPr>
        <a:xfrm>
          <a:off x="52321865" y="2249632"/>
          <a:ext cx="3436965" cy="71766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Simulated Market Share</a:t>
          </a:r>
        </a:p>
      </xdr:txBody>
    </xdr:sp>
    <xdr:clientData/>
  </xdr:twoCellAnchor>
  <xdr:twoCellAnchor editAs="absolute">
    <xdr:from>
      <xdr:col>24</xdr:col>
      <xdr:colOff>288694</xdr:colOff>
      <xdr:row>8</xdr:row>
      <xdr:rowOff>434860</xdr:rowOff>
    </xdr:from>
    <xdr:to>
      <xdr:col>25</xdr:col>
      <xdr:colOff>1808711</xdr:colOff>
      <xdr:row>10</xdr:row>
      <xdr:rowOff>19050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48B939B4-4676-4960-A4EF-43EEFB6E8B66}"/>
            </a:ext>
          </a:extLst>
        </xdr:cNvPr>
        <xdr:cNvSpPr txBox="1"/>
      </xdr:nvSpPr>
      <xdr:spPr>
        <a:xfrm>
          <a:off x="45171533" y="2249459"/>
          <a:ext cx="4673831" cy="7214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Simulated Market Share Potential</a:t>
          </a:r>
        </a:p>
      </xdr:txBody>
    </xdr:sp>
    <xdr:clientData/>
  </xdr:twoCellAnchor>
  <xdr:twoCellAnchor editAs="absolute">
    <xdr:from>
      <xdr:col>19</xdr:col>
      <xdr:colOff>1392901</xdr:colOff>
      <xdr:row>8</xdr:row>
      <xdr:rowOff>175088</xdr:rowOff>
    </xdr:from>
    <xdr:to>
      <xdr:col>21</xdr:col>
      <xdr:colOff>19048</xdr:colOff>
      <xdr:row>8</xdr:row>
      <xdr:rowOff>706064</xdr:rowOff>
    </xdr:to>
    <xdr:sp macro="[0]!US_Food_Price_Reset" textlink="">
      <xdr:nvSpPr>
        <xdr:cNvPr id="10" name="Rectangle 9">
          <a:extLst>
            <a:ext uri="{FF2B5EF4-FFF2-40B4-BE49-F238E27FC236}">
              <a16:creationId xmlns:a16="http://schemas.microsoft.com/office/drawing/2014/main" id="{95A36040-6FA1-A3F8-86D8-4758DA36B501}"/>
            </a:ext>
          </a:extLst>
        </xdr:cNvPr>
        <xdr:cNvSpPr/>
      </xdr:nvSpPr>
      <xdr:spPr>
        <a:xfrm>
          <a:off x="35419318" y="2004927"/>
          <a:ext cx="3130780" cy="515736"/>
        </a:xfrm>
        <a:prstGeom prst="rect">
          <a:avLst/>
        </a:prstGeom>
        <a:solidFill>
          <a:schemeClr val="bg1">
            <a:lumMod val="8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 kern="1200">
              <a:solidFill>
                <a:sysClr val="windowText" lastClr="000000"/>
              </a:solidFill>
            </a:rPr>
            <a:t>Price</a:t>
          </a:r>
          <a:r>
            <a:rPr lang="en-IN" sz="2400" b="1" kern="1200" baseline="0">
              <a:solidFill>
                <a:sysClr val="windowText" lastClr="000000"/>
              </a:solidFill>
            </a:rPr>
            <a:t> Reset Button</a:t>
          </a:r>
          <a:endParaRPr lang="en-IN" sz="2400" b="1" kern="12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18</xdr:col>
      <xdr:colOff>631246</xdr:colOff>
      <xdr:row>34</xdr:row>
      <xdr:rowOff>19221</xdr:rowOff>
    </xdr:from>
    <xdr:to>
      <xdr:col>19</xdr:col>
      <xdr:colOff>1886122</xdr:colOff>
      <xdr:row>36</xdr:row>
      <xdr:rowOff>282631</xdr:rowOff>
    </xdr:to>
    <xdr:sp macro="[0]!US_Food_Financials_Reset" textlink="">
      <xdr:nvSpPr>
        <xdr:cNvPr id="16" name="Rectangle 15">
          <a:extLst>
            <a:ext uri="{FF2B5EF4-FFF2-40B4-BE49-F238E27FC236}">
              <a16:creationId xmlns:a16="http://schemas.microsoft.com/office/drawing/2014/main" id="{46CF0ED1-AEB0-485D-95B9-D9FEF90123D9}"/>
            </a:ext>
          </a:extLst>
        </xdr:cNvPr>
        <xdr:cNvSpPr/>
      </xdr:nvSpPr>
      <xdr:spPr>
        <a:xfrm>
          <a:off x="32816048" y="10458275"/>
          <a:ext cx="3094586" cy="894484"/>
        </a:xfrm>
        <a:prstGeom prst="rect">
          <a:avLst/>
        </a:prstGeom>
        <a:solidFill>
          <a:schemeClr val="bg1">
            <a:lumMod val="8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 kern="1200">
              <a:solidFill>
                <a:sysClr val="windowText" lastClr="000000"/>
              </a:solidFill>
            </a:rPr>
            <a:t>Financials</a:t>
          </a:r>
          <a:r>
            <a:rPr lang="en-IN" sz="2400" b="1" kern="1200" baseline="0">
              <a:solidFill>
                <a:sysClr val="windowText" lastClr="000000"/>
              </a:solidFill>
            </a:rPr>
            <a:t> Reset Button</a:t>
          </a:r>
          <a:endParaRPr lang="en-IN" sz="2400" b="1" kern="12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762000</xdr:colOff>
      <xdr:row>8</xdr:row>
      <xdr:rowOff>325063</xdr:rowOff>
    </xdr:from>
    <xdr:to>
      <xdr:col>5</xdr:col>
      <xdr:colOff>56632</xdr:colOff>
      <xdr:row>26</xdr:row>
      <xdr:rowOff>174916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F5FD8C2F-787E-476D-BAF0-BA8AB67937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439619</xdr:colOff>
      <xdr:row>8</xdr:row>
      <xdr:rowOff>213099</xdr:rowOff>
    </xdr:from>
    <xdr:to>
      <xdr:col>10</xdr:col>
      <xdr:colOff>1997044</xdr:colOff>
      <xdr:row>26</xdr:row>
      <xdr:rowOff>74382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2143B88-104F-45FB-B89A-8A1CA5E7B1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31</xdr:col>
      <xdr:colOff>346364</xdr:colOff>
      <xdr:row>4</xdr:row>
      <xdr:rowOff>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E53220A3-0984-403E-9B36-C5EF6B3CE8C1}"/>
            </a:ext>
          </a:extLst>
        </xdr:cNvPr>
        <xdr:cNvGrpSpPr/>
      </xdr:nvGrpSpPr>
      <xdr:grpSpPr>
        <a:xfrm>
          <a:off x="0" y="0"/>
          <a:ext cx="60530509" cy="720436"/>
          <a:chOff x="380999" y="53072"/>
          <a:chExt cx="34077884" cy="818716"/>
        </a:xfrm>
        <a:solidFill>
          <a:srgbClr val="388087"/>
        </a:solidFill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BCD5C7A4-711A-FD58-07F4-16B36B809887}"/>
              </a:ext>
            </a:extLst>
          </xdr:cNvPr>
          <xdr:cNvGrpSpPr/>
        </xdr:nvGrpSpPr>
        <xdr:grpSpPr>
          <a:xfrm>
            <a:off x="380999" y="53072"/>
            <a:ext cx="34077884" cy="818716"/>
            <a:chOff x="380999" y="53072"/>
            <a:chExt cx="34077884" cy="818716"/>
          </a:xfrm>
          <a:grpFill/>
        </xdr:grpSpPr>
        <xdr:sp macro="" textlink="">
          <xdr:nvSpPr>
            <xdr:cNvPr id="6" name="Rectangle: Rounded Corners 5">
              <a:extLst>
                <a:ext uri="{FF2B5EF4-FFF2-40B4-BE49-F238E27FC236}">
                  <a16:creationId xmlns:a16="http://schemas.microsoft.com/office/drawing/2014/main" id="{CE330661-9DAB-FD26-610C-5A166E7A9662}"/>
                </a:ext>
              </a:extLst>
            </xdr:cNvPr>
            <xdr:cNvSpPr/>
          </xdr:nvSpPr>
          <xdr:spPr>
            <a:xfrm>
              <a:off x="380999" y="72571"/>
              <a:ext cx="34077884" cy="799217"/>
            </a:xfrm>
            <a:prstGeom prst="roundRect">
              <a:avLst>
                <a:gd name="adj" fmla="val 48334"/>
              </a:avLst>
            </a:prstGeom>
            <a:grpFill/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vertOverflow="clip" horzOverflow="clip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IN" sz="3600" b="1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Strategic Scenario Planner </a:t>
              </a:r>
            </a:p>
          </xdr:txBody>
        </xdr:sp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97527DF5-B9DA-0175-CA8C-3CD957911745}"/>
                </a:ext>
              </a:extLst>
            </xdr:cNvPr>
            <xdr:cNvSpPr txBox="1"/>
          </xdr:nvSpPr>
          <xdr:spPr>
            <a:xfrm>
              <a:off x="893428" y="149629"/>
              <a:ext cx="3510644" cy="468818"/>
            </a:xfrm>
            <a:prstGeom prst="rect">
              <a:avLst/>
            </a:prstGeom>
            <a:grp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IN" sz="2400" b="1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Period</a:t>
              </a:r>
              <a:r>
                <a:rPr kumimoji="0" lang="en-IN" sz="24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: Last 12 Months</a:t>
              </a:r>
            </a:p>
          </xdr:txBody>
        </xdr:sp>
        <xdr:pic>
          <xdr:nvPicPr>
            <xdr:cNvPr id="8" name="Graphic 7" descr="Daily calendar with solid fill">
              <a:extLst>
                <a:ext uri="{FF2B5EF4-FFF2-40B4-BE49-F238E27FC236}">
                  <a16:creationId xmlns:a16="http://schemas.microsoft.com/office/drawing/2014/main" id="{158AAE56-A94C-E8EC-83BE-C71425E9A5F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634999" y="53072"/>
              <a:ext cx="574068" cy="568833"/>
            </a:xfrm>
            <a:prstGeom prst="rect">
              <a:avLst/>
            </a:prstGeom>
          </xdr:spPr>
        </xdr:pic>
      </xdr:grp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5F59288D-88D7-1C10-EE33-254489B2DB19}"/>
              </a:ext>
            </a:extLst>
          </xdr:cNvPr>
          <xdr:cNvSpPr txBox="1"/>
        </xdr:nvSpPr>
        <xdr:spPr>
          <a:xfrm>
            <a:off x="23059063" y="173161"/>
            <a:ext cx="9047843" cy="521841"/>
          </a:xfrm>
          <a:prstGeom prst="rect">
            <a:avLst/>
          </a:prstGeom>
          <a:grp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2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Directions to Use</a:t>
            </a:r>
            <a:r>
              <a:rPr kumimoji="0" lang="en-IN" sz="2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: Please provide inputs in the cells highlighted below</a:t>
            </a:r>
          </a:p>
        </xdr:txBody>
      </xdr:sp>
    </xdr:grpSp>
    <xdr:clientData/>
  </xdr:twoCellAnchor>
  <xdr:twoCellAnchor editAs="absolute">
    <xdr:from>
      <xdr:col>5</xdr:col>
      <xdr:colOff>553835</xdr:colOff>
      <xdr:row>33</xdr:row>
      <xdr:rowOff>133350</xdr:rowOff>
    </xdr:from>
    <xdr:to>
      <xdr:col>5</xdr:col>
      <xdr:colOff>1467890</xdr:colOff>
      <xdr:row>36</xdr:row>
      <xdr:rowOff>248078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586F545D-42ED-4C4A-AE89-8818061CF798}"/>
            </a:ext>
          </a:extLst>
        </xdr:cNvPr>
        <xdr:cNvSpPr/>
      </xdr:nvSpPr>
      <xdr:spPr>
        <a:xfrm>
          <a:off x="10960850" y="10359390"/>
          <a:ext cx="914055" cy="1057703"/>
        </a:xfrm>
        <a:prstGeom prst="right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5</xdr:col>
      <xdr:colOff>167814</xdr:colOff>
      <xdr:row>37</xdr:row>
      <xdr:rowOff>97289</xdr:rowOff>
    </xdr:from>
    <xdr:to>
      <xdr:col>5</xdr:col>
      <xdr:colOff>1578034</xdr:colOff>
      <xdr:row>41</xdr:row>
      <xdr:rowOff>213186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5AAFED33-B257-4950-88DD-31361ED04590}"/>
            </a:ext>
          </a:extLst>
        </xdr:cNvPr>
        <xdr:cNvSpPr txBox="1"/>
      </xdr:nvSpPr>
      <xdr:spPr>
        <a:xfrm>
          <a:off x="10582449" y="11580629"/>
          <a:ext cx="1410220" cy="13731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800" b="1" i="1"/>
            <a:t>if market</a:t>
          </a:r>
          <a:r>
            <a:rPr lang="en-IN" sz="1800" b="1" i="1" baseline="0"/>
            <a:t> conditions remain constant</a:t>
          </a:r>
          <a:endParaRPr lang="en-IN" sz="1800" b="1" i="1"/>
        </a:p>
      </xdr:txBody>
    </xdr:sp>
    <xdr:clientData/>
  </xdr:twoCellAnchor>
  <xdr:twoCellAnchor editAs="absolute">
    <xdr:from>
      <xdr:col>5</xdr:col>
      <xdr:colOff>777844</xdr:colOff>
      <xdr:row>12</xdr:row>
      <xdr:rowOff>282113</xdr:rowOff>
    </xdr:from>
    <xdr:to>
      <xdr:col>6</xdr:col>
      <xdr:colOff>1883871</xdr:colOff>
      <xdr:row>16</xdr:row>
      <xdr:rowOff>91783</xdr:rowOff>
    </xdr:to>
    <xdr:sp macro="" textlink="">
      <xdr:nvSpPr>
        <xdr:cNvPr id="11" name="Arrow: Right 10">
          <a:extLst>
            <a:ext uri="{FF2B5EF4-FFF2-40B4-BE49-F238E27FC236}">
              <a16:creationId xmlns:a16="http://schemas.microsoft.com/office/drawing/2014/main" id="{A6174956-B050-4920-AAFC-C0C1F6C2F951}"/>
            </a:ext>
          </a:extLst>
        </xdr:cNvPr>
        <xdr:cNvSpPr/>
      </xdr:nvSpPr>
      <xdr:spPr>
        <a:xfrm>
          <a:off x="11192479" y="3914948"/>
          <a:ext cx="2725277" cy="1066970"/>
        </a:xfrm>
        <a:prstGeom prst="right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5</xdr:col>
      <xdr:colOff>591502</xdr:colOff>
      <xdr:row>17</xdr:row>
      <xdr:rowOff>38408</xdr:rowOff>
    </xdr:from>
    <xdr:to>
      <xdr:col>6</xdr:col>
      <xdr:colOff>1958686</xdr:colOff>
      <xdr:row>22</xdr:row>
      <xdr:rowOff>170758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27A006FA-23D6-4759-B7EE-4B30E59265CA}"/>
            </a:ext>
          </a:extLst>
        </xdr:cNvPr>
        <xdr:cNvSpPr txBox="1"/>
      </xdr:nvSpPr>
      <xdr:spPr>
        <a:xfrm>
          <a:off x="10998517" y="5239058"/>
          <a:ext cx="2994054" cy="1707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800" b="1" i="1"/>
            <a:t>if market</a:t>
          </a:r>
          <a:r>
            <a:rPr lang="en-IN" sz="1800" b="1" i="1" baseline="0"/>
            <a:t> conditions remain constant</a:t>
          </a:r>
          <a:endParaRPr lang="en-IN" sz="1800" b="1" i="1"/>
        </a:p>
      </xdr:txBody>
    </xdr:sp>
    <xdr:clientData/>
  </xdr:twoCellAnchor>
  <xdr:twoCellAnchor editAs="absolute">
    <xdr:from>
      <xdr:col>26</xdr:col>
      <xdr:colOff>1885505</xdr:colOff>
      <xdr:row>8</xdr:row>
      <xdr:rowOff>629345</xdr:rowOff>
    </xdr:from>
    <xdr:to>
      <xdr:col>31</xdr:col>
      <xdr:colOff>626830</xdr:colOff>
      <xdr:row>27</xdr:row>
      <xdr:rowOff>191887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C7E44A8F-6A37-43A7-8F04-BEC09553EA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23</xdr:col>
      <xdr:colOff>1922492</xdr:colOff>
      <xdr:row>11</xdr:row>
      <xdr:rowOff>246622</xdr:rowOff>
    </xdr:from>
    <xdr:to>
      <xdr:col>26</xdr:col>
      <xdr:colOff>1695451</xdr:colOff>
      <xdr:row>24</xdr:row>
      <xdr:rowOff>205914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53B46F38-07F9-4865-9976-3029F076D3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2</xdr:col>
      <xdr:colOff>1392555</xdr:colOff>
      <xdr:row>47</xdr:row>
      <xdr:rowOff>228167</xdr:rowOff>
    </xdr:from>
    <xdr:to>
      <xdr:col>8</xdr:col>
      <xdr:colOff>1544177</xdr:colOff>
      <xdr:row>60</xdr:row>
      <xdr:rowOff>93865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C15495D1-C839-4A1B-81E6-AB9BA52DB7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24</xdr:col>
      <xdr:colOff>2003189</xdr:colOff>
      <xdr:row>45</xdr:row>
      <xdr:rowOff>210326</xdr:rowOff>
    </xdr:from>
    <xdr:to>
      <xdr:col>30</xdr:col>
      <xdr:colOff>1348741</xdr:colOff>
      <xdr:row>58</xdr:row>
      <xdr:rowOff>73859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3A5859C3-0BAC-44DD-817E-368A8C023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</xdr:col>
      <xdr:colOff>511754</xdr:colOff>
      <xdr:row>8</xdr:row>
      <xdr:rowOff>359872</xdr:rowOff>
    </xdr:from>
    <xdr:to>
      <xdr:col>2</xdr:col>
      <xdr:colOff>1046885</xdr:colOff>
      <xdr:row>9</xdr:row>
      <xdr:rowOff>325062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AFFADE95-1B4D-4D92-9E17-4F849DA177C7}"/>
            </a:ext>
          </a:extLst>
        </xdr:cNvPr>
        <xdr:cNvSpPr txBox="1"/>
      </xdr:nvSpPr>
      <xdr:spPr>
        <a:xfrm>
          <a:off x="1125164" y="2221057"/>
          <a:ext cx="3545031" cy="71957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Current Market Share</a:t>
          </a:r>
        </a:p>
      </xdr:txBody>
    </xdr:sp>
    <xdr:clientData/>
  </xdr:twoCellAnchor>
  <xdr:twoCellAnchor editAs="absolute">
    <xdr:from>
      <xdr:col>6</xdr:col>
      <xdr:colOff>400223</xdr:colOff>
      <xdr:row>8</xdr:row>
      <xdr:rowOff>479020</xdr:rowOff>
    </xdr:from>
    <xdr:to>
      <xdr:col>7</xdr:col>
      <xdr:colOff>1616133</xdr:colOff>
      <xdr:row>10</xdr:row>
      <xdr:rowOff>36540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E13CF9C7-47EA-41D8-8B23-E56A21652154}"/>
            </a:ext>
          </a:extLst>
        </xdr:cNvPr>
        <xdr:cNvSpPr txBox="1"/>
      </xdr:nvSpPr>
      <xdr:spPr>
        <a:xfrm>
          <a:off x="12426488" y="2332585"/>
          <a:ext cx="3233305" cy="70433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Projected Market Share</a:t>
          </a:r>
        </a:p>
      </xdr:txBody>
    </xdr:sp>
    <xdr:clientData/>
  </xdr:twoCellAnchor>
  <xdr:twoCellAnchor editAs="absolute">
    <xdr:from>
      <xdr:col>4</xdr:col>
      <xdr:colOff>2116800</xdr:colOff>
      <xdr:row>44</xdr:row>
      <xdr:rowOff>225138</xdr:rowOff>
    </xdr:from>
    <xdr:to>
      <xdr:col>6</xdr:col>
      <xdr:colOff>1312369</xdr:colOff>
      <xdr:row>46</xdr:row>
      <xdr:rowOff>117418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2125F083-7B84-4D15-BFCF-38F956F045DC}"/>
            </a:ext>
          </a:extLst>
        </xdr:cNvPr>
        <xdr:cNvSpPr txBox="1"/>
      </xdr:nvSpPr>
      <xdr:spPr>
        <a:xfrm>
          <a:off x="10133040" y="13912563"/>
          <a:ext cx="3213214" cy="52093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Initial CSF</a:t>
          </a:r>
        </a:p>
      </xdr:txBody>
    </xdr:sp>
    <xdr:clientData/>
  </xdr:twoCellAnchor>
  <xdr:twoCellAnchor editAs="absolute">
    <xdr:from>
      <xdr:col>26</xdr:col>
      <xdr:colOff>1698916</xdr:colOff>
      <xdr:row>42</xdr:row>
      <xdr:rowOff>282805</xdr:rowOff>
    </xdr:from>
    <xdr:to>
      <xdr:col>28</xdr:col>
      <xdr:colOff>896391</xdr:colOff>
      <xdr:row>44</xdr:row>
      <xdr:rowOff>169371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E2322DE3-33F6-43C1-9A0A-7D35ED5AA455}"/>
            </a:ext>
          </a:extLst>
        </xdr:cNvPr>
        <xdr:cNvSpPr txBox="1"/>
      </xdr:nvSpPr>
      <xdr:spPr>
        <a:xfrm>
          <a:off x="51723523" y="13209962"/>
          <a:ext cx="3215293" cy="51002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Simulated CSF</a:t>
          </a:r>
        </a:p>
      </xdr:txBody>
    </xdr:sp>
    <xdr:clientData/>
  </xdr:twoCellAnchor>
  <xdr:twoCellAnchor editAs="absolute">
    <xdr:from>
      <xdr:col>27</xdr:col>
      <xdr:colOff>169027</xdr:colOff>
      <xdr:row>8</xdr:row>
      <xdr:rowOff>477290</xdr:rowOff>
    </xdr:from>
    <xdr:to>
      <xdr:col>28</xdr:col>
      <xdr:colOff>1583748</xdr:colOff>
      <xdr:row>10</xdr:row>
      <xdr:rowOff>40525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C500B0E-955F-465F-9BF4-388367579A41}"/>
            </a:ext>
          </a:extLst>
        </xdr:cNvPr>
        <xdr:cNvSpPr txBox="1"/>
      </xdr:nvSpPr>
      <xdr:spPr>
        <a:xfrm>
          <a:off x="52200638" y="2284269"/>
          <a:ext cx="3425535" cy="71766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Simulated Market Share</a:t>
          </a:r>
        </a:p>
      </xdr:txBody>
    </xdr:sp>
    <xdr:clientData/>
  </xdr:twoCellAnchor>
  <xdr:twoCellAnchor editAs="absolute">
    <xdr:from>
      <xdr:col>24</xdr:col>
      <xdr:colOff>169372</xdr:colOff>
      <xdr:row>8</xdr:row>
      <xdr:rowOff>477117</xdr:rowOff>
    </xdr:from>
    <xdr:to>
      <xdr:col>25</xdr:col>
      <xdr:colOff>1695104</xdr:colOff>
      <xdr:row>10</xdr:row>
      <xdr:rowOff>53687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6EA87656-3249-4AFD-8339-454DB1D2FBD6}"/>
            </a:ext>
          </a:extLst>
        </xdr:cNvPr>
        <xdr:cNvSpPr txBox="1"/>
      </xdr:nvSpPr>
      <xdr:spPr>
        <a:xfrm>
          <a:off x="45031256" y="2284096"/>
          <a:ext cx="4687166" cy="7214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Simulated Market Share Potential</a:t>
          </a:r>
        </a:p>
      </xdr:txBody>
    </xdr:sp>
    <xdr:clientData/>
  </xdr:twoCellAnchor>
  <xdr:twoCellAnchor editAs="absolute">
    <xdr:from>
      <xdr:col>19</xdr:col>
      <xdr:colOff>1394286</xdr:colOff>
      <xdr:row>8</xdr:row>
      <xdr:rowOff>171278</xdr:rowOff>
    </xdr:from>
    <xdr:to>
      <xdr:col>21</xdr:col>
      <xdr:colOff>19048</xdr:colOff>
      <xdr:row>8</xdr:row>
      <xdr:rowOff>702254</xdr:rowOff>
    </xdr:to>
    <xdr:sp macro="[0]!Target_Price_Reset" textlink="">
      <xdr:nvSpPr>
        <xdr:cNvPr id="23" name="Rectangle 22">
          <a:extLst>
            <a:ext uri="{FF2B5EF4-FFF2-40B4-BE49-F238E27FC236}">
              <a16:creationId xmlns:a16="http://schemas.microsoft.com/office/drawing/2014/main" id="{A191B770-27C3-4491-8CEB-6E394AFA0192}"/>
            </a:ext>
          </a:extLst>
        </xdr:cNvPr>
        <xdr:cNvSpPr/>
      </xdr:nvSpPr>
      <xdr:spPr>
        <a:xfrm>
          <a:off x="35413776" y="2032463"/>
          <a:ext cx="3128182" cy="530976"/>
        </a:xfrm>
        <a:prstGeom prst="rect">
          <a:avLst/>
        </a:prstGeom>
        <a:solidFill>
          <a:schemeClr val="bg1">
            <a:lumMod val="8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 kern="1200">
              <a:solidFill>
                <a:sysClr val="windowText" lastClr="000000"/>
              </a:solidFill>
            </a:rPr>
            <a:t>Price</a:t>
          </a:r>
          <a:r>
            <a:rPr lang="en-IN" sz="2400" b="1" kern="1200" baseline="0">
              <a:solidFill>
                <a:sysClr val="windowText" lastClr="000000"/>
              </a:solidFill>
            </a:rPr>
            <a:t> Reset Button</a:t>
          </a:r>
          <a:endParaRPr lang="en-IN" sz="2400" b="1" kern="12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18</xdr:col>
      <xdr:colOff>608213</xdr:colOff>
      <xdr:row>29</xdr:row>
      <xdr:rowOff>21127</xdr:rowOff>
    </xdr:from>
    <xdr:to>
      <xdr:col>19</xdr:col>
      <xdr:colOff>1845944</xdr:colOff>
      <xdr:row>31</xdr:row>
      <xdr:rowOff>284536</xdr:rowOff>
    </xdr:to>
    <xdr:sp macro="[0]!Target_Financials_Reset" textlink="">
      <xdr:nvSpPr>
        <xdr:cNvPr id="24" name="Rectangle 23">
          <a:extLst>
            <a:ext uri="{FF2B5EF4-FFF2-40B4-BE49-F238E27FC236}">
              <a16:creationId xmlns:a16="http://schemas.microsoft.com/office/drawing/2014/main" id="{F09EE7F6-0C76-4417-82CA-7E9C570D130B}"/>
            </a:ext>
          </a:extLst>
        </xdr:cNvPr>
        <xdr:cNvSpPr/>
      </xdr:nvSpPr>
      <xdr:spPr>
        <a:xfrm>
          <a:off x="32783663" y="8989867"/>
          <a:ext cx="3087486" cy="899679"/>
        </a:xfrm>
        <a:prstGeom prst="rect">
          <a:avLst/>
        </a:prstGeom>
        <a:solidFill>
          <a:schemeClr val="bg1">
            <a:lumMod val="8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 kern="1200">
              <a:solidFill>
                <a:sysClr val="windowText" lastClr="000000"/>
              </a:solidFill>
            </a:rPr>
            <a:t>Financials</a:t>
          </a:r>
          <a:r>
            <a:rPr lang="en-IN" sz="2400" b="1" kern="1200" baseline="0">
              <a:solidFill>
                <a:sysClr val="windowText" lastClr="000000"/>
              </a:solidFill>
            </a:rPr>
            <a:t> Reset Button</a:t>
          </a:r>
          <a:endParaRPr lang="en-IN" sz="2400" b="1" kern="12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762000</xdr:colOff>
      <xdr:row>8</xdr:row>
      <xdr:rowOff>321253</xdr:rowOff>
    </xdr:from>
    <xdr:to>
      <xdr:col>5</xdr:col>
      <xdr:colOff>60442</xdr:colOff>
      <xdr:row>26</xdr:row>
      <xdr:rowOff>171106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AC673C81-64FB-4C5A-BD77-6D3FDF705D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439619</xdr:colOff>
      <xdr:row>8</xdr:row>
      <xdr:rowOff>213099</xdr:rowOff>
    </xdr:from>
    <xdr:to>
      <xdr:col>10</xdr:col>
      <xdr:colOff>1997044</xdr:colOff>
      <xdr:row>26</xdr:row>
      <xdr:rowOff>74382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348041-9F7B-42D9-93DC-334204EC1F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31</xdr:col>
      <xdr:colOff>398318</xdr:colOff>
      <xdr:row>4</xdr:row>
      <xdr:rowOff>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EEC3436B-3AE5-4DD4-B92F-5A9E55D0044A}"/>
            </a:ext>
          </a:extLst>
        </xdr:cNvPr>
        <xdr:cNvGrpSpPr/>
      </xdr:nvGrpSpPr>
      <xdr:grpSpPr>
        <a:xfrm>
          <a:off x="0" y="0"/>
          <a:ext cx="60582463" cy="720436"/>
          <a:chOff x="380999" y="53072"/>
          <a:chExt cx="34077884" cy="818716"/>
        </a:xfrm>
        <a:solidFill>
          <a:srgbClr val="388087"/>
        </a:solidFill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93B192A4-79BB-2979-BFDF-12EA1CAAC35B}"/>
              </a:ext>
            </a:extLst>
          </xdr:cNvPr>
          <xdr:cNvGrpSpPr/>
        </xdr:nvGrpSpPr>
        <xdr:grpSpPr>
          <a:xfrm>
            <a:off x="380999" y="53072"/>
            <a:ext cx="34077884" cy="818716"/>
            <a:chOff x="380999" y="53072"/>
            <a:chExt cx="34077884" cy="818716"/>
          </a:xfrm>
          <a:grpFill/>
        </xdr:grpSpPr>
        <xdr:sp macro="" textlink="">
          <xdr:nvSpPr>
            <xdr:cNvPr id="6" name="Rectangle: Rounded Corners 5">
              <a:extLst>
                <a:ext uri="{FF2B5EF4-FFF2-40B4-BE49-F238E27FC236}">
                  <a16:creationId xmlns:a16="http://schemas.microsoft.com/office/drawing/2014/main" id="{6E9B11FF-18E4-11F9-9D16-2DF54EEEBF79}"/>
                </a:ext>
              </a:extLst>
            </xdr:cNvPr>
            <xdr:cNvSpPr/>
          </xdr:nvSpPr>
          <xdr:spPr>
            <a:xfrm>
              <a:off x="380999" y="72571"/>
              <a:ext cx="34077884" cy="799217"/>
            </a:xfrm>
            <a:prstGeom prst="roundRect">
              <a:avLst>
                <a:gd name="adj" fmla="val 48334"/>
              </a:avLst>
            </a:prstGeom>
            <a:grpFill/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vertOverflow="clip" horzOverflow="clip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IN" sz="3600" b="1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Strategic Scenario Planner </a:t>
              </a:r>
            </a:p>
          </xdr:txBody>
        </xdr:sp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AFC6B798-2D65-1F7F-DE18-984C2AC3C7D1}"/>
                </a:ext>
              </a:extLst>
            </xdr:cNvPr>
            <xdr:cNvSpPr txBox="1"/>
          </xdr:nvSpPr>
          <xdr:spPr>
            <a:xfrm>
              <a:off x="893428" y="149629"/>
              <a:ext cx="3510644" cy="468818"/>
            </a:xfrm>
            <a:prstGeom prst="rect">
              <a:avLst/>
            </a:prstGeom>
            <a:grp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IN" sz="2400" b="1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Period</a:t>
              </a:r>
              <a:r>
                <a:rPr kumimoji="0" lang="en-IN" sz="24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: Last 12 Months</a:t>
              </a:r>
            </a:p>
          </xdr:txBody>
        </xdr:sp>
        <xdr:pic>
          <xdr:nvPicPr>
            <xdr:cNvPr id="8" name="Graphic 7" descr="Daily calendar with solid fill">
              <a:extLst>
                <a:ext uri="{FF2B5EF4-FFF2-40B4-BE49-F238E27FC236}">
                  <a16:creationId xmlns:a16="http://schemas.microsoft.com/office/drawing/2014/main" id="{612DC2D2-884F-A351-3739-23E0800D448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634999" y="53072"/>
              <a:ext cx="574068" cy="568833"/>
            </a:xfrm>
            <a:prstGeom prst="rect">
              <a:avLst/>
            </a:prstGeom>
          </xdr:spPr>
        </xdr:pic>
      </xdr:grp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55371CBF-4C53-2A1B-2B1C-523B3DCB4F11}"/>
              </a:ext>
            </a:extLst>
          </xdr:cNvPr>
          <xdr:cNvSpPr txBox="1"/>
        </xdr:nvSpPr>
        <xdr:spPr>
          <a:xfrm>
            <a:off x="23059063" y="173161"/>
            <a:ext cx="9047843" cy="521841"/>
          </a:xfrm>
          <a:prstGeom prst="rect">
            <a:avLst/>
          </a:prstGeom>
          <a:grp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2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Directions to Use</a:t>
            </a:r>
            <a:r>
              <a:rPr kumimoji="0" lang="en-IN" sz="2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: Please provide inputs in the cells highlighted below</a:t>
            </a:r>
          </a:p>
        </xdr:txBody>
      </xdr:sp>
    </xdr:grpSp>
    <xdr:clientData/>
  </xdr:twoCellAnchor>
  <xdr:twoCellAnchor editAs="absolute">
    <xdr:from>
      <xdr:col>5</xdr:col>
      <xdr:colOff>553835</xdr:colOff>
      <xdr:row>33</xdr:row>
      <xdr:rowOff>133350</xdr:rowOff>
    </xdr:from>
    <xdr:to>
      <xdr:col>5</xdr:col>
      <xdr:colOff>1467890</xdr:colOff>
      <xdr:row>36</xdr:row>
      <xdr:rowOff>248078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2FC474CA-584D-43C9-AAE0-BA19AC2D10BD}"/>
            </a:ext>
          </a:extLst>
        </xdr:cNvPr>
        <xdr:cNvSpPr/>
      </xdr:nvSpPr>
      <xdr:spPr>
        <a:xfrm>
          <a:off x="10960850" y="10359390"/>
          <a:ext cx="914055" cy="1057703"/>
        </a:xfrm>
        <a:prstGeom prst="right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5</xdr:col>
      <xdr:colOff>167814</xdr:colOff>
      <xdr:row>37</xdr:row>
      <xdr:rowOff>97289</xdr:rowOff>
    </xdr:from>
    <xdr:to>
      <xdr:col>5</xdr:col>
      <xdr:colOff>1578034</xdr:colOff>
      <xdr:row>41</xdr:row>
      <xdr:rowOff>213186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C6088431-BE3F-4774-8ECE-EC078CFCC366}"/>
            </a:ext>
          </a:extLst>
        </xdr:cNvPr>
        <xdr:cNvSpPr txBox="1"/>
      </xdr:nvSpPr>
      <xdr:spPr>
        <a:xfrm>
          <a:off x="10582449" y="11580629"/>
          <a:ext cx="1410220" cy="13731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800" b="1" i="1"/>
            <a:t>if market</a:t>
          </a:r>
          <a:r>
            <a:rPr lang="en-IN" sz="1800" b="1" i="1" baseline="0"/>
            <a:t> conditions remain constant</a:t>
          </a:r>
          <a:endParaRPr lang="en-IN" sz="1800" b="1" i="1"/>
        </a:p>
      </xdr:txBody>
    </xdr:sp>
    <xdr:clientData/>
  </xdr:twoCellAnchor>
  <xdr:twoCellAnchor editAs="absolute">
    <xdr:from>
      <xdr:col>5</xdr:col>
      <xdr:colOff>777844</xdr:colOff>
      <xdr:row>12</xdr:row>
      <xdr:rowOff>282113</xdr:rowOff>
    </xdr:from>
    <xdr:to>
      <xdr:col>6</xdr:col>
      <xdr:colOff>1883871</xdr:colOff>
      <xdr:row>16</xdr:row>
      <xdr:rowOff>91783</xdr:rowOff>
    </xdr:to>
    <xdr:sp macro="" textlink="">
      <xdr:nvSpPr>
        <xdr:cNvPr id="11" name="Arrow: Right 10">
          <a:extLst>
            <a:ext uri="{FF2B5EF4-FFF2-40B4-BE49-F238E27FC236}">
              <a16:creationId xmlns:a16="http://schemas.microsoft.com/office/drawing/2014/main" id="{FDCB4A4F-33C2-4906-AD3D-78B4E45D2B0A}"/>
            </a:ext>
          </a:extLst>
        </xdr:cNvPr>
        <xdr:cNvSpPr/>
      </xdr:nvSpPr>
      <xdr:spPr>
        <a:xfrm>
          <a:off x="11192479" y="3914948"/>
          <a:ext cx="2725277" cy="1066970"/>
        </a:xfrm>
        <a:prstGeom prst="right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5</xdr:col>
      <xdr:colOff>591502</xdr:colOff>
      <xdr:row>17</xdr:row>
      <xdr:rowOff>38408</xdr:rowOff>
    </xdr:from>
    <xdr:to>
      <xdr:col>6</xdr:col>
      <xdr:colOff>1958686</xdr:colOff>
      <xdr:row>22</xdr:row>
      <xdr:rowOff>170758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19460428-9FDC-46BD-A5BB-DE5AC5F4C995}"/>
            </a:ext>
          </a:extLst>
        </xdr:cNvPr>
        <xdr:cNvSpPr txBox="1"/>
      </xdr:nvSpPr>
      <xdr:spPr>
        <a:xfrm>
          <a:off x="10998517" y="5239058"/>
          <a:ext cx="2994054" cy="1707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800" b="1" i="1"/>
            <a:t>if market</a:t>
          </a:r>
          <a:r>
            <a:rPr lang="en-IN" sz="1800" b="1" i="1" baseline="0"/>
            <a:t> conditions remain constant</a:t>
          </a:r>
          <a:endParaRPr lang="en-IN" sz="1800" b="1" i="1"/>
        </a:p>
      </xdr:txBody>
    </xdr:sp>
    <xdr:clientData/>
  </xdr:twoCellAnchor>
  <xdr:twoCellAnchor editAs="absolute">
    <xdr:from>
      <xdr:col>27</xdr:col>
      <xdr:colOff>22761</xdr:colOff>
      <xdr:row>9</xdr:row>
      <xdr:rowOff>57844</xdr:rowOff>
    </xdr:from>
    <xdr:to>
      <xdr:col>31</xdr:col>
      <xdr:colOff>797760</xdr:colOff>
      <xdr:row>28</xdr:row>
      <xdr:rowOff>74469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085C167-8BBE-4822-87D0-03740B98A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24</xdr:col>
      <xdr:colOff>402129</xdr:colOff>
      <xdr:row>12</xdr:row>
      <xdr:rowOff>133013</xdr:rowOff>
    </xdr:from>
    <xdr:to>
      <xdr:col>27</xdr:col>
      <xdr:colOff>246612</xdr:colOff>
      <xdr:row>25</xdr:row>
      <xdr:rowOff>92306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2096FEA7-6191-47AF-A7D2-44D46BF41F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2</xdr:col>
      <xdr:colOff>1392555</xdr:colOff>
      <xdr:row>47</xdr:row>
      <xdr:rowOff>228167</xdr:rowOff>
    </xdr:from>
    <xdr:to>
      <xdr:col>8</xdr:col>
      <xdr:colOff>1544177</xdr:colOff>
      <xdr:row>60</xdr:row>
      <xdr:rowOff>93865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F11ECAEF-ED69-4181-B011-FE93139FF3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24</xdr:col>
      <xdr:colOff>1868453</xdr:colOff>
      <xdr:row>45</xdr:row>
      <xdr:rowOff>244963</xdr:rowOff>
    </xdr:from>
    <xdr:to>
      <xdr:col>30</xdr:col>
      <xdr:colOff>1198765</xdr:colOff>
      <xdr:row>58</xdr:row>
      <xdr:rowOff>98971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16C80DE9-1A4F-4C7C-AB70-FCBF054167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</xdr:col>
      <xdr:colOff>511754</xdr:colOff>
      <xdr:row>8</xdr:row>
      <xdr:rowOff>359872</xdr:rowOff>
    </xdr:from>
    <xdr:to>
      <xdr:col>2</xdr:col>
      <xdr:colOff>1046885</xdr:colOff>
      <xdr:row>9</xdr:row>
      <xdr:rowOff>325062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3B5C3DC9-AFF8-47B3-AD24-FA626593808A}"/>
            </a:ext>
          </a:extLst>
        </xdr:cNvPr>
        <xdr:cNvSpPr txBox="1"/>
      </xdr:nvSpPr>
      <xdr:spPr>
        <a:xfrm>
          <a:off x="1125164" y="2221057"/>
          <a:ext cx="3545031" cy="71957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Current Market Share</a:t>
          </a:r>
        </a:p>
      </xdr:txBody>
    </xdr:sp>
    <xdr:clientData/>
  </xdr:twoCellAnchor>
  <xdr:twoCellAnchor editAs="absolute">
    <xdr:from>
      <xdr:col>6</xdr:col>
      <xdr:colOff>400223</xdr:colOff>
      <xdr:row>8</xdr:row>
      <xdr:rowOff>479020</xdr:rowOff>
    </xdr:from>
    <xdr:to>
      <xdr:col>7</xdr:col>
      <xdr:colOff>1616133</xdr:colOff>
      <xdr:row>10</xdr:row>
      <xdr:rowOff>36540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E8420205-B2FB-4843-9623-939E571F8006}"/>
            </a:ext>
          </a:extLst>
        </xdr:cNvPr>
        <xdr:cNvSpPr txBox="1"/>
      </xdr:nvSpPr>
      <xdr:spPr>
        <a:xfrm>
          <a:off x="12426488" y="2332585"/>
          <a:ext cx="3233305" cy="70433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Projected Market Share</a:t>
          </a:r>
        </a:p>
      </xdr:txBody>
    </xdr:sp>
    <xdr:clientData/>
  </xdr:twoCellAnchor>
  <xdr:twoCellAnchor editAs="absolute">
    <xdr:from>
      <xdr:col>4</xdr:col>
      <xdr:colOff>2116800</xdr:colOff>
      <xdr:row>44</xdr:row>
      <xdr:rowOff>225138</xdr:rowOff>
    </xdr:from>
    <xdr:to>
      <xdr:col>6</xdr:col>
      <xdr:colOff>1312369</xdr:colOff>
      <xdr:row>46</xdr:row>
      <xdr:rowOff>117418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E3E9F24B-3498-4055-90E0-76756C3392EC}"/>
            </a:ext>
          </a:extLst>
        </xdr:cNvPr>
        <xdr:cNvSpPr txBox="1"/>
      </xdr:nvSpPr>
      <xdr:spPr>
        <a:xfrm>
          <a:off x="10133040" y="13912563"/>
          <a:ext cx="3213214" cy="52093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Initial CSF</a:t>
          </a:r>
        </a:p>
      </xdr:txBody>
    </xdr:sp>
    <xdr:clientData/>
  </xdr:twoCellAnchor>
  <xdr:twoCellAnchor editAs="absolute">
    <xdr:from>
      <xdr:col>26</xdr:col>
      <xdr:colOff>1541320</xdr:colOff>
      <xdr:row>43</xdr:row>
      <xdr:rowOff>0</xdr:rowOff>
    </xdr:from>
    <xdr:to>
      <xdr:col>28</xdr:col>
      <xdr:colOff>742605</xdr:colOff>
      <xdr:row>44</xdr:row>
      <xdr:rowOff>209723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59CEEF1E-E39B-4461-BFF5-E7201EFCFD03}"/>
            </a:ext>
          </a:extLst>
        </xdr:cNvPr>
        <xdr:cNvSpPr txBox="1"/>
      </xdr:nvSpPr>
      <xdr:spPr>
        <a:xfrm>
          <a:off x="51584977" y="13248409"/>
          <a:ext cx="3215293" cy="51383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Simulated CSF</a:t>
          </a:r>
        </a:p>
      </xdr:txBody>
    </xdr:sp>
    <xdr:clientData/>
  </xdr:twoCellAnchor>
  <xdr:twoCellAnchor editAs="absolute">
    <xdr:from>
      <xdr:col>27</xdr:col>
      <xdr:colOff>359527</xdr:colOff>
      <xdr:row>8</xdr:row>
      <xdr:rowOff>552450</xdr:rowOff>
    </xdr:from>
    <xdr:to>
      <xdr:col>28</xdr:col>
      <xdr:colOff>1774248</xdr:colOff>
      <xdr:row>10</xdr:row>
      <xdr:rowOff>134735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EDA912C3-5241-4F6A-9D3C-A01302BA5F0C}"/>
            </a:ext>
          </a:extLst>
        </xdr:cNvPr>
        <xdr:cNvSpPr txBox="1"/>
      </xdr:nvSpPr>
      <xdr:spPr>
        <a:xfrm>
          <a:off x="52391138" y="2370859"/>
          <a:ext cx="3433155" cy="71766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Simulated Market Share</a:t>
          </a:r>
        </a:p>
      </xdr:txBody>
    </xdr:sp>
    <xdr:clientData/>
  </xdr:twoCellAnchor>
  <xdr:twoCellAnchor editAs="absolute">
    <xdr:from>
      <xdr:col>24</xdr:col>
      <xdr:colOff>361777</xdr:colOff>
      <xdr:row>8</xdr:row>
      <xdr:rowOff>552277</xdr:rowOff>
    </xdr:from>
    <xdr:to>
      <xdr:col>25</xdr:col>
      <xdr:colOff>1885604</xdr:colOff>
      <xdr:row>10</xdr:row>
      <xdr:rowOff>130752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F06C33A2-10A3-43A3-A1C9-4F43E78D36F5}"/>
            </a:ext>
          </a:extLst>
        </xdr:cNvPr>
        <xdr:cNvSpPr txBox="1"/>
      </xdr:nvSpPr>
      <xdr:spPr>
        <a:xfrm>
          <a:off x="45240806" y="2370686"/>
          <a:ext cx="4668116" cy="7214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Simulated Market Share Potential</a:t>
          </a:r>
        </a:p>
      </xdr:txBody>
    </xdr:sp>
    <xdr:clientData/>
  </xdr:twoCellAnchor>
  <xdr:twoCellAnchor editAs="absolute">
    <xdr:from>
      <xdr:col>19</xdr:col>
      <xdr:colOff>1390996</xdr:colOff>
      <xdr:row>8</xdr:row>
      <xdr:rowOff>171278</xdr:rowOff>
    </xdr:from>
    <xdr:to>
      <xdr:col>21</xdr:col>
      <xdr:colOff>22858</xdr:colOff>
      <xdr:row>8</xdr:row>
      <xdr:rowOff>702254</xdr:rowOff>
    </xdr:to>
    <xdr:sp macro="[0]!Walmart_Price_Reset" textlink="">
      <xdr:nvSpPr>
        <xdr:cNvPr id="23" name="Rectangle 22">
          <a:extLst>
            <a:ext uri="{FF2B5EF4-FFF2-40B4-BE49-F238E27FC236}">
              <a16:creationId xmlns:a16="http://schemas.microsoft.com/office/drawing/2014/main" id="{98E3F8B4-B161-46F1-81B0-86647700BBA7}"/>
            </a:ext>
          </a:extLst>
        </xdr:cNvPr>
        <xdr:cNvSpPr/>
      </xdr:nvSpPr>
      <xdr:spPr>
        <a:xfrm>
          <a:off x="35412391" y="2032463"/>
          <a:ext cx="3129567" cy="530976"/>
        </a:xfrm>
        <a:prstGeom prst="rect">
          <a:avLst/>
        </a:prstGeom>
        <a:solidFill>
          <a:schemeClr val="bg1">
            <a:lumMod val="8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 kern="1200">
              <a:solidFill>
                <a:sysClr val="windowText" lastClr="000000"/>
              </a:solidFill>
            </a:rPr>
            <a:t>Price</a:t>
          </a:r>
          <a:r>
            <a:rPr lang="en-IN" sz="2400" b="1" kern="1200" baseline="0">
              <a:solidFill>
                <a:sysClr val="windowText" lastClr="000000"/>
              </a:solidFill>
            </a:rPr>
            <a:t> Reset Button</a:t>
          </a:r>
          <a:endParaRPr lang="en-IN" sz="2400" b="1" kern="12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18</xdr:col>
      <xdr:colOff>627436</xdr:colOff>
      <xdr:row>34</xdr:row>
      <xdr:rowOff>15411</xdr:rowOff>
    </xdr:from>
    <xdr:to>
      <xdr:col>19</xdr:col>
      <xdr:colOff>1886122</xdr:colOff>
      <xdr:row>36</xdr:row>
      <xdr:rowOff>286441</xdr:rowOff>
    </xdr:to>
    <xdr:sp macro="[0]!Walmart_Financials_Reset" textlink="">
      <xdr:nvSpPr>
        <xdr:cNvPr id="24" name="Rectangle 23">
          <a:extLst>
            <a:ext uri="{FF2B5EF4-FFF2-40B4-BE49-F238E27FC236}">
              <a16:creationId xmlns:a16="http://schemas.microsoft.com/office/drawing/2014/main" id="{8AC6495D-5DC7-44F2-B28F-F2AFF54DB86D}"/>
            </a:ext>
          </a:extLst>
        </xdr:cNvPr>
        <xdr:cNvSpPr/>
      </xdr:nvSpPr>
      <xdr:spPr>
        <a:xfrm>
          <a:off x="32806696" y="10563396"/>
          <a:ext cx="3098916" cy="892060"/>
        </a:xfrm>
        <a:prstGeom prst="rect">
          <a:avLst/>
        </a:prstGeom>
        <a:solidFill>
          <a:schemeClr val="bg1">
            <a:lumMod val="8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 kern="1200">
              <a:solidFill>
                <a:sysClr val="windowText" lastClr="000000"/>
              </a:solidFill>
            </a:rPr>
            <a:t>Financials</a:t>
          </a:r>
          <a:r>
            <a:rPr lang="en-IN" sz="2400" b="1" kern="1200" baseline="0">
              <a:solidFill>
                <a:sysClr val="windowText" lastClr="000000"/>
              </a:solidFill>
            </a:rPr>
            <a:t> Reset Button</a:t>
          </a:r>
          <a:endParaRPr lang="en-IN" sz="2400" b="1" kern="12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762000</xdr:colOff>
      <xdr:row>8</xdr:row>
      <xdr:rowOff>321253</xdr:rowOff>
    </xdr:from>
    <xdr:to>
      <xdr:col>5</xdr:col>
      <xdr:colOff>60442</xdr:colOff>
      <xdr:row>26</xdr:row>
      <xdr:rowOff>171106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9FD50E8B-3010-4FAF-89D6-FEEC9D528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FCD4A-814E-4BA7-9734-FE417110CDC8}">
  <sheetPr codeName="Sheet1">
    <tabColor theme="5" tint="0.59999389629810485"/>
  </sheetPr>
  <dimension ref="B1:AA200"/>
  <sheetViews>
    <sheetView workbookViewId="0">
      <selection activeCell="M3" sqref="M3"/>
    </sheetView>
  </sheetViews>
  <sheetFormatPr defaultRowHeight="14.4" x14ac:dyDescent="0.3"/>
  <cols>
    <col min="1" max="1" width="3.77734375" customWidth="1"/>
    <col min="3" max="3" width="11.21875" bestFit="1" customWidth="1"/>
    <col min="4" max="4" width="18.77734375" bestFit="1" customWidth="1"/>
    <col min="5" max="5" width="18.77734375" customWidth="1"/>
    <col min="6" max="6" width="14.21875" bestFit="1" customWidth="1"/>
    <col min="7" max="7" width="15.88671875" bestFit="1" customWidth="1"/>
    <col min="8" max="10" width="14.33203125" bestFit="1" customWidth="1"/>
    <col min="11" max="11" width="16.88671875" bestFit="1" customWidth="1"/>
    <col min="12" max="12" width="15.88671875" bestFit="1" customWidth="1"/>
    <col min="13" max="13" width="10.5546875" bestFit="1" customWidth="1"/>
    <col min="14" max="14" width="12.21875" bestFit="1" customWidth="1"/>
    <col min="17" max="17" width="8" bestFit="1" customWidth="1"/>
    <col min="18" max="18" width="19.33203125" bestFit="1" customWidth="1"/>
    <col min="19" max="19" width="15.88671875" bestFit="1" customWidth="1"/>
    <col min="20" max="22" width="14.33203125" bestFit="1" customWidth="1"/>
    <col min="23" max="23" width="16.88671875" bestFit="1" customWidth="1"/>
    <col min="24" max="24" width="15.88671875" bestFit="1" customWidth="1"/>
    <col min="26" max="26" width="21.6640625" bestFit="1" customWidth="1"/>
    <col min="27" max="27" width="15.44140625" bestFit="1" customWidth="1"/>
  </cols>
  <sheetData>
    <row r="1" spans="2:27" ht="18" x14ac:dyDescent="0.35">
      <c r="B1" s="100" t="s">
        <v>101</v>
      </c>
      <c r="P1" s="100" t="s">
        <v>84</v>
      </c>
    </row>
    <row r="2" spans="2:27" x14ac:dyDescent="0.3">
      <c r="B2" t="s">
        <v>9</v>
      </c>
      <c r="C2" s="1" t="s">
        <v>0</v>
      </c>
      <c r="D2" s="1" t="s">
        <v>1</v>
      </c>
      <c r="E2" s="1" t="s">
        <v>100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6</v>
      </c>
      <c r="K2" s="1" t="s">
        <v>7</v>
      </c>
      <c r="L2" s="1" t="s">
        <v>8</v>
      </c>
      <c r="M2" s="11" t="s">
        <v>63</v>
      </c>
      <c r="N2" t="s">
        <v>33</v>
      </c>
      <c r="P2" t="s">
        <v>9</v>
      </c>
      <c r="Q2" s="1" t="s">
        <v>0</v>
      </c>
      <c r="R2" s="1" t="s">
        <v>1</v>
      </c>
      <c r="S2" s="1" t="s">
        <v>3</v>
      </c>
      <c r="T2" s="1" t="s">
        <v>4</v>
      </c>
      <c r="U2" s="1" t="s">
        <v>5</v>
      </c>
      <c r="V2" s="1" t="s">
        <v>6</v>
      </c>
      <c r="W2" s="1" t="s">
        <v>7</v>
      </c>
      <c r="X2" s="1" t="s">
        <v>8</v>
      </c>
      <c r="Z2" t="s">
        <v>81</v>
      </c>
      <c r="AA2" t="s">
        <v>82</v>
      </c>
    </row>
    <row r="3" spans="2:27" x14ac:dyDescent="0.3">
      <c r="B3" s="2" t="str">
        <f>C3&amp;D3&amp;E3&amp;F3</f>
        <v>US FOODdukesaioliother</v>
      </c>
      <c r="C3" s="1" t="s">
        <v>104</v>
      </c>
      <c r="D3" s="1" t="s">
        <v>137</v>
      </c>
      <c r="E3" s="1" t="s">
        <v>138</v>
      </c>
      <c r="F3" s="1" t="s">
        <v>139</v>
      </c>
      <c r="G3" s="98">
        <v>1204355.1221</v>
      </c>
      <c r="H3" s="98">
        <v>383615.08630000002</v>
      </c>
      <c r="I3" s="99">
        <v>2.3799654172848399</v>
      </c>
      <c r="J3" s="99">
        <v>7.4718738732978398</v>
      </c>
      <c r="K3" s="98">
        <v>4247136.6379000004</v>
      </c>
      <c r="L3" s="98">
        <v>1290285.3801</v>
      </c>
      <c r="M3" s="12">
        <f>K3/L3</f>
        <v>3.2916257933348341</v>
      </c>
      <c r="N3" s="28">
        <v>8.4596351060000003</v>
      </c>
      <c r="P3" s="2" t="str">
        <f>Q3&amp;R3</f>
        <v>US FOODDUKES</v>
      </c>
      <c r="Q3" s="1" t="s">
        <v>104</v>
      </c>
      <c r="R3" s="1" t="s">
        <v>105</v>
      </c>
      <c r="S3" s="98">
        <v>175092349.72240001</v>
      </c>
      <c r="T3" s="98">
        <v>58781344.817599997</v>
      </c>
      <c r="U3" s="99">
        <v>2.2432487578206901</v>
      </c>
      <c r="V3" s="99">
        <v>6.6819787338563401</v>
      </c>
      <c r="W3" s="98">
        <v>509845721.53280002</v>
      </c>
      <c r="X3" s="98">
        <v>183229024.71340001</v>
      </c>
      <c r="Y3" s="12">
        <f>W3/X3</f>
        <v>2.7825598173121406</v>
      </c>
      <c r="Z3" t="str" cm="1">
        <f t="array" ref="Z3:Z10">_xlfn.UNIQUE($R$3:$R$200)</f>
        <v>DUKES</v>
      </c>
      <c r="AA3" s="92">
        <v>4</v>
      </c>
    </row>
    <row r="4" spans="2:27" x14ac:dyDescent="0.3">
      <c r="B4" s="2" t="str">
        <f t="shared" ref="B4:B67" si="0">C4&amp;D4&amp;E4&amp;F4</f>
        <v>US FOODhellmanns best foodsaiolijar 15oz</v>
      </c>
      <c r="C4" s="1" t="s">
        <v>104</v>
      </c>
      <c r="D4" s="1" t="s">
        <v>140</v>
      </c>
      <c r="E4" s="1" t="s">
        <v>138</v>
      </c>
      <c r="F4" s="1" t="s">
        <v>141</v>
      </c>
      <c r="G4" s="98">
        <v>335955.92690000002</v>
      </c>
      <c r="H4" s="98">
        <v>55191.940300000002</v>
      </c>
      <c r="I4" s="99">
        <v>2.39836104111194</v>
      </c>
      <c r="J4" s="99">
        <v>14.598936044428401</v>
      </c>
      <c r="K4" s="98">
        <v>3791314.9117000001</v>
      </c>
      <c r="L4" s="98">
        <v>675181.12670000002</v>
      </c>
      <c r="M4" s="12">
        <f t="shared" ref="M4:M51" si="1">K4/L4</f>
        <v>5.6152560576305577</v>
      </c>
      <c r="P4" s="2" t="str">
        <f t="shared" ref="P4:P67" si="2">Q4&amp;R4</f>
        <v>US FOODHELLMANNS BEST FOODS</v>
      </c>
      <c r="Q4" s="1" t="s">
        <v>104</v>
      </c>
      <c r="R4" s="1" t="s">
        <v>106</v>
      </c>
      <c r="S4" s="98">
        <v>815208285.3096</v>
      </c>
      <c r="T4" s="98">
        <v>220167137.30770001</v>
      </c>
      <c r="U4" s="99">
        <v>2.20499773298901</v>
      </c>
      <c r="V4" s="99">
        <v>8.1643992968366401</v>
      </c>
      <c r="W4" s="98">
        <v>2814723820.9288998</v>
      </c>
      <c r="X4" s="98">
        <v>862787684.70510006</v>
      </c>
      <c r="Y4" s="12">
        <f t="shared" ref="Y4:Y9" si="3">W4/X4</f>
        <v>3.2623597564341331</v>
      </c>
      <c r="Z4" t="str">
        <v>HELLMANNS BEST FOODS</v>
      </c>
      <c r="AA4" s="92">
        <v>3</v>
      </c>
    </row>
    <row r="5" spans="2:27" x14ac:dyDescent="0.3">
      <c r="B5" s="2" t="str">
        <f t="shared" si="0"/>
        <v>US FOODhellmanns best foodsaioliother</v>
      </c>
      <c r="C5" s="1" t="s">
        <v>104</v>
      </c>
      <c r="D5" s="1" t="s">
        <v>140</v>
      </c>
      <c r="E5" s="1" t="s">
        <v>138</v>
      </c>
      <c r="F5" s="1" t="s">
        <v>139</v>
      </c>
      <c r="G5" s="98">
        <v>10361287.3859</v>
      </c>
      <c r="H5" s="98">
        <v>1598720.8688000001</v>
      </c>
      <c r="I5" s="99">
        <v>2.2729309824624901</v>
      </c>
      <c r="J5" s="99">
        <v>14.7308336165567</v>
      </c>
      <c r="K5" s="98">
        <v>19897782.866500001</v>
      </c>
      <c r="L5" s="98">
        <v>3190651.5427000001</v>
      </c>
      <c r="M5" s="12">
        <f t="shared" si="1"/>
        <v>6.2362757575407484</v>
      </c>
      <c r="P5" s="2" t="str">
        <f t="shared" si="2"/>
        <v>US FOODKRAFT</v>
      </c>
      <c r="Q5" s="1" t="s">
        <v>104</v>
      </c>
      <c r="R5" s="1" t="s">
        <v>107</v>
      </c>
      <c r="S5" s="98">
        <v>169716861.44960001</v>
      </c>
      <c r="T5" s="98">
        <v>50063777.629299998</v>
      </c>
      <c r="U5" s="99">
        <v>2.0737012395424501</v>
      </c>
      <c r="V5" s="99">
        <v>7.0298743447860499</v>
      </c>
      <c r="W5" s="98">
        <v>650720047.40439999</v>
      </c>
      <c r="X5" s="98">
        <v>226650230.4815</v>
      </c>
      <c r="Y5" s="12">
        <f t="shared" si="3"/>
        <v>2.8710319244855746</v>
      </c>
      <c r="Z5" t="str">
        <v>KRAFT</v>
      </c>
      <c r="AA5" s="92">
        <v>1</v>
      </c>
    </row>
    <row r="6" spans="2:27" x14ac:dyDescent="0.3">
      <c r="B6" s="2" t="str">
        <f t="shared" si="0"/>
        <v>US FOODkraftaiolisqueezy 12oz</v>
      </c>
      <c r="C6" s="1" t="s">
        <v>104</v>
      </c>
      <c r="D6" s="1" t="s">
        <v>142</v>
      </c>
      <c r="E6" s="1" t="s">
        <v>138</v>
      </c>
      <c r="F6" s="1" t="s">
        <v>143</v>
      </c>
      <c r="G6" s="98">
        <v>11069302.607100001</v>
      </c>
      <c r="H6" s="98">
        <v>1659444.6651999999</v>
      </c>
      <c r="I6" s="99">
        <v>2.1311689446233402</v>
      </c>
      <c r="J6" s="99">
        <v>14.215932865737701</v>
      </c>
      <c r="K6" s="98">
        <v>32537523.274700001</v>
      </c>
      <c r="L6" s="98">
        <v>5756114.443</v>
      </c>
      <c r="M6" s="12">
        <f t="shared" si="1"/>
        <v>5.6526887359351967</v>
      </c>
      <c r="P6" s="2" t="str">
        <f t="shared" si="2"/>
        <v>US FOODMCCORMICK AIOLI</v>
      </c>
      <c r="Q6" s="1" t="s">
        <v>104</v>
      </c>
      <c r="R6" s="1" t="s">
        <v>108</v>
      </c>
      <c r="S6" s="98">
        <v>35614820.524999999</v>
      </c>
      <c r="T6" s="98">
        <v>7751208.6317999996</v>
      </c>
      <c r="U6" s="99">
        <v>2.1207997463947401</v>
      </c>
      <c r="V6" s="99">
        <v>9.7445322304238005</v>
      </c>
      <c r="W6" s="98">
        <v>108027217.16949999</v>
      </c>
      <c r="X6" s="98">
        <v>27955762.396400001</v>
      </c>
      <c r="Y6" s="12">
        <f t="shared" si="3"/>
        <v>3.8642200358453178</v>
      </c>
      <c r="Z6" t="str">
        <v>MCCORMICK AIOLI</v>
      </c>
      <c r="AA6" s="92">
        <v>6</v>
      </c>
    </row>
    <row r="7" spans="2:27" x14ac:dyDescent="0.3">
      <c r="B7" s="2" t="str">
        <f t="shared" si="0"/>
        <v>US FOODkraftaiolijar 30oz</v>
      </c>
      <c r="C7" s="1" t="s">
        <v>104</v>
      </c>
      <c r="D7" s="1" t="s">
        <v>142</v>
      </c>
      <c r="E7" s="1" t="s">
        <v>138</v>
      </c>
      <c r="F7" s="1" t="s">
        <v>144</v>
      </c>
      <c r="G7" s="98">
        <v>403504.72769999999</v>
      </c>
      <c r="H7" s="98">
        <v>157821.22529999999</v>
      </c>
      <c r="I7" s="99">
        <v>2.2761904860709898</v>
      </c>
      <c r="J7" s="99">
        <v>5.8195823820878898</v>
      </c>
      <c r="K7" s="98">
        <v>1347223.8367000001</v>
      </c>
      <c r="L7" s="98">
        <v>618327.11080000002</v>
      </c>
      <c r="M7" s="12">
        <f t="shared" si="1"/>
        <v>2.1788205840706931</v>
      </c>
      <c r="P7" s="2" t="str">
        <f t="shared" si="2"/>
        <v>US FOODMIRACLE WHIP</v>
      </c>
      <c r="Q7" s="1" t="s">
        <v>104</v>
      </c>
      <c r="R7" s="1" t="s">
        <v>109</v>
      </c>
      <c r="S7" s="98">
        <v>204951437.91</v>
      </c>
      <c r="T7" s="98">
        <v>56269563.524599999</v>
      </c>
      <c r="U7" s="99">
        <v>2.0226676839361799</v>
      </c>
      <c r="V7" s="99">
        <v>7.3671915023043901</v>
      </c>
      <c r="W7" s="98">
        <v>775251677.03740001</v>
      </c>
      <c r="X7" s="98">
        <v>240114140.1911</v>
      </c>
      <c r="Y7" s="12">
        <f t="shared" si="3"/>
        <v>3.2286798121110207</v>
      </c>
      <c r="Z7" t="str">
        <v>MIRACLE WHIP</v>
      </c>
      <c r="AA7" s="92">
        <v>2</v>
      </c>
    </row>
    <row r="8" spans="2:27" x14ac:dyDescent="0.3">
      <c r="B8" s="2" t="str">
        <f t="shared" si="0"/>
        <v>US FOODkraftaioliother</v>
      </c>
      <c r="C8" s="1" t="s">
        <v>104</v>
      </c>
      <c r="D8" s="1" t="s">
        <v>142</v>
      </c>
      <c r="E8" s="1" t="s">
        <v>138</v>
      </c>
      <c r="F8" s="1" t="s">
        <v>139</v>
      </c>
      <c r="G8" s="98">
        <v>684827.34840000002</v>
      </c>
      <c r="H8" s="98">
        <v>196214.99679999999</v>
      </c>
      <c r="I8" s="99">
        <v>3.11205377399429</v>
      </c>
      <c r="J8" s="99">
        <v>10.8616546588182</v>
      </c>
      <c r="K8" s="98">
        <v>1771692.2842999999</v>
      </c>
      <c r="L8" s="98">
        <v>484745.94910000003</v>
      </c>
      <c r="M8" s="12">
        <f t="shared" si="1"/>
        <v>3.6548882720719984</v>
      </c>
      <c r="P8" s="2" t="str">
        <f t="shared" si="2"/>
        <v>US FOODPRIVATE LABEL</v>
      </c>
      <c r="Q8" s="1" t="s">
        <v>104</v>
      </c>
      <c r="R8" s="1" t="s">
        <v>110</v>
      </c>
      <c r="S8" s="98">
        <v>179215848.8371</v>
      </c>
      <c r="T8" s="98">
        <v>77118373.038399994</v>
      </c>
      <c r="U8" s="99">
        <v>2.2322043719954499</v>
      </c>
      <c r="V8" s="99">
        <v>5.1874331050248204</v>
      </c>
      <c r="W8" s="98">
        <v>575532857.6293</v>
      </c>
      <c r="X8" s="98">
        <v>283476148.1548</v>
      </c>
      <c r="Y8" s="12">
        <f t="shared" si="3"/>
        <v>2.0302690768713787</v>
      </c>
      <c r="Z8" t="str">
        <v>PRIVATE LABEL</v>
      </c>
      <c r="AA8" s="92">
        <v>5</v>
      </c>
    </row>
    <row r="9" spans="2:27" x14ac:dyDescent="0.3">
      <c r="B9" s="2" t="str">
        <f t="shared" si="0"/>
        <v>US FOODmccormick aioliaiolijar 15oz</v>
      </c>
      <c r="C9" s="1" t="s">
        <v>104</v>
      </c>
      <c r="D9" s="1" t="s">
        <v>145</v>
      </c>
      <c r="E9" s="1" t="s">
        <v>138</v>
      </c>
      <c r="F9" s="1" t="s">
        <v>141</v>
      </c>
      <c r="G9" s="98">
        <v>6439832.5915999999</v>
      </c>
      <c r="H9" s="98">
        <v>971268.90330000001</v>
      </c>
      <c r="I9" s="99">
        <v>2.3696543203476699</v>
      </c>
      <c r="J9" s="99">
        <v>15.711588285337299</v>
      </c>
      <c r="K9" s="98">
        <v>19847887.635699999</v>
      </c>
      <c r="L9" s="98">
        <v>3599103.0989000001</v>
      </c>
      <c r="M9" s="12">
        <f t="shared" si="1"/>
        <v>5.5146760429747461</v>
      </c>
      <c r="P9" s="2" t="str">
        <f t="shared" si="2"/>
        <v>US FOODRESTOFCATEGORY</v>
      </c>
      <c r="Q9" s="1" t="s">
        <v>104</v>
      </c>
      <c r="R9" s="1" t="s">
        <v>111</v>
      </c>
      <c r="S9" s="98">
        <v>184803178.06529999</v>
      </c>
      <c r="T9" s="98">
        <v>41299592.215300001</v>
      </c>
      <c r="U9" s="99">
        <v>2.2276466481725499</v>
      </c>
      <c r="V9" s="99">
        <v>9.9680446732422894</v>
      </c>
      <c r="W9" s="98">
        <v>621515223.61670005</v>
      </c>
      <c r="X9" s="98">
        <v>157999906.74829999</v>
      </c>
      <c r="Y9" s="12">
        <f t="shared" si="3"/>
        <v>3.9336429774404742</v>
      </c>
      <c r="Z9" t="str">
        <v>RESTOFCATEGORY</v>
      </c>
      <c r="AA9" s="92">
        <v>7</v>
      </c>
    </row>
    <row r="10" spans="2:27" x14ac:dyDescent="0.3">
      <c r="B10" s="2" t="str">
        <f t="shared" si="0"/>
        <v>US FOODmccormick aioliaiolijar 30oz</v>
      </c>
      <c r="C10" s="1" t="s">
        <v>104</v>
      </c>
      <c r="D10" s="1" t="s">
        <v>145</v>
      </c>
      <c r="E10" s="1" t="s">
        <v>138</v>
      </c>
      <c r="F10" s="1" t="s">
        <v>144</v>
      </c>
      <c r="G10" s="98">
        <v>26965742.531800002</v>
      </c>
      <c r="H10" s="98">
        <v>6415556.8498</v>
      </c>
      <c r="I10" s="99">
        <v>2.0208962240766302</v>
      </c>
      <c r="J10" s="99">
        <v>8.4941913130480806</v>
      </c>
      <c r="K10" s="98">
        <v>79260003.457800001</v>
      </c>
      <c r="L10" s="98">
        <v>22503187.365699999</v>
      </c>
      <c r="M10" s="12">
        <f t="shared" si="1"/>
        <v>3.5221678675888537</v>
      </c>
      <c r="P10" s="2" t="str">
        <f t="shared" si="2"/>
        <v>US FOOD</v>
      </c>
      <c r="Q10" s="1" t="s">
        <v>104</v>
      </c>
      <c r="R10" s="1"/>
      <c r="S10" s="98"/>
      <c r="T10" s="98"/>
      <c r="U10" s="99"/>
      <c r="V10" s="99"/>
      <c r="W10" s="98"/>
      <c r="X10" s="98"/>
      <c r="Z10">
        <v>0</v>
      </c>
    </row>
    <row r="11" spans="2:27" x14ac:dyDescent="0.3">
      <c r="B11" s="2" t="str">
        <f t="shared" si="0"/>
        <v>US FOODmccormick aioliaioliother</v>
      </c>
      <c r="C11" s="1" t="s">
        <v>104</v>
      </c>
      <c r="D11" s="1" t="s">
        <v>145</v>
      </c>
      <c r="E11" s="1" t="s">
        <v>138</v>
      </c>
      <c r="F11" s="1" t="s">
        <v>139</v>
      </c>
      <c r="G11" s="98">
        <v>2209245.4016</v>
      </c>
      <c r="H11" s="98">
        <v>364382.8787</v>
      </c>
      <c r="I11" s="99">
        <v>2.6148104453188701</v>
      </c>
      <c r="J11" s="99">
        <v>15.853538379701</v>
      </c>
      <c r="K11" s="98">
        <v>8919326.0759999994</v>
      </c>
      <c r="L11" s="98">
        <v>1853471.9317999999</v>
      </c>
      <c r="M11" s="12">
        <f t="shared" si="1"/>
        <v>4.8122261378611721</v>
      </c>
      <c r="P11" s="2" t="str">
        <f t="shared" si="2"/>
        <v>US FOOD</v>
      </c>
      <c r="Q11" s="1" t="s">
        <v>104</v>
      </c>
      <c r="R11" s="1"/>
      <c r="S11" s="98"/>
      <c r="T11" s="98"/>
      <c r="U11" s="99"/>
      <c r="V11" s="99"/>
      <c r="W11" s="98"/>
      <c r="X11" s="98"/>
    </row>
    <row r="12" spans="2:27" x14ac:dyDescent="0.3">
      <c r="B12" s="2" t="str">
        <f t="shared" si="0"/>
        <v>US FOODprivate labelaiolijar 8oz</v>
      </c>
      <c r="C12" s="1" t="s">
        <v>104</v>
      </c>
      <c r="D12" s="1" t="s">
        <v>146</v>
      </c>
      <c r="E12" s="1" t="s">
        <v>138</v>
      </c>
      <c r="F12" s="1" t="s">
        <v>147</v>
      </c>
      <c r="G12" s="98">
        <v>913314.60880000005</v>
      </c>
      <c r="H12" s="98">
        <v>138277.49170000001</v>
      </c>
      <c r="I12" s="99">
        <v>1.9295598749893701</v>
      </c>
      <c r="J12" s="99">
        <v>12.7446282161777</v>
      </c>
      <c r="K12" s="98">
        <v>2354395.8536999999</v>
      </c>
      <c r="L12" s="98">
        <v>429300.20240000001</v>
      </c>
      <c r="M12" s="12">
        <f t="shared" si="1"/>
        <v>5.4842644856391054</v>
      </c>
      <c r="P12" s="2" t="str">
        <f t="shared" si="2"/>
        <v>US FOOD</v>
      </c>
      <c r="Q12" s="1" t="s">
        <v>104</v>
      </c>
      <c r="R12" s="1"/>
      <c r="S12" s="98"/>
      <c r="T12" s="98"/>
      <c r="U12" s="99"/>
      <c r="V12" s="99"/>
      <c r="W12" s="98"/>
      <c r="X12" s="98"/>
    </row>
    <row r="13" spans="2:27" x14ac:dyDescent="0.3">
      <c r="B13" s="2" t="str">
        <f t="shared" si="0"/>
        <v>US FOODprivate labelaiolijar 30oz</v>
      </c>
      <c r="C13" s="1" t="s">
        <v>104</v>
      </c>
      <c r="D13" s="1" t="s">
        <v>146</v>
      </c>
      <c r="E13" s="1" t="s">
        <v>138</v>
      </c>
      <c r="F13" s="1" t="s">
        <v>144</v>
      </c>
      <c r="G13" s="98">
        <v>65602.848400000003</v>
      </c>
      <c r="H13" s="98">
        <v>25314.704900000001</v>
      </c>
      <c r="I13" s="99">
        <v>1.87750088726981</v>
      </c>
      <c r="J13" s="99">
        <v>4.8655280227432902</v>
      </c>
      <c r="K13" s="98">
        <v>260330.85509999999</v>
      </c>
      <c r="L13" s="98">
        <v>127799.4339</v>
      </c>
      <c r="M13" s="12">
        <f t="shared" si="1"/>
        <v>2.0370266687073326</v>
      </c>
      <c r="P13" s="2" t="str">
        <f t="shared" si="2"/>
        <v>US FOOD</v>
      </c>
      <c r="Q13" s="1" t="s">
        <v>104</v>
      </c>
      <c r="R13" s="1"/>
      <c r="S13" s="98"/>
      <c r="T13" s="98"/>
      <c r="U13" s="99"/>
      <c r="V13" s="99"/>
      <c r="W13" s="98"/>
      <c r="X13" s="98"/>
    </row>
    <row r="14" spans="2:27" x14ac:dyDescent="0.3">
      <c r="B14" s="2" t="str">
        <f t="shared" si="0"/>
        <v>US FOODprivate labelaioliother</v>
      </c>
      <c r="C14" s="1" t="s">
        <v>104</v>
      </c>
      <c r="D14" s="1" t="s">
        <v>146</v>
      </c>
      <c r="E14" s="1" t="s">
        <v>138</v>
      </c>
      <c r="F14" s="1" t="s">
        <v>139</v>
      </c>
      <c r="G14" s="98">
        <v>536171.96140000003</v>
      </c>
      <c r="H14" s="98">
        <v>149056.23929999999</v>
      </c>
      <c r="I14" s="99">
        <v>2.52452809802721</v>
      </c>
      <c r="J14" s="99">
        <v>9.0810098811386002</v>
      </c>
      <c r="K14" s="98">
        <v>2058620.8577000001</v>
      </c>
      <c r="L14" s="98">
        <v>622307.4632</v>
      </c>
      <c r="M14" s="12">
        <f t="shared" si="1"/>
        <v>3.3080446233349945</v>
      </c>
      <c r="P14" s="2" t="str">
        <f t="shared" si="2"/>
        <v>US FOOD</v>
      </c>
      <c r="Q14" s="1" t="s">
        <v>104</v>
      </c>
      <c r="R14" s="1"/>
      <c r="S14" s="98"/>
      <c r="T14" s="98"/>
      <c r="U14" s="99"/>
      <c r="V14" s="99"/>
      <c r="W14" s="98"/>
      <c r="X14" s="98"/>
    </row>
    <row r="15" spans="2:27" x14ac:dyDescent="0.3">
      <c r="B15" s="2" t="str">
        <f t="shared" si="0"/>
        <v>US FOODdukesmayojar 8oz</v>
      </c>
      <c r="C15" s="1" t="s">
        <v>104</v>
      </c>
      <c r="D15" s="1" t="s">
        <v>137</v>
      </c>
      <c r="E15" s="1" t="s">
        <v>148</v>
      </c>
      <c r="F15" s="1" t="s">
        <v>147</v>
      </c>
      <c r="G15" s="98">
        <v>4563623.9692000002</v>
      </c>
      <c r="H15" s="98">
        <v>746388.68290000001</v>
      </c>
      <c r="I15" s="99">
        <v>2.37871631808471</v>
      </c>
      <c r="J15" s="99">
        <v>14.5441203140442</v>
      </c>
      <c r="K15" s="98">
        <v>14074814.2107</v>
      </c>
      <c r="L15" s="98">
        <v>2485004.2752</v>
      </c>
      <c r="M15" s="12">
        <f t="shared" si="1"/>
        <v>5.6638993949284933</v>
      </c>
      <c r="P15" s="2" t="str">
        <f t="shared" si="2"/>
        <v>US FOOD</v>
      </c>
      <c r="Q15" s="1" t="s">
        <v>104</v>
      </c>
      <c r="R15" s="1"/>
      <c r="S15" s="98"/>
      <c r="T15" s="98"/>
      <c r="U15" s="99"/>
      <c r="V15" s="99"/>
      <c r="W15" s="98"/>
      <c r="X15" s="98"/>
    </row>
    <row r="16" spans="2:27" x14ac:dyDescent="0.3">
      <c r="B16" s="2" t="str">
        <f t="shared" si="0"/>
        <v>US FOODdukesmayosqueezy 12oz</v>
      </c>
      <c r="C16" s="1" t="s">
        <v>104</v>
      </c>
      <c r="D16" s="1" t="s">
        <v>137</v>
      </c>
      <c r="E16" s="1" t="s">
        <v>148</v>
      </c>
      <c r="F16" s="1" t="s">
        <v>143</v>
      </c>
      <c r="G16" s="98">
        <v>6454228.0728000002</v>
      </c>
      <c r="H16" s="98">
        <v>1203803.3635</v>
      </c>
      <c r="I16" s="99">
        <v>2.5297933915322202</v>
      </c>
      <c r="J16" s="99">
        <v>13.5635636359569</v>
      </c>
      <c r="K16" s="98">
        <v>14978288.7213</v>
      </c>
      <c r="L16" s="98">
        <v>2797425.0002000001</v>
      </c>
      <c r="M16" s="12">
        <f t="shared" si="1"/>
        <v>5.3543128842521739</v>
      </c>
      <c r="P16" s="2" t="str">
        <f t="shared" si="2"/>
        <v>US FOOD</v>
      </c>
      <c r="Q16" s="1" t="s">
        <v>104</v>
      </c>
      <c r="R16" s="1"/>
      <c r="S16" s="98"/>
      <c r="T16" s="98"/>
      <c r="U16" s="99"/>
      <c r="V16" s="99"/>
      <c r="W16" s="98"/>
      <c r="X16" s="98"/>
    </row>
    <row r="17" spans="2:24" x14ac:dyDescent="0.3">
      <c r="B17" s="2" t="str">
        <f t="shared" si="0"/>
        <v>US FOODdukesmayojar 15oz</v>
      </c>
      <c r="C17" s="1" t="s">
        <v>104</v>
      </c>
      <c r="D17" s="1" t="s">
        <v>137</v>
      </c>
      <c r="E17" s="1" t="s">
        <v>148</v>
      </c>
      <c r="F17" s="1" t="s">
        <v>141</v>
      </c>
      <c r="G17" s="98">
        <v>12709984.560000001</v>
      </c>
      <c r="H17" s="98">
        <v>3124459.6845999998</v>
      </c>
      <c r="I17" s="99">
        <v>2.5247490647580202</v>
      </c>
      <c r="J17" s="99">
        <v>10.2704226875173</v>
      </c>
      <c r="K17" s="98">
        <v>37804706.008599997</v>
      </c>
      <c r="L17" s="98">
        <v>9508712.3304999992</v>
      </c>
      <c r="M17" s="12">
        <f t="shared" si="1"/>
        <v>3.9757965847108658</v>
      </c>
      <c r="P17" s="2" t="str">
        <f t="shared" si="2"/>
        <v>US FOOD</v>
      </c>
      <c r="Q17" s="1" t="s">
        <v>104</v>
      </c>
      <c r="R17" s="1"/>
      <c r="S17" s="98"/>
      <c r="T17" s="98"/>
      <c r="U17" s="99"/>
      <c r="V17" s="99"/>
      <c r="W17" s="98"/>
      <c r="X17" s="98"/>
    </row>
    <row r="18" spans="2:24" x14ac:dyDescent="0.3">
      <c r="B18" s="2" t="str">
        <f t="shared" si="0"/>
        <v>US FOODdukesmayojar 30oz</v>
      </c>
      <c r="C18" s="1" t="s">
        <v>104</v>
      </c>
      <c r="D18" s="1" t="s">
        <v>137</v>
      </c>
      <c r="E18" s="1" t="s">
        <v>148</v>
      </c>
      <c r="F18" s="1" t="s">
        <v>144</v>
      </c>
      <c r="G18" s="98">
        <v>97775309.870000005</v>
      </c>
      <c r="H18" s="98">
        <v>38968102.0097</v>
      </c>
      <c r="I18" s="99">
        <v>2.2129434618356898</v>
      </c>
      <c r="J18" s="99">
        <v>5.55252171768376</v>
      </c>
      <c r="K18" s="98">
        <v>283189994.78740001</v>
      </c>
      <c r="L18" s="98">
        <v>121783614.23190001</v>
      </c>
      <c r="M18" s="12">
        <f t="shared" si="1"/>
        <v>2.3253538382277803</v>
      </c>
      <c r="P18" s="2" t="str">
        <f t="shared" si="2"/>
        <v>US FOOD</v>
      </c>
      <c r="Q18" s="1" t="s">
        <v>104</v>
      </c>
      <c r="R18" s="1"/>
      <c r="S18" s="98"/>
      <c r="T18" s="98"/>
      <c r="U18" s="99"/>
      <c r="V18" s="99"/>
      <c r="W18" s="98"/>
      <c r="X18" s="98"/>
    </row>
    <row r="19" spans="2:24" x14ac:dyDescent="0.3">
      <c r="B19" s="2" t="str">
        <f t="shared" si="0"/>
        <v>US FOODdukesmayosqueezy 18 to 22oz</v>
      </c>
      <c r="C19" s="1" t="s">
        <v>104</v>
      </c>
      <c r="D19" s="1" t="s">
        <v>137</v>
      </c>
      <c r="E19" s="1" t="s">
        <v>148</v>
      </c>
      <c r="F19" s="1" t="s">
        <v>149</v>
      </c>
      <c r="G19" s="98">
        <v>38774325.067400001</v>
      </c>
      <c r="H19" s="98">
        <v>9492429.8443</v>
      </c>
      <c r="I19" s="99">
        <v>2.2219668303486899</v>
      </c>
      <c r="J19" s="99">
        <v>9.0762076288248696</v>
      </c>
      <c r="K19" s="98">
        <v>112268819.0442</v>
      </c>
      <c r="L19" s="98">
        <v>28998452.6481</v>
      </c>
      <c r="M19" s="12">
        <f t="shared" si="1"/>
        <v>3.8715451616193715</v>
      </c>
      <c r="P19" s="2" t="str">
        <f t="shared" si="2"/>
        <v>US FOOD</v>
      </c>
      <c r="Q19" s="1" t="s">
        <v>104</v>
      </c>
      <c r="R19" s="1"/>
      <c r="S19" s="98"/>
      <c r="T19" s="98"/>
      <c r="U19" s="99"/>
      <c r="V19" s="99"/>
      <c r="W19" s="98"/>
      <c r="X19" s="98"/>
    </row>
    <row r="20" spans="2:24" x14ac:dyDescent="0.3">
      <c r="B20" s="2" t="str">
        <f t="shared" si="0"/>
        <v>US FOODdukesmayojar 48oz</v>
      </c>
      <c r="C20" s="1" t="s">
        <v>104</v>
      </c>
      <c r="D20" s="1" t="s">
        <v>137</v>
      </c>
      <c r="E20" s="1" t="s">
        <v>148</v>
      </c>
      <c r="F20" s="1" t="s">
        <v>150</v>
      </c>
      <c r="G20" s="98">
        <v>11799395.299000001</v>
      </c>
      <c r="H20" s="98">
        <v>4540759.2560000001</v>
      </c>
      <c r="I20" s="99">
        <v>2.0996989117526801</v>
      </c>
      <c r="J20" s="99">
        <v>5.4561750737859303</v>
      </c>
      <c r="K20" s="98">
        <v>34413763.703500003</v>
      </c>
      <c r="L20" s="98">
        <v>14465548.3017</v>
      </c>
      <c r="M20" s="12">
        <f t="shared" si="1"/>
        <v>2.379015505375325</v>
      </c>
      <c r="P20" s="2" t="str">
        <f t="shared" si="2"/>
        <v>US FOOD</v>
      </c>
      <c r="Q20" s="1" t="s">
        <v>104</v>
      </c>
      <c r="R20" s="1"/>
      <c r="S20" s="98"/>
      <c r="T20" s="98"/>
      <c r="U20" s="99"/>
      <c r="V20" s="99"/>
      <c r="W20" s="98"/>
      <c r="X20" s="98"/>
    </row>
    <row r="21" spans="2:24" x14ac:dyDescent="0.3">
      <c r="B21" s="2" t="str">
        <f t="shared" si="0"/>
        <v>US FOODdukesmayoother</v>
      </c>
      <c r="C21" s="1" t="s">
        <v>104</v>
      </c>
      <c r="D21" s="1" t="s">
        <v>137</v>
      </c>
      <c r="E21" s="1" t="s">
        <v>148</v>
      </c>
      <c r="F21" s="1" t="s">
        <v>139</v>
      </c>
      <c r="G21" s="98">
        <v>1811127.7619</v>
      </c>
      <c r="H21" s="98">
        <v>321786.89030000003</v>
      </c>
      <c r="I21" s="99">
        <v>1.8412539648824899</v>
      </c>
      <c r="J21" s="99">
        <v>10.3632132726046</v>
      </c>
      <c r="K21" s="98">
        <v>8868198.4191999994</v>
      </c>
      <c r="L21" s="98">
        <v>1899982.5456999999</v>
      </c>
      <c r="M21" s="12">
        <f t="shared" si="1"/>
        <v>4.6675157302209529</v>
      </c>
      <c r="P21" s="2" t="str">
        <f t="shared" si="2"/>
        <v>US FOOD</v>
      </c>
      <c r="Q21" s="1" t="s">
        <v>104</v>
      </c>
      <c r="R21" s="1"/>
      <c r="S21" s="98"/>
      <c r="T21" s="98"/>
      <c r="U21" s="99"/>
      <c r="V21" s="99"/>
      <c r="W21" s="98"/>
      <c r="X21" s="98"/>
    </row>
    <row r="22" spans="2:24" x14ac:dyDescent="0.3">
      <c r="B22" s="2" t="str">
        <f t="shared" si="0"/>
        <v>US FOODhellmanns best foodsmayojar 8oz</v>
      </c>
      <c r="C22" s="1" t="s">
        <v>104</v>
      </c>
      <c r="D22" s="1" t="s">
        <v>140</v>
      </c>
      <c r="E22" s="1" t="s">
        <v>148</v>
      </c>
      <c r="F22" s="1" t="s">
        <v>147</v>
      </c>
      <c r="G22" s="98">
        <v>17220191.103100002</v>
      </c>
      <c r="H22" s="98">
        <v>2199048.8382999999</v>
      </c>
      <c r="I22" s="99">
        <v>2.21125343094704</v>
      </c>
      <c r="J22" s="99">
        <v>17.3157621582112</v>
      </c>
      <c r="K22" s="98">
        <v>52992292.634400003</v>
      </c>
      <c r="L22" s="98">
        <v>7422612.7273000004</v>
      </c>
      <c r="M22" s="12">
        <f t="shared" si="1"/>
        <v>7.1393045254128626</v>
      </c>
      <c r="P22" s="2" t="str">
        <f t="shared" si="2"/>
        <v>US FOOD</v>
      </c>
      <c r="Q22" s="1" t="s">
        <v>104</v>
      </c>
      <c r="R22" s="1"/>
      <c r="S22" s="98"/>
      <c r="T22" s="98"/>
      <c r="U22" s="99"/>
      <c r="V22" s="99"/>
      <c r="W22" s="98"/>
      <c r="X22" s="98"/>
    </row>
    <row r="23" spans="2:24" x14ac:dyDescent="0.3">
      <c r="B23" s="2" t="str">
        <f t="shared" si="0"/>
        <v>US FOODhellmanns best foodsmayosqueezy 12oz</v>
      </c>
      <c r="C23" s="1" t="s">
        <v>104</v>
      </c>
      <c r="D23" s="1" t="s">
        <v>140</v>
      </c>
      <c r="E23" s="1" t="s">
        <v>148</v>
      </c>
      <c r="F23" s="1" t="s">
        <v>143</v>
      </c>
      <c r="G23" s="98">
        <v>68427850.290600002</v>
      </c>
      <c r="H23" s="98">
        <v>10263512.395300001</v>
      </c>
      <c r="I23" s="99">
        <v>2.4220944653821599</v>
      </c>
      <c r="J23" s="99">
        <v>16.148342895046198</v>
      </c>
      <c r="K23" s="98">
        <v>223134748.20649999</v>
      </c>
      <c r="L23" s="98">
        <v>36517878.205200002</v>
      </c>
      <c r="M23" s="12">
        <f t="shared" si="1"/>
        <v>6.1102878692094027</v>
      </c>
      <c r="P23" s="2" t="str">
        <f t="shared" si="2"/>
        <v>US FOOD</v>
      </c>
      <c r="Q23" s="1" t="s">
        <v>104</v>
      </c>
      <c r="R23" s="1"/>
      <c r="S23" s="98"/>
      <c r="T23" s="98"/>
      <c r="U23" s="99"/>
      <c r="V23" s="99"/>
      <c r="W23" s="98"/>
      <c r="X23" s="98"/>
    </row>
    <row r="24" spans="2:24" x14ac:dyDescent="0.3">
      <c r="B24" s="2" t="str">
        <f t="shared" si="0"/>
        <v>US FOODhellmanns best foodsmayojar 15oz</v>
      </c>
      <c r="C24" s="1" t="s">
        <v>104</v>
      </c>
      <c r="D24" s="1" t="s">
        <v>140</v>
      </c>
      <c r="E24" s="1" t="s">
        <v>148</v>
      </c>
      <c r="F24" s="1" t="s">
        <v>141</v>
      </c>
      <c r="G24" s="98">
        <v>57926349.503700003</v>
      </c>
      <c r="H24" s="98">
        <v>11513620.8069</v>
      </c>
      <c r="I24" s="99">
        <v>2.4304026662371201</v>
      </c>
      <c r="J24" s="99">
        <v>12.2276351323647</v>
      </c>
      <c r="K24" s="98">
        <v>205134626.5068</v>
      </c>
      <c r="L24" s="98">
        <v>43558064.771799996</v>
      </c>
      <c r="M24" s="12">
        <f t="shared" si="1"/>
        <v>4.7094522583015799</v>
      </c>
      <c r="P24" s="2" t="str">
        <f t="shared" si="2"/>
        <v>US FOOD</v>
      </c>
      <c r="Q24" s="1" t="s">
        <v>104</v>
      </c>
      <c r="R24" s="1"/>
      <c r="S24" s="98"/>
      <c r="T24" s="98"/>
      <c r="U24" s="99"/>
      <c r="V24" s="99"/>
      <c r="W24" s="98"/>
      <c r="X24" s="98"/>
    </row>
    <row r="25" spans="2:24" x14ac:dyDescent="0.3">
      <c r="B25" s="2" t="str">
        <f t="shared" si="0"/>
        <v>US FOODhellmanns best foodsmayojar 30oz</v>
      </c>
      <c r="C25" s="1" t="s">
        <v>104</v>
      </c>
      <c r="D25" s="1" t="s">
        <v>140</v>
      </c>
      <c r="E25" s="1" t="s">
        <v>148</v>
      </c>
      <c r="F25" s="1" t="s">
        <v>144</v>
      </c>
      <c r="G25" s="98">
        <v>435635764.35299999</v>
      </c>
      <c r="H25" s="98">
        <v>142300525.99200001</v>
      </c>
      <c r="I25" s="99">
        <v>2.1593716627579602</v>
      </c>
      <c r="J25" s="99">
        <v>6.6106538838841598</v>
      </c>
      <c r="K25" s="98">
        <v>1547114704.8099999</v>
      </c>
      <c r="L25" s="98">
        <v>575180782.62800002</v>
      </c>
      <c r="M25" s="12">
        <f t="shared" si="1"/>
        <v>2.6897885874093976</v>
      </c>
      <c r="P25" s="2" t="str">
        <f t="shared" si="2"/>
        <v>US FOOD</v>
      </c>
      <c r="Q25" s="1" t="s">
        <v>104</v>
      </c>
      <c r="R25" s="1"/>
      <c r="S25" s="98"/>
      <c r="T25" s="98"/>
      <c r="U25" s="99"/>
      <c r="V25" s="99"/>
      <c r="W25" s="98"/>
      <c r="X25" s="98"/>
    </row>
    <row r="26" spans="2:24" x14ac:dyDescent="0.3">
      <c r="B26" s="2" t="str">
        <f t="shared" si="0"/>
        <v>US FOODhellmanns best foodsmayosqueezy 18 to 22oz</v>
      </c>
      <c r="C26" s="1" t="s">
        <v>104</v>
      </c>
      <c r="D26" s="1" t="s">
        <v>140</v>
      </c>
      <c r="E26" s="1" t="s">
        <v>148</v>
      </c>
      <c r="F26" s="1" t="s">
        <v>149</v>
      </c>
      <c r="G26" s="98">
        <v>150137134.43700001</v>
      </c>
      <c r="H26" s="98">
        <v>31295077.771499999</v>
      </c>
      <c r="I26" s="99">
        <v>2.2524050289298101</v>
      </c>
      <c r="J26" s="99">
        <v>10.8058410688142</v>
      </c>
      <c r="K26" s="98">
        <v>511612348.505</v>
      </c>
      <c r="L26" s="98">
        <v>122113760.75660001</v>
      </c>
      <c r="M26" s="12">
        <f t="shared" si="1"/>
        <v>4.1896371492870292</v>
      </c>
      <c r="P26" s="2" t="str">
        <f t="shared" si="2"/>
        <v>US FOOD</v>
      </c>
      <c r="Q26" s="1" t="s">
        <v>104</v>
      </c>
      <c r="R26" s="1"/>
      <c r="S26" s="98"/>
      <c r="T26" s="98"/>
      <c r="U26" s="99"/>
      <c r="V26" s="99"/>
      <c r="W26" s="98"/>
      <c r="X26" s="98"/>
    </row>
    <row r="27" spans="2:24" x14ac:dyDescent="0.3">
      <c r="B27" s="2" t="str">
        <f t="shared" si="0"/>
        <v>US FOODhellmanns best foodsmayojar 48oz</v>
      </c>
      <c r="C27" s="1" t="s">
        <v>104</v>
      </c>
      <c r="D27" s="1" t="s">
        <v>140</v>
      </c>
      <c r="E27" s="1" t="s">
        <v>148</v>
      </c>
      <c r="F27" s="1" t="s">
        <v>150</v>
      </c>
      <c r="G27" s="98">
        <v>54884847.571800001</v>
      </c>
      <c r="H27" s="98">
        <v>18601332.812899999</v>
      </c>
      <c r="I27" s="99">
        <v>2.2015778712039298</v>
      </c>
      <c r="J27" s="99">
        <v>6.4959466665032801</v>
      </c>
      <c r="K27" s="98">
        <v>178355675.53650001</v>
      </c>
      <c r="L27" s="98">
        <v>64350495.250799999</v>
      </c>
      <c r="M27" s="12">
        <f t="shared" si="1"/>
        <v>2.7716286384646387</v>
      </c>
      <c r="P27" s="2" t="str">
        <f t="shared" si="2"/>
        <v>US FOOD</v>
      </c>
      <c r="Q27" s="1" t="s">
        <v>104</v>
      </c>
      <c r="R27" s="1"/>
      <c r="S27" s="98"/>
      <c r="T27" s="98"/>
      <c r="U27" s="99"/>
      <c r="V27" s="99"/>
      <c r="W27" s="98"/>
      <c r="X27" s="98"/>
    </row>
    <row r="28" spans="2:24" x14ac:dyDescent="0.3">
      <c r="B28" s="2" t="str">
        <f t="shared" si="0"/>
        <v>US FOODhellmanns best foodsmayoother</v>
      </c>
      <c r="C28" s="1" t="s">
        <v>104</v>
      </c>
      <c r="D28" s="1" t="s">
        <v>140</v>
      </c>
      <c r="E28" s="1" t="s">
        <v>148</v>
      </c>
      <c r="F28" s="1" t="s">
        <v>139</v>
      </c>
      <c r="G28" s="98">
        <v>20278904.737599999</v>
      </c>
      <c r="H28" s="98">
        <v>2340105.8816999998</v>
      </c>
      <c r="I28" s="99">
        <v>1.4237692284328101</v>
      </c>
      <c r="J28" s="99">
        <v>12.338108620427199</v>
      </c>
      <c r="K28" s="98">
        <v>72690326.951499999</v>
      </c>
      <c r="L28" s="98">
        <v>9778257.6960000005</v>
      </c>
      <c r="M28" s="12">
        <f t="shared" si="1"/>
        <v>7.433873110261298</v>
      </c>
      <c r="P28" s="2" t="str">
        <f t="shared" si="2"/>
        <v>US FOOD</v>
      </c>
      <c r="Q28" s="1" t="s">
        <v>104</v>
      </c>
      <c r="R28" s="1"/>
      <c r="S28" s="98"/>
      <c r="T28" s="98"/>
      <c r="U28" s="99"/>
      <c r="V28" s="99"/>
      <c r="W28" s="98"/>
      <c r="X28" s="98"/>
    </row>
    <row r="29" spans="2:24" x14ac:dyDescent="0.3">
      <c r="B29" s="2" t="str">
        <f t="shared" si="0"/>
        <v>US FOODkraftmayosqueezy 12oz</v>
      </c>
      <c r="C29" s="1" t="s">
        <v>104</v>
      </c>
      <c r="D29" s="1" t="s">
        <v>142</v>
      </c>
      <c r="E29" s="1" t="s">
        <v>148</v>
      </c>
      <c r="F29" s="1" t="s">
        <v>143</v>
      </c>
      <c r="G29" s="98">
        <v>23707294.3871</v>
      </c>
      <c r="H29" s="98">
        <v>3947735.8846</v>
      </c>
      <c r="I29" s="99">
        <v>2.16461804437778</v>
      </c>
      <c r="J29" s="99">
        <v>12.9991566593601</v>
      </c>
      <c r="K29" s="98">
        <v>93952528.655900002</v>
      </c>
      <c r="L29" s="98">
        <v>18317303.869100001</v>
      </c>
      <c r="M29" s="12">
        <f t="shared" si="1"/>
        <v>5.1291679893126245</v>
      </c>
      <c r="P29" s="2" t="str">
        <f t="shared" si="2"/>
        <v>US FOOD</v>
      </c>
      <c r="Q29" s="1" t="s">
        <v>104</v>
      </c>
      <c r="R29" s="1"/>
      <c r="S29" s="98"/>
      <c r="T29" s="98"/>
      <c r="U29" s="99"/>
      <c r="V29" s="99"/>
      <c r="W29" s="98"/>
      <c r="X29" s="98"/>
    </row>
    <row r="30" spans="2:24" x14ac:dyDescent="0.3">
      <c r="B30" s="2" t="str">
        <f t="shared" si="0"/>
        <v>US FOODkraftmayojar 15oz</v>
      </c>
      <c r="C30" s="1" t="s">
        <v>104</v>
      </c>
      <c r="D30" s="1" t="s">
        <v>142</v>
      </c>
      <c r="E30" s="1" t="s">
        <v>148</v>
      </c>
      <c r="F30" s="1" t="s">
        <v>141</v>
      </c>
      <c r="G30" s="98">
        <v>6020246.9265999999</v>
      </c>
      <c r="H30" s="98">
        <v>1201032.3731</v>
      </c>
      <c r="I30" s="99">
        <v>1.9636771887928499</v>
      </c>
      <c r="J30" s="99">
        <v>9.8430498839521192</v>
      </c>
      <c r="K30" s="98">
        <v>19972468.993000001</v>
      </c>
      <c r="L30" s="98">
        <v>4546595.6005999995</v>
      </c>
      <c r="M30" s="12">
        <f t="shared" si="1"/>
        <v>4.3928404343602274</v>
      </c>
      <c r="P30" s="2" t="str">
        <f t="shared" si="2"/>
        <v>US FOOD</v>
      </c>
      <c r="Q30" s="1" t="s">
        <v>104</v>
      </c>
      <c r="R30" s="1"/>
      <c r="S30" s="98"/>
      <c r="T30" s="98"/>
      <c r="U30" s="99"/>
      <c r="V30" s="99"/>
      <c r="W30" s="98"/>
      <c r="X30" s="98"/>
    </row>
    <row r="31" spans="2:24" x14ac:dyDescent="0.3">
      <c r="B31" s="2" t="str">
        <f t="shared" si="0"/>
        <v>US FOODkraftmayojar 30oz</v>
      </c>
      <c r="C31" s="1" t="s">
        <v>104</v>
      </c>
      <c r="D31" s="1" t="s">
        <v>142</v>
      </c>
      <c r="E31" s="1" t="s">
        <v>148</v>
      </c>
      <c r="F31" s="1" t="s">
        <v>144</v>
      </c>
      <c r="G31" s="98">
        <v>87433267.873999998</v>
      </c>
      <c r="H31" s="98">
        <v>32408283.108399998</v>
      </c>
      <c r="I31" s="99">
        <v>1.97247245713013</v>
      </c>
      <c r="J31" s="99">
        <v>5.3214701976497398</v>
      </c>
      <c r="K31" s="98">
        <v>333606272.93300003</v>
      </c>
      <c r="L31" s="98">
        <v>146058358.97530001</v>
      </c>
      <c r="M31" s="12">
        <f t="shared" si="1"/>
        <v>2.2840614893490367</v>
      </c>
      <c r="P31" s="2" t="str">
        <f t="shared" si="2"/>
        <v>US FOOD</v>
      </c>
      <c r="Q31" s="1" t="s">
        <v>104</v>
      </c>
      <c r="R31" s="1"/>
      <c r="S31" s="98"/>
      <c r="T31" s="98"/>
      <c r="U31" s="99"/>
      <c r="V31" s="99"/>
      <c r="W31" s="98"/>
      <c r="X31" s="98"/>
    </row>
    <row r="32" spans="2:24" x14ac:dyDescent="0.3">
      <c r="B32" s="2" t="str">
        <f t="shared" si="0"/>
        <v>US FOODkraftmayosqueezy 18 to 22oz</v>
      </c>
      <c r="C32" s="1" t="s">
        <v>104</v>
      </c>
      <c r="D32" s="1" t="s">
        <v>142</v>
      </c>
      <c r="E32" s="1" t="s">
        <v>148</v>
      </c>
      <c r="F32" s="1" t="s">
        <v>149</v>
      </c>
      <c r="G32" s="98">
        <v>37520649.321400002</v>
      </c>
      <c r="H32" s="98">
        <v>9351138.8929999992</v>
      </c>
      <c r="I32" s="99">
        <v>2.16790353134021</v>
      </c>
      <c r="J32" s="99">
        <v>8.6985284993393197</v>
      </c>
      <c r="K32" s="98">
        <v>155863367.79710001</v>
      </c>
      <c r="L32" s="98">
        <v>44828298.2073</v>
      </c>
      <c r="M32" s="12">
        <f t="shared" si="1"/>
        <v>3.4768968270073359</v>
      </c>
      <c r="P32" s="2" t="str">
        <f t="shared" si="2"/>
        <v>US FOOD</v>
      </c>
      <c r="Q32" s="1" t="s">
        <v>104</v>
      </c>
      <c r="R32" s="1"/>
      <c r="S32" s="98"/>
      <c r="T32" s="98"/>
      <c r="U32" s="99"/>
      <c r="V32" s="99"/>
      <c r="W32" s="98"/>
      <c r="X32" s="98"/>
    </row>
    <row r="33" spans="2:24" x14ac:dyDescent="0.3">
      <c r="B33" s="2" t="str">
        <f t="shared" si="0"/>
        <v>US FOODkraftmayojar 48oz</v>
      </c>
      <c r="C33" s="1" t="s">
        <v>104</v>
      </c>
      <c r="D33" s="1" t="s">
        <v>142</v>
      </c>
      <c r="E33" s="1" t="s">
        <v>148</v>
      </c>
      <c r="F33" s="1" t="s">
        <v>150</v>
      </c>
      <c r="G33" s="98">
        <v>1738730.291</v>
      </c>
      <c r="H33" s="98">
        <v>633968.95739999996</v>
      </c>
      <c r="I33" s="99">
        <v>1.90662568090187</v>
      </c>
      <c r="J33" s="99">
        <v>5.2291327300603703</v>
      </c>
      <c r="K33" s="98">
        <v>7266452.5203</v>
      </c>
      <c r="L33" s="98">
        <v>3425478.0669999998</v>
      </c>
      <c r="M33" s="12">
        <f t="shared" si="1"/>
        <v>2.1212958828441391</v>
      </c>
      <c r="P33" s="2" t="str">
        <f t="shared" si="2"/>
        <v>US FOOD</v>
      </c>
      <c r="Q33" s="1" t="s">
        <v>104</v>
      </c>
      <c r="R33" s="1"/>
      <c r="S33" s="98"/>
      <c r="T33" s="98"/>
      <c r="U33" s="99"/>
      <c r="V33" s="99"/>
      <c r="W33" s="98"/>
      <c r="X33" s="98"/>
    </row>
    <row r="34" spans="2:24" x14ac:dyDescent="0.3">
      <c r="B34" s="2" t="str">
        <f t="shared" si="0"/>
        <v>US FOODkraftmayoother</v>
      </c>
      <c r="C34" s="1" t="s">
        <v>104</v>
      </c>
      <c r="D34" s="1" t="s">
        <v>142</v>
      </c>
      <c r="E34" s="1" t="s">
        <v>148</v>
      </c>
      <c r="F34" s="1" t="s">
        <v>139</v>
      </c>
      <c r="G34" s="98">
        <v>1139037.9663</v>
      </c>
      <c r="H34" s="98">
        <v>508137.52549999999</v>
      </c>
      <c r="I34" s="99">
        <v>4.4307665921521897</v>
      </c>
      <c r="J34" s="99">
        <v>9.93197926744147</v>
      </c>
      <c r="K34" s="98">
        <v>4402517.1094000004</v>
      </c>
      <c r="L34" s="98">
        <v>2615008.2593</v>
      </c>
      <c r="M34" s="12">
        <f t="shared" si="1"/>
        <v>1.6835576307428148</v>
      </c>
      <c r="P34" s="2" t="str">
        <f t="shared" si="2"/>
        <v>US FOOD</v>
      </c>
      <c r="Q34" s="1" t="s">
        <v>104</v>
      </c>
      <c r="R34" s="1"/>
      <c r="S34" s="98"/>
      <c r="T34" s="98"/>
      <c r="U34" s="99"/>
      <c r="V34" s="99"/>
      <c r="W34" s="98"/>
      <c r="X34" s="98"/>
    </row>
    <row r="35" spans="2:24" x14ac:dyDescent="0.3">
      <c r="B35" s="2" t="str">
        <f t="shared" si="0"/>
        <v>US FOODprivate labelmayojar 8oz</v>
      </c>
      <c r="C35" s="1" t="s">
        <v>104</v>
      </c>
      <c r="D35" s="1" t="s">
        <v>146</v>
      </c>
      <c r="E35" s="1" t="s">
        <v>148</v>
      </c>
      <c r="F35" s="1" t="s">
        <v>147</v>
      </c>
      <c r="G35" s="98">
        <v>11042840.5174</v>
      </c>
      <c r="H35" s="98">
        <v>2259005.8536</v>
      </c>
      <c r="I35" s="99">
        <v>2.3203039582351099</v>
      </c>
      <c r="J35" s="99">
        <v>11.342487900971699</v>
      </c>
      <c r="K35" s="98">
        <v>38068077.897799999</v>
      </c>
      <c r="L35" s="98">
        <v>8991938.3512999993</v>
      </c>
      <c r="M35" s="12">
        <f t="shared" si="1"/>
        <v>4.2335786134806348</v>
      </c>
      <c r="P35" s="2" t="str">
        <f t="shared" si="2"/>
        <v>US FOOD</v>
      </c>
      <c r="Q35" s="1" t="s">
        <v>104</v>
      </c>
      <c r="R35" s="1"/>
      <c r="S35" s="98"/>
      <c r="T35" s="98"/>
      <c r="U35" s="99"/>
      <c r="V35" s="99"/>
      <c r="W35" s="98"/>
      <c r="X35" s="98"/>
    </row>
    <row r="36" spans="2:24" x14ac:dyDescent="0.3">
      <c r="B36" s="2" t="str">
        <f t="shared" si="0"/>
        <v>US FOODprivate labelmayojar 15oz</v>
      </c>
      <c r="C36" s="1" t="s">
        <v>104</v>
      </c>
      <c r="D36" s="1" t="s">
        <v>146</v>
      </c>
      <c r="E36" s="1" t="s">
        <v>148</v>
      </c>
      <c r="F36" s="1" t="s">
        <v>141</v>
      </c>
      <c r="G36" s="98">
        <v>25946778.469500002</v>
      </c>
      <c r="H36" s="98">
        <v>7160179.0179000003</v>
      </c>
      <c r="I36" s="99">
        <v>2.2102918411777299</v>
      </c>
      <c r="J36" s="99">
        <v>8.0095696787204105</v>
      </c>
      <c r="K36" s="98">
        <v>78478082.619900003</v>
      </c>
      <c r="L36" s="98">
        <v>23481282.136</v>
      </c>
      <c r="M36" s="12">
        <f t="shared" si="1"/>
        <v>3.3421549200493796</v>
      </c>
      <c r="P36" s="2" t="str">
        <f t="shared" si="2"/>
        <v>US FOOD</v>
      </c>
      <c r="Q36" s="1" t="s">
        <v>104</v>
      </c>
      <c r="R36" s="1"/>
      <c r="S36" s="98"/>
      <c r="T36" s="98"/>
      <c r="U36" s="99"/>
      <c r="V36" s="99"/>
      <c r="W36" s="98"/>
      <c r="X36" s="98"/>
    </row>
    <row r="37" spans="2:24" x14ac:dyDescent="0.3">
      <c r="B37" s="2" t="str">
        <f t="shared" si="0"/>
        <v>US FOODprivate labelmayojar 30oz</v>
      </c>
      <c r="C37" s="1" t="s">
        <v>104</v>
      </c>
      <c r="D37" s="1" t="s">
        <v>146</v>
      </c>
      <c r="E37" s="1" t="s">
        <v>148</v>
      </c>
      <c r="F37" s="1" t="s">
        <v>144</v>
      </c>
      <c r="G37" s="98">
        <v>118741561.652</v>
      </c>
      <c r="H37" s="98">
        <v>60208711.739799999</v>
      </c>
      <c r="I37" s="99">
        <v>2.1956732485696699</v>
      </c>
      <c r="J37" s="99">
        <v>4.3302316704501003</v>
      </c>
      <c r="K37" s="98">
        <v>379751768.917</v>
      </c>
      <c r="L37" s="98">
        <v>221670729.06009999</v>
      </c>
      <c r="M37" s="12">
        <f t="shared" si="1"/>
        <v>1.7131344789056053</v>
      </c>
      <c r="P37" s="2" t="str">
        <f t="shared" si="2"/>
        <v>US FOOD</v>
      </c>
      <c r="Q37" s="1" t="s">
        <v>104</v>
      </c>
      <c r="R37" s="1"/>
      <c r="S37" s="98"/>
      <c r="T37" s="98"/>
      <c r="U37" s="99"/>
      <c r="V37" s="99"/>
      <c r="W37" s="98"/>
      <c r="X37" s="98"/>
    </row>
    <row r="38" spans="2:24" x14ac:dyDescent="0.3">
      <c r="B38" s="2" t="str">
        <f t="shared" si="0"/>
        <v>US FOODprivate labelmayosqueezy 18 to 22oz</v>
      </c>
      <c r="C38" s="1" t="s">
        <v>104</v>
      </c>
      <c r="D38" s="1" t="s">
        <v>146</v>
      </c>
      <c r="E38" s="1" t="s">
        <v>148</v>
      </c>
      <c r="F38" s="1" t="s">
        <v>149</v>
      </c>
      <c r="G38" s="98">
        <v>15599593.755799999</v>
      </c>
      <c r="H38" s="98">
        <v>4875735.8169</v>
      </c>
      <c r="I38" s="99">
        <v>2.2123414993481401</v>
      </c>
      <c r="J38" s="99">
        <v>7.0782400718484899</v>
      </c>
      <c r="K38" s="98">
        <v>59314535.8543</v>
      </c>
      <c r="L38" s="98">
        <v>22086855.095600002</v>
      </c>
      <c r="M38" s="12">
        <f t="shared" si="1"/>
        <v>2.6855129712928778</v>
      </c>
      <c r="P38" s="2" t="str">
        <f t="shared" si="2"/>
        <v>US FOOD</v>
      </c>
      <c r="Q38" s="1" t="s">
        <v>104</v>
      </c>
      <c r="R38" s="1"/>
      <c r="S38" s="98"/>
      <c r="T38" s="98"/>
      <c r="U38" s="99"/>
      <c r="V38" s="99"/>
      <c r="W38" s="98"/>
      <c r="X38" s="98"/>
    </row>
    <row r="39" spans="2:24" x14ac:dyDescent="0.3">
      <c r="B39" s="2" t="str">
        <f t="shared" si="0"/>
        <v>US FOODprivate labelmayoother</v>
      </c>
      <c r="C39" s="1" t="s">
        <v>104</v>
      </c>
      <c r="D39" s="1" t="s">
        <v>146</v>
      </c>
      <c r="E39" s="1" t="s">
        <v>148</v>
      </c>
      <c r="F39" s="1" t="s">
        <v>139</v>
      </c>
      <c r="G39" s="98">
        <v>6369985.0237999996</v>
      </c>
      <c r="H39" s="98">
        <v>2302092.1743000001</v>
      </c>
      <c r="I39" s="99">
        <v>2.9207850654076402</v>
      </c>
      <c r="J39" s="99">
        <v>8.0819340476854507</v>
      </c>
      <c r="K39" s="98">
        <v>14994330.8763</v>
      </c>
      <c r="L39" s="98">
        <v>6008957.8937999997</v>
      </c>
      <c r="M39" s="12">
        <f t="shared" si="1"/>
        <v>2.4953296630304305</v>
      </c>
      <c r="P39" s="2" t="str">
        <f t="shared" si="2"/>
        <v>US FOOD</v>
      </c>
      <c r="Q39" s="1" t="s">
        <v>104</v>
      </c>
      <c r="R39" s="1"/>
      <c r="S39" s="98"/>
      <c r="T39" s="98"/>
      <c r="U39" s="99"/>
      <c r="V39" s="99"/>
      <c r="W39" s="98"/>
      <c r="X39" s="98"/>
    </row>
    <row r="40" spans="2:24" x14ac:dyDescent="0.3">
      <c r="B40" s="2" t="str">
        <f t="shared" si="0"/>
        <v>US FOODrestofcategoryrestofcategoryjar 8oz</v>
      </c>
      <c r="C40" s="1" t="s">
        <v>104</v>
      </c>
      <c r="D40" s="1" t="s">
        <v>151</v>
      </c>
      <c r="E40" s="1" t="s">
        <v>151</v>
      </c>
      <c r="F40" s="1" t="s">
        <v>147</v>
      </c>
      <c r="G40" s="98">
        <v>2850941.3025000002</v>
      </c>
      <c r="H40" s="98">
        <v>472704.0699</v>
      </c>
      <c r="I40" s="99">
        <v>2.85535992923336</v>
      </c>
      <c r="J40" s="99">
        <v>17.221056627409599</v>
      </c>
      <c r="K40" s="98">
        <v>11984463.846899999</v>
      </c>
      <c r="L40" s="98">
        <v>2402671.9640000002</v>
      </c>
      <c r="M40" s="12">
        <f t="shared" si="1"/>
        <v>4.9879734006418861</v>
      </c>
      <c r="P40" s="2" t="str">
        <f t="shared" si="2"/>
        <v>US FOOD</v>
      </c>
      <c r="Q40" s="1" t="s">
        <v>104</v>
      </c>
      <c r="R40" s="1"/>
      <c r="S40" s="98"/>
      <c r="T40" s="98"/>
      <c r="U40" s="99"/>
      <c r="V40" s="99"/>
      <c r="W40" s="98"/>
      <c r="X40" s="98"/>
    </row>
    <row r="41" spans="2:24" x14ac:dyDescent="0.3">
      <c r="B41" s="2" t="str">
        <f t="shared" si="0"/>
        <v>US FOODrestofcategoryrestofcategorysqueezy 12oz</v>
      </c>
      <c r="C41" s="1" t="s">
        <v>104</v>
      </c>
      <c r="D41" s="1" t="s">
        <v>151</v>
      </c>
      <c r="E41" s="1" t="s">
        <v>151</v>
      </c>
      <c r="F41" s="1" t="s">
        <v>143</v>
      </c>
      <c r="G41" s="98">
        <v>564685.45620000002</v>
      </c>
      <c r="H41" s="98">
        <v>98669.902799999996</v>
      </c>
      <c r="I41" s="99">
        <v>2.80623633527137</v>
      </c>
      <c r="J41" s="99">
        <v>16.0600223596017</v>
      </c>
      <c r="K41" s="98">
        <v>2414935.0251000002</v>
      </c>
      <c r="L41" s="98">
        <v>429776.12709999998</v>
      </c>
      <c r="M41" s="12">
        <f t="shared" si="1"/>
        <v>5.61905343927606</v>
      </c>
      <c r="P41" s="2" t="str">
        <f t="shared" si="2"/>
        <v>US FOOD</v>
      </c>
      <c r="Q41" s="1" t="s">
        <v>104</v>
      </c>
      <c r="R41" s="1"/>
      <c r="S41" s="98"/>
      <c r="T41" s="98"/>
      <c r="U41" s="99"/>
      <c r="V41" s="99"/>
      <c r="W41" s="98"/>
      <c r="X41" s="98"/>
    </row>
    <row r="42" spans="2:24" x14ac:dyDescent="0.3">
      <c r="B42" s="2" t="str">
        <f t="shared" si="0"/>
        <v>US FOODrestofcategoryrestofcategoryjar 15oz</v>
      </c>
      <c r="C42" s="1" t="s">
        <v>104</v>
      </c>
      <c r="D42" s="1" t="s">
        <v>151</v>
      </c>
      <c r="E42" s="1" t="s">
        <v>151</v>
      </c>
      <c r="F42" s="1" t="s">
        <v>141</v>
      </c>
      <c r="G42" s="98">
        <v>25831122.733800001</v>
      </c>
      <c r="H42" s="98">
        <v>4169237.5756000001</v>
      </c>
      <c r="I42" s="99">
        <v>1.96279080274537</v>
      </c>
      <c r="J42" s="99">
        <v>12.1607582218898</v>
      </c>
      <c r="K42" s="98">
        <v>101556124.0424</v>
      </c>
      <c r="L42" s="98">
        <v>18143755.5898</v>
      </c>
      <c r="M42" s="12">
        <f t="shared" si="1"/>
        <v>5.5973044577106466</v>
      </c>
      <c r="P42" s="2" t="str">
        <f t="shared" si="2"/>
        <v>US FOOD</v>
      </c>
      <c r="Q42" s="1" t="s">
        <v>104</v>
      </c>
      <c r="R42" s="1"/>
      <c r="S42" s="98"/>
      <c r="T42" s="98"/>
      <c r="U42" s="99"/>
      <c r="V42" s="99"/>
      <c r="W42" s="98"/>
      <c r="X42" s="98"/>
    </row>
    <row r="43" spans="2:24" x14ac:dyDescent="0.3">
      <c r="B43" s="2" t="str">
        <f t="shared" si="0"/>
        <v>US FOODrestofcategoryrestofcategoryjar 30oz</v>
      </c>
      <c r="C43" s="1" t="s">
        <v>104</v>
      </c>
      <c r="D43" s="1" t="s">
        <v>151</v>
      </c>
      <c r="E43" s="1" t="s">
        <v>151</v>
      </c>
      <c r="F43" s="1" t="s">
        <v>144</v>
      </c>
      <c r="G43" s="98">
        <v>35832407.113799997</v>
      </c>
      <c r="H43" s="98">
        <v>16323550.615599999</v>
      </c>
      <c r="I43" s="99">
        <v>2.9950304947822799</v>
      </c>
      <c r="J43" s="99">
        <v>6.5744980693552399</v>
      </c>
      <c r="K43" s="98">
        <v>135757546.0763</v>
      </c>
      <c r="L43" s="98">
        <v>68106088.351699993</v>
      </c>
      <c r="M43" s="12">
        <f t="shared" si="1"/>
        <v>1.9933246698187645</v>
      </c>
      <c r="P43" s="2" t="str">
        <f t="shared" si="2"/>
        <v>US FOOD</v>
      </c>
      <c r="Q43" s="1" t="s">
        <v>104</v>
      </c>
      <c r="R43" s="1"/>
      <c r="S43" s="98"/>
      <c r="T43" s="98"/>
      <c r="U43" s="99"/>
      <c r="V43" s="99"/>
      <c r="W43" s="98"/>
      <c r="X43" s="98"/>
    </row>
    <row r="44" spans="2:24" x14ac:dyDescent="0.3">
      <c r="B44" s="2" t="str">
        <f t="shared" si="0"/>
        <v>US FOODrestofcategoryrestofcategorysqueezy 18 to 22oz</v>
      </c>
      <c r="C44" s="1" t="s">
        <v>104</v>
      </c>
      <c r="D44" s="1" t="s">
        <v>151</v>
      </c>
      <c r="E44" s="1" t="s">
        <v>151</v>
      </c>
      <c r="F44" s="1" t="s">
        <v>149</v>
      </c>
      <c r="G44" s="98">
        <v>15881734.883199999</v>
      </c>
      <c r="H44" s="98">
        <v>2868054.1682000002</v>
      </c>
      <c r="I44" s="99">
        <v>1.9407346779372601</v>
      </c>
      <c r="J44" s="99">
        <v>10.7467404121507</v>
      </c>
      <c r="K44" s="98">
        <v>64343401.105999999</v>
      </c>
      <c r="L44" s="98">
        <v>14230327.591499999</v>
      </c>
      <c r="M44" s="12">
        <f t="shared" si="1"/>
        <v>4.5215685086851645</v>
      </c>
      <c r="P44" s="2" t="str">
        <f t="shared" si="2"/>
        <v>US FOOD</v>
      </c>
      <c r="Q44" s="1" t="s">
        <v>104</v>
      </c>
      <c r="R44" s="1"/>
      <c r="S44" s="98"/>
      <c r="T44" s="98"/>
      <c r="U44" s="99"/>
      <c r="V44" s="99"/>
      <c r="W44" s="98"/>
      <c r="X44" s="98"/>
    </row>
    <row r="45" spans="2:24" x14ac:dyDescent="0.3">
      <c r="B45" s="2" t="str">
        <f t="shared" si="0"/>
        <v>US FOODrestofcategoryrestofcategoryother</v>
      </c>
      <c r="C45" s="1" t="s">
        <v>104</v>
      </c>
      <c r="D45" s="1" t="s">
        <v>151</v>
      </c>
      <c r="E45" s="1" t="s">
        <v>151</v>
      </c>
      <c r="F45" s="1" t="s">
        <v>139</v>
      </c>
      <c r="G45" s="98">
        <v>103842286.5758</v>
      </c>
      <c r="H45" s="98">
        <v>17367375.883200001</v>
      </c>
      <c r="I45" s="99">
        <v>2.05223331503676</v>
      </c>
      <c r="J45" s="99">
        <v>12.2706274945426</v>
      </c>
      <c r="K45" s="98">
        <v>305458753.51999998</v>
      </c>
      <c r="L45" s="98">
        <v>54687287.124200001</v>
      </c>
      <c r="M45" s="12">
        <f t="shared" si="1"/>
        <v>5.5855532351837871</v>
      </c>
      <c r="P45" s="2" t="str">
        <f t="shared" si="2"/>
        <v>US FOOD</v>
      </c>
      <c r="Q45" s="1" t="s">
        <v>104</v>
      </c>
      <c r="R45" s="1"/>
      <c r="S45" s="98"/>
      <c r="T45" s="98"/>
      <c r="U45" s="99"/>
      <c r="V45" s="99"/>
      <c r="W45" s="98"/>
      <c r="X45" s="98"/>
    </row>
    <row r="46" spans="2:24" x14ac:dyDescent="0.3">
      <c r="B46" s="2" t="str">
        <f t="shared" si="0"/>
        <v>US FOODmiracle whipwhipped dressingsqueezy 12oz</v>
      </c>
      <c r="C46" s="1" t="s">
        <v>104</v>
      </c>
      <c r="D46" s="1" t="s">
        <v>152</v>
      </c>
      <c r="E46" s="1" t="s">
        <v>153</v>
      </c>
      <c r="F46" s="1" t="s">
        <v>143</v>
      </c>
      <c r="G46" s="98">
        <v>22421692.2071</v>
      </c>
      <c r="H46" s="98">
        <v>3328982.8048999999</v>
      </c>
      <c r="I46" s="99">
        <v>2.2278050912261498</v>
      </c>
      <c r="J46" s="99">
        <v>15.0049318306357</v>
      </c>
      <c r="K46" s="98">
        <v>86544336.174099997</v>
      </c>
      <c r="L46" s="98">
        <v>14691971.804400001</v>
      </c>
      <c r="M46" s="12">
        <f t="shared" si="1"/>
        <v>5.8905868678689819</v>
      </c>
      <c r="P46" s="2" t="str">
        <f t="shared" si="2"/>
        <v>US FOOD</v>
      </c>
      <c r="Q46" s="1" t="s">
        <v>104</v>
      </c>
      <c r="R46" s="1"/>
      <c r="S46" s="98"/>
      <c r="T46" s="98"/>
      <c r="U46" s="99"/>
      <c r="V46" s="99"/>
      <c r="W46" s="98"/>
      <c r="X46" s="98"/>
    </row>
    <row r="47" spans="2:24" x14ac:dyDescent="0.3">
      <c r="B47" s="2" t="str">
        <f t="shared" si="0"/>
        <v>US FOODmiracle whipwhipped dressingjar 15oz</v>
      </c>
      <c r="C47" s="1" t="s">
        <v>104</v>
      </c>
      <c r="D47" s="1" t="s">
        <v>152</v>
      </c>
      <c r="E47" s="1" t="s">
        <v>153</v>
      </c>
      <c r="F47" s="1" t="s">
        <v>141</v>
      </c>
      <c r="G47" s="98">
        <v>27881048.403200001</v>
      </c>
      <c r="H47" s="98">
        <v>4782561.5684000002</v>
      </c>
      <c r="I47" s="99">
        <v>1.94894688942163</v>
      </c>
      <c r="J47" s="99">
        <v>11.3618364932852</v>
      </c>
      <c r="K47" s="98">
        <v>98671926.878800005</v>
      </c>
      <c r="L47" s="98">
        <v>18861732.835299999</v>
      </c>
      <c r="M47" s="12">
        <f t="shared" si="1"/>
        <v>5.2313288360300652</v>
      </c>
      <c r="P47" s="2" t="str">
        <f t="shared" si="2"/>
        <v>US FOOD</v>
      </c>
      <c r="Q47" s="1" t="s">
        <v>104</v>
      </c>
      <c r="R47" s="1"/>
      <c r="S47" s="98"/>
      <c r="T47" s="98"/>
      <c r="U47" s="99"/>
      <c r="V47" s="99"/>
      <c r="W47" s="98"/>
      <c r="X47" s="98"/>
    </row>
    <row r="48" spans="2:24" x14ac:dyDescent="0.3">
      <c r="B48" s="2" t="str">
        <f t="shared" si="0"/>
        <v>US FOODmiracle whipwhipped dressingjar 30oz</v>
      </c>
      <c r="C48" s="1" t="s">
        <v>104</v>
      </c>
      <c r="D48" s="1" t="s">
        <v>152</v>
      </c>
      <c r="E48" s="1" t="s">
        <v>153</v>
      </c>
      <c r="F48" s="1" t="s">
        <v>144</v>
      </c>
      <c r="G48" s="98">
        <v>131301971.226</v>
      </c>
      <c r="H48" s="98">
        <v>43304238.984499998</v>
      </c>
      <c r="I48" s="99">
        <v>2.0258610190656201</v>
      </c>
      <c r="J48" s="99">
        <v>6.1425752182930298</v>
      </c>
      <c r="K48" s="98">
        <v>497261281.32099998</v>
      </c>
      <c r="L48" s="98">
        <v>184650834.8985</v>
      </c>
      <c r="M48" s="12">
        <f t="shared" si="1"/>
        <v>2.6929814944748971</v>
      </c>
      <c r="P48" s="2" t="str">
        <f t="shared" si="2"/>
        <v>US FOOD</v>
      </c>
      <c r="Q48" s="1" t="s">
        <v>104</v>
      </c>
      <c r="R48" s="1"/>
      <c r="S48" s="98"/>
      <c r="T48" s="98"/>
      <c r="U48" s="99"/>
      <c r="V48" s="99"/>
      <c r="W48" s="98"/>
      <c r="X48" s="98"/>
    </row>
    <row r="49" spans="2:24" x14ac:dyDescent="0.3">
      <c r="B49" s="2" t="str">
        <f t="shared" si="0"/>
        <v>US FOODmiracle whipwhipped dressingsqueezy 18 to 22oz</v>
      </c>
      <c r="C49" s="1" t="s">
        <v>104</v>
      </c>
      <c r="D49" s="1" t="s">
        <v>152</v>
      </c>
      <c r="E49" s="1" t="s">
        <v>153</v>
      </c>
      <c r="F49" s="1" t="s">
        <v>149</v>
      </c>
      <c r="G49" s="98">
        <v>19428932.4529</v>
      </c>
      <c r="H49" s="98">
        <v>3646010.0389999999</v>
      </c>
      <c r="I49" s="99">
        <v>1.8842284695838001</v>
      </c>
      <c r="J49" s="99">
        <v>10.040714992495101</v>
      </c>
      <c r="K49" s="98">
        <v>75276634.370299995</v>
      </c>
      <c r="L49" s="98">
        <v>15601481.7632</v>
      </c>
      <c r="M49" s="12">
        <f t="shared" si="1"/>
        <v>4.8249669815247156</v>
      </c>
      <c r="P49" s="2" t="str">
        <f t="shared" si="2"/>
        <v>US FOOD</v>
      </c>
      <c r="Q49" s="1" t="s">
        <v>104</v>
      </c>
      <c r="R49" s="1"/>
      <c r="S49" s="98"/>
      <c r="T49" s="98"/>
      <c r="U49" s="99"/>
      <c r="V49" s="99"/>
      <c r="W49" s="98"/>
      <c r="X49" s="98"/>
    </row>
    <row r="50" spans="2:24" x14ac:dyDescent="0.3">
      <c r="B50" s="2" t="str">
        <f t="shared" si="0"/>
        <v>US FOODmiracle whipwhipped dressingjar 48oz</v>
      </c>
      <c r="C50" s="1" t="s">
        <v>104</v>
      </c>
      <c r="D50" s="1" t="s">
        <v>152</v>
      </c>
      <c r="E50" s="1" t="s">
        <v>153</v>
      </c>
      <c r="F50" s="1" t="s">
        <v>150</v>
      </c>
      <c r="G50" s="98">
        <v>3687343.4633999998</v>
      </c>
      <c r="H50" s="98">
        <v>1141338.071</v>
      </c>
      <c r="I50" s="99">
        <v>1.8683112379634701</v>
      </c>
      <c r="J50" s="99">
        <v>6.0359900418158903</v>
      </c>
      <c r="K50" s="98">
        <v>16233542.104</v>
      </c>
      <c r="L50" s="98">
        <v>5766580.1656999998</v>
      </c>
      <c r="M50" s="12">
        <f t="shared" si="1"/>
        <v>2.8151073318217583</v>
      </c>
      <c r="P50" s="2" t="str">
        <f t="shared" si="2"/>
        <v>US FOOD</v>
      </c>
      <c r="Q50" s="1" t="s">
        <v>104</v>
      </c>
      <c r="R50" s="1"/>
      <c r="S50" s="98"/>
      <c r="T50" s="98"/>
      <c r="U50" s="99"/>
      <c r="V50" s="99"/>
      <c r="W50" s="98"/>
      <c r="X50" s="98"/>
    </row>
    <row r="51" spans="2:24" x14ac:dyDescent="0.3">
      <c r="B51" s="2" t="str">
        <f t="shared" si="0"/>
        <v>US FOODmiracle whipwhipped dressingother</v>
      </c>
      <c r="C51" s="1" t="s">
        <v>104</v>
      </c>
      <c r="D51" s="1" t="s">
        <v>152</v>
      </c>
      <c r="E51" s="1" t="s">
        <v>153</v>
      </c>
      <c r="F51" s="1" t="s">
        <v>139</v>
      </c>
      <c r="G51" s="98">
        <v>230450.1574</v>
      </c>
      <c r="H51" s="98">
        <v>66432.056800000006</v>
      </c>
      <c r="I51" s="99">
        <v>3.3048773226473398</v>
      </c>
      <c r="J51" s="99">
        <v>11.4644877168965</v>
      </c>
      <c r="K51" s="98">
        <v>1263956.1891999999</v>
      </c>
      <c r="L51" s="98">
        <v>541538.72400000005</v>
      </c>
      <c r="M51" s="12">
        <f t="shared" si="1"/>
        <v>2.334008877267288</v>
      </c>
      <c r="P51" s="2" t="str">
        <f t="shared" si="2"/>
        <v>US FOOD</v>
      </c>
      <c r="Q51" s="1" t="s">
        <v>104</v>
      </c>
      <c r="R51" s="1"/>
      <c r="S51" s="98"/>
      <c r="T51" s="98"/>
      <c r="U51" s="99"/>
      <c r="V51" s="99"/>
      <c r="W51" s="98"/>
      <c r="X51" s="98"/>
    </row>
    <row r="52" spans="2:24" x14ac:dyDescent="0.3">
      <c r="B52" s="2" t="str">
        <f t="shared" si="0"/>
        <v/>
      </c>
      <c r="C52" s="1"/>
      <c r="D52" s="1"/>
      <c r="E52" s="1"/>
      <c r="F52" s="1"/>
      <c r="G52" s="98"/>
      <c r="H52" s="98"/>
      <c r="I52" s="99"/>
      <c r="J52" s="99"/>
      <c r="K52" s="98">
        <f>SUM(K3:K51)</f>
        <v>6055363851.4215012</v>
      </c>
      <c r="L52" s="98">
        <f>SUM(L3:L51)</f>
        <v>1982155918.8720999</v>
      </c>
      <c r="M52" s="12">
        <f>K52/L52</f>
        <v>3.0549382083257943</v>
      </c>
      <c r="P52" s="2" t="str">
        <f t="shared" si="2"/>
        <v>US FOOD</v>
      </c>
      <c r="Q52" s="1" t="s">
        <v>104</v>
      </c>
      <c r="R52" s="1"/>
      <c r="S52" s="98"/>
      <c r="T52" s="98"/>
      <c r="U52" s="99"/>
      <c r="V52" s="99"/>
      <c r="W52" s="98"/>
      <c r="X52" s="98"/>
    </row>
    <row r="53" spans="2:24" x14ac:dyDescent="0.3">
      <c r="B53" s="2" t="str">
        <f t="shared" si="0"/>
        <v/>
      </c>
      <c r="C53" s="1"/>
      <c r="D53" s="1"/>
      <c r="E53" s="1"/>
      <c r="F53" s="1"/>
      <c r="G53" s="98"/>
      <c r="H53" s="98"/>
      <c r="I53" s="99"/>
      <c r="J53" s="99"/>
      <c r="K53" s="98"/>
      <c r="L53" s="98"/>
      <c r="P53" s="2" t="str">
        <f t="shared" si="2"/>
        <v>US FOOD</v>
      </c>
      <c r="Q53" s="1" t="s">
        <v>104</v>
      </c>
      <c r="R53" s="1"/>
      <c r="S53" s="98"/>
      <c r="T53" s="98"/>
      <c r="U53" s="99"/>
      <c r="V53" s="99"/>
      <c r="W53" s="98"/>
      <c r="X53" s="98"/>
    </row>
    <row r="54" spans="2:24" x14ac:dyDescent="0.3">
      <c r="B54" s="2" t="str">
        <f t="shared" si="0"/>
        <v/>
      </c>
      <c r="C54" s="1"/>
      <c r="D54" s="1"/>
      <c r="E54" s="1"/>
      <c r="F54" s="1"/>
      <c r="G54" s="98"/>
      <c r="H54" s="98"/>
      <c r="I54" s="99"/>
      <c r="J54" s="99"/>
      <c r="K54" s="98"/>
      <c r="L54" s="98"/>
      <c r="P54" s="2" t="str">
        <f t="shared" si="2"/>
        <v>US FOOD</v>
      </c>
      <c r="Q54" s="1" t="s">
        <v>104</v>
      </c>
      <c r="R54" s="1"/>
      <c r="S54" s="98"/>
      <c r="T54" s="98"/>
      <c r="U54" s="99"/>
      <c r="V54" s="99"/>
      <c r="W54" s="98"/>
      <c r="X54" s="98"/>
    </row>
    <row r="55" spans="2:24" x14ac:dyDescent="0.3">
      <c r="B55" s="2" t="str">
        <f t="shared" si="0"/>
        <v/>
      </c>
      <c r="C55" s="1"/>
      <c r="D55" s="1"/>
      <c r="E55" s="1"/>
      <c r="F55" s="1"/>
      <c r="G55" s="98"/>
      <c r="H55" s="98"/>
      <c r="I55" s="99"/>
      <c r="J55" s="99"/>
      <c r="K55" s="98"/>
      <c r="L55" s="98"/>
      <c r="P55" s="2" t="str">
        <f t="shared" si="2"/>
        <v>US FOOD</v>
      </c>
      <c r="Q55" s="1" t="s">
        <v>104</v>
      </c>
      <c r="R55" s="1"/>
      <c r="S55" s="98"/>
      <c r="T55" s="98"/>
      <c r="U55" s="99"/>
      <c r="V55" s="99"/>
      <c r="W55" s="98"/>
      <c r="X55" s="98"/>
    </row>
    <row r="56" spans="2:24" x14ac:dyDescent="0.3">
      <c r="B56" s="2" t="str">
        <f t="shared" si="0"/>
        <v/>
      </c>
      <c r="C56" s="1"/>
      <c r="D56" s="1"/>
      <c r="E56" s="1"/>
      <c r="F56" s="1"/>
      <c r="G56" s="98"/>
      <c r="H56" s="98"/>
      <c r="I56" s="99"/>
      <c r="J56" s="99"/>
      <c r="K56" s="98"/>
      <c r="L56" s="98"/>
      <c r="P56" s="2" t="str">
        <f t="shared" si="2"/>
        <v>US FOOD</v>
      </c>
      <c r="Q56" s="1" t="s">
        <v>104</v>
      </c>
      <c r="R56" s="1"/>
      <c r="S56" s="98"/>
      <c r="T56" s="98"/>
      <c r="U56" s="99"/>
      <c r="V56" s="99"/>
      <c r="W56" s="98"/>
      <c r="X56" s="98"/>
    </row>
    <row r="57" spans="2:24" x14ac:dyDescent="0.3">
      <c r="B57" s="2" t="str">
        <f t="shared" si="0"/>
        <v/>
      </c>
      <c r="C57" s="1"/>
      <c r="D57" s="1"/>
      <c r="E57" s="1"/>
      <c r="F57" s="1"/>
      <c r="G57" s="98"/>
      <c r="H57" s="98"/>
      <c r="I57" s="99"/>
      <c r="J57" s="99"/>
      <c r="K57" s="98"/>
      <c r="L57" s="98"/>
      <c r="P57" s="2" t="str">
        <f t="shared" si="2"/>
        <v>US FOOD</v>
      </c>
      <c r="Q57" s="1" t="s">
        <v>104</v>
      </c>
      <c r="R57" s="1"/>
      <c r="S57" s="98"/>
      <c r="T57" s="98"/>
      <c r="U57" s="99"/>
      <c r="V57" s="99"/>
      <c r="W57" s="98"/>
      <c r="X57" s="98"/>
    </row>
    <row r="58" spans="2:24" x14ac:dyDescent="0.3">
      <c r="B58" s="2" t="str">
        <f t="shared" si="0"/>
        <v/>
      </c>
      <c r="C58" s="1"/>
      <c r="D58" s="1"/>
      <c r="E58" s="1"/>
      <c r="F58" s="1"/>
      <c r="G58" s="98"/>
      <c r="H58" s="98"/>
      <c r="I58" s="99"/>
      <c r="J58" s="99"/>
      <c r="K58" s="98"/>
      <c r="L58" s="98"/>
      <c r="P58" s="2" t="str">
        <f t="shared" si="2"/>
        <v>US FOOD</v>
      </c>
      <c r="Q58" s="1" t="s">
        <v>104</v>
      </c>
      <c r="R58" s="1"/>
      <c r="S58" s="98"/>
      <c r="T58" s="98"/>
      <c r="U58" s="99"/>
      <c r="V58" s="99"/>
      <c r="W58" s="98"/>
      <c r="X58" s="98"/>
    </row>
    <row r="59" spans="2:24" x14ac:dyDescent="0.3">
      <c r="B59" s="2" t="str">
        <f t="shared" si="0"/>
        <v/>
      </c>
      <c r="C59" s="1"/>
      <c r="D59" s="1"/>
      <c r="E59" s="1"/>
      <c r="F59" s="1"/>
      <c r="G59" s="98"/>
      <c r="H59" s="98"/>
      <c r="I59" s="99"/>
      <c r="J59" s="99"/>
      <c r="K59" s="98"/>
      <c r="L59" s="98"/>
      <c r="P59" s="2" t="str">
        <f t="shared" si="2"/>
        <v>US FOOD</v>
      </c>
      <c r="Q59" s="1" t="s">
        <v>104</v>
      </c>
      <c r="R59" s="1"/>
      <c r="S59" s="98"/>
      <c r="T59" s="98"/>
      <c r="U59" s="99"/>
      <c r="V59" s="99"/>
      <c r="W59" s="98"/>
      <c r="X59" s="98"/>
    </row>
    <row r="60" spans="2:24" x14ac:dyDescent="0.3">
      <c r="B60" s="2" t="str">
        <f t="shared" si="0"/>
        <v/>
      </c>
      <c r="C60" s="1"/>
      <c r="D60" s="1"/>
      <c r="E60" s="1"/>
      <c r="F60" s="1"/>
      <c r="G60" s="98"/>
      <c r="H60" s="98"/>
      <c r="I60" s="99"/>
      <c r="J60" s="99"/>
      <c r="K60" s="98"/>
      <c r="L60" s="98"/>
      <c r="P60" s="2" t="str">
        <f t="shared" si="2"/>
        <v>US FOOD</v>
      </c>
      <c r="Q60" s="1" t="s">
        <v>104</v>
      </c>
      <c r="R60" s="1"/>
      <c r="S60" s="98"/>
      <c r="T60" s="98"/>
      <c r="U60" s="99"/>
      <c r="V60" s="99"/>
      <c r="W60" s="98"/>
      <c r="X60" s="98"/>
    </row>
    <row r="61" spans="2:24" x14ac:dyDescent="0.3">
      <c r="B61" s="2" t="str">
        <f t="shared" si="0"/>
        <v/>
      </c>
      <c r="C61" s="1"/>
      <c r="D61" s="1"/>
      <c r="E61" s="1"/>
      <c r="F61" s="1"/>
      <c r="G61" s="98"/>
      <c r="H61" s="98"/>
      <c r="I61" s="99"/>
      <c r="J61" s="99"/>
      <c r="K61" s="98"/>
      <c r="L61" s="98"/>
      <c r="P61" s="2" t="str">
        <f t="shared" si="2"/>
        <v>US FOOD</v>
      </c>
      <c r="Q61" s="1" t="s">
        <v>104</v>
      </c>
      <c r="R61" s="1"/>
      <c r="S61" s="98"/>
      <c r="T61" s="98"/>
      <c r="U61" s="99"/>
      <c r="V61" s="99"/>
      <c r="W61" s="98"/>
      <c r="X61" s="98"/>
    </row>
    <row r="62" spans="2:24" x14ac:dyDescent="0.3">
      <c r="B62" s="2" t="str">
        <f t="shared" si="0"/>
        <v/>
      </c>
      <c r="C62" s="1"/>
      <c r="D62" s="1"/>
      <c r="E62" s="1"/>
      <c r="F62" s="1"/>
      <c r="G62" s="98"/>
      <c r="H62" s="98"/>
      <c r="I62" s="99"/>
      <c r="J62" s="99"/>
      <c r="K62" s="98"/>
      <c r="L62" s="98"/>
      <c r="P62" s="2" t="str">
        <f t="shared" si="2"/>
        <v>US FOOD</v>
      </c>
      <c r="Q62" s="1" t="s">
        <v>104</v>
      </c>
      <c r="R62" s="1"/>
      <c r="S62" s="98"/>
      <c r="T62" s="98"/>
      <c r="U62" s="99"/>
      <c r="V62" s="99"/>
      <c r="W62" s="98"/>
      <c r="X62" s="98"/>
    </row>
    <row r="63" spans="2:24" x14ac:dyDescent="0.3">
      <c r="B63" s="2" t="str">
        <f t="shared" si="0"/>
        <v/>
      </c>
      <c r="C63" s="1"/>
      <c r="D63" s="1"/>
      <c r="E63" s="1"/>
      <c r="F63" s="1"/>
      <c r="G63" s="98"/>
      <c r="H63" s="98"/>
      <c r="I63" s="99"/>
      <c r="J63" s="99"/>
      <c r="K63" s="98"/>
      <c r="L63" s="98"/>
      <c r="P63" s="2" t="str">
        <f t="shared" si="2"/>
        <v>US FOOD</v>
      </c>
      <c r="Q63" s="1" t="s">
        <v>104</v>
      </c>
      <c r="R63" s="1"/>
      <c r="S63" s="98"/>
      <c r="T63" s="98"/>
      <c r="U63" s="99"/>
      <c r="V63" s="99"/>
      <c r="W63" s="98"/>
      <c r="X63" s="98"/>
    </row>
    <row r="64" spans="2:24" x14ac:dyDescent="0.3">
      <c r="B64" s="2" t="str">
        <f t="shared" si="0"/>
        <v/>
      </c>
      <c r="C64" s="1"/>
      <c r="D64" s="1"/>
      <c r="E64" s="1"/>
      <c r="F64" s="1"/>
      <c r="G64" s="98"/>
      <c r="H64" s="98"/>
      <c r="I64" s="99"/>
      <c r="J64" s="99"/>
      <c r="K64" s="98"/>
      <c r="L64" s="98"/>
      <c r="P64" s="2" t="str">
        <f t="shared" si="2"/>
        <v>US FOOD</v>
      </c>
      <c r="Q64" s="1" t="s">
        <v>104</v>
      </c>
      <c r="R64" s="1"/>
      <c r="S64" s="98"/>
      <c r="T64" s="98"/>
      <c r="U64" s="99"/>
      <c r="V64" s="99"/>
      <c r="W64" s="98"/>
      <c r="X64" s="98"/>
    </row>
    <row r="65" spans="2:24" x14ac:dyDescent="0.3">
      <c r="B65" s="2" t="str">
        <f t="shared" si="0"/>
        <v/>
      </c>
      <c r="C65" s="1"/>
      <c r="D65" s="1"/>
      <c r="E65" s="1"/>
      <c r="F65" s="1"/>
      <c r="G65" s="98"/>
      <c r="H65" s="98"/>
      <c r="I65" s="99"/>
      <c r="J65" s="99"/>
      <c r="K65" s="98"/>
      <c r="L65" s="98"/>
      <c r="P65" s="2" t="str">
        <f t="shared" si="2"/>
        <v>US FOOD</v>
      </c>
      <c r="Q65" s="1" t="s">
        <v>104</v>
      </c>
      <c r="R65" s="1"/>
      <c r="S65" s="98"/>
      <c r="T65" s="98"/>
      <c r="U65" s="99"/>
      <c r="V65" s="99"/>
      <c r="W65" s="98"/>
      <c r="X65" s="98"/>
    </row>
    <row r="66" spans="2:24" x14ac:dyDescent="0.3">
      <c r="B66" s="2" t="str">
        <f t="shared" si="0"/>
        <v/>
      </c>
      <c r="C66" s="1"/>
      <c r="D66" s="1"/>
      <c r="E66" s="1"/>
      <c r="F66" s="1"/>
      <c r="G66" s="98"/>
      <c r="H66" s="98"/>
      <c r="I66" s="99"/>
      <c r="J66" s="99"/>
      <c r="K66" s="98"/>
      <c r="L66" s="98"/>
      <c r="P66" s="2" t="str">
        <f t="shared" si="2"/>
        <v>US FOOD</v>
      </c>
      <c r="Q66" s="1" t="s">
        <v>104</v>
      </c>
      <c r="R66" s="1"/>
      <c r="S66" s="98"/>
      <c r="T66" s="98"/>
      <c r="U66" s="99"/>
      <c r="V66" s="99"/>
      <c r="W66" s="98"/>
      <c r="X66" s="98"/>
    </row>
    <row r="67" spans="2:24" x14ac:dyDescent="0.3">
      <c r="B67" s="2" t="str">
        <f t="shared" si="0"/>
        <v/>
      </c>
      <c r="C67" s="1"/>
      <c r="D67" s="1"/>
      <c r="E67" s="1"/>
      <c r="F67" s="1"/>
      <c r="G67" s="98"/>
      <c r="H67" s="98"/>
      <c r="I67" s="99"/>
      <c r="J67" s="99"/>
      <c r="K67" s="98"/>
      <c r="L67" s="98"/>
      <c r="P67" s="2" t="str">
        <f t="shared" si="2"/>
        <v>US FOOD</v>
      </c>
      <c r="Q67" s="1" t="s">
        <v>104</v>
      </c>
      <c r="R67" s="1"/>
      <c r="S67" s="98"/>
      <c r="T67" s="98"/>
      <c r="U67" s="99"/>
      <c r="V67" s="99"/>
      <c r="W67" s="98"/>
      <c r="X67" s="98"/>
    </row>
    <row r="68" spans="2:24" x14ac:dyDescent="0.3">
      <c r="B68" s="2" t="str">
        <f t="shared" ref="B68:B131" si="4">C68&amp;D68&amp;E68&amp;F68</f>
        <v/>
      </c>
      <c r="C68" s="1"/>
      <c r="D68" s="1"/>
      <c r="E68" s="1"/>
      <c r="F68" s="1"/>
      <c r="G68" s="98"/>
      <c r="H68" s="98"/>
      <c r="I68" s="99"/>
      <c r="J68" s="99"/>
      <c r="K68" s="98"/>
      <c r="L68" s="98"/>
      <c r="P68" s="2" t="str">
        <f t="shared" ref="P68:P131" si="5">Q68&amp;R68</f>
        <v>US FOOD</v>
      </c>
      <c r="Q68" s="1" t="s">
        <v>104</v>
      </c>
      <c r="R68" s="1"/>
      <c r="S68" s="98"/>
      <c r="T68" s="98"/>
      <c r="U68" s="99"/>
      <c r="V68" s="99"/>
      <c r="W68" s="98"/>
      <c r="X68" s="98"/>
    </row>
    <row r="69" spans="2:24" x14ac:dyDescent="0.3">
      <c r="B69" s="2" t="str">
        <f t="shared" si="4"/>
        <v/>
      </c>
      <c r="C69" s="1"/>
      <c r="D69" s="1"/>
      <c r="E69" s="1"/>
      <c r="F69" s="1"/>
      <c r="G69" s="98"/>
      <c r="H69" s="98"/>
      <c r="I69" s="99"/>
      <c r="J69" s="99"/>
      <c r="K69" s="98"/>
      <c r="L69" s="98"/>
      <c r="P69" s="2" t="str">
        <f t="shared" si="5"/>
        <v>US FOOD</v>
      </c>
      <c r="Q69" s="1" t="s">
        <v>104</v>
      </c>
      <c r="R69" s="1"/>
      <c r="S69" s="98"/>
      <c r="T69" s="98"/>
      <c r="U69" s="99"/>
      <c r="V69" s="99"/>
      <c r="W69" s="98"/>
      <c r="X69" s="98"/>
    </row>
    <row r="70" spans="2:24" x14ac:dyDescent="0.3">
      <c r="B70" s="2" t="str">
        <f t="shared" si="4"/>
        <v/>
      </c>
      <c r="C70" s="1"/>
      <c r="D70" s="1"/>
      <c r="E70" s="1"/>
      <c r="F70" s="1"/>
      <c r="G70" s="98"/>
      <c r="H70" s="98"/>
      <c r="I70" s="99"/>
      <c r="J70" s="99"/>
      <c r="K70" s="98"/>
      <c r="L70" s="98"/>
      <c r="P70" s="2" t="str">
        <f t="shared" si="5"/>
        <v>US FOOD</v>
      </c>
      <c r="Q70" s="1" t="s">
        <v>104</v>
      </c>
      <c r="R70" s="1"/>
      <c r="S70" s="98"/>
      <c r="T70" s="98"/>
      <c r="U70" s="99"/>
      <c r="V70" s="99"/>
      <c r="W70" s="98"/>
      <c r="X70" s="98"/>
    </row>
    <row r="71" spans="2:24" x14ac:dyDescent="0.3">
      <c r="B71" s="2" t="str">
        <f t="shared" si="4"/>
        <v/>
      </c>
      <c r="C71" s="1"/>
      <c r="D71" s="1"/>
      <c r="E71" s="1"/>
      <c r="F71" s="1"/>
      <c r="G71" s="98"/>
      <c r="H71" s="98"/>
      <c r="I71" s="99"/>
      <c r="J71" s="99"/>
      <c r="K71" s="98"/>
      <c r="L71" s="98"/>
      <c r="P71" s="2" t="str">
        <f t="shared" si="5"/>
        <v>US FOOD</v>
      </c>
      <c r="Q71" s="1" t="s">
        <v>104</v>
      </c>
      <c r="R71" s="1"/>
      <c r="S71" s="98"/>
      <c r="T71" s="98"/>
      <c r="U71" s="99"/>
      <c r="V71" s="99"/>
      <c r="W71" s="98"/>
      <c r="X71" s="98"/>
    </row>
    <row r="72" spans="2:24" x14ac:dyDescent="0.3">
      <c r="B72" s="2" t="str">
        <f t="shared" si="4"/>
        <v/>
      </c>
      <c r="C72" s="1"/>
      <c r="D72" s="1"/>
      <c r="E72" s="1"/>
      <c r="F72" s="1"/>
      <c r="G72" s="98"/>
      <c r="H72" s="98"/>
      <c r="I72" s="99"/>
      <c r="J72" s="99"/>
      <c r="K72" s="98"/>
      <c r="L72" s="98"/>
      <c r="P72" s="2" t="str">
        <f t="shared" si="5"/>
        <v>US FOOD</v>
      </c>
      <c r="Q72" s="1" t="s">
        <v>104</v>
      </c>
      <c r="R72" s="1"/>
      <c r="S72" s="98"/>
      <c r="T72" s="98"/>
      <c r="U72" s="99"/>
      <c r="V72" s="99"/>
      <c r="W72" s="98"/>
      <c r="X72" s="98"/>
    </row>
    <row r="73" spans="2:24" x14ac:dyDescent="0.3">
      <c r="B73" s="2" t="str">
        <f t="shared" si="4"/>
        <v/>
      </c>
      <c r="C73" s="1"/>
      <c r="D73" s="1"/>
      <c r="E73" s="1"/>
      <c r="F73" s="1"/>
      <c r="G73" s="98"/>
      <c r="H73" s="98"/>
      <c r="I73" s="99"/>
      <c r="J73" s="99"/>
      <c r="K73" s="98"/>
      <c r="L73" s="98"/>
      <c r="P73" s="2" t="str">
        <f t="shared" si="5"/>
        <v>US FOOD</v>
      </c>
      <c r="Q73" s="1" t="s">
        <v>104</v>
      </c>
      <c r="R73" s="1"/>
      <c r="S73" s="98"/>
      <c r="T73" s="98"/>
      <c r="U73" s="99"/>
      <c r="V73" s="99"/>
      <c r="W73" s="98"/>
      <c r="X73" s="98"/>
    </row>
    <row r="74" spans="2:24" x14ac:dyDescent="0.3">
      <c r="B74" s="2" t="str">
        <f t="shared" si="4"/>
        <v/>
      </c>
      <c r="C74" s="1"/>
      <c r="D74" s="1"/>
      <c r="E74" s="1"/>
      <c r="F74" s="1"/>
      <c r="G74" s="98"/>
      <c r="H74" s="98"/>
      <c r="I74" s="99"/>
      <c r="J74" s="99"/>
      <c r="K74" s="98"/>
      <c r="L74" s="98"/>
      <c r="P74" s="2" t="str">
        <f t="shared" si="5"/>
        <v>US FOOD</v>
      </c>
      <c r="Q74" s="1" t="s">
        <v>104</v>
      </c>
      <c r="R74" s="1"/>
      <c r="S74" s="98"/>
      <c r="T74" s="98"/>
      <c r="U74" s="99"/>
      <c r="V74" s="99"/>
      <c r="W74" s="98"/>
      <c r="X74" s="98"/>
    </row>
    <row r="75" spans="2:24" x14ac:dyDescent="0.3">
      <c r="B75" s="2" t="str">
        <f t="shared" si="4"/>
        <v/>
      </c>
      <c r="C75" s="1"/>
      <c r="D75" s="1"/>
      <c r="E75" s="1"/>
      <c r="F75" s="1"/>
      <c r="G75" s="98"/>
      <c r="H75" s="98"/>
      <c r="I75" s="99"/>
      <c r="J75" s="99"/>
      <c r="K75" s="98"/>
      <c r="L75" s="98"/>
      <c r="P75" s="2" t="str">
        <f t="shared" si="5"/>
        <v>US FOOD</v>
      </c>
      <c r="Q75" s="1" t="s">
        <v>104</v>
      </c>
      <c r="R75" s="1"/>
      <c r="S75" s="98"/>
      <c r="T75" s="98"/>
      <c r="U75" s="99"/>
      <c r="V75" s="99"/>
      <c r="W75" s="98"/>
      <c r="X75" s="98"/>
    </row>
    <row r="76" spans="2:24" x14ac:dyDescent="0.3">
      <c r="B76" s="2" t="str">
        <f t="shared" si="4"/>
        <v/>
      </c>
      <c r="C76" s="1"/>
      <c r="D76" s="1"/>
      <c r="E76" s="1"/>
      <c r="F76" s="1"/>
      <c r="G76" s="98"/>
      <c r="H76" s="98"/>
      <c r="I76" s="99"/>
      <c r="J76" s="99"/>
      <c r="K76" s="98"/>
      <c r="L76" s="98"/>
      <c r="P76" s="2" t="str">
        <f t="shared" si="5"/>
        <v>US FOOD</v>
      </c>
      <c r="Q76" s="1" t="s">
        <v>104</v>
      </c>
      <c r="R76" s="1"/>
      <c r="S76" s="98"/>
      <c r="T76" s="98"/>
      <c r="U76" s="99"/>
      <c r="V76" s="99"/>
      <c r="W76" s="98"/>
      <c r="X76" s="98"/>
    </row>
    <row r="77" spans="2:24" x14ac:dyDescent="0.3">
      <c r="B77" s="2" t="str">
        <f t="shared" si="4"/>
        <v/>
      </c>
      <c r="C77" s="1"/>
      <c r="D77" s="1"/>
      <c r="E77" s="1"/>
      <c r="F77" s="1"/>
      <c r="G77" s="98"/>
      <c r="H77" s="98"/>
      <c r="I77" s="99"/>
      <c r="J77" s="99"/>
      <c r="K77" s="98"/>
      <c r="L77" s="98"/>
      <c r="P77" s="2" t="str">
        <f t="shared" si="5"/>
        <v>US FOOD</v>
      </c>
      <c r="Q77" s="1" t="s">
        <v>104</v>
      </c>
      <c r="R77" s="1"/>
      <c r="S77" s="98"/>
      <c r="T77" s="98"/>
      <c r="U77" s="99"/>
      <c r="V77" s="99"/>
      <c r="W77" s="98"/>
      <c r="X77" s="98"/>
    </row>
    <row r="78" spans="2:24" x14ac:dyDescent="0.3">
      <c r="B78" s="2" t="str">
        <f t="shared" si="4"/>
        <v/>
      </c>
      <c r="C78" s="1"/>
      <c r="D78" s="1"/>
      <c r="E78" s="1"/>
      <c r="F78" s="1"/>
      <c r="G78" s="98"/>
      <c r="H78" s="98"/>
      <c r="I78" s="99"/>
      <c r="J78" s="99"/>
      <c r="K78" s="98"/>
      <c r="L78" s="98"/>
      <c r="P78" s="2" t="str">
        <f t="shared" si="5"/>
        <v>US FOOD</v>
      </c>
      <c r="Q78" s="1" t="s">
        <v>104</v>
      </c>
      <c r="R78" s="1"/>
      <c r="S78" s="98"/>
      <c r="T78" s="98"/>
      <c r="U78" s="99"/>
      <c r="V78" s="99"/>
      <c r="W78" s="98"/>
      <c r="X78" s="98"/>
    </row>
    <row r="79" spans="2:24" x14ac:dyDescent="0.3">
      <c r="B79" s="2" t="str">
        <f t="shared" si="4"/>
        <v/>
      </c>
      <c r="C79" s="1"/>
      <c r="D79" s="1"/>
      <c r="E79" s="1"/>
      <c r="F79" s="1"/>
      <c r="G79" s="98"/>
      <c r="H79" s="98"/>
      <c r="I79" s="99"/>
      <c r="J79" s="99"/>
      <c r="K79" s="98"/>
      <c r="L79" s="98"/>
      <c r="P79" s="2" t="str">
        <f t="shared" si="5"/>
        <v>US FOOD</v>
      </c>
      <c r="Q79" s="1" t="s">
        <v>104</v>
      </c>
      <c r="R79" s="1"/>
      <c r="S79" s="98"/>
      <c r="T79" s="98"/>
      <c r="U79" s="99"/>
      <c r="V79" s="99"/>
      <c r="W79" s="98"/>
      <c r="X79" s="98"/>
    </row>
    <row r="80" spans="2:24" x14ac:dyDescent="0.3">
      <c r="B80" s="2" t="str">
        <f t="shared" si="4"/>
        <v/>
      </c>
      <c r="C80" s="1"/>
      <c r="D80" s="1"/>
      <c r="E80" s="1"/>
      <c r="F80" s="1"/>
      <c r="G80" s="98"/>
      <c r="H80" s="98"/>
      <c r="I80" s="99"/>
      <c r="J80" s="99"/>
      <c r="K80" s="98"/>
      <c r="L80" s="98"/>
      <c r="P80" s="2" t="str">
        <f t="shared" si="5"/>
        <v>US FOOD</v>
      </c>
      <c r="Q80" s="1" t="s">
        <v>104</v>
      </c>
      <c r="R80" s="1"/>
      <c r="S80" s="98"/>
      <c r="T80" s="98"/>
      <c r="U80" s="99"/>
      <c r="V80" s="99"/>
      <c r="W80" s="98"/>
      <c r="X80" s="98"/>
    </row>
    <row r="81" spans="2:24" x14ac:dyDescent="0.3">
      <c r="B81" s="2" t="str">
        <f t="shared" si="4"/>
        <v/>
      </c>
      <c r="C81" s="1"/>
      <c r="D81" s="1"/>
      <c r="E81" s="1"/>
      <c r="F81" s="1"/>
      <c r="G81" s="98"/>
      <c r="H81" s="98"/>
      <c r="I81" s="99"/>
      <c r="J81" s="99"/>
      <c r="K81" s="98"/>
      <c r="L81" s="98"/>
      <c r="P81" s="2" t="str">
        <f t="shared" si="5"/>
        <v>US FOOD</v>
      </c>
      <c r="Q81" s="1" t="s">
        <v>104</v>
      </c>
      <c r="R81" s="1"/>
      <c r="S81" s="98"/>
      <c r="T81" s="98"/>
      <c r="U81" s="99"/>
      <c r="V81" s="99"/>
      <c r="W81" s="98"/>
      <c r="X81" s="98"/>
    </row>
    <row r="82" spans="2:24" x14ac:dyDescent="0.3">
      <c r="B82" s="2" t="str">
        <f t="shared" si="4"/>
        <v/>
      </c>
      <c r="C82" s="1"/>
      <c r="D82" s="1"/>
      <c r="E82" s="1"/>
      <c r="F82" s="1"/>
      <c r="G82" s="98"/>
      <c r="H82" s="98"/>
      <c r="I82" s="99"/>
      <c r="J82" s="99"/>
      <c r="K82" s="98"/>
      <c r="L82" s="98"/>
      <c r="P82" s="2" t="str">
        <f t="shared" si="5"/>
        <v>US FOOD</v>
      </c>
      <c r="Q82" s="1" t="s">
        <v>104</v>
      </c>
      <c r="R82" s="1"/>
      <c r="S82" s="98"/>
      <c r="T82" s="98"/>
      <c r="U82" s="99"/>
      <c r="V82" s="99"/>
      <c r="W82" s="98"/>
      <c r="X82" s="98"/>
    </row>
    <row r="83" spans="2:24" x14ac:dyDescent="0.3">
      <c r="B83" s="2" t="str">
        <f t="shared" si="4"/>
        <v/>
      </c>
      <c r="C83" s="1"/>
      <c r="D83" s="1"/>
      <c r="E83" s="1"/>
      <c r="F83" s="1"/>
      <c r="G83" s="98"/>
      <c r="H83" s="98"/>
      <c r="I83" s="99"/>
      <c r="J83" s="99"/>
      <c r="K83" s="98"/>
      <c r="L83" s="98"/>
      <c r="P83" s="2" t="str">
        <f t="shared" si="5"/>
        <v>US FOOD</v>
      </c>
      <c r="Q83" s="1" t="s">
        <v>104</v>
      </c>
      <c r="R83" s="1"/>
      <c r="S83" s="98"/>
      <c r="T83" s="98"/>
      <c r="U83" s="99"/>
      <c r="V83" s="99"/>
      <c r="W83" s="98"/>
      <c r="X83" s="98"/>
    </row>
    <row r="84" spans="2:24" x14ac:dyDescent="0.3">
      <c r="B84" s="2" t="str">
        <f t="shared" si="4"/>
        <v/>
      </c>
      <c r="C84" s="1"/>
      <c r="D84" s="1"/>
      <c r="E84" s="1"/>
      <c r="F84" s="1"/>
      <c r="G84" s="98"/>
      <c r="H84" s="98"/>
      <c r="I84" s="99"/>
      <c r="J84" s="99"/>
      <c r="K84" s="98"/>
      <c r="L84" s="98"/>
      <c r="P84" s="2" t="str">
        <f t="shared" si="5"/>
        <v>US FOOD</v>
      </c>
      <c r="Q84" s="1" t="s">
        <v>104</v>
      </c>
      <c r="R84" s="1"/>
      <c r="S84" s="98"/>
      <c r="T84" s="98"/>
      <c r="U84" s="99"/>
      <c r="V84" s="99"/>
      <c r="W84" s="98"/>
      <c r="X84" s="98"/>
    </row>
    <row r="85" spans="2:24" x14ac:dyDescent="0.3">
      <c r="B85" s="2" t="str">
        <f t="shared" si="4"/>
        <v/>
      </c>
      <c r="C85" s="1"/>
      <c r="D85" s="1"/>
      <c r="E85" s="1"/>
      <c r="F85" s="1"/>
      <c r="G85" s="98"/>
      <c r="H85" s="98"/>
      <c r="I85" s="99"/>
      <c r="J85" s="99"/>
      <c r="K85" s="98"/>
      <c r="L85" s="98"/>
      <c r="P85" s="2" t="str">
        <f t="shared" si="5"/>
        <v>US FOOD</v>
      </c>
      <c r="Q85" s="1" t="s">
        <v>104</v>
      </c>
      <c r="R85" s="1"/>
      <c r="S85" s="98"/>
      <c r="T85" s="98"/>
      <c r="U85" s="99"/>
      <c r="V85" s="99"/>
      <c r="W85" s="98"/>
      <c r="X85" s="98"/>
    </row>
    <row r="86" spans="2:24" x14ac:dyDescent="0.3">
      <c r="B86" s="2" t="str">
        <f t="shared" si="4"/>
        <v/>
      </c>
      <c r="C86" s="1"/>
      <c r="D86" s="1"/>
      <c r="E86" s="1"/>
      <c r="F86" s="1"/>
      <c r="G86" s="98"/>
      <c r="H86" s="98"/>
      <c r="I86" s="99"/>
      <c r="J86" s="99"/>
      <c r="K86" s="98"/>
      <c r="L86" s="98"/>
      <c r="P86" s="2" t="str">
        <f t="shared" si="5"/>
        <v>US FOOD</v>
      </c>
      <c r="Q86" s="1" t="s">
        <v>104</v>
      </c>
      <c r="R86" s="1"/>
      <c r="S86" s="98"/>
      <c r="T86" s="98"/>
      <c r="U86" s="99"/>
      <c r="V86" s="99"/>
      <c r="W86" s="98"/>
      <c r="X86" s="98"/>
    </row>
    <row r="87" spans="2:24" x14ac:dyDescent="0.3">
      <c r="B87" s="2" t="str">
        <f t="shared" si="4"/>
        <v/>
      </c>
      <c r="C87" s="1"/>
      <c r="D87" s="1"/>
      <c r="E87" s="1"/>
      <c r="F87" s="1"/>
      <c r="G87" s="98"/>
      <c r="H87" s="98"/>
      <c r="I87" s="99"/>
      <c r="J87" s="99"/>
      <c r="K87" s="98"/>
      <c r="L87" s="98"/>
      <c r="P87" s="2" t="str">
        <f t="shared" si="5"/>
        <v>US FOOD</v>
      </c>
      <c r="Q87" s="1" t="s">
        <v>104</v>
      </c>
      <c r="R87" s="1"/>
      <c r="S87" s="98"/>
      <c r="T87" s="98"/>
      <c r="U87" s="99"/>
      <c r="V87" s="99"/>
      <c r="W87" s="98"/>
      <c r="X87" s="98"/>
    </row>
    <row r="88" spans="2:24" x14ac:dyDescent="0.3">
      <c r="B88" s="2" t="str">
        <f t="shared" si="4"/>
        <v/>
      </c>
      <c r="C88" s="1"/>
      <c r="D88" s="1"/>
      <c r="E88" s="1"/>
      <c r="F88" s="1"/>
      <c r="G88" s="98"/>
      <c r="H88" s="98"/>
      <c r="I88" s="99"/>
      <c r="J88" s="99"/>
      <c r="K88" s="98"/>
      <c r="L88" s="98"/>
      <c r="P88" s="2" t="str">
        <f t="shared" si="5"/>
        <v>US FOOD</v>
      </c>
      <c r="Q88" s="1" t="s">
        <v>104</v>
      </c>
      <c r="R88" s="1"/>
      <c r="S88" s="98"/>
      <c r="T88" s="98"/>
      <c r="U88" s="99"/>
      <c r="V88" s="99"/>
      <c r="W88" s="98"/>
      <c r="X88" s="98"/>
    </row>
    <row r="89" spans="2:24" x14ac:dyDescent="0.3">
      <c r="B89" s="2" t="str">
        <f t="shared" si="4"/>
        <v/>
      </c>
      <c r="C89" s="1"/>
      <c r="D89" s="1"/>
      <c r="E89" s="1"/>
      <c r="F89" s="1"/>
      <c r="G89" s="98"/>
      <c r="H89" s="98"/>
      <c r="I89" s="99"/>
      <c r="J89" s="99"/>
      <c r="K89" s="98"/>
      <c r="L89" s="98"/>
      <c r="P89" s="2" t="str">
        <f t="shared" si="5"/>
        <v>US FOOD</v>
      </c>
      <c r="Q89" s="1" t="s">
        <v>104</v>
      </c>
      <c r="R89" s="1"/>
      <c r="S89" s="98"/>
      <c r="T89" s="98"/>
      <c r="U89" s="99"/>
      <c r="V89" s="99"/>
      <c r="W89" s="98"/>
      <c r="X89" s="98"/>
    </row>
    <row r="90" spans="2:24" x14ac:dyDescent="0.3">
      <c r="B90" s="2" t="str">
        <f t="shared" si="4"/>
        <v/>
      </c>
      <c r="C90" s="1"/>
      <c r="D90" s="1"/>
      <c r="E90" s="1"/>
      <c r="F90" s="1"/>
      <c r="G90" s="98"/>
      <c r="H90" s="98"/>
      <c r="I90" s="99"/>
      <c r="J90" s="99"/>
      <c r="K90" s="98"/>
      <c r="L90" s="98"/>
      <c r="P90" s="2" t="str">
        <f t="shared" si="5"/>
        <v>US FOOD</v>
      </c>
      <c r="Q90" s="1" t="s">
        <v>104</v>
      </c>
      <c r="R90" s="1"/>
      <c r="S90" s="98"/>
      <c r="T90" s="98"/>
      <c r="U90" s="99"/>
      <c r="V90" s="99"/>
      <c r="W90" s="98"/>
      <c r="X90" s="98"/>
    </row>
    <row r="91" spans="2:24" x14ac:dyDescent="0.3">
      <c r="B91" s="2" t="str">
        <f t="shared" si="4"/>
        <v/>
      </c>
      <c r="C91" s="1"/>
      <c r="D91" s="1"/>
      <c r="E91" s="1"/>
      <c r="F91" s="1"/>
      <c r="G91" s="98"/>
      <c r="H91" s="98"/>
      <c r="I91" s="99"/>
      <c r="J91" s="99"/>
      <c r="K91" s="98"/>
      <c r="L91" s="98"/>
      <c r="P91" s="2" t="str">
        <f t="shared" si="5"/>
        <v>US FOOD</v>
      </c>
      <c r="Q91" s="1" t="s">
        <v>104</v>
      </c>
      <c r="R91" s="1"/>
      <c r="S91" s="98"/>
      <c r="T91" s="98"/>
      <c r="U91" s="99"/>
      <c r="V91" s="99"/>
      <c r="W91" s="98"/>
      <c r="X91" s="98"/>
    </row>
    <row r="92" spans="2:24" x14ac:dyDescent="0.3">
      <c r="B92" s="2" t="str">
        <f t="shared" si="4"/>
        <v/>
      </c>
      <c r="C92" s="1"/>
      <c r="D92" s="1"/>
      <c r="E92" s="1"/>
      <c r="F92" s="1"/>
      <c r="G92" s="98"/>
      <c r="H92" s="98"/>
      <c r="I92" s="99"/>
      <c r="J92" s="99"/>
      <c r="K92" s="98"/>
      <c r="L92" s="98"/>
      <c r="P92" s="2" t="str">
        <f t="shared" si="5"/>
        <v>US FOOD</v>
      </c>
      <c r="Q92" s="1" t="s">
        <v>104</v>
      </c>
      <c r="R92" s="1"/>
      <c r="S92" s="98"/>
      <c r="T92" s="98"/>
      <c r="U92" s="99"/>
      <c r="V92" s="99"/>
      <c r="W92" s="98"/>
      <c r="X92" s="98"/>
    </row>
    <row r="93" spans="2:24" x14ac:dyDescent="0.3">
      <c r="B93" s="2" t="str">
        <f t="shared" si="4"/>
        <v/>
      </c>
      <c r="C93" s="1"/>
      <c r="D93" s="1"/>
      <c r="E93" s="1"/>
      <c r="F93" s="1"/>
      <c r="G93" s="98"/>
      <c r="H93" s="98"/>
      <c r="I93" s="99"/>
      <c r="J93" s="99"/>
      <c r="K93" s="98"/>
      <c r="L93" s="98"/>
      <c r="P93" s="2" t="str">
        <f t="shared" si="5"/>
        <v>US FOOD</v>
      </c>
      <c r="Q93" s="1" t="s">
        <v>104</v>
      </c>
      <c r="R93" s="1"/>
      <c r="S93" s="98"/>
      <c r="T93" s="98"/>
      <c r="U93" s="99"/>
      <c r="V93" s="99"/>
      <c r="W93" s="98"/>
      <c r="X93" s="98"/>
    </row>
    <row r="94" spans="2:24" x14ac:dyDescent="0.3">
      <c r="B94" s="2" t="str">
        <f t="shared" si="4"/>
        <v/>
      </c>
      <c r="C94" s="1"/>
      <c r="D94" s="1"/>
      <c r="E94" s="1"/>
      <c r="F94" s="1"/>
      <c r="G94" s="98"/>
      <c r="H94" s="98"/>
      <c r="I94" s="99"/>
      <c r="J94" s="99"/>
      <c r="K94" s="98"/>
      <c r="L94" s="98"/>
      <c r="P94" s="2" t="str">
        <f t="shared" si="5"/>
        <v>US FOOD</v>
      </c>
      <c r="Q94" s="1" t="s">
        <v>104</v>
      </c>
      <c r="R94" s="1"/>
      <c r="S94" s="98"/>
      <c r="T94" s="98"/>
      <c r="U94" s="99"/>
      <c r="V94" s="99"/>
      <c r="W94" s="98"/>
      <c r="X94" s="98"/>
    </row>
    <row r="95" spans="2:24" x14ac:dyDescent="0.3">
      <c r="B95" s="2" t="str">
        <f t="shared" si="4"/>
        <v/>
      </c>
      <c r="C95" s="1"/>
      <c r="D95" s="1"/>
      <c r="E95" s="1"/>
      <c r="F95" s="1"/>
      <c r="G95" s="98"/>
      <c r="H95" s="98"/>
      <c r="I95" s="99"/>
      <c r="J95" s="99"/>
      <c r="K95" s="98"/>
      <c r="L95" s="98"/>
      <c r="P95" s="2" t="str">
        <f t="shared" si="5"/>
        <v>US FOOD</v>
      </c>
      <c r="Q95" s="1" t="s">
        <v>104</v>
      </c>
      <c r="R95" s="1"/>
      <c r="S95" s="98"/>
      <c r="T95" s="98"/>
      <c r="U95" s="99"/>
      <c r="V95" s="99"/>
      <c r="W95" s="98"/>
      <c r="X95" s="98"/>
    </row>
    <row r="96" spans="2:24" x14ac:dyDescent="0.3">
      <c r="B96" s="2" t="str">
        <f t="shared" si="4"/>
        <v/>
      </c>
      <c r="C96" s="1"/>
      <c r="D96" s="1"/>
      <c r="E96" s="1"/>
      <c r="F96" s="1"/>
      <c r="G96" s="98"/>
      <c r="H96" s="98"/>
      <c r="I96" s="99"/>
      <c r="J96" s="99"/>
      <c r="K96" s="98"/>
      <c r="L96" s="98"/>
      <c r="P96" s="2" t="str">
        <f t="shared" si="5"/>
        <v>US FOOD</v>
      </c>
      <c r="Q96" s="1" t="s">
        <v>104</v>
      </c>
      <c r="R96" s="1"/>
      <c r="S96" s="98"/>
      <c r="T96" s="98"/>
      <c r="U96" s="99"/>
      <c r="V96" s="99"/>
      <c r="W96" s="98"/>
      <c r="X96" s="98"/>
    </row>
    <row r="97" spans="2:24" x14ac:dyDescent="0.3">
      <c r="B97" s="2" t="str">
        <f t="shared" si="4"/>
        <v/>
      </c>
      <c r="C97" s="1"/>
      <c r="D97" s="1"/>
      <c r="E97" s="1"/>
      <c r="F97" s="1"/>
      <c r="G97" s="98"/>
      <c r="H97" s="98"/>
      <c r="I97" s="99"/>
      <c r="J97" s="99"/>
      <c r="K97" s="98"/>
      <c r="L97" s="98"/>
      <c r="P97" s="2" t="str">
        <f t="shared" si="5"/>
        <v>US FOOD</v>
      </c>
      <c r="Q97" s="1" t="s">
        <v>104</v>
      </c>
      <c r="R97" s="1"/>
      <c r="S97" s="98"/>
      <c r="T97" s="98"/>
      <c r="U97" s="99"/>
      <c r="V97" s="99"/>
      <c r="W97" s="98"/>
      <c r="X97" s="98"/>
    </row>
    <row r="98" spans="2:24" x14ac:dyDescent="0.3">
      <c r="B98" s="2" t="str">
        <f t="shared" si="4"/>
        <v/>
      </c>
      <c r="C98" s="1"/>
      <c r="D98" s="1"/>
      <c r="E98" s="1"/>
      <c r="F98" s="1"/>
      <c r="G98" s="98"/>
      <c r="H98" s="98"/>
      <c r="I98" s="99"/>
      <c r="J98" s="99"/>
      <c r="K98" s="98"/>
      <c r="L98" s="98"/>
      <c r="P98" s="2" t="str">
        <f t="shared" si="5"/>
        <v>US FOOD</v>
      </c>
      <c r="Q98" s="1" t="s">
        <v>104</v>
      </c>
      <c r="R98" s="1"/>
      <c r="S98" s="98"/>
      <c r="T98" s="98"/>
      <c r="U98" s="99"/>
      <c r="V98" s="99"/>
      <c r="W98" s="98"/>
      <c r="X98" s="98"/>
    </row>
    <row r="99" spans="2:24" x14ac:dyDescent="0.3">
      <c r="B99" s="2" t="str">
        <f t="shared" si="4"/>
        <v/>
      </c>
      <c r="C99" s="1"/>
      <c r="D99" s="1"/>
      <c r="E99" s="1"/>
      <c r="F99" s="1"/>
      <c r="G99" s="98"/>
      <c r="H99" s="98"/>
      <c r="I99" s="99"/>
      <c r="J99" s="99"/>
      <c r="K99" s="98"/>
      <c r="L99" s="98"/>
      <c r="P99" s="2" t="str">
        <f t="shared" si="5"/>
        <v>US FOOD</v>
      </c>
      <c r="Q99" s="1" t="s">
        <v>104</v>
      </c>
      <c r="R99" s="1"/>
      <c r="S99" s="98"/>
      <c r="T99" s="98"/>
      <c r="U99" s="99"/>
      <c r="V99" s="99"/>
      <c r="W99" s="98"/>
      <c r="X99" s="98"/>
    </row>
    <row r="100" spans="2:24" x14ac:dyDescent="0.3">
      <c r="B100" s="2" t="str">
        <f t="shared" si="4"/>
        <v/>
      </c>
      <c r="C100" s="1"/>
      <c r="D100" s="1"/>
      <c r="E100" s="1"/>
      <c r="F100" s="1"/>
      <c r="G100" s="98"/>
      <c r="H100" s="98"/>
      <c r="I100" s="99"/>
      <c r="J100" s="99"/>
      <c r="K100" s="98"/>
      <c r="L100" s="98"/>
      <c r="P100" s="2" t="str">
        <f t="shared" si="5"/>
        <v>US FOOD</v>
      </c>
      <c r="Q100" s="1" t="s">
        <v>104</v>
      </c>
      <c r="R100" s="1"/>
      <c r="S100" s="98"/>
      <c r="T100" s="98"/>
      <c r="U100" s="99"/>
      <c r="V100" s="99"/>
      <c r="W100" s="98"/>
      <c r="X100" s="98"/>
    </row>
    <row r="101" spans="2:24" x14ac:dyDescent="0.3">
      <c r="B101" s="2" t="str">
        <f t="shared" si="4"/>
        <v/>
      </c>
      <c r="C101" s="1"/>
      <c r="D101" s="1"/>
      <c r="E101" s="1"/>
      <c r="F101" s="1"/>
      <c r="G101" s="98"/>
      <c r="H101" s="98"/>
      <c r="I101" s="99"/>
      <c r="J101" s="99"/>
      <c r="K101" s="98"/>
      <c r="L101" s="98"/>
      <c r="P101" s="2" t="str">
        <f t="shared" si="5"/>
        <v>US FOOD</v>
      </c>
      <c r="Q101" s="1" t="s">
        <v>104</v>
      </c>
      <c r="R101" s="1"/>
      <c r="S101" s="98"/>
      <c r="T101" s="98"/>
      <c r="U101" s="99"/>
      <c r="V101" s="99"/>
      <c r="W101" s="98"/>
      <c r="X101" s="98"/>
    </row>
    <row r="102" spans="2:24" x14ac:dyDescent="0.3">
      <c r="B102" s="2" t="str">
        <f t="shared" si="4"/>
        <v/>
      </c>
      <c r="C102" s="1"/>
      <c r="D102" s="1"/>
      <c r="E102" s="1"/>
      <c r="F102" s="1"/>
      <c r="G102" s="98"/>
      <c r="H102" s="98"/>
      <c r="I102" s="99"/>
      <c r="J102" s="99"/>
      <c r="K102" s="98"/>
      <c r="L102" s="98"/>
      <c r="P102" s="2" t="str">
        <f t="shared" si="5"/>
        <v>US FOOD</v>
      </c>
      <c r="Q102" s="1" t="s">
        <v>104</v>
      </c>
      <c r="R102" s="1"/>
      <c r="S102" s="98"/>
      <c r="T102" s="98"/>
      <c r="U102" s="99"/>
      <c r="V102" s="99"/>
      <c r="W102" s="98"/>
      <c r="X102" s="98"/>
    </row>
    <row r="103" spans="2:24" x14ac:dyDescent="0.3">
      <c r="B103" s="2" t="str">
        <f t="shared" si="4"/>
        <v/>
      </c>
      <c r="C103" s="1"/>
      <c r="D103" s="1"/>
      <c r="E103" s="1"/>
      <c r="F103" s="1"/>
      <c r="G103" s="98"/>
      <c r="H103" s="98"/>
      <c r="I103" s="99"/>
      <c r="J103" s="99"/>
      <c r="K103" s="98"/>
      <c r="L103" s="98"/>
      <c r="P103" s="2" t="str">
        <f t="shared" si="5"/>
        <v>US FOOD</v>
      </c>
      <c r="Q103" s="1" t="s">
        <v>104</v>
      </c>
      <c r="R103" s="1"/>
      <c r="S103" s="98"/>
      <c r="T103" s="98"/>
      <c r="U103" s="99"/>
      <c r="V103" s="99"/>
      <c r="W103" s="98"/>
      <c r="X103" s="98"/>
    </row>
    <row r="104" spans="2:24" x14ac:dyDescent="0.3">
      <c r="B104" s="2" t="str">
        <f t="shared" si="4"/>
        <v/>
      </c>
      <c r="C104" s="1"/>
      <c r="D104" s="1"/>
      <c r="E104" s="1"/>
      <c r="F104" s="1"/>
      <c r="G104" s="98"/>
      <c r="H104" s="98"/>
      <c r="I104" s="99"/>
      <c r="J104" s="99"/>
      <c r="K104" s="98"/>
      <c r="L104" s="98"/>
      <c r="P104" s="2" t="str">
        <f t="shared" si="5"/>
        <v>US FOOD</v>
      </c>
      <c r="Q104" s="1" t="s">
        <v>104</v>
      </c>
      <c r="R104" s="1"/>
      <c r="S104" s="98"/>
      <c r="T104" s="98"/>
      <c r="U104" s="99"/>
      <c r="V104" s="99"/>
      <c r="W104" s="98"/>
      <c r="X104" s="98"/>
    </row>
    <row r="105" spans="2:24" x14ac:dyDescent="0.3">
      <c r="B105" s="2" t="str">
        <f t="shared" si="4"/>
        <v/>
      </c>
      <c r="C105" s="1"/>
      <c r="D105" s="1"/>
      <c r="E105" s="1"/>
      <c r="F105" s="1"/>
      <c r="G105" s="98"/>
      <c r="H105" s="98"/>
      <c r="I105" s="99"/>
      <c r="J105" s="99"/>
      <c r="K105" s="98"/>
      <c r="L105" s="98"/>
      <c r="P105" s="2" t="str">
        <f t="shared" si="5"/>
        <v>US FOOD</v>
      </c>
      <c r="Q105" s="1" t="s">
        <v>104</v>
      </c>
      <c r="R105" s="1"/>
      <c r="S105" s="98"/>
      <c r="T105" s="98"/>
      <c r="U105" s="99"/>
      <c r="V105" s="99"/>
      <c r="W105" s="98"/>
      <c r="X105" s="98"/>
    </row>
    <row r="106" spans="2:24" x14ac:dyDescent="0.3">
      <c r="B106" s="2" t="str">
        <f t="shared" si="4"/>
        <v/>
      </c>
      <c r="C106" s="1"/>
      <c r="D106" s="1"/>
      <c r="E106" s="1"/>
      <c r="F106" s="1"/>
      <c r="G106" s="98"/>
      <c r="H106" s="98"/>
      <c r="I106" s="99"/>
      <c r="J106" s="99"/>
      <c r="K106" s="98"/>
      <c r="L106" s="98"/>
      <c r="P106" s="2" t="str">
        <f t="shared" si="5"/>
        <v>US FOOD</v>
      </c>
      <c r="Q106" s="1" t="s">
        <v>104</v>
      </c>
      <c r="R106" s="1"/>
      <c r="S106" s="98"/>
      <c r="T106" s="98"/>
      <c r="U106" s="99"/>
      <c r="V106" s="99"/>
      <c r="W106" s="98"/>
      <c r="X106" s="98"/>
    </row>
    <row r="107" spans="2:24" x14ac:dyDescent="0.3">
      <c r="B107" s="2" t="str">
        <f t="shared" si="4"/>
        <v/>
      </c>
      <c r="C107" s="1"/>
      <c r="D107" s="1"/>
      <c r="E107" s="1"/>
      <c r="F107" s="1"/>
      <c r="G107" s="98"/>
      <c r="H107" s="98"/>
      <c r="I107" s="99"/>
      <c r="J107" s="99"/>
      <c r="K107" s="98"/>
      <c r="L107" s="98"/>
      <c r="P107" s="2" t="str">
        <f t="shared" si="5"/>
        <v>US FOOD</v>
      </c>
      <c r="Q107" s="1" t="s">
        <v>104</v>
      </c>
      <c r="R107" s="1"/>
      <c r="S107" s="98"/>
      <c r="T107" s="98"/>
      <c r="U107" s="99"/>
      <c r="V107" s="99"/>
      <c r="W107" s="98"/>
      <c r="X107" s="98"/>
    </row>
    <row r="108" spans="2:24" x14ac:dyDescent="0.3">
      <c r="B108" s="2" t="str">
        <f t="shared" si="4"/>
        <v/>
      </c>
      <c r="C108" s="1"/>
      <c r="D108" s="1"/>
      <c r="E108" s="1"/>
      <c r="F108" s="1"/>
      <c r="G108" s="98"/>
      <c r="H108" s="98"/>
      <c r="I108" s="99"/>
      <c r="J108" s="99"/>
      <c r="K108" s="98"/>
      <c r="L108" s="98"/>
      <c r="P108" s="2" t="str">
        <f t="shared" si="5"/>
        <v>US FOOD</v>
      </c>
      <c r="Q108" s="1" t="s">
        <v>104</v>
      </c>
      <c r="R108" s="1"/>
      <c r="S108" s="98"/>
      <c r="T108" s="98"/>
      <c r="U108" s="99"/>
      <c r="V108" s="99"/>
      <c r="W108" s="98"/>
      <c r="X108" s="98"/>
    </row>
    <row r="109" spans="2:24" x14ac:dyDescent="0.3">
      <c r="B109" s="2" t="str">
        <f t="shared" si="4"/>
        <v/>
      </c>
      <c r="C109" s="1"/>
      <c r="D109" s="1"/>
      <c r="E109" s="1"/>
      <c r="F109" s="1"/>
      <c r="G109" s="98"/>
      <c r="H109" s="98"/>
      <c r="I109" s="99"/>
      <c r="J109" s="99"/>
      <c r="K109" s="98"/>
      <c r="L109" s="98"/>
      <c r="P109" s="2" t="str">
        <f t="shared" si="5"/>
        <v>US FOOD</v>
      </c>
      <c r="Q109" s="1" t="s">
        <v>104</v>
      </c>
      <c r="R109" s="1"/>
      <c r="S109" s="98"/>
      <c r="T109" s="98"/>
      <c r="U109" s="99"/>
      <c r="V109" s="99"/>
      <c r="W109" s="98"/>
      <c r="X109" s="98"/>
    </row>
    <row r="110" spans="2:24" x14ac:dyDescent="0.3">
      <c r="B110" s="2" t="str">
        <f t="shared" si="4"/>
        <v/>
      </c>
      <c r="C110" s="1"/>
      <c r="D110" s="1"/>
      <c r="E110" s="1"/>
      <c r="F110" s="1"/>
      <c r="G110" s="98"/>
      <c r="H110" s="98"/>
      <c r="I110" s="99"/>
      <c r="J110" s="99"/>
      <c r="K110" s="98"/>
      <c r="L110" s="98"/>
      <c r="P110" s="2" t="str">
        <f t="shared" si="5"/>
        <v>US FOOD</v>
      </c>
      <c r="Q110" s="1" t="s">
        <v>104</v>
      </c>
      <c r="R110" s="1"/>
      <c r="S110" s="98"/>
      <c r="T110" s="98"/>
      <c r="U110" s="99"/>
      <c r="V110" s="99"/>
      <c r="W110" s="98"/>
      <c r="X110" s="98"/>
    </row>
    <row r="111" spans="2:24" x14ac:dyDescent="0.3">
      <c r="B111" s="2" t="str">
        <f t="shared" si="4"/>
        <v/>
      </c>
      <c r="C111" s="1"/>
      <c r="D111" s="1"/>
      <c r="E111" s="1"/>
      <c r="F111" s="1"/>
      <c r="G111" s="98"/>
      <c r="H111" s="98"/>
      <c r="I111" s="99"/>
      <c r="J111" s="99"/>
      <c r="K111" s="98"/>
      <c r="L111" s="98"/>
      <c r="P111" s="2" t="str">
        <f t="shared" si="5"/>
        <v>US FOOD</v>
      </c>
      <c r="Q111" s="1" t="s">
        <v>104</v>
      </c>
      <c r="R111" s="1"/>
      <c r="S111" s="98"/>
      <c r="T111" s="98"/>
      <c r="U111" s="99"/>
      <c r="V111" s="99"/>
      <c r="W111" s="98"/>
      <c r="X111" s="98"/>
    </row>
    <row r="112" spans="2:24" x14ac:dyDescent="0.3">
      <c r="B112" s="2" t="str">
        <f t="shared" si="4"/>
        <v/>
      </c>
      <c r="C112" s="1"/>
      <c r="D112" s="1"/>
      <c r="E112" s="1"/>
      <c r="F112" s="1"/>
      <c r="G112" s="98"/>
      <c r="H112" s="98"/>
      <c r="I112" s="99"/>
      <c r="J112" s="99"/>
      <c r="K112" s="98"/>
      <c r="L112" s="98"/>
      <c r="P112" s="2" t="str">
        <f t="shared" si="5"/>
        <v>US FOOD</v>
      </c>
      <c r="Q112" s="1" t="s">
        <v>104</v>
      </c>
      <c r="R112" s="1"/>
      <c r="S112" s="98"/>
      <c r="T112" s="98"/>
      <c r="U112" s="99"/>
      <c r="V112" s="99"/>
      <c r="W112" s="98"/>
      <c r="X112" s="98"/>
    </row>
    <row r="113" spans="2:24" x14ac:dyDescent="0.3">
      <c r="B113" s="2" t="str">
        <f t="shared" si="4"/>
        <v/>
      </c>
      <c r="C113" s="1"/>
      <c r="D113" s="1"/>
      <c r="E113" s="1"/>
      <c r="F113" s="1"/>
      <c r="G113" s="98"/>
      <c r="H113" s="98"/>
      <c r="I113" s="99"/>
      <c r="J113" s="99"/>
      <c r="K113" s="98"/>
      <c r="L113" s="98"/>
      <c r="P113" s="2" t="str">
        <f t="shared" si="5"/>
        <v>US FOOD</v>
      </c>
      <c r="Q113" s="1" t="s">
        <v>104</v>
      </c>
      <c r="R113" s="1"/>
      <c r="S113" s="98"/>
      <c r="T113" s="98"/>
      <c r="U113" s="99"/>
      <c r="V113" s="99"/>
      <c r="W113" s="98"/>
      <c r="X113" s="98"/>
    </row>
    <row r="114" spans="2:24" x14ac:dyDescent="0.3">
      <c r="B114" s="2" t="str">
        <f t="shared" si="4"/>
        <v/>
      </c>
      <c r="C114" s="1"/>
      <c r="D114" s="1"/>
      <c r="E114" s="1"/>
      <c r="F114" s="1"/>
      <c r="G114" s="98"/>
      <c r="H114" s="98"/>
      <c r="I114" s="99"/>
      <c r="J114" s="99"/>
      <c r="K114" s="98"/>
      <c r="L114" s="98"/>
      <c r="P114" s="2" t="str">
        <f t="shared" si="5"/>
        <v>US FOOD</v>
      </c>
      <c r="Q114" s="1" t="s">
        <v>104</v>
      </c>
      <c r="R114" s="1"/>
      <c r="S114" s="98"/>
      <c r="T114" s="98"/>
      <c r="U114" s="99"/>
      <c r="V114" s="99"/>
      <c r="W114" s="98"/>
      <c r="X114" s="98"/>
    </row>
    <row r="115" spans="2:24" x14ac:dyDescent="0.3">
      <c r="B115" s="2" t="str">
        <f t="shared" si="4"/>
        <v/>
      </c>
      <c r="C115" s="1"/>
      <c r="D115" s="1"/>
      <c r="E115" s="1"/>
      <c r="F115" s="1"/>
      <c r="G115" s="98"/>
      <c r="H115" s="98"/>
      <c r="I115" s="99"/>
      <c r="J115" s="99"/>
      <c r="K115" s="98"/>
      <c r="L115" s="98"/>
      <c r="P115" s="2" t="str">
        <f t="shared" si="5"/>
        <v>US FOOD</v>
      </c>
      <c r="Q115" s="1" t="s">
        <v>104</v>
      </c>
      <c r="R115" s="1"/>
      <c r="S115" s="98"/>
      <c r="T115" s="98"/>
      <c r="U115" s="99"/>
      <c r="V115" s="99"/>
      <c r="W115" s="98"/>
      <c r="X115" s="98"/>
    </row>
    <row r="116" spans="2:24" x14ac:dyDescent="0.3">
      <c r="B116" s="2" t="str">
        <f t="shared" si="4"/>
        <v/>
      </c>
      <c r="C116" s="1"/>
      <c r="D116" s="1"/>
      <c r="E116" s="1"/>
      <c r="F116" s="1"/>
      <c r="G116" s="98"/>
      <c r="H116" s="98"/>
      <c r="I116" s="99"/>
      <c r="J116" s="99"/>
      <c r="K116" s="98"/>
      <c r="L116" s="98"/>
      <c r="P116" s="2" t="str">
        <f t="shared" si="5"/>
        <v>US FOOD</v>
      </c>
      <c r="Q116" s="1" t="s">
        <v>104</v>
      </c>
      <c r="R116" s="1"/>
      <c r="S116" s="98"/>
      <c r="T116" s="98"/>
      <c r="U116" s="99"/>
      <c r="V116" s="99"/>
      <c r="W116" s="98"/>
      <c r="X116" s="98"/>
    </row>
    <row r="117" spans="2:24" x14ac:dyDescent="0.3">
      <c r="B117" s="2" t="str">
        <f t="shared" si="4"/>
        <v/>
      </c>
      <c r="C117" s="1"/>
      <c r="D117" s="1"/>
      <c r="E117" s="1"/>
      <c r="F117" s="1"/>
      <c r="G117" s="98"/>
      <c r="H117" s="98"/>
      <c r="I117" s="99"/>
      <c r="J117" s="99"/>
      <c r="K117" s="98"/>
      <c r="L117" s="98"/>
      <c r="P117" s="2" t="str">
        <f t="shared" si="5"/>
        <v>US FOOD</v>
      </c>
      <c r="Q117" s="1" t="s">
        <v>104</v>
      </c>
      <c r="R117" s="1"/>
      <c r="S117" s="98"/>
      <c r="T117" s="98"/>
      <c r="U117" s="99"/>
      <c r="V117" s="99"/>
      <c r="W117" s="98"/>
      <c r="X117" s="98"/>
    </row>
    <row r="118" spans="2:24" x14ac:dyDescent="0.3">
      <c r="B118" s="2" t="str">
        <f t="shared" si="4"/>
        <v/>
      </c>
      <c r="C118" s="1"/>
      <c r="D118" s="1"/>
      <c r="E118" s="1"/>
      <c r="F118" s="1"/>
      <c r="G118" s="98"/>
      <c r="H118" s="98"/>
      <c r="I118" s="99"/>
      <c r="J118" s="99"/>
      <c r="K118" s="98"/>
      <c r="L118" s="98"/>
      <c r="P118" s="2" t="str">
        <f t="shared" si="5"/>
        <v>US FOOD</v>
      </c>
      <c r="Q118" s="1" t="s">
        <v>104</v>
      </c>
      <c r="R118" s="1"/>
      <c r="S118" s="98"/>
      <c r="T118" s="98"/>
      <c r="U118" s="99"/>
      <c r="V118" s="99"/>
      <c r="W118" s="98"/>
      <c r="X118" s="98"/>
    </row>
    <row r="119" spans="2:24" x14ac:dyDescent="0.3">
      <c r="B119" s="2" t="str">
        <f t="shared" si="4"/>
        <v/>
      </c>
      <c r="C119" s="1"/>
      <c r="D119" s="1"/>
      <c r="E119" s="1"/>
      <c r="F119" s="1"/>
      <c r="G119" s="98"/>
      <c r="H119" s="98"/>
      <c r="I119" s="99"/>
      <c r="J119" s="99"/>
      <c r="K119" s="98"/>
      <c r="L119" s="98"/>
      <c r="P119" s="2" t="str">
        <f t="shared" si="5"/>
        <v>US FOOD</v>
      </c>
      <c r="Q119" s="1" t="s">
        <v>104</v>
      </c>
      <c r="R119" s="1"/>
      <c r="S119" s="98"/>
      <c r="T119" s="98"/>
      <c r="U119" s="99"/>
      <c r="V119" s="99"/>
      <c r="W119" s="98"/>
      <c r="X119" s="98"/>
    </row>
    <row r="120" spans="2:24" x14ac:dyDescent="0.3">
      <c r="B120" s="2" t="str">
        <f t="shared" si="4"/>
        <v/>
      </c>
      <c r="C120" s="1"/>
      <c r="D120" s="1"/>
      <c r="E120" s="1"/>
      <c r="F120" s="1"/>
      <c r="G120" s="98"/>
      <c r="H120" s="98"/>
      <c r="I120" s="99"/>
      <c r="J120" s="99"/>
      <c r="K120" s="98"/>
      <c r="L120" s="98"/>
      <c r="P120" s="2" t="str">
        <f t="shared" si="5"/>
        <v>US FOOD</v>
      </c>
      <c r="Q120" s="1" t="s">
        <v>104</v>
      </c>
      <c r="R120" s="1"/>
      <c r="S120" s="98"/>
      <c r="T120" s="98"/>
      <c r="U120" s="99"/>
      <c r="V120" s="99"/>
      <c r="W120" s="98"/>
      <c r="X120" s="98"/>
    </row>
    <row r="121" spans="2:24" x14ac:dyDescent="0.3">
      <c r="B121" s="2" t="str">
        <f t="shared" si="4"/>
        <v/>
      </c>
      <c r="C121" s="1"/>
      <c r="D121" s="1"/>
      <c r="E121" s="1"/>
      <c r="F121" s="1"/>
      <c r="G121" s="98"/>
      <c r="H121" s="98"/>
      <c r="I121" s="99"/>
      <c r="J121" s="99"/>
      <c r="K121" s="98"/>
      <c r="L121" s="98"/>
      <c r="P121" s="2" t="str">
        <f t="shared" si="5"/>
        <v>US FOOD</v>
      </c>
      <c r="Q121" s="1" t="s">
        <v>104</v>
      </c>
      <c r="R121" s="1"/>
      <c r="S121" s="98"/>
      <c r="T121" s="98"/>
      <c r="U121" s="99"/>
      <c r="V121" s="99"/>
      <c r="W121" s="98"/>
      <c r="X121" s="98"/>
    </row>
    <row r="122" spans="2:24" x14ac:dyDescent="0.3">
      <c r="B122" s="2" t="str">
        <f t="shared" si="4"/>
        <v/>
      </c>
      <c r="C122" s="1"/>
      <c r="D122" s="1"/>
      <c r="E122" s="1"/>
      <c r="F122" s="1"/>
      <c r="G122" s="98"/>
      <c r="H122" s="98"/>
      <c r="I122" s="99"/>
      <c r="J122" s="99"/>
      <c r="K122" s="98"/>
      <c r="L122" s="98"/>
      <c r="P122" s="2" t="str">
        <f t="shared" si="5"/>
        <v>US FOOD</v>
      </c>
      <c r="Q122" s="1" t="s">
        <v>104</v>
      </c>
      <c r="R122" s="1"/>
      <c r="S122" s="98"/>
      <c r="T122" s="98"/>
      <c r="U122" s="99"/>
      <c r="V122" s="99"/>
      <c r="W122" s="98"/>
      <c r="X122" s="98"/>
    </row>
    <row r="123" spans="2:24" x14ac:dyDescent="0.3">
      <c r="B123" s="2" t="str">
        <f t="shared" si="4"/>
        <v/>
      </c>
      <c r="C123" s="1"/>
      <c r="D123" s="1"/>
      <c r="E123" s="1"/>
      <c r="F123" s="1"/>
      <c r="G123" s="98"/>
      <c r="H123" s="98"/>
      <c r="I123" s="99"/>
      <c r="J123" s="99"/>
      <c r="K123" s="98"/>
      <c r="L123" s="98"/>
      <c r="P123" s="2" t="str">
        <f t="shared" si="5"/>
        <v>US FOOD</v>
      </c>
      <c r="Q123" s="1" t="s">
        <v>104</v>
      </c>
      <c r="R123" s="1"/>
      <c r="S123" s="98"/>
      <c r="T123" s="98"/>
      <c r="U123" s="99"/>
      <c r="V123" s="99"/>
      <c r="W123" s="98"/>
      <c r="X123" s="98"/>
    </row>
    <row r="124" spans="2:24" x14ac:dyDescent="0.3">
      <c r="B124" s="2" t="str">
        <f t="shared" si="4"/>
        <v/>
      </c>
      <c r="C124" s="1"/>
      <c r="D124" s="1"/>
      <c r="E124" s="1"/>
      <c r="F124" s="1"/>
      <c r="G124" s="98"/>
      <c r="H124" s="98"/>
      <c r="I124" s="99"/>
      <c r="J124" s="99"/>
      <c r="K124" s="98"/>
      <c r="L124" s="98"/>
      <c r="P124" s="2" t="str">
        <f t="shared" si="5"/>
        <v>US FOOD</v>
      </c>
      <c r="Q124" s="1" t="s">
        <v>104</v>
      </c>
      <c r="R124" s="1"/>
      <c r="S124" s="98"/>
      <c r="T124" s="98"/>
      <c r="U124" s="99"/>
      <c r="V124" s="99"/>
      <c r="W124" s="98"/>
      <c r="X124" s="98"/>
    </row>
    <row r="125" spans="2:24" x14ac:dyDescent="0.3">
      <c r="B125" s="2" t="str">
        <f t="shared" si="4"/>
        <v/>
      </c>
      <c r="C125" s="1"/>
      <c r="D125" s="1"/>
      <c r="E125" s="1"/>
      <c r="F125" s="1"/>
      <c r="G125" s="98"/>
      <c r="H125" s="98"/>
      <c r="I125" s="99"/>
      <c r="J125" s="99"/>
      <c r="K125" s="98"/>
      <c r="L125" s="98"/>
      <c r="P125" s="2" t="str">
        <f t="shared" si="5"/>
        <v>US FOOD</v>
      </c>
      <c r="Q125" s="1" t="s">
        <v>104</v>
      </c>
      <c r="R125" s="1"/>
      <c r="S125" s="98"/>
      <c r="T125" s="98"/>
      <c r="U125" s="99"/>
      <c r="V125" s="99"/>
      <c r="W125" s="98"/>
      <c r="X125" s="98"/>
    </row>
    <row r="126" spans="2:24" x14ac:dyDescent="0.3">
      <c r="B126" s="2" t="str">
        <f t="shared" si="4"/>
        <v/>
      </c>
      <c r="C126" s="1"/>
      <c r="D126" s="1"/>
      <c r="E126" s="1"/>
      <c r="F126" s="1"/>
      <c r="G126" s="98"/>
      <c r="H126" s="98"/>
      <c r="I126" s="99"/>
      <c r="J126" s="99"/>
      <c r="K126" s="98"/>
      <c r="L126" s="98"/>
      <c r="P126" s="2" t="str">
        <f t="shared" si="5"/>
        <v>US FOOD</v>
      </c>
      <c r="Q126" s="1" t="s">
        <v>104</v>
      </c>
      <c r="R126" s="1"/>
      <c r="S126" s="98"/>
      <c r="T126" s="98"/>
      <c r="U126" s="99"/>
      <c r="V126" s="99"/>
      <c r="W126" s="98"/>
      <c r="X126" s="98"/>
    </row>
    <row r="127" spans="2:24" x14ac:dyDescent="0.3">
      <c r="B127" s="2" t="str">
        <f t="shared" si="4"/>
        <v/>
      </c>
      <c r="C127" s="1"/>
      <c r="D127" s="1"/>
      <c r="E127" s="1"/>
      <c r="F127" s="1"/>
      <c r="G127" s="98"/>
      <c r="H127" s="98"/>
      <c r="I127" s="99"/>
      <c r="J127" s="99"/>
      <c r="K127" s="98"/>
      <c r="L127" s="98"/>
      <c r="P127" s="2" t="str">
        <f t="shared" si="5"/>
        <v>US FOOD</v>
      </c>
      <c r="Q127" s="1" t="s">
        <v>104</v>
      </c>
      <c r="R127" s="1"/>
      <c r="S127" s="98"/>
      <c r="T127" s="98"/>
      <c r="U127" s="99"/>
      <c r="V127" s="99"/>
      <c r="W127" s="98"/>
      <c r="X127" s="98"/>
    </row>
    <row r="128" spans="2:24" x14ac:dyDescent="0.3">
      <c r="B128" s="2" t="str">
        <f t="shared" si="4"/>
        <v/>
      </c>
      <c r="C128" s="1"/>
      <c r="D128" s="1"/>
      <c r="E128" s="1"/>
      <c r="F128" s="1"/>
      <c r="G128" s="98"/>
      <c r="H128" s="98"/>
      <c r="I128" s="99"/>
      <c r="J128" s="99"/>
      <c r="K128" s="98"/>
      <c r="L128" s="98"/>
      <c r="P128" s="2" t="str">
        <f t="shared" si="5"/>
        <v>US FOOD</v>
      </c>
      <c r="Q128" s="1" t="s">
        <v>104</v>
      </c>
      <c r="R128" s="1"/>
      <c r="S128" s="98"/>
      <c r="T128" s="98"/>
      <c r="U128" s="99"/>
      <c r="V128" s="99"/>
      <c r="W128" s="98"/>
      <c r="X128" s="98"/>
    </row>
    <row r="129" spans="2:24" x14ac:dyDescent="0.3">
      <c r="B129" s="2" t="str">
        <f t="shared" si="4"/>
        <v/>
      </c>
      <c r="C129" s="1"/>
      <c r="D129" s="1"/>
      <c r="E129" s="1"/>
      <c r="F129" s="1"/>
      <c r="G129" s="98"/>
      <c r="H129" s="98"/>
      <c r="I129" s="99"/>
      <c r="J129" s="99"/>
      <c r="K129" s="98"/>
      <c r="L129" s="98"/>
      <c r="P129" s="2" t="str">
        <f t="shared" si="5"/>
        <v>US FOOD</v>
      </c>
      <c r="Q129" s="1" t="s">
        <v>104</v>
      </c>
      <c r="R129" s="1"/>
      <c r="S129" s="98"/>
      <c r="T129" s="98"/>
      <c r="U129" s="99"/>
      <c r="V129" s="99"/>
      <c r="W129" s="98"/>
      <c r="X129" s="98"/>
    </row>
    <row r="130" spans="2:24" x14ac:dyDescent="0.3">
      <c r="B130" s="2" t="str">
        <f t="shared" si="4"/>
        <v/>
      </c>
      <c r="C130" s="1"/>
      <c r="D130" s="1"/>
      <c r="E130" s="1"/>
      <c r="F130" s="1"/>
      <c r="G130" s="98"/>
      <c r="H130" s="98"/>
      <c r="I130" s="99"/>
      <c r="J130" s="99"/>
      <c r="K130" s="98"/>
      <c r="L130" s="98"/>
      <c r="P130" s="2" t="str">
        <f t="shared" si="5"/>
        <v>US FOOD</v>
      </c>
      <c r="Q130" s="1" t="s">
        <v>104</v>
      </c>
      <c r="R130" s="1"/>
      <c r="S130" s="98"/>
      <c r="T130" s="98"/>
      <c r="U130" s="99"/>
      <c r="V130" s="99"/>
      <c r="W130" s="98"/>
      <c r="X130" s="98"/>
    </row>
    <row r="131" spans="2:24" x14ac:dyDescent="0.3">
      <c r="B131" s="2" t="str">
        <f t="shared" si="4"/>
        <v/>
      </c>
      <c r="C131" s="1"/>
      <c r="D131" s="1"/>
      <c r="E131" s="1"/>
      <c r="F131" s="1"/>
      <c r="G131" s="98"/>
      <c r="H131" s="98"/>
      <c r="I131" s="99"/>
      <c r="J131" s="99"/>
      <c r="K131" s="98"/>
      <c r="L131" s="98"/>
      <c r="P131" s="2" t="str">
        <f t="shared" si="5"/>
        <v>US FOOD</v>
      </c>
      <c r="Q131" s="1" t="s">
        <v>104</v>
      </c>
      <c r="R131" s="1"/>
      <c r="S131" s="98"/>
      <c r="T131" s="98"/>
      <c r="U131" s="99"/>
      <c r="V131" s="99"/>
      <c r="W131" s="98"/>
      <c r="X131" s="98"/>
    </row>
    <row r="132" spans="2:24" x14ac:dyDescent="0.3">
      <c r="B132" s="2" t="str">
        <f t="shared" ref="B132:B195" si="6">C132&amp;D132&amp;E132&amp;F132</f>
        <v/>
      </c>
      <c r="C132" s="1"/>
      <c r="D132" s="1"/>
      <c r="E132" s="1"/>
      <c r="F132" s="1"/>
      <c r="G132" s="98"/>
      <c r="H132" s="98"/>
      <c r="I132" s="99"/>
      <c r="J132" s="99"/>
      <c r="K132" s="98"/>
      <c r="L132" s="98"/>
      <c r="P132" s="2" t="str">
        <f t="shared" ref="P132:P195" si="7">Q132&amp;R132</f>
        <v>US FOOD</v>
      </c>
      <c r="Q132" s="1" t="s">
        <v>104</v>
      </c>
      <c r="R132" s="1"/>
      <c r="S132" s="98"/>
      <c r="T132" s="98"/>
      <c r="U132" s="99"/>
      <c r="V132" s="99"/>
      <c r="W132" s="98"/>
      <c r="X132" s="98"/>
    </row>
    <row r="133" spans="2:24" x14ac:dyDescent="0.3">
      <c r="B133" s="2" t="str">
        <f t="shared" si="6"/>
        <v/>
      </c>
      <c r="C133" s="1"/>
      <c r="D133" s="1"/>
      <c r="E133" s="1"/>
      <c r="F133" s="1"/>
      <c r="G133" s="98"/>
      <c r="H133" s="98"/>
      <c r="I133" s="99"/>
      <c r="J133" s="99"/>
      <c r="K133" s="98"/>
      <c r="L133" s="98"/>
      <c r="P133" s="2" t="str">
        <f t="shared" si="7"/>
        <v>US FOOD</v>
      </c>
      <c r="Q133" s="1" t="s">
        <v>104</v>
      </c>
      <c r="R133" s="1"/>
      <c r="S133" s="98"/>
      <c r="T133" s="98"/>
      <c r="U133" s="99"/>
      <c r="V133" s="99"/>
      <c r="W133" s="98"/>
      <c r="X133" s="98"/>
    </row>
    <row r="134" spans="2:24" x14ac:dyDescent="0.3">
      <c r="B134" s="2" t="str">
        <f t="shared" si="6"/>
        <v/>
      </c>
      <c r="C134" s="1"/>
      <c r="D134" s="1"/>
      <c r="E134" s="1"/>
      <c r="F134" s="1"/>
      <c r="G134" s="98"/>
      <c r="H134" s="98"/>
      <c r="I134" s="99"/>
      <c r="J134" s="99"/>
      <c r="K134" s="98"/>
      <c r="L134" s="98"/>
      <c r="P134" s="2" t="str">
        <f t="shared" si="7"/>
        <v>US FOOD</v>
      </c>
      <c r="Q134" s="1" t="s">
        <v>104</v>
      </c>
      <c r="R134" s="1"/>
      <c r="S134" s="98"/>
      <c r="T134" s="98"/>
      <c r="U134" s="99"/>
      <c r="V134" s="99"/>
      <c r="W134" s="98"/>
      <c r="X134" s="98"/>
    </row>
    <row r="135" spans="2:24" x14ac:dyDescent="0.3">
      <c r="B135" s="2" t="str">
        <f t="shared" si="6"/>
        <v/>
      </c>
      <c r="C135" s="1"/>
      <c r="D135" s="1"/>
      <c r="E135" s="1"/>
      <c r="F135" s="1"/>
      <c r="G135" s="98"/>
      <c r="H135" s="98"/>
      <c r="I135" s="99"/>
      <c r="J135" s="99"/>
      <c r="K135" s="98"/>
      <c r="L135" s="98"/>
      <c r="P135" s="2" t="str">
        <f t="shared" si="7"/>
        <v>US FOOD</v>
      </c>
      <c r="Q135" s="1" t="s">
        <v>104</v>
      </c>
      <c r="R135" s="1"/>
      <c r="S135" s="98"/>
      <c r="T135" s="98"/>
      <c r="U135" s="99"/>
      <c r="V135" s="99"/>
      <c r="W135" s="98"/>
      <c r="X135" s="98"/>
    </row>
    <row r="136" spans="2:24" x14ac:dyDescent="0.3">
      <c r="B136" s="2" t="str">
        <f t="shared" si="6"/>
        <v/>
      </c>
      <c r="C136" s="1"/>
      <c r="D136" s="1"/>
      <c r="E136" s="1"/>
      <c r="F136" s="1"/>
      <c r="G136" s="98"/>
      <c r="H136" s="98"/>
      <c r="I136" s="99"/>
      <c r="J136" s="99"/>
      <c r="K136" s="98"/>
      <c r="L136" s="98"/>
      <c r="P136" s="2" t="str">
        <f t="shared" si="7"/>
        <v>US FOOD</v>
      </c>
      <c r="Q136" s="1" t="s">
        <v>104</v>
      </c>
      <c r="R136" s="1"/>
      <c r="S136" s="98"/>
      <c r="T136" s="98"/>
      <c r="U136" s="99"/>
      <c r="V136" s="99"/>
      <c r="W136" s="98"/>
      <c r="X136" s="98"/>
    </row>
    <row r="137" spans="2:24" x14ac:dyDescent="0.3">
      <c r="B137" s="2" t="str">
        <f t="shared" si="6"/>
        <v/>
      </c>
      <c r="C137" s="1"/>
      <c r="D137" s="1"/>
      <c r="E137" s="1"/>
      <c r="F137" s="1"/>
      <c r="G137" s="98"/>
      <c r="H137" s="98"/>
      <c r="I137" s="99"/>
      <c r="J137" s="99"/>
      <c r="K137" s="98"/>
      <c r="L137" s="98"/>
      <c r="P137" s="2" t="str">
        <f t="shared" si="7"/>
        <v>US FOOD</v>
      </c>
      <c r="Q137" s="1" t="s">
        <v>104</v>
      </c>
      <c r="R137" s="1"/>
      <c r="S137" s="98"/>
      <c r="T137" s="98"/>
      <c r="U137" s="99"/>
      <c r="V137" s="99"/>
      <c r="W137" s="98"/>
      <c r="X137" s="98"/>
    </row>
    <row r="138" spans="2:24" x14ac:dyDescent="0.3">
      <c r="B138" s="2" t="str">
        <f t="shared" si="6"/>
        <v/>
      </c>
      <c r="C138" s="1"/>
      <c r="D138" s="1"/>
      <c r="E138" s="1"/>
      <c r="F138" s="1"/>
      <c r="G138" s="98"/>
      <c r="H138" s="98"/>
      <c r="I138" s="99"/>
      <c r="J138" s="99"/>
      <c r="K138" s="98"/>
      <c r="L138" s="98"/>
      <c r="P138" s="2" t="str">
        <f t="shared" si="7"/>
        <v>US FOOD</v>
      </c>
      <c r="Q138" s="1" t="s">
        <v>104</v>
      </c>
      <c r="R138" s="1"/>
      <c r="S138" s="98"/>
      <c r="T138" s="98"/>
      <c r="U138" s="99"/>
      <c r="V138" s="99"/>
      <c r="W138" s="98"/>
      <c r="X138" s="98"/>
    </row>
    <row r="139" spans="2:24" x14ac:dyDescent="0.3">
      <c r="B139" s="2" t="str">
        <f t="shared" si="6"/>
        <v/>
      </c>
      <c r="C139" s="1"/>
      <c r="D139" s="1"/>
      <c r="E139" s="1"/>
      <c r="F139" s="1"/>
      <c r="G139" s="98"/>
      <c r="H139" s="98"/>
      <c r="I139" s="99"/>
      <c r="J139" s="99"/>
      <c r="K139" s="98"/>
      <c r="L139" s="98"/>
      <c r="P139" s="2" t="str">
        <f t="shared" si="7"/>
        <v>US FOOD</v>
      </c>
      <c r="Q139" s="1" t="s">
        <v>104</v>
      </c>
      <c r="R139" s="1"/>
      <c r="S139" s="98"/>
      <c r="T139" s="98"/>
      <c r="U139" s="99"/>
      <c r="V139" s="99"/>
      <c r="W139" s="98"/>
      <c r="X139" s="98"/>
    </row>
    <row r="140" spans="2:24" x14ac:dyDescent="0.3">
      <c r="B140" s="2" t="str">
        <f t="shared" si="6"/>
        <v/>
      </c>
      <c r="C140" s="1"/>
      <c r="D140" s="1"/>
      <c r="E140" s="1"/>
      <c r="F140" s="1"/>
      <c r="G140" s="98"/>
      <c r="H140" s="98"/>
      <c r="I140" s="99"/>
      <c r="J140" s="99"/>
      <c r="K140" s="98"/>
      <c r="L140" s="98"/>
      <c r="P140" s="2" t="str">
        <f t="shared" si="7"/>
        <v>US FOOD</v>
      </c>
      <c r="Q140" s="1" t="s">
        <v>104</v>
      </c>
      <c r="R140" s="1"/>
      <c r="S140" s="98"/>
      <c r="T140" s="98"/>
      <c r="U140" s="99"/>
      <c r="V140" s="99"/>
      <c r="W140" s="98"/>
      <c r="X140" s="98"/>
    </row>
    <row r="141" spans="2:24" x14ac:dyDescent="0.3">
      <c r="B141" s="2" t="str">
        <f t="shared" si="6"/>
        <v/>
      </c>
      <c r="C141" s="1"/>
      <c r="D141" s="1"/>
      <c r="E141" s="1"/>
      <c r="F141" s="1"/>
      <c r="G141" s="98"/>
      <c r="H141" s="98"/>
      <c r="I141" s="99"/>
      <c r="J141" s="99"/>
      <c r="K141" s="98"/>
      <c r="L141" s="98"/>
      <c r="P141" s="2" t="str">
        <f t="shared" si="7"/>
        <v>US FOOD</v>
      </c>
      <c r="Q141" s="1" t="s">
        <v>104</v>
      </c>
      <c r="R141" s="1"/>
      <c r="S141" s="98"/>
      <c r="T141" s="98"/>
      <c r="U141" s="99"/>
      <c r="V141" s="99"/>
      <c r="W141" s="98"/>
      <c r="X141" s="98"/>
    </row>
    <row r="142" spans="2:24" x14ac:dyDescent="0.3">
      <c r="B142" s="2" t="str">
        <f t="shared" si="6"/>
        <v/>
      </c>
      <c r="C142" s="1"/>
      <c r="D142" s="1"/>
      <c r="E142" s="1"/>
      <c r="F142" s="1"/>
      <c r="G142" s="98"/>
      <c r="H142" s="98"/>
      <c r="I142" s="99"/>
      <c r="J142" s="99"/>
      <c r="K142" s="98"/>
      <c r="L142" s="98"/>
      <c r="P142" s="2" t="str">
        <f t="shared" si="7"/>
        <v>US FOOD</v>
      </c>
      <c r="Q142" s="1" t="s">
        <v>104</v>
      </c>
      <c r="R142" s="1"/>
      <c r="S142" s="98"/>
      <c r="T142" s="98"/>
      <c r="U142" s="99"/>
      <c r="V142" s="99"/>
      <c r="W142" s="98"/>
      <c r="X142" s="98"/>
    </row>
    <row r="143" spans="2:24" x14ac:dyDescent="0.3">
      <c r="B143" s="2" t="str">
        <f t="shared" si="6"/>
        <v/>
      </c>
      <c r="C143" s="1"/>
      <c r="D143" s="1"/>
      <c r="E143" s="1"/>
      <c r="F143" s="1"/>
      <c r="G143" s="98"/>
      <c r="H143" s="98"/>
      <c r="I143" s="99"/>
      <c r="J143" s="99"/>
      <c r="K143" s="98"/>
      <c r="L143" s="98"/>
      <c r="P143" s="2" t="str">
        <f t="shared" si="7"/>
        <v>US FOOD</v>
      </c>
      <c r="Q143" s="1" t="s">
        <v>104</v>
      </c>
      <c r="R143" s="1"/>
      <c r="S143" s="98"/>
      <c r="T143" s="98"/>
      <c r="U143" s="99"/>
      <c r="V143" s="99"/>
      <c r="W143" s="98"/>
      <c r="X143" s="98"/>
    </row>
    <row r="144" spans="2:24" x14ac:dyDescent="0.3">
      <c r="B144" s="2" t="str">
        <f t="shared" si="6"/>
        <v/>
      </c>
      <c r="C144" s="1"/>
      <c r="D144" s="1"/>
      <c r="E144" s="1"/>
      <c r="F144" s="1"/>
      <c r="G144" s="98"/>
      <c r="H144" s="98"/>
      <c r="I144" s="99"/>
      <c r="J144" s="99"/>
      <c r="K144" s="98"/>
      <c r="L144" s="98"/>
      <c r="P144" s="2" t="str">
        <f t="shared" si="7"/>
        <v>US FOOD</v>
      </c>
      <c r="Q144" s="1" t="s">
        <v>104</v>
      </c>
      <c r="R144" s="1"/>
      <c r="S144" s="98"/>
      <c r="T144" s="98"/>
      <c r="U144" s="99"/>
      <c r="V144" s="99"/>
      <c r="W144" s="98"/>
      <c r="X144" s="98"/>
    </row>
    <row r="145" spans="2:24" x14ac:dyDescent="0.3">
      <c r="B145" s="2" t="str">
        <f t="shared" si="6"/>
        <v/>
      </c>
      <c r="C145" s="1"/>
      <c r="D145" s="1"/>
      <c r="E145" s="1"/>
      <c r="F145" s="1"/>
      <c r="G145" s="98"/>
      <c r="H145" s="98"/>
      <c r="I145" s="99"/>
      <c r="J145" s="99"/>
      <c r="K145" s="98"/>
      <c r="L145" s="98"/>
      <c r="P145" s="2" t="str">
        <f t="shared" si="7"/>
        <v>US FOOD</v>
      </c>
      <c r="Q145" s="1" t="s">
        <v>104</v>
      </c>
      <c r="R145" s="1"/>
      <c r="S145" s="98"/>
      <c r="T145" s="98"/>
      <c r="U145" s="99"/>
      <c r="V145" s="99"/>
      <c r="W145" s="98"/>
      <c r="X145" s="98"/>
    </row>
    <row r="146" spans="2:24" x14ac:dyDescent="0.3">
      <c r="B146" s="2" t="str">
        <f t="shared" si="6"/>
        <v/>
      </c>
      <c r="C146" s="1"/>
      <c r="D146" s="1"/>
      <c r="E146" s="1"/>
      <c r="F146" s="1"/>
      <c r="G146" s="98"/>
      <c r="H146" s="98"/>
      <c r="I146" s="99"/>
      <c r="J146" s="99"/>
      <c r="K146" s="98"/>
      <c r="L146" s="98"/>
      <c r="P146" s="2" t="str">
        <f t="shared" si="7"/>
        <v>US FOOD</v>
      </c>
      <c r="Q146" s="1" t="s">
        <v>104</v>
      </c>
      <c r="R146" s="1"/>
      <c r="S146" s="98"/>
      <c r="T146" s="98"/>
      <c r="U146" s="99"/>
      <c r="V146" s="99"/>
      <c r="W146" s="98"/>
      <c r="X146" s="98"/>
    </row>
    <row r="147" spans="2:24" x14ac:dyDescent="0.3">
      <c r="B147" s="2" t="str">
        <f t="shared" si="6"/>
        <v/>
      </c>
      <c r="C147" s="1"/>
      <c r="D147" s="1"/>
      <c r="E147" s="1"/>
      <c r="F147" s="1"/>
      <c r="G147" s="98"/>
      <c r="H147" s="98"/>
      <c r="I147" s="99"/>
      <c r="J147" s="99"/>
      <c r="K147" s="98"/>
      <c r="L147" s="98"/>
      <c r="P147" s="2" t="str">
        <f t="shared" si="7"/>
        <v>US FOOD</v>
      </c>
      <c r="Q147" s="1" t="s">
        <v>104</v>
      </c>
      <c r="R147" s="1"/>
      <c r="S147" s="98"/>
      <c r="T147" s="98"/>
      <c r="U147" s="99"/>
      <c r="V147" s="99"/>
      <c r="W147" s="98"/>
      <c r="X147" s="98"/>
    </row>
    <row r="148" spans="2:24" x14ac:dyDescent="0.3">
      <c r="B148" s="2" t="str">
        <f t="shared" si="6"/>
        <v/>
      </c>
      <c r="C148" s="1"/>
      <c r="D148" s="1"/>
      <c r="E148" s="1"/>
      <c r="F148" s="1"/>
      <c r="G148" s="98"/>
      <c r="H148" s="98"/>
      <c r="I148" s="99"/>
      <c r="J148" s="99"/>
      <c r="K148" s="98"/>
      <c r="L148" s="98"/>
      <c r="P148" s="2" t="str">
        <f t="shared" si="7"/>
        <v>US FOOD</v>
      </c>
      <c r="Q148" s="1" t="s">
        <v>104</v>
      </c>
      <c r="R148" s="1"/>
      <c r="S148" s="98"/>
      <c r="T148" s="98"/>
      <c r="U148" s="99"/>
      <c r="V148" s="99"/>
      <c r="W148" s="98"/>
      <c r="X148" s="98"/>
    </row>
    <row r="149" spans="2:24" x14ac:dyDescent="0.3">
      <c r="B149" s="2" t="str">
        <f t="shared" si="6"/>
        <v/>
      </c>
      <c r="C149" s="1"/>
      <c r="D149" s="1"/>
      <c r="E149" s="1"/>
      <c r="F149" s="1"/>
      <c r="G149" s="98"/>
      <c r="H149" s="98"/>
      <c r="I149" s="99"/>
      <c r="J149" s="99"/>
      <c r="K149" s="98"/>
      <c r="L149" s="98"/>
      <c r="P149" s="2" t="str">
        <f t="shared" si="7"/>
        <v>US FOOD</v>
      </c>
      <c r="Q149" s="1" t="s">
        <v>104</v>
      </c>
      <c r="R149" s="1"/>
      <c r="S149" s="98"/>
      <c r="T149" s="98"/>
      <c r="U149" s="99"/>
      <c r="V149" s="99"/>
      <c r="W149" s="98"/>
      <c r="X149" s="98"/>
    </row>
    <row r="150" spans="2:24" x14ac:dyDescent="0.3">
      <c r="B150" s="2" t="str">
        <f t="shared" si="6"/>
        <v/>
      </c>
      <c r="C150" s="1"/>
      <c r="D150" s="1"/>
      <c r="E150" s="1"/>
      <c r="F150" s="1"/>
      <c r="G150" s="98"/>
      <c r="H150" s="98"/>
      <c r="I150" s="99"/>
      <c r="J150" s="99"/>
      <c r="K150" s="98"/>
      <c r="L150" s="98"/>
      <c r="P150" s="2" t="str">
        <f t="shared" si="7"/>
        <v>US FOOD</v>
      </c>
      <c r="Q150" s="1" t="s">
        <v>104</v>
      </c>
      <c r="R150" s="1"/>
      <c r="S150" s="98"/>
      <c r="T150" s="98"/>
      <c r="U150" s="99"/>
      <c r="V150" s="99"/>
      <c r="W150" s="98"/>
      <c r="X150" s="98"/>
    </row>
    <row r="151" spans="2:24" x14ac:dyDescent="0.3">
      <c r="B151" s="2" t="str">
        <f t="shared" si="6"/>
        <v/>
      </c>
      <c r="C151" s="1"/>
      <c r="D151" s="1"/>
      <c r="E151" s="1"/>
      <c r="F151" s="1"/>
      <c r="G151" s="98"/>
      <c r="H151" s="98"/>
      <c r="I151" s="99"/>
      <c r="J151" s="99"/>
      <c r="K151" s="98"/>
      <c r="L151" s="98"/>
      <c r="P151" s="2" t="str">
        <f t="shared" si="7"/>
        <v>US FOOD</v>
      </c>
      <c r="Q151" s="1" t="s">
        <v>104</v>
      </c>
      <c r="R151" s="1"/>
      <c r="S151" s="98"/>
      <c r="T151" s="98"/>
      <c r="U151" s="99"/>
      <c r="V151" s="99"/>
      <c r="W151" s="98"/>
      <c r="X151" s="98"/>
    </row>
    <row r="152" spans="2:24" x14ac:dyDescent="0.3">
      <c r="B152" s="2" t="str">
        <f t="shared" si="6"/>
        <v/>
      </c>
      <c r="C152" s="1"/>
      <c r="D152" s="1"/>
      <c r="E152" s="1"/>
      <c r="F152" s="1"/>
      <c r="G152" s="98"/>
      <c r="H152" s="98"/>
      <c r="I152" s="99"/>
      <c r="J152" s="99"/>
      <c r="K152" s="98"/>
      <c r="L152" s="98"/>
      <c r="P152" s="2" t="str">
        <f t="shared" si="7"/>
        <v>US FOOD</v>
      </c>
      <c r="Q152" s="1" t="s">
        <v>104</v>
      </c>
      <c r="R152" s="1"/>
      <c r="S152" s="98"/>
      <c r="T152" s="98"/>
      <c r="U152" s="99"/>
      <c r="V152" s="99"/>
      <c r="W152" s="98"/>
      <c r="X152" s="98"/>
    </row>
    <row r="153" spans="2:24" x14ac:dyDescent="0.3">
      <c r="B153" s="2" t="str">
        <f t="shared" si="6"/>
        <v/>
      </c>
      <c r="C153" s="1"/>
      <c r="D153" s="1"/>
      <c r="E153" s="1"/>
      <c r="F153" s="1"/>
      <c r="G153" s="98"/>
      <c r="H153" s="98"/>
      <c r="I153" s="99"/>
      <c r="J153" s="99"/>
      <c r="K153" s="98"/>
      <c r="L153" s="98"/>
      <c r="P153" s="2" t="str">
        <f t="shared" si="7"/>
        <v>US FOOD</v>
      </c>
      <c r="Q153" s="1" t="s">
        <v>104</v>
      </c>
      <c r="R153" s="1"/>
      <c r="S153" s="98"/>
      <c r="T153" s="98"/>
      <c r="U153" s="99"/>
      <c r="V153" s="99"/>
      <c r="W153" s="98"/>
      <c r="X153" s="98"/>
    </row>
    <row r="154" spans="2:24" x14ac:dyDescent="0.3">
      <c r="B154" s="2" t="str">
        <f t="shared" si="6"/>
        <v/>
      </c>
      <c r="C154" s="1"/>
      <c r="D154" s="1"/>
      <c r="E154" s="1"/>
      <c r="F154" s="1"/>
      <c r="G154" s="98"/>
      <c r="H154" s="98"/>
      <c r="I154" s="99"/>
      <c r="J154" s="99"/>
      <c r="K154" s="98"/>
      <c r="L154" s="98"/>
      <c r="P154" s="2" t="str">
        <f t="shared" si="7"/>
        <v>US FOOD</v>
      </c>
      <c r="Q154" s="1" t="s">
        <v>104</v>
      </c>
      <c r="R154" s="1"/>
      <c r="S154" s="98"/>
      <c r="T154" s="98"/>
      <c r="U154" s="99"/>
      <c r="V154" s="99"/>
      <c r="W154" s="98"/>
      <c r="X154" s="98"/>
    </row>
    <row r="155" spans="2:24" x14ac:dyDescent="0.3">
      <c r="B155" s="2" t="str">
        <f t="shared" si="6"/>
        <v/>
      </c>
      <c r="C155" s="1"/>
      <c r="D155" s="1"/>
      <c r="E155" s="1"/>
      <c r="F155" s="1"/>
      <c r="G155" s="98"/>
      <c r="H155" s="98"/>
      <c r="I155" s="99"/>
      <c r="J155" s="99"/>
      <c r="K155" s="98"/>
      <c r="L155" s="98"/>
      <c r="P155" s="2" t="str">
        <f t="shared" si="7"/>
        <v>US FOOD</v>
      </c>
      <c r="Q155" s="1" t="s">
        <v>104</v>
      </c>
      <c r="R155" s="1"/>
      <c r="S155" s="98"/>
      <c r="T155" s="98"/>
      <c r="U155" s="99"/>
      <c r="V155" s="99"/>
      <c r="W155" s="98"/>
      <c r="X155" s="98"/>
    </row>
    <row r="156" spans="2:24" x14ac:dyDescent="0.3">
      <c r="B156" s="2" t="str">
        <f t="shared" si="6"/>
        <v/>
      </c>
      <c r="C156" s="1"/>
      <c r="D156" s="1"/>
      <c r="E156" s="1"/>
      <c r="F156" s="1"/>
      <c r="G156" s="98"/>
      <c r="H156" s="98"/>
      <c r="I156" s="99"/>
      <c r="J156" s="99"/>
      <c r="K156" s="98"/>
      <c r="L156" s="98"/>
      <c r="P156" s="2" t="str">
        <f t="shared" si="7"/>
        <v>US FOOD</v>
      </c>
      <c r="Q156" s="1" t="s">
        <v>104</v>
      </c>
      <c r="R156" s="1"/>
      <c r="S156" s="98"/>
      <c r="T156" s="98"/>
      <c r="U156" s="99"/>
      <c r="V156" s="99"/>
      <c r="W156" s="98"/>
      <c r="X156" s="98"/>
    </row>
    <row r="157" spans="2:24" x14ac:dyDescent="0.3">
      <c r="B157" s="2" t="str">
        <f t="shared" si="6"/>
        <v/>
      </c>
      <c r="C157" s="1"/>
      <c r="D157" s="1"/>
      <c r="E157" s="1"/>
      <c r="F157" s="1"/>
      <c r="G157" s="98"/>
      <c r="H157" s="98"/>
      <c r="I157" s="99"/>
      <c r="J157" s="99"/>
      <c r="K157" s="98"/>
      <c r="L157" s="98"/>
      <c r="P157" s="2" t="str">
        <f t="shared" si="7"/>
        <v>US FOOD</v>
      </c>
      <c r="Q157" s="1" t="s">
        <v>104</v>
      </c>
      <c r="R157" s="1"/>
      <c r="S157" s="98"/>
      <c r="T157" s="98"/>
      <c r="U157" s="99"/>
      <c r="V157" s="99"/>
      <c r="W157" s="98"/>
      <c r="X157" s="98"/>
    </row>
    <row r="158" spans="2:24" x14ac:dyDescent="0.3">
      <c r="B158" s="2" t="str">
        <f t="shared" si="6"/>
        <v/>
      </c>
      <c r="C158" s="1"/>
      <c r="D158" s="1"/>
      <c r="E158" s="1"/>
      <c r="F158" s="1"/>
      <c r="G158" s="98"/>
      <c r="H158" s="98"/>
      <c r="I158" s="99"/>
      <c r="J158" s="99"/>
      <c r="K158" s="98"/>
      <c r="L158" s="98"/>
      <c r="P158" s="2" t="str">
        <f t="shared" si="7"/>
        <v>US FOOD</v>
      </c>
      <c r="Q158" s="1" t="s">
        <v>104</v>
      </c>
      <c r="R158" s="1"/>
      <c r="S158" s="98"/>
      <c r="T158" s="98"/>
      <c r="U158" s="99"/>
      <c r="V158" s="99"/>
      <c r="W158" s="98"/>
      <c r="X158" s="98"/>
    </row>
    <row r="159" spans="2:24" x14ac:dyDescent="0.3">
      <c r="B159" s="2" t="str">
        <f t="shared" si="6"/>
        <v/>
      </c>
      <c r="C159" s="1"/>
      <c r="D159" s="1"/>
      <c r="E159" s="1"/>
      <c r="F159" s="1"/>
      <c r="G159" s="98"/>
      <c r="H159" s="98"/>
      <c r="I159" s="99"/>
      <c r="J159" s="99"/>
      <c r="K159" s="98"/>
      <c r="L159" s="98"/>
      <c r="P159" s="2" t="str">
        <f t="shared" si="7"/>
        <v>US FOOD</v>
      </c>
      <c r="Q159" s="1" t="s">
        <v>104</v>
      </c>
      <c r="R159" s="1"/>
      <c r="S159" s="98"/>
      <c r="T159" s="98"/>
      <c r="U159" s="99"/>
      <c r="V159" s="99"/>
      <c r="W159" s="98"/>
      <c r="X159" s="98"/>
    </row>
    <row r="160" spans="2:24" x14ac:dyDescent="0.3">
      <c r="B160" s="2" t="str">
        <f t="shared" si="6"/>
        <v/>
      </c>
      <c r="C160" s="1"/>
      <c r="D160" s="1"/>
      <c r="E160" s="1"/>
      <c r="F160" s="1"/>
      <c r="G160" s="98"/>
      <c r="H160" s="98"/>
      <c r="I160" s="99"/>
      <c r="J160" s="99"/>
      <c r="K160" s="98"/>
      <c r="L160" s="98"/>
      <c r="P160" s="2" t="str">
        <f t="shared" si="7"/>
        <v>US FOOD</v>
      </c>
      <c r="Q160" s="1" t="s">
        <v>104</v>
      </c>
      <c r="R160" s="1"/>
      <c r="S160" s="98"/>
      <c r="T160" s="98"/>
      <c r="U160" s="99"/>
      <c r="V160" s="99"/>
      <c r="W160" s="98"/>
      <c r="X160" s="98"/>
    </row>
    <row r="161" spans="2:24" x14ac:dyDescent="0.3">
      <c r="B161" s="2" t="str">
        <f t="shared" si="6"/>
        <v/>
      </c>
      <c r="C161" s="1"/>
      <c r="D161" s="1"/>
      <c r="E161" s="1"/>
      <c r="F161" s="1"/>
      <c r="G161" s="98"/>
      <c r="H161" s="98"/>
      <c r="I161" s="99"/>
      <c r="J161" s="99"/>
      <c r="K161" s="98"/>
      <c r="L161" s="98"/>
      <c r="P161" s="2" t="str">
        <f t="shared" si="7"/>
        <v>US FOOD</v>
      </c>
      <c r="Q161" s="1" t="s">
        <v>104</v>
      </c>
      <c r="R161" s="1"/>
      <c r="S161" s="98"/>
      <c r="T161" s="98"/>
      <c r="U161" s="99"/>
      <c r="V161" s="99"/>
      <c r="W161" s="98"/>
      <c r="X161" s="98"/>
    </row>
    <row r="162" spans="2:24" x14ac:dyDescent="0.3">
      <c r="B162" s="2" t="str">
        <f t="shared" si="6"/>
        <v/>
      </c>
      <c r="C162" s="1"/>
      <c r="D162" s="1"/>
      <c r="E162" s="1"/>
      <c r="F162" s="1"/>
      <c r="G162" s="98"/>
      <c r="H162" s="98"/>
      <c r="I162" s="99"/>
      <c r="J162" s="99"/>
      <c r="K162" s="98"/>
      <c r="L162" s="98"/>
      <c r="P162" s="2" t="str">
        <f t="shared" si="7"/>
        <v>US FOOD</v>
      </c>
      <c r="Q162" s="1" t="s">
        <v>104</v>
      </c>
      <c r="R162" s="1"/>
      <c r="S162" s="98"/>
      <c r="T162" s="98"/>
      <c r="U162" s="99"/>
      <c r="V162" s="99"/>
      <c r="W162" s="98"/>
      <c r="X162" s="98"/>
    </row>
    <row r="163" spans="2:24" x14ac:dyDescent="0.3">
      <c r="B163" s="2" t="str">
        <f t="shared" si="6"/>
        <v/>
      </c>
      <c r="C163" s="1"/>
      <c r="D163" s="1"/>
      <c r="E163" s="1"/>
      <c r="F163" s="1"/>
      <c r="G163" s="98"/>
      <c r="H163" s="98"/>
      <c r="I163" s="99"/>
      <c r="J163" s="99"/>
      <c r="K163" s="98"/>
      <c r="L163" s="98"/>
      <c r="P163" s="2" t="str">
        <f t="shared" si="7"/>
        <v>US FOOD</v>
      </c>
      <c r="Q163" s="1" t="s">
        <v>104</v>
      </c>
      <c r="R163" s="1"/>
      <c r="S163" s="98"/>
      <c r="T163" s="98"/>
      <c r="U163" s="99"/>
      <c r="V163" s="99"/>
      <c r="W163" s="98"/>
      <c r="X163" s="98"/>
    </row>
    <row r="164" spans="2:24" x14ac:dyDescent="0.3">
      <c r="B164" s="2" t="str">
        <f t="shared" si="6"/>
        <v/>
      </c>
      <c r="C164" s="1"/>
      <c r="D164" s="1"/>
      <c r="E164" s="1"/>
      <c r="F164" s="1"/>
      <c r="G164" s="98"/>
      <c r="H164" s="98"/>
      <c r="I164" s="99"/>
      <c r="J164" s="99"/>
      <c r="K164" s="98"/>
      <c r="L164" s="98"/>
      <c r="P164" s="2" t="str">
        <f t="shared" si="7"/>
        <v>US FOOD</v>
      </c>
      <c r="Q164" s="1" t="s">
        <v>104</v>
      </c>
      <c r="R164" s="1"/>
      <c r="S164" s="98"/>
      <c r="T164" s="98"/>
      <c r="U164" s="99"/>
      <c r="V164" s="99"/>
      <c r="W164" s="98"/>
      <c r="X164" s="98"/>
    </row>
    <row r="165" spans="2:24" x14ac:dyDescent="0.3">
      <c r="B165" s="2" t="str">
        <f t="shared" si="6"/>
        <v/>
      </c>
      <c r="C165" s="1"/>
      <c r="D165" s="1"/>
      <c r="E165" s="1"/>
      <c r="F165" s="1"/>
      <c r="G165" s="98"/>
      <c r="H165" s="98"/>
      <c r="I165" s="99"/>
      <c r="J165" s="99"/>
      <c r="K165" s="98"/>
      <c r="L165" s="98"/>
      <c r="P165" s="2" t="str">
        <f t="shared" si="7"/>
        <v>US FOOD</v>
      </c>
      <c r="Q165" s="1" t="s">
        <v>104</v>
      </c>
      <c r="R165" s="1"/>
      <c r="S165" s="98"/>
      <c r="T165" s="98"/>
      <c r="U165" s="99"/>
      <c r="V165" s="99"/>
      <c r="W165" s="98"/>
      <c r="X165" s="98"/>
    </row>
    <row r="166" spans="2:24" x14ac:dyDescent="0.3">
      <c r="B166" s="2" t="str">
        <f t="shared" si="6"/>
        <v/>
      </c>
      <c r="C166" s="1"/>
      <c r="D166" s="1"/>
      <c r="E166" s="1"/>
      <c r="F166" s="1"/>
      <c r="G166" s="98"/>
      <c r="H166" s="98"/>
      <c r="I166" s="99"/>
      <c r="J166" s="99"/>
      <c r="K166" s="98"/>
      <c r="L166" s="98"/>
      <c r="P166" s="2" t="str">
        <f t="shared" si="7"/>
        <v>US FOOD</v>
      </c>
      <c r="Q166" s="1" t="s">
        <v>104</v>
      </c>
      <c r="R166" s="1"/>
      <c r="S166" s="98"/>
      <c r="T166" s="98"/>
      <c r="U166" s="99"/>
      <c r="V166" s="99"/>
      <c r="W166" s="98"/>
      <c r="X166" s="98"/>
    </row>
    <row r="167" spans="2:24" x14ac:dyDescent="0.3">
      <c r="B167" s="2" t="str">
        <f t="shared" si="6"/>
        <v/>
      </c>
      <c r="C167" s="1"/>
      <c r="D167" s="1"/>
      <c r="E167" s="1"/>
      <c r="F167" s="1"/>
      <c r="G167" s="98"/>
      <c r="H167" s="98"/>
      <c r="I167" s="99"/>
      <c r="J167" s="99"/>
      <c r="K167" s="98"/>
      <c r="L167" s="98"/>
      <c r="P167" s="2" t="str">
        <f t="shared" si="7"/>
        <v>US FOOD</v>
      </c>
      <c r="Q167" s="1" t="s">
        <v>104</v>
      </c>
      <c r="R167" s="1"/>
      <c r="S167" s="98"/>
      <c r="T167" s="98"/>
      <c r="U167" s="99"/>
      <c r="V167" s="99"/>
      <c r="W167" s="98"/>
      <c r="X167" s="98"/>
    </row>
    <row r="168" spans="2:24" x14ac:dyDescent="0.3">
      <c r="B168" s="2" t="str">
        <f t="shared" si="6"/>
        <v/>
      </c>
      <c r="C168" s="1"/>
      <c r="D168" s="1"/>
      <c r="E168" s="1"/>
      <c r="F168" s="1"/>
      <c r="G168" s="98"/>
      <c r="H168" s="98"/>
      <c r="I168" s="99"/>
      <c r="J168" s="99"/>
      <c r="K168" s="98"/>
      <c r="L168" s="98"/>
      <c r="P168" s="2" t="str">
        <f t="shared" si="7"/>
        <v>US FOOD</v>
      </c>
      <c r="Q168" s="1" t="s">
        <v>104</v>
      </c>
      <c r="R168" s="1"/>
      <c r="S168" s="98"/>
      <c r="T168" s="98"/>
      <c r="U168" s="99"/>
      <c r="V168" s="99"/>
      <c r="W168" s="98"/>
      <c r="X168" s="98"/>
    </row>
    <row r="169" spans="2:24" x14ac:dyDescent="0.3">
      <c r="B169" s="2" t="str">
        <f t="shared" si="6"/>
        <v/>
      </c>
      <c r="C169" s="1"/>
      <c r="D169" s="1"/>
      <c r="E169" s="1"/>
      <c r="F169" s="1"/>
      <c r="G169" s="98"/>
      <c r="H169" s="98"/>
      <c r="I169" s="99"/>
      <c r="J169" s="99"/>
      <c r="K169" s="98"/>
      <c r="L169" s="98"/>
      <c r="P169" s="2" t="str">
        <f t="shared" si="7"/>
        <v>US FOOD</v>
      </c>
      <c r="Q169" s="1" t="s">
        <v>104</v>
      </c>
      <c r="R169" s="1"/>
      <c r="S169" s="98"/>
      <c r="T169" s="98"/>
      <c r="U169" s="99"/>
      <c r="V169" s="99"/>
      <c r="W169" s="98"/>
      <c r="X169" s="98"/>
    </row>
    <row r="170" spans="2:24" x14ac:dyDescent="0.3">
      <c r="B170" s="2" t="str">
        <f t="shared" si="6"/>
        <v/>
      </c>
      <c r="C170" s="1"/>
      <c r="D170" s="1"/>
      <c r="E170" s="1"/>
      <c r="F170" s="1"/>
      <c r="G170" s="98"/>
      <c r="H170" s="98"/>
      <c r="I170" s="99"/>
      <c r="J170" s="99"/>
      <c r="K170" s="98"/>
      <c r="L170" s="98"/>
      <c r="P170" s="2" t="str">
        <f t="shared" si="7"/>
        <v>US FOOD</v>
      </c>
      <c r="Q170" s="1" t="s">
        <v>104</v>
      </c>
      <c r="R170" s="1"/>
      <c r="S170" s="98"/>
      <c r="T170" s="98"/>
      <c r="U170" s="99"/>
      <c r="V170" s="99"/>
      <c r="W170" s="98"/>
      <c r="X170" s="98"/>
    </row>
    <row r="171" spans="2:24" x14ac:dyDescent="0.3">
      <c r="B171" s="2" t="str">
        <f t="shared" si="6"/>
        <v/>
      </c>
      <c r="C171" s="1"/>
      <c r="D171" s="1"/>
      <c r="E171" s="1"/>
      <c r="F171" s="1"/>
      <c r="G171" s="98"/>
      <c r="H171" s="98"/>
      <c r="I171" s="99"/>
      <c r="J171" s="99"/>
      <c r="K171" s="98"/>
      <c r="L171" s="98"/>
      <c r="P171" s="2" t="str">
        <f t="shared" si="7"/>
        <v>US FOOD</v>
      </c>
      <c r="Q171" s="1" t="s">
        <v>104</v>
      </c>
      <c r="R171" s="1"/>
      <c r="S171" s="98"/>
      <c r="T171" s="98"/>
      <c r="U171" s="99"/>
      <c r="V171" s="99"/>
      <c r="W171" s="98"/>
      <c r="X171" s="98"/>
    </row>
    <row r="172" spans="2:24" x14ac:dyDescent="0.3">
      <c r="B172" s="2" t="str">
        <f t="shared" si="6"/>
        <v/>
      </c>
      <c r="C172" s="1"/>
      <c r="D172" s="1"/>
      <c r="E172" s="1"/>
      <c r="F172" s="1"/>
      <c r="G172" s="98"/>
      <c r="H172" s="98"/>
      <c r="I172" s="99"/>
      <c r="J172" s="99"/>
      <c r="K172" s="98"/>
      <c r="L172" s="98"/>
      <c r="P172" s="2" t="str">
        <f t="shared" si="7"/>
        <v>US FOOD</v>
      </c>
      <c r="Q172" s="1" t="s">
        <v>104</v>
      </c>
      <c r="R172" s="1"/>
      <c r="S172" s="98"/>
      <c r="T172" s="98"/>
      <c r="U172" s="99"/>
      <c r="V172" s="99"/>
      <c r="W172" s="98"/>
      <c r="X172" s="98"/>
    </row>
    <row r="173" spans="2:24" x14ac:dyDescent="0.3">
      <c r="B173" s="2" t="str">
        <f t="shared" si="6"/>
        <v/>
      </c>
      <c r="C173" s="1"/>
      <c r="D173" s="1"/>
      <c r="E173" s="1"/>
      <c r="F173" s="1"/>
      <c r="G173" s="98"/>
      <c r="H173" s="98"/>
      <c r="I173" s="99"/>
      <c r="J173" s="99"/>
      <c r="K173" s="98"/>
      <c r="L173" s="98"/>
      <c r="P173" s="2" t="str">
        <f t="shared" si="7"/>
        <v>US FOOD</v>
      </c>
      <c r="Q173" s="1" t="s">
        <v>104</v>
      </c>
      <c r="R173" s="1"/>
      <c r="S173" s="98"/>
      <c r="T173" s="98"/>
      <c r="U173" s="99"/>
      <c r="V173" s="99"/>
      <c r="W173" s="98"/>
      <c r="X173" s="98"/>
    </row>
    <row r="174" spans="2:24" x14ac:dyDescent="0.3">
      <c r="B174" s="2" t="str">
        <f t="shared" si="6"/>
        <v/>
      </c>
      <c r="C174" s="1"/>
      <c r="D174" s="1"/>
      <c r="E174" s="1"/>
      <c r="F174" s="1"/>
      <c r="G174" s="98"/>
      <c r="H174" s="98"/>
      <c r="I174" s="99"/>
      <c r="J174" s="99"/>
      <c r="K174" s="98"/>
      <c r="L174" s="98"/>
      <c r="P174" s="2" t="str">
        <f t="shared" si="7"/>
        <v>US FOOD</v>
      </c>
      <c r="Q174" s="1" t="s">
        <v>104</v>
      </c>
      <c r="R174" s="1"/>
      <c r="S174" s="98"/>
      <c r="T174" s="98"/>
      <c r="U174" s="99"/>
      <c r="V174" s="99"/>
      <c r="W174" s="98"/>
      <c r="X174" s="98"/>
    </row>
    <row r="175" spans="2:24" x14ac:dyDescent="0.3">
      <c r="B175" s="2" t="str">
        <f t="shared" si="6"/>
        <v/>
      </c>
      <c r="C175" s="1"/>
      <c r="D175" s="1"/>
      <c r="E175" s="1"/>
      <c r="F175" s="1"/>
      <c r="G175" s="98"/>
      <c r="H175" s="98"/>
      <c r="I175" s="99"/>
      <c r="J175" s="99"/>
      <c r="K175" s="98"/>
      <c r="L175" s="98"/>
      <c r="P175" s="2" t="str">
        <f t="shared" si="7"/>
        <v>US FOOD</v>
      </c>
      <c r="Q175" s="1" t="s">
        <v>104</v>
      </c>
      <c r="R175" s="1"/>
      <c r="S175" s="98"/>
      <c r="T175" s="98"/>
      <c r="U175" s="99"/>
      <c r="V175" s="99"/>
      <c r="W175" s="98"/>
      <c r="X175" s="98"/>
    </row>
    <row r="176" spans="2:24" x14ac:dyDescent="0.3">
      <c r="B176" s="2" t="str">
        <f t="shared" si="6"/>
        <v/>
      </c>
      <c r="C176" s="1"/>
      <c r="D176" s="1"/>
      <c r="E176" s="1"/>
      <c r="F176" s="1"/>
      <c r="G176" s="98"/>
      <c r="H176" s="98"/>
      <c r="I176" s="99"/>
      <c r="J176" s="99"/>
      <c r="K176" s="98"/>
      <c r="L176" s="98"/>
      <c r="P176" s="2" t="str">
        <f t="shared" si="7"/>
        <v>US FOOD</v>
      </c>
      <c r="Q176" s="1" t="s">
        <v>104</v>
      </c>
      <c r="R176" s="1"/>
      <c r="S176" s="98"/>
      <c r="T176" s="98"/>
      <c r="U176" s="99"/>
      <c r="V176" s="99"/>
      <c r="W176" s="98"/>
      <c r="X176" s="98"/>
    </row>
    <row r="177" spans="2:24" x14ac:dyDescent="0.3">
      <c r="B177" s="2" t="str">
        <f t="shared" si="6"/>
        <v/>
      </c>
      <c r="C177" s="1"/>
      <c r="D177" s="1"/>
      <c r="E177" s="1"/>
      <c r="F177" s="1"/>
      <c r="G177" s="98"/>
      <c r="H177" s="98"/>
      <c r="I177" s="99"/>
      <c r="J177" s="99"/>
      <c r="K177" s="98"/>
      <c r="L177" s="98"/>
      <c r="P177" s="2" t="str">
        <f t="shared" si="7"/>
        <v>US FOOD</v>
      </c>
      <c r="Q177" s="1" t="s">
        <v>104</v>
      </c>
      <c r="R177" s="1"/>
      <c r="S177" s="98"/>
      <c r="T177" s="98"/>
      <c r="U177" s="99"/>
      <c r="V177" s="99"/>
      <c r="W177" s="98"/>
      <c r="X177" s="98"/>
    </row>
    <row r="178" spans="2:24" x14ac:dyDescent="0.3">
      <c r="B178" s="2" t="str">
        <f t="shared" si="6"/>
        <v/>
      </c>
      <c r="C178" s="1"/>
      <c r="D178" s="1"/>
      <c r="E178" s="1"/>
      <c r="F178" s="1"/>
      <c r="G178" s="98"/>
      <c r="H178" s="98"/>
      <c r="I178" s="99"/>
      <c r="J178" s="99"/>
      <c r="K178" s="98"/>
      <c r="L178" s="98"/>
      <c r="P178" s="2" t="str">
        <f t="shared" si="7"/>
        <v>US FOOD</v>
      </c>
      <c r="Q178" s="1" t="s">
        <v>104</v>
      </c>
      <c r="R178" s="1"/>
      <c r="S178" s="98"/>
      <c r="T178" s="98"/>
      <c r="U178" s="99"/>
      <c r="V178" s="99"/>
      <c r="W178" s="98"/>
      <c r="X178" s="98"/>
    </row>
    <row r="179" spans="2:24" x14ac:dyDescent="0.3">
      <c r="B179" s="2" t="str">
        <f t="shared" si="6"/>
        <v/>
      </c>
      <c r="C179" s="1"/>
      <c r="D179" s="1"/>
      <c r="E179" s="1"/>
      <c r="F179" s="1"/>
      <c r="G179" s="98"/>
      <c r="H179" s="98"/>
      <c r="I179" s="99"/>
      <c r="J179" s="99"/>
      <c r="K179" s="98"/>
      <c r="L179" s="98"/>
      <c r="P179" s="2" t="str">
        <f t="shared" si="7"/>
        <v>US FOOD</v>
      </c>
      <c r="Q179" s="1" t="s">
        <v>104</v>
      </c>
      <c r="R179" s="1"/>
      <c r="S179" s="98"/>
      <c r="T179" s="98"/>
      <c r="U179" s="99"/>
      <c r="V179" s="99"/>
      <c r="W179" s="98"/>
      <c r="X179" s="98"/>
    </row>
    <row r="180" spans="2:24" x14ac:dyDescent="0.3">
      <c r="B180" s="2" t="str">
        <f t="shared" si="6"/>
        <v/>
      </c>
      <c r="C180" s="1"/>
      <c r="D180" s="1"/>
      <c r="E180" s="1"/>
      <c r="F180" s="1"/>
      <c r="G180" s="98"/>
      <c r="H180" s="98"/>
      <c r="I180" s="99"/>
      <c r="J180" s="99"/>
      <c r="K180" s="98"/>
      <c r="L180" s="98"/>
      <c r="P180" s="2" t="str">
        <f t="shared" si="7"/>
        <v>US FOOD</v>
      </c>
      <c r="Q180" s="1" t="s">
        <v>104</v>
      </c>
      <c r="R180" s="1"/>
      <c r="S180" s="98"/>
      <c r="T180" s="98"/>
      <c r="U180" s="99"/>
      <c r="V180" s="99"/>
      <c r="W180" s="98"/>
      <c r="X180" s="98"/>
    </row>
    <row r="181" spans="2:24" x14ac:dyDescent="0.3">
      <c r="B181" s="2" t="str">
        <f t="shared" si="6"/>
        <v/>
      </c>
      <c r="C181" s="1"/>
      <c r="D181" s="1"/>
      <c r="E181" s="1"/>
      <c r="F181" s="1"/>
      <c r="G181" s="98"/>
      <c r="H181" s="98"/>
      <c r="I181" s="99"/>
      <c r="J181" s="99"/>
      <c r="K181" s="98"/>
      <c r="L181" s="98"/>
      <c r="P181" s="2" t="str">
        <f t="shared" si="7"/>
        <v>US FOOD</v>
      </c>
      <c r="Q181" s="1" t="s">
        <v>104</v>
      </c>
      <c r="R181" s="1"/>
      <c r="S181" s="98"/>
      <c r="T181" s="98"/>
      <c r="U181" s="99"/>
      <c r="V181" s="99"/>
      <c r="W181" s="98"/>
      <c r="X181" s="98"/>
    </row>
    <row r="182" spans="2:24" x14ac:dyDescent="0.3">
      <c r="B182" s="2" t="str">
        <f t="shared" si="6"/>
        <v/>
      </c>
      <c r="C182" s="1"/>
      <c r="D182" s="1"/>
      <c r="E182" s="1"/>
      <c r="F182" s="1"/>
      <c r="G182" s="98"/>
      <c r="H182" s="98"/>
      <c r="I182" s="99"/>
      <c r="J182" s="99"/>
      <c r="K182" s="98"/>
      <c r="L182" s="98"/>
      <c r="P182" s="2" t="str">
        <f t="shared" si="7"/>
        <v>US FOOD</v>
      </c>
      <c r="Q182" s="1" t="s">
        <v>104</v>
      </c>
      <c r="R182" s="1"/>
      <c r="S182" s="98"/>
      <c r="T182" s="98"/>
      <c r="U182" s="99"/>
      <c r="V182" s="99"/>
      <c r="W182" s="98"/>
      <c r="X182" s="98"/>
    </row>
    <row r="183" spans="2:24" x14ac:dyDescent="0.3">
      <c r="B183" s="2" t="str">
        <f t="shared" si="6"/>
        <v/>
      </c>
      <c r="C183" s="1"/>
      <c r="D183" s="1"/>
      <c r="E183" s="1"/>
      <c r="F183" s="1"/>
      <c r="G183" s="98"/>
      <c r="H183" s="98"/>
      <c r="I183" s="99"/>
      <c r="J183" s="99"/>
      <c r="K183" s="98"/>
      <c r="L183" s="98"/>
      <c r="P183" s="2" t="str">
        <f t="shared" si="7"/>
        <v>US FOOD</v>
      </c>
      <c r="Q183" s="1" t="s">
        <v>104</v>
      </c>
      <c r="R183" s="1"/>
      <c r="S183" s="98"/>
      <c r="T183" s="98"/>
      <c r="U183" s="99"/>
      <c r="V183" s="99"/>
      <c r="W183" s="98"/>
      <c r="X183" s="98"/>
    </row>
    <row r="184" spans="2:24" x14ac:dyDescent="0.3">
      <c r="B184" s="2" t="str">
        <f t="shared" si="6"/>
        <v/>
      </c>
      <c r="C184" s="1"/>
      <c r="D184" s="1"/>
      <c r="E184" s="1"/>
      <c r="F184" s="1"/>
      <c r="G184" s="98"/>
      <c r="H184" s="98"/>
      <c r="I184" s="99"/>
      <c r="J184" s="99"/>
      <c r="K184" s="98"/>
      <c r="L184" s="98"/>
      <c r="P184" s="2" t="str">
        <f t="shared" si="7"/>
        <v>US FOOD</v>
      </c>
      <c r="Q184" s="1" t="s">
        <v>104</v>
      </c>
      <c r="R184" s="1"/>
      <c r="S184" s="98"/>
      <c r="T184" s="98"/>
      <c r="U184" s="99"/>
      <c r="V184" s="99"/>
      <c r="W184" s="98"/>
      <c r="X184" s="98"/>
    </row>
    <row r="185" spans="2:24" x14ac:dyDescent="0.3">
      <c r="B185" s="2" t="str">
        <f t="shared" si="6"/>
        <v/>
      </c>
      <c r="C185" s="1"/>
      <c r="D185" s="1"/>
      <c r="E185" s="1"/>
      <c r="F185" s="1"/>
      <c r="G185" s="98"/>
      <c r="H185" s="98"/>
      <c r="I185" s="99"/>
      <c r="J185" s="99"/>
      <c r="K185" s="98"/>
      <c r="L185" s="98"/>
      <c r="P185" s="2" t="str">
        <f t="shared" si="7"/>
        <v>US FOOD</v>
      </c>
      <c r="Q185" s="1" t="s">
        <v>104</v>
      </c>
      <c r="R185" s="1"/>
      <c r="S185" s="98"/>
      <c r="T185" s="98"/>
      <c r="U185" s="99"/>
      <c r="V185" s="99"/>
      <c r="W185" s="98"/>
      <c r="X185" s="98"/>
    </row>
    <row r="186" spans="2:24" x14ac:dyDescent="0.3">
      <c r="B186" s="2" t="str">
        <f t="shared" si="6"/>
        <v/>
      </c>
      <c r="C186" s="1"/>
      <c r="D186" s="1"/>
      <c r="E186" s="1"/>
      <c r="F186" s="1"/>
      <c r="G186" s="98"/>
      <c r="H186" s="98"/>
      <c r="I186" s="99"/>
      <c r="J186" s="99"/>
      <c r="K186" s="98"/>
      <c r="L186" s="98"/>
      <c r="P186" s="2" t="str">
        <f t="shared" si="7"/>
        <v>US FOOD</v>
      </c>
      <c r="Q186" s="1" t="s">
        <v>104</v>
      </c>
      <c r="R186" s="1"/>
      <c r="S186" s="98"/>
      <c r="T186" s="98"/>
      <c r="U186" s="99"/>
      <c r="V186" s="99"/>
      <c r="W186" s="98"/>
      <c r="X186" s="98"/>
    </row>
    <row r="187" spans="2:24" x14ac:dyDescent="0.3">
      <c r="B187" s="2" t="str">
        <f t="shared" si="6"/>
        <v/>
      </c>
      <c r="C187" s="1"/>
      <c r="D187" s="1"/>
      <c r="E187" s="1"/>
      <c r="F187" s="1"/>
      <c r="G187" s="98"/>
      <c r="H187" s="98"/>
      <c r="I187" s="99"/>
      <c r="J187" s="99"/>
      <c r="K187" s="98"/>
      <c r="L187" s="98"/>
      <c r="P187" s="2" t="str">
        <f t="shared" si="7"/>
        <v>US FOOD</v>
      </c>
      <c r="Q187" s="1" t="s">
        <v>104</v>
      </c>
      <c r="R187" s="1"/>
      <c r="S187" s="98"/>
      <c r="T187" s="98"/>
      <c r="U187" s="99"/>
      <c r="V187" s="99"/>
      <c r="W187" s="98"/>
      <c r="X187" s="98"/>
    </row>
    <row r="188" spans="2:24" x14ac:dyDescent="0.3">
      <c r="B188" s="2" t="str">
        <f t="shared" si="6"/>
        <v/>
      </c>
      <c r="C188" s="1"/>
      <c r="D188" s="1"/>
      <c r="E188" s="1"/>
      <c r="F188" s="1"/>
      <c r="G188" s="98"/>
      <c r="H188" s="98"/>
      <c r="I188" s="99"/>
      <c r="J188" s="99"/>
      <c r="K188" s="98"/>
      <c r="L188" s="98"/>
      <c r="P188" s="2" t="str">
        <f t="shared" si="7"/>
        <v>US FOOD</v>
      </c>
      <c r="Q188" s="1" t="s">
        <v>104</v>
      </c>
      <c r="R188" s="1"/>
      <c r="S188" s="98"/>
      <c r="T188" s="98"/>
      <c r="U188" s="99"/>
      <c r="V188" s="99"/>
      <c r="W188" s="98"/>
      <c r="X188" s="98"/>
    </row>
    <row r="189" spans="2:24" x14ac:dyDescent="0.3">
      <c r="B189" s="2" t="str">
        <f t="shared" si="6"/>
        <v/>
      </c>
      <c r="C189" s="1"/>
      <c r="D189" s="1"/>
      <c r="E189" s="1"/>
      <c r="F189" s="1"/>
      <c r="G189" s="98"/>
      <c r="H189" s="98"/>
      <c r="I189" s="99"/>
      <c r="J189" s="99"/>
      <c r="K189" s="98"/>
      <c r="L189" s="98"/>
      <c r="P189" s="2" t="str">
        <f t="shared" si="7"/>
        <v>US FOOD</v>
      </c>
      <c r="Q189" s="1" t="s">
        <v>104</v>
      </c>
      <c r="R189" s="1"/>
      <c r="S189" s="98"/>
      <c r="T189" s="98"/>
      <c r="U189" s="99"/>
      <c r="V189" s="99"/>
      <c r="W189" s="98"/>
      <c r="X189" s="98"/>
    </row>
    <row r="190" spans="2:24" x14ac:dyDescent="0.3">
      <c r="B190" s="2" t="str">
        <f t="shared" si="6"/>
        <v/>
      </c>
      <c r="C190" s="1"/>
      <c r="D190" s="1"/>
      <c r="E190" s="1"/>
      <c r="F190" s="1"/>
      <c r="G190" s="98"/>
      <c r="H190" s="98"/>
      <c r="I190" s="99"/>
      <c r="J190" s="99"/>
      <c r="K190" s="98"/>
      <c r="L190" s="98"/>
      <c r="P190" s="2" t="str">
        <f t="shared" si="7"/>
        <v>US FOOD</v>
      </c>
      <c r="Q190" s="1" t="s">
        <v>104</v>
      </c>
      <c r="R190" s="1"/>
      <c r="S190" s="98"/>
      <c r="T190" s="98"/>
      <c r="U190" s="99"/>
      <c r="V190" s="99"/>
      <c r="W190" s="98"/>
      <c r="X190" s="98"/>
    </row>
    <row r="191" spans="2:24" x14ac:dyDescent="0.3">
      <c r="B191" s="2" t="str">
        <f t="shared" si="6"/>
        <v/>
      </c>
      <c r="C191" s="1"/>
      <c r="D191" s="1"/>
      <c r="E191" s="1"/>
      <c r="F191" s="1"/>
      <c r="G191" s="98"/>
      <c r="H191" s="98"/>
      <c r="I191" s="99"/>
      <c r="J191" s="99"/>
      <c r="K191" s="98"/>
      <c r="L191" s="98"/>
      <c r="P191" s="2" t="str">
        <f t="shared" si="7"/>
        <v>US FOOD</v>
      </c>
      <c r="Q191" s="1" t="s">
        <v>104</v>
      </c>
      <c r="R191" s="1"/>
      <c r="S191" s="98"/>
      <c r="T191" s="98"/>
      <c r="U191" s="99"/>
      <c r="V191" s="99"/>
      <c r="W191" s="98"/>
      <c r="X191" s="98"/>
    </row>
    <row r="192" spans="2:24" x14ac:dyDescent="0.3">
      <c r="B192" s="2" t="str">
        <f t="shared" si="6"/>
        <v/>
      </c>
      <c r="C192" s="1"/>
      <c r="D192" s="1"/>
      <c r="E192" s="1"/>
      <c r="F192" s="1"/>
      <c r="G192" s="98"/>
      <c r="H192" s="98"/>
      <c r="I192" s="99"/>
      <c r="J192" s="99"/>
      <c r="K192" s="98"/>
      <c r="L192" s="98"/>
      <c r="P192" s="2" t="str">
        <f t="shared" si="7"/>
        <v>US FOOD</v>
      </c>
      <c r="Q192" s="1" t="s">
        <v>104</v>
      </c>
      <c r="R192" s="1"/>
      <c r="S192" s="98"/>
      <c r="T192" s="98"/>
      <c r="U192" s="99"/>
      <c r="V192" s="99"/>
      <c r="W192" s="98"/>
      <c r="X192" s="98"/>
    </row>
    <row r="193" spans="2:24" x14ac:dyDescent="0.3">
      <c r="B193" s="2" t="str">
        <f t="shared" si="6"/>
        <v/>
      </c>
      <c r="C193" s="1"/>
      <c r="D193" s="1"/>
      <c r="E193" s="1"/>
      <c r="F193" s="1"/>
      <c r="G193" s="98"/>
      <c r="H193" s="98"/>
      <c r="I193" s="99"/>
      <c r="J193" s="99"/>
      <c r="K193" s="98"/>
      <c r="L193" s="98"/>
      <c r="P193" s="2" t="str">
        <f t="shared" si="7"/>
        <v>US FOOD</v>
      </c>
      <c r="Q193" s="1" t="s">
        <v>104</v>
      </c>
      <c r="R193" s="1"/>
      <c r="S193" s="98"/>
      <c r="T193" s="98"/>
      <c r="U193" s="99"/>
      <c r="V193" s="99"/>
      <c r="W193" s="98"/>
      <c r="X193" s="98"/>
    </row>
    <row r="194" spans="2:24" x14ac:dyDescent="0.3">
      <c r="B194" s="2" t="str">
        <f t="shared" si="6"/>
        <v/>
      </c>
      <c r="C194" s="1"/>
      <c r="D194" s="1"/>
      <c r="E194" s="1"/>
      <c r="F194" s="1"/>
      <c r="G194" s="98"/>
      <c r="H194" s="98"/>
      <c r="I194" s="99"/>
      <c r="J194" s="99"/>
      <c r="K194" s="98"/>
      <c r="L194" s="98"/>
      <c r="P194" s="2" t="str">
        <f t="shared" si="7"/>
        <v>US FOOD</v>
      </c>
      <c r="Q194" s="1" t="s">
        <v>104</v>
      </c>
      <c r="R194" s="1"/>
      <c r="S194" s="98"/>
      <c r="T194" s="98"/>
      <c r="U194" s="99"/>
      <c r="V194" s="99"/>
      <c r="W194" s="98"/>
      <c r="X194" s="98"/>
    </row>
    <row r="195" spans="2:24" x14ac:dyDescent="0.3">
      <c r="B195" s="2" t="str">
        <f t="shared" si="6"/>
        <v/>
      </c>
      <c r="C195" s="1"/>
      <c r="D195" s="1"/>
      <c r="E195" s="1"/>
      <c r="F195" s="1"/>
      <c r="G195" s="98"/>
      <c r="H195" s="98"/>
      <c r="I195" s="99"/>
      <c r="J195" s="99"/>
      <c r="K195" s="98"/>
      <c r="L195" s="98"/>
      <c r="P195" s="2" t="str">
        <f t="shared" si="7"/>
        <v>US FOOD</v>
      </c>
      <c r="Q195" s="1" t="s">
        <v>104</v>
      </c>
      <c r="R195" s="1"/>
      <c r="S195" s="98"/>
      <c r="T195" s="98"/>
      <c r="U195" s="99"/>
      <c r="V195" s="99"/>
      <c r="W195" s="98"/>
      <c r="X195" s="98"/>
    </row>
    <row r="196" spans="2:24" x14ac:dyDescent="0.3">
      <c r="B196" s="2" t="str">
        <f t="shared" ref="B196:B200" si="8">C196&amp;D196&amp;E196&amp;F196</f>
        <v/>
      </c>
      <c r="C196" s="1"/>
      <c r="D196" s="1"/>
      <c r="E196" s="1"/>
      <c r="F196" s="1"/>
      <c r="G196" s="98"/>
      <c r="H196" s="98"/>
      <c r="I196" s="99"/>
      <c r="J196" s="99"/>
      <c r="K196" s="98"/>
      <c r="L196" s="98"/>
      <c r="P196" s="2" t="str">
        <f t="shared" ref="P196:P200" si="9">Q196&amp;R196</f>
        <v>US FOOD</v>
      </c>
      <c r="Q196" s="1" t="s">
        <v>104</v>
      </c>
      <c r="R196" s="1"/>
      <c r="S196" s="98"/>
      <c r="T196" s="98"/>
      <c r="U196" s="99"/>
      <c r="V196" s="99"/>
      <c r="W196" s="98"/>
      <c r="X196" s="98"/>
    </row>
    <row r="197" spans="2:24" x14ac:dyDescent="0.3">
      <c r="B197" s="2" t="str">
        <f t="shared" si="8"/>
        <v/>
      </c>
      <c r="C197" s="1"/>
      <c r="D197" s="1"/>
      <c r="E197" s="1"/>
      <c r="F197" s="1"/>
      <c r="G197" s="98"/>
      <c r="H197" s="98"/>
      <c r="I197" s="99"/>
      <c r="J197" s="99"/>
      <c r="K197" s="98"/>
      <c r="L197" s="98"/>
      <c r="P197" s="2" t="str">
        <f t="shared" si="9"/>
        <v>US FOOD</v>
      </c>
      <c r="Q197" s="1" t="s">
        <v>104</v>
      </c>
      <c r="R197" s="1"/>
      <c r="S197" s="98"/>
      <c r="T197" s="98"/>
      <c r="U197" s="99"/>
      <c r="V197" s="99"/>
      <c r="W197" s="98"/>
      <c r="X197" s="98"/>
    </row>
    <row r="198" spans="2:24" x14ac:dyDescent="0.3">
      <c r="B198" s="2" t="str">
        <f t="shared" si="8"/>
        <v/>
      </c>
      <c r="C198" s="1"/>
      <c r="D198" s="1"/>
      <c r="E198" s="1"/>
      <c r="F198" s="1"/>
      <c r="G198" s="98"/>
      <c r="H198" s="98"/>
      <c r="I198" s="99"/>
      <c r="J198" s="99"/>
      <c r="K198" s="98"/>
      <c r="L198" s="98"/>
      <c r="P198" s="2" t="str">
        <f t="shared" si="9"/>
        <v>US FOOD</v>
      </c>
      <c r="Q198" s="1" t="s">
        <v>104</v>
      </c>
      <c r="R198" s="1"/>
      <c r="S198" s="98"/>
      <c r="T198" s="98"/>
      <c r="U198" s="99"/>
      <c r="V198" s="99"/>
      <c r="W198" s="98"/>
      <c r="X198" s="98"/>
    </row>
    <row r="199" spans="2:24" x14ac:dyDescent="0.3">
      <c r="B199" s="2" t="str">
        <f t="shared" si="8"/>
        <v/>
      </c>
      <c r="C199" s="1"/>
      <c r="D199" s="1"/>
      <c r="E199" s="1"/>
      <c r="F199" s="1"/>
      <c r="G199" s="98"/>
      <c r="H199" s="98"/>
      <c r="I199" s="99"/>
      <c r="J199" s="99"/>
      <c r="K199" s="98"/>
      <c r="L199" s="98"/>
      <c r="P199" s="2" t="str">
        <f t="shared" si="9"/>
        <v>US FOOD</v>
      </c>
      <c r="Q199" s="1" t="s">
        <v>104</v>
      </c>
      <c r="R199" s="1"/>
      <c r="S199" s="98"/>
      <c r="T199" s="98"/>
      <c r="U199" s="99"/>
      <c r="V199" s="99"/>
      <c r="W199" s="98"/>
      <c r="X199" s="98"/>
    </row>
    <row r="200" spans="2:24" x14ac:dyDescent="0.3">
      <c r="B200" s="2" t="str">
        <f t="shared" si="8"/>
        <v/>
      </c>
      <c r="C200" s="1"/>
      <c r="D200" s="1"/>
      <c r="E200" s="1"/>
      <c r="F200" s="1"/>
      <c r="G200" s="98"/>
      <c r="H200" s="98"/>
      <c r="I200" s="99"/>
      <c r="J200" s="99"/>
      <c r="K200" s="98"/>
      <c r="L200" s="98"/>
      <c r="P200" s="2" t="str">
        <f t="shared" si="9"/>
        <v>US FOOD</v>
      </c>
      <c r="Q200" s="1" t="s">
        <v>104</v>
      </c>
      <c r="R200" s="1"/>
      <c r="S200" s="98"/>
      <c r="T200" s="98"/>
      <c r="U200" s="99"/>
      <c r="V200" s="99"/>
      <c r="W200" s="98"/>
      <c r="X200" s="98"/>
    </row>
  </sheetData>
  <autoFilter ref="C2:J200" xr:uid="{129FCD4A-814E-4BA7-9734-FE417110CDC8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5369C-27F8-43F4-AB6A-BF232DBC070F}">
  <sheetPr codeName="Sheet2">
    <tabColor theme="5" tint="0.59999389629810485"/>
  </sheetPr>
  <dimension ref="B1:BR229"/>
  <sheetViews>
    <sheetView topLeftCell="C16" workbookViewId="0">
      <selection activeCell="J35" sqref="J35:J38"/>
    </sheetView>
  </sheetViews>
  <sheetFormatPr defaultRowHeight="14.4" x14ac:dyDescent="0.3"/>
  <cols>
    <col min="1" max="1" width="3.77734375" customWidth="1"/>
    <col min="2" max="4" width="23.77734375" bestFit="1" customWidth="1"/>
    <col min="5" max="5" width="8" bestFit="1" customWidth="1"/>
    <col min="6" max="6" width="19.33203125" bestFit="1" customWidth="1"/>
    <col min="7" max="7" width="14.109375" bestFit="1" customWidth="1"/>
    <col min="8" max="10" width="12" bestFit="1" customWidth="1"/>
    <col min="11" max="11" width="15.109375" bestFit="1" customWidth="1"/>
    <col min="12" max="12" width="13.109375" bestFit="1" customWidth="1"/>
    <col min="13" max="13" width="16.21875" customWidth="1"/>
    <col min="14" max="14" width="16.77734375" customWidth="1"/>
    <col min="15" max="15" width="16" customWidth="1"/>
    <col min="16" max="16" width="9" bestFit="1" customWidth="1"/>
    <col min="17" max="17" width="9.5546875" bestFit="1" customWidth="1"/>
    <col min="18" max="18" width="16.6640625" bestFit="1" customWidth="1"/>
    <col min="19" max="22" width="12.44140625" bestFit="1" customWidth="1"/>
    <col min="23" max="23" width="16.88671875" bestFit="1" customWidth="1"/>
    <col min="24" max="24" width="16.6640625" bestFit="1" customWidth="1"/>
    <col min="25" max="25" width="7.77734375" customWidth="1"/>
    <col min="26" max="26" width="20.6640625" customWidth="1"/>
    <col min="27" max="27" width="18.88671875" customWidth="1"/>
    <col min="28" max="28" width="12" bestFit="1" customWidth="1"/>
    <col min="29" max="30" width="13" bestFit="1" customWidth="1"/>
    <col min="31" max="31" width="10.77734375" bestFit="1" customWidth="1"/>
    <col min="32" max="32" width="12.109375" bestFit="1" customWidth="1"/>
    <col min="33" max="33" width="13.77734375" bestFit="1" customWidth="1"/>
    <col min="34" max="34" width="13.33203125" bestFit="1" customWidth="1"/>
    <col min="35" max="35" width="13.21875" bestFit="1" customWidth="1"/>
    <col min="36" max="36" width="18.5546875" bestFit="1" customWidth="1"/>
    <col min="37" max="37" width="20.109375" bestFit="1" customWidth="1"/>
    <col min="38" max="38" width="18.5546875" bestFit="1" customWidth="1"/>
    <col min="39" max="39" width="17.21875" bestFit="1" customWidth="1"/>
    <col min="40" max="41" width="13.88671875" bestFit="1" customWidth="1"/>
    <col min="42" max="42" width="14.109375" bestFit="1" customWidth="1"/>
    <col min="43" max="45" width="12.44140625" bestFit="1" customWidth="1"/>
    <col min="46" max="46" width="14.109375" bestFit="1" customWidth="1"/>
    <col min="47" max="48" width="12" bestFit="1" customWidth="1"/>
    <col min="49" max="49" width="13.109375" bestFit="1" customWidth="1"/>
    <col min="50" max="57" width="15.21875" customWidth="1"/>
    <col min="58" max="72" width="12" bestFit="1" customWidth="1"/>
  </cols>
  <sheetData>
    <row r="1" spans="2:55" x14ac:dyDescent="0.3">
      <c r="B1" s="103" t="s">
        <v>93</v>
      </c>
      <c r="I1" s="18" t="s">
        <v>98</v>
      </c>
      <c r="P1" s="18" t="s">
        <v>94</v>
      </c>
      <c r="Y1" s="18" t="s">
        <v>95</v>
      </c>
      <c r="AR1" s="18" t="s">
        <v>97</v>
      </c>
      <c r="AS1" s="18" t="s">
        <v>96</v>
      </c>
      <c r="AX1" s="18" t="s">
        <v>99</v>
      </c>
      <c r="AY1" s="4"/>
    </row>
    <row r="2" spans="2:55" x14ac:dyDescent="0.3">
      <c r="B2" s="101" t="str">
        <f>"L0_"&amp;B3</f>
        <v>L0_Graph_Colour</v>
      </c>
      <c r="D2" s="4" t="str">
        <f t="shared" ref="D2:F2" si="0">"L0_"&amp;D3</f>
        <v>L0_Key_Brand</v>
      </c>
      <c r="E2" s="4" t="str">
        <f t="shared" si="0"/>
        <v>L0_Channel</v>
      </c>
      <c r="F2" s="4" t="str">
        <f t="shared" si="0"/>
        <v>L0_Brand</v>
      </c>
      <c r="G2" s="4" t="str">
        <f>"L0_"&amp;G3</f>
        <v>L0_RSV</v>
      </c>
      <c r="H2" s="4" t="str">
        <f t="shared" ref="H2:AY2" si="1">"L0_"&amp;H3</f>
        <v>L0_Vol</v>
      </c>
      <c r="I2" s="4" t="str">
        <f t="shared" si="1"/>
        <v>L0_CSF</v>
      </c>
      <c r="J2" s="4" t="str">
        <f t="shared" si="1"/>
        <v>L0_MCV</v>
      </c>
      <c r="K2" s="4" t="str">
        <f t="shared" si="1"/>
        <v>L0_RSV_Total</v>
      </c>
      <c r="L2" s="4" t="str">
        <f t="shared" si="1"/>
        <v>L0_Volume_Total</v>
      </c>
      <c r="M2" s="4" t="str">
        <f t="shared" si="1"/>
        <v>L0_Current Price</v>
      </c>
      <c r="N2" s="4" t="str">
        <f t="shared" si="1"/>
        <v>L0_Price_FP</v>
      </c>
      <c r="O2" s="4" t="str">
        <f t="shared" si="1"/>
        <v>L0_Elasticity</v>
      </c>
      <c r="P2" s="4" t="str">
        <f t="shared" si="1"/>
        <v>L0_Val Share</v>
      </c>
      <c r="Q2" s="4" t="str">
        <f t="shared" si="1"/>
        <v>L0_Vol. Share</v>
      </c>
      <c r="R2" s="4" t="str">
        <f t="shared" si="1"/>
        <v>L0_NSV_to_RSV_o</v>
      </c>
      <c r="S2" s="4" t="str">
        <f t="shared" si="1"/>
        <v>L0_NSV_to_GM_o</v>
      </c>
      <c r="T2" s="4" t="str">
        <f t="shared" si="1"/>
        <v>L0_NSV_o</v>
      </c>
      <c r="U2" s="4" t="str">
        <f t="shared" si="1"/>
        <v>L0_GM_o</v>
      </c>
      <c r="V2" s="4" t="str">
        <f t="shared" si="1"/>
        <v>L0_Fixed Cost</v>
      </c>
      <c r="W2" s="4" t="str">
        <f t="shared" si="1"/>
        <v>L0_Fixed Cost per Unit</v>
      </c>
      <c r="X2" s="4" t="str">
        <f t="shared" si="1"/>
        <v>L0_TPV</v>
      </c>
      <c r="Y2" s="4" t="str">
        <f t="shared" si="1"/>
        <v>L0_PVS</v>
      </c>
      <c r="Z2" s="4" t="str">
        <f t="shared" si="1"/>
        <v>L0_MS Headroom</v>
      </c>
      <c r="AA2" s="4" t="str">
        <f t="shared" si="1"/>
        <v>L0_RSV_i</v>
      </c>
      <c r="AB2" s="4" t="str">
        <f t="shared" si="1"/>
        <v>L0_Vol_i</v>
      </c>
      <c r="AC2" s="4" t="str">
        <f t="shared" si="1"/>
        <v>L0_NSV_i</v>
      </c>
      <c r="AD2" s="4" t="str">
        <f t="shared" si="1"/>
        <v>L0_GM_i</v>
      </c>
      <c r="AE2" s="4" t="str">
        <f t="shared" si="1"/>
        <v>L0_Vol_Share_i</v>
      </c>
      <c r="AF2" s="4" t="str">
        <f t="shared" si="1"/>
        <v>L0_New Price</v>
      </c>
      <c r="AG2" s="4" t="str">
        <f t="shared" si="1"/>
        <v>L0_NSV_to_RSV</v>
      </c>
      <c r="AH2" s="4" t="str">
        <f t="shared" si="1"/>
        <v>L0_NSV_to_GM</v>
      </c>
      <c r="AI2" s="4" t="str">
        <f t="shared" si="1"/>
        <v>L0_Price_Chng</v>
      </c>
      <c r="AJ2" s="4" t="str">
        <f t="shared" si="1"/>
        <v>L0_Revised_New_Vol</v>
      </c>
      <c r="AK2" s="4" t="str">
        <f t="shared" si="1"/>
        <v>L0_New Category Price</v>
      </c>
      <c r="AL2" s="4" t="str">
        <f t="shared" si="1"/>
        <v>L0_Chg Category Price</v>
      </c>
      <c r="AM2" s="4" t="str">
        <f t="shared" si="1"/>
        <v>L0_Chng in Cat Vol.</v>
      </c>
      <c r="AN2" s="4" t="str">
        <f t="shared" si="1"/>
        <v>L0_New Cat Vol</v>
      </c>
      <c r="AO2" s="4" t="str">
        <f t="shared" si="1"/>
        <v>L0_New Cat Val</v>
      </c>
      <c r="AP2" s="4" t="str">
        <f t="shared" si="1"/>
        <v>L0_TPV_n</v>
      </c>
      <c r="AQ2" s="4" t="str">
        <f t="shared" si="1"/>
        <v>L0_TPV_Share</v>
      </c>
      <c r="AR2" s="4" t="str">
        <f t="shared" si="1"/>
        <v>L0_PVS_N</v>
      </c>
      <c r="AS2" s="4" t="str">
        <f t="shared" si="1"/>
        <v>L0_MSP_N</v>
      </c>
      <c r="AT2" s="4" t="str">
        <f t="shared" si="1"/>
        <v>L0_RSV_N</v>
      </c>
      <c r="AU2" s="4" t="str">
        <f t="shared" si="1"/>
        <v>L0_New Vol</v>
      </c>
      <c r="AV2" s="4" t="str">
        <f t="shared" si="1"/>
        <v>L0_New NSV</v>
      </c>
      <c r="AW2" s="4" t="str">
        <f t="shared" si="1"/>
        <v>L0_New GP</v>
      </c>
      <c r="AX2" s="4" t="str">
        <f t="shared" si="1"/>
        <v>L0_Final CSF</v>
      </c>
      <c r="AY2" s="4" t="str">
        <f t="shared" si="1"/>
        <v>L0_Vol_Share</v>
      </c>
      <c r="AZ2" s="83" t="str">
        <f t="shared" ref="AZ2" si="2">"L0_"&amp;AZ3</f>
        <v>L0_Current RPI_1</v>
      </c>
      <c r="BA2" s="83" t="str">
        <f t="shared" ref="BA2" si="3">"L0_"&amp;BA3</f>
        <v>L0_Current RPI_2</v>
      </c>
      <c r="BB2" s="83" t="str">
        <f t="shared" ref="BB2" si="4">"L0_"&amp;BB3</f>
        <v>L0_Proposed RPI_1</v>
      </c>
      <c r="BC2" s="83" t="str">
        <f t="shared" ref="BC2" si="5">"L0_"&amp;BC3</f>
        <v>L0_Proposed RPI_2</v>
      </c>
    </row>
    <row r="3" spans="2:55" x14ac:dyDescent="0.3">
      <c r="B3" s="101" t="s">
        <v>86</v>
      </c>
      <c r="D3" s="4" t="s">
        <v>42</v>
      </c>
      <c r="E3" s="4" t="s">
        <v>0</v>
      </c>
      <c r="F3" s="4" t="s">
        <v>1</v>
      </c>
      <c r="G3" s="186" t="s">
        <v>3</v>
      </c>
      <c r="H3" s="186" t="s">
        <v>4</v>
      </c>
      <c r="I3" s="186" t="s">
        <v>5</v>
      </c>
      <c r="J3" s="6" t="s">
        <v>6</v>
      </c>
      <c r="K3" s="6" t="s">
        <v>7</v>
      </c>
      <c r="L3" s="6" t="s">
        <v>8</v>
      </c>
      <c r="M3" s="164" t="s">
        <v>10</v>
      </c>
      <c r="N3" s="5" t="s">
        <v>12</v>
      </c>
      <c r="O3" s="164" t="s">
        <v>11</v>
      </c>
      <c r="P3" s="164" t="s">
        <v>20</v>
      </c>
      <c r="Q3" s="164" t="s">
        <v>19</v>
      </c>
      <c r="R3" s="164" t="s">
        <v>27</v>
      </c>
      <c r="S3" s="164" t="s">
        <v>28</v>
      </c>
      <c r="T3" s="165" t="s">
        <v>29</v>
      </c>
      <c r="U3" s="165" t="s">
        <v>30</v>
      </c>
      <c r="V3" s="165" t="s">
        <v>47</v>
      </c>
      <c r="W3" s="165" t="s">
        <v>48</v>
      </c>
      <c r="X3" s="164" t="s">
        <v>22</v>
      </c>
      <c r="Y3" s="164" t="s">
        <v>23</v>
      </c>
      <c r="Z3" s="164" t="s">
        <v>24</v>
      </c>
      <c r="AA3" s="164" t="s">
        <v>68</v>
      </c>
      <c r="AB3" s="164" t="s">
        <v>26</v>
      </c>
      <c r="AC3" s="164" t="s">
        <v>21</v>
      </c>
      <c r="AD3" s="164" t="s">
        <v>69</v>
      </c>
      <c r="AE3" s="187" t="s">
        <v>131</v>
      </c>
      <c r="AF3" s="164" t="s">
        <v>13</v>
      </c>
      <c r="AG3" s="31" t="s">
        <v>16</v>
      </c>
      <c r="AH3" s="31" t="s">
        <v>17</v>
      </c>
      <c r="AI3" s="164" t="s">
        <v>14</v>
      </c>
      <c r="AJ3" s="164" t="s">
        <v>15</v>
      </c>
      <c r="AK3" s="17" t="s">
        <v>31</v>
      </c>
      <c r="AL3" s="17" t="s">
        <v>83</v>
      </c>
      <c r="AM3" s="18" t="s">
        <v>32</v>
      </c>
      <c r="AN3" s="18" t="s">
        <v>34</v>
      </c>
      <c r="AO3" s="18" t="s">
        <v>35</v>
      </c>
      <c r="AP3" s="182" t="s">
        <v>36</v>
      </c>
      <c r="AQ3" s="182" t="s">
        <v>37</v>
      </c>
      <c r="AR3" s="182" t="s">
        <v>44</v>
      </c>
      <c r="AS3" s="182" t="s">
        <v>45</v>
      </c>
      <c r="AT3" s="4" t="s">
        <v>46</v>
      </c>
      <c r="AU3" s="4" t="s">
        <v>38</v>
      </c>
      <c r="AV3" s="4" t="s">
        <v>39</v>
      </c>
      <c r="AW3" s="4" t="s">
        <v>40</v>
      </c>
      <c r="AX3" s="4" t="s">
        <v>70</v>
      </c>
      <c r="AY3" s="4" t="s">
        <v>132</v>
      </c>
      <c r="AZ3" s="83" t="s">
        <v>72</v>
      </c>
      <c r="BA3" s="83" t="s">
        <v>73</v>
      </c>
      <c r="BB3" s="83" t="s">
        <v>74</v>
      </c>
      <c r="BC3" s="83" t="s">
        <v>75</v>
      </c>
    </row>
    <row r="4" spans="2:55" ht="14.4" customHeight="1" x14ac:dyDescent="0.3">
      <c r="B4" s="102" t="s">
        <v>87</v>
      </c>
      <c r="C4" s="4">
        <v>1</v>
      </c>
      <c r="D4" s="96" t="str">
        <f>IFERROR(E4&amp;F4,"")</f>
        <v>US FOODKRAFT</v>
      </c>
      <c r="E4" s="3" t="s">
        <v>104</v>
      </c>
      <c r="F4" s="97" t="str">
        <f>IFERROR(INDEX('Input - US Food'!$Z$3:$Z$200,MATCH('Calculations - US Food'!$C4,'Input - US Food'!$AA$3:$AA$200,0)),"")</f>
        <v>KRAFT</v>
      </c>
      <c r="G4" s="20">
        <f>IFERROR(INDEX('Input - US Food'!S$2:S$200,MATCH('Calculations - US Food'!$D4,'Input - US Food'!$P$2:$P$200,0)),"")</f>
        <v>169716861.44960001</v>
      </c>
      <c r="H4" s="20">
        <f>IFERROR(INDEX('Input - US Food'!T$2:T$200,MATCH('Calculations - US Food'!$D4,'Input - US Food'!$P$2:$P$200,0)),"")</f>
        <v>50063777.629299998</v>
      </c>
      <c r="I4" s="27">
        <f>IFERROR(INDEX('Input - US Food'!U$2:U$200,MATCH('Calculations - US Food'!$D4,'Input - US Food'!$P$2:$P$200,0)),"")</f>
        <v>2.0737012395424501</v>
      </c>
      <c r="J4" s="27">
        <f>IFERROR(INDEX('Input - US Food'!V$2:V$200,MATCH('Calculations - US Food'!$D4,'Input - US Food'!$P$2:$P$200,0)),"")</f>
        <v>7.0298743447860499</v>
      </c>
      <c r="K4" s="20">
        <f>IFERROR(INDEX('Input - US Food'!W$2:W$200,MATCH('Calculations - US Food'!$D4,'Input - US Food'!$P$2:$P$200,0)),"")</f>
        <v>650720047.40439999</v>
      </c>
      <c r="L4" s="20">
        <f>IFERROR(INDEX('Input - US Food'!X$2:X$200,MATCH('Calculations - US Food'!$D4,'Input - US Food'!$P$2:$P$200,0)),"")</f>
        <v>226650230.4815</v>
      </c>
      <c r="M4" s="21">
        <f>IFERROR(G4/H4,"")</f>
        <v>3.3900130890297144</v>
      </c>
      <c r="N4" s="21">
        <f t="shared" ref="N4:N24" si="6">IFERROR(K4/L4,"")</f>
        <v>2.8710319244855746</v>
      </c>
      <c r="O4" s="21">
        <f>IFERROR((M4/(M4-J4)*5),"")</f>
        <v>-4.6567888867583989</v>
      </c>
      <c r="P4" s="9">
        <f t="shared" ref="P4:P23" si="7">IFERROR(G4/SUM(G$4:G$23),"")</f>
        <v>9.6178507252862491E-2</v>
      </c>
      <c r="Q4" s="9">
        <f t="shared" ref="Q4:Q23" si="8">IFERROR(H4/SUM(H$4:H$23),"")</f>
        <v>9.7885775776830108E-2</v>
      </c>
      <c r="R4" s="8">
        <f>IFERROR(T4/G4,"-")</f>
        <v>0.8</v>
      </c>
      <c r="S4" s="8">
        <f>IFERROR(U4/T4,"-")</f>
        <v>0.29999999999999993</v>
      </c>
      <c r="T4">
        <f>IFERROR(SUMIFS(V$32:V$229,$B$32:$B$229,$D4),"-")</f>
        <v>135773489.15968001</v>
      </c>
      <c r="U4">
        <f t="shared" ref="U4:U23" si="9">IFERROR(SUMIFS(W$32:W$229,$B$32:$B$229,$D4),"-")</f>
        <v>40732046.747903995</v>
      </c>
      <c r="V4">
        <f>IFERROR(T4-U4,"-")</f>
        <v>95041442.411776006</v>
      </c>
      <c r="W4">
        <f t="shared" ref="W4:W23" si="10">IFERROR(V4/H4,"-")</f>
        <v>1.8984073298566402</v>
      </c>
      <c r="X4" s="10">
        <f t="shared" ref="X4:X23" si="11">IFERROR((J4+M4)*H4*0.5,"-")</f>
        <v>260829463.70444492</v>
      </c>
      <c r="Y4" s="7">
        <f>IFERROR(X4/$X$24,"")</f>
        <v>9.3009611966128447E-2</v>
      </c>
      <c r="Z4" s="13">
        <f>IFERROR(Y4-P4,"-")</f>
        <v>-3.1688952867340442E-3</v>
      </c>
      <c r="AA4">
        <f>IFERROR(Y4*$G$24,"-")</f>
        <v>164125020.011336</v>
      </c>
      <c r="AB4" s="16">
        <f t="shared" ref="AB4:AB23" si="12">IFERROR(AA4/M4,"-")</f>
        <v>48414273.249402605</v>
      </c>
      <c r="AC4" s="16">
        <f>IFERROR(R4*AA4,"-")</f>
        <v>131300016.0090688</v>
      </c>
      <c r="AD4" s="16">
        <f>IFERROR(AC4-(W4)*AB4,"-")</f>
        <v>39390004.802720636</v>
      </c>
      <c r="AE4" s="9">
        <f>IFERROR(AB4/$AB$24,"")</f>
        <v>9.4579897748849659E-2</v>
      </c>
      <c r="AF4" s="27" cm="1">
        <f t="array" ref="AF4">IFERROR(SUM(_xlfn._xlws.FILTER($AH$32:$AH$229*$AL$32:$AL$229,$B$32:$B$229=D4))/SUM(_xlfn._xlws.FILTER($AL$32:$AL$229,$B$32:$B$229=D4)),"-")</f>
        <v>3.390013089029714</v>
      </c>
      <c r="AG4" s="163">
        <f>IFERROR(SUMIFS(AX$32:AX$229,$F$32:$F$229,$F4)/SUMIFS(AV$32:AV$229,$F$32:$F$229,$F4),"-")</f>
        <v>0.79999999999999993</v>
      </c>
      <c r="AH4" s="126">
        <f>IFERROR(SUMIFS(AY$32:AY$229,$F$32:$F$229,$F4)/SUMIFS(AX$32:AX$229,$F$32:$F$229,$F4),"-")</f>
        <v>0.29999999999999993</v>
      </c>
      <c r="AI4" s="9">
        <f t="shared" ref="AI4:AI23" si="13">IFERROR((AF4-M4)/M4,"")</f>
        <v>-1.3099926112001216E-16</v>
      </c>
      <c r="AJ4" s="4">
        <f t="shared" ref="AJ4:AJ23" si="14">IFERROR(MAX((1+AI4*O4/5)*H4,0),"")</f>
        <v>50063777.629300006</v>
      </c>
      <c r="AK4" s="180">
        <f>SUMPRODUCT(AF$4:AF$23,AJ$4:AJ$23)/SUM(AJ$4:AJ$23)</f>
        <v>3.4501893467826279</v>
      </c>
      <c r="AL4" s="24">
        <f>$AK4/$M$24-1</f>
        <v>0</v>
      </c>
      <c r="AM4" s="24">
        <f>$AL4*$O$24/5</f>
        <v>0</v>
      </c>
      <c r="AN4" s="25">
        <f>(1+$AM4)*$H$24</f>
        <v>511450997.16470003</v>
      </c>
      <c r="AO4" s="25">
        <f>AN4*AK4</f>
        <v>1764602781.819</v>
      </c>
      <c r="AP4" s="20">
        <f t="shared" ref="AP4:AP23" si="15">IFERROR(0.5*(J4+AF4)*AJ4,"-")</f>
        <v>260829463.70444492</v>
      </c>
      <c r="AQ4" s="13">
        <f>IFERROR(AP4/AP$24,"")</f>
        <v>9.3009611966128447E-2</v>
      </c>
      <c r="AR4" s="9">
        <f>IFERROR(AQ4*$P$24,"")</f>
        <v>9.3009611966128447E-2</v>
      </c>
      <c r="AS4" s="13">
        <f>IFERROR(AR4-P4,"")</f>
        <v>-3.1688952867340442E-3</v>
      </c>
      <c r="AT4" s="16">
        <f>IFERROR(AR4*AO$4,"-")</f>
        <v>164125020.011336</v>
      </c>
      <c r="AU4" s="16">
        <f t="shared" ref="AU4:AU23" si="16">IFERROR(AT4/AF4,"-")</f>
        <v>48414273.249402612</v>
      </c>
      <c r="AV4" s="4">
        <f>IFERROR(AG4*AT4,"-")</f>
        <v>131300016.00906879</v>
      </c>
      <c r="AW4" s="16">
        <f t="shared" ref="AW4:AW23" si="17">IFERROR(AV4-(W4*AU4),"-")</f>
        <v>39390004.802720606</v>
      </c>
      <c r="AX4">
        <f t="shared" ref="AX4:AX23" si="18">IFERROR(J4/AF4,"")</f>
        <v>2.0737012395424506</v>
      </c>
      <c r="AY4" s="9">
        <f>IFERROR(AU4/$AU$24,"-")</f>
        <v>9.4579897748849659E-2</v>
      </c>
      <c r="AZ4" s="20">
        <f>IFERROR(100*$M$4/$M4,"")</f>
        <v>100</v>
      </c>
      <c r="BA4" s="20">
        <f>IFERROR(100*$M$5/$M4,"")</f>
        <v>107.44248592596355</v>
      </c>
      <c r="BB4" s="20">
        <f>IFERROR(100*$AF$4/$AF4,"")</f>
        <v>100</v>
      </c>
      <c r="BC4" s="20">
        <f>IFERROR(100*$AF$5/$AF4,"")</f>
        <v>107.44248592596357</v>
      </c>
    </row>
    <row r="5" spans="2:55" s="103" customFormat="1" ht="14.4" customHeight="1" x14ac:dyDescent="0.3">
      <c r="B5" s="18" t="s">
        <v>88</v>
      </c>
      <c r="C5" s="18">
        <v>2</v>
      </c>
      <c r="D5" s="103" t="str">
        <f t="shared" ref="D5:D24" si="19">IFERROR(E5&amp;F5,"")</f>
        <v>US FOODMIRACLE WHIP</v>
      </c>
      <c r="E5" s="191" t="s">
        <v>104</v>
      </c>
      <c r="F5" s="191" t="str">
        <f>IFERROR(INDEX('Input - US Food'!$Z$3:$Z$200,MATCH('Calculations - US Food'!$C5,'Input - US Food'!$AA$3:$AA$200,0)),"")</f>
        <v>MIRACLE WHIP</v>
      </c>
      <c r="G5" s="25">
        <f>IFERROR(INDEX('Input - US Food'!S$2:S$200,MATCH('Calculations - US Food'!$D5,'Input - US Food'!$P$2:$P$200,0)),"")</f>
        <v>204951437.91</v>
      </c>
      <c r="H5" s="25">
        <f>IFERROR(INDEX('Input - US Food'!T$2:T$200,MATCH('Calculations - US Food'!$D5,'Input - US Food'!$P$2:$P$200,0)),"")</f>
        <v>56269563.524599999</v>
      </c>
      <c r="I5" s="188">
        <f>IFERROR(INDEX('Input - US Food'!U$2:U$200,MATCH('Calculations - US Food'!$D5,'Input - US Food'!$P$2:$P$200,0)),"")</f>
        <v>2.0226676839361799</v>
      </c>
      <c r="J5" s="188">
        <f>IFERROR(INDEX('Input - US Food'!V$2:V$200,MATCH('Calculations - US Food'!$D5,'Input - US Food'!$P$2:$P$200,0)),"")</f>
        <v>7.3671915023043901</v>
      </c>
      <c r="K5" s="25">
        <f>IFERROR(INDEX('Input - US Food'!W$2:W$200,MATCH('Calculations - US Food'!$D5,'Input - US Food'!$P$2:$P$200,0)),"")</f>
        <v>775251677.03740001</v>
      </c>
      <c r="L5" s="25">
        <f>IFERROR(INDEX('Input - US Food'!X$2:X$200,MATCH('Calculations - US Food'!$D5,'Input - US Food'!$P$2:$P$200,0)),"")</f>
        <v>240114140.1911</v>
      </c>
      <c r="M5" s="192">
        <f t="shared" ref="M5:M24" si="20">IFERROR(G5/H5,"")</f>
        <v>3.6423143360690733</v>
      </c>
      <c r="N5" s="192">
        <f t="shared" si="6"/>
        <v>3.2286798121110207</v>
      </c>
      <c r="O5" s="192">
        <f t="shared" ref="O5:O24" si="21">IFERROR((M5/(M5-J5)*5),"")</f>
        <v>-4.8891737546211642</v>
      </c>
      <c r="P5" s="24">
        <f t="shared" si="7"/>
        <v>0.11614593381674858</v>
      </c>
      <c r="Q5" s="24">
        <f t="shared" si="8"/>
        <v>0.11001946195537436</v>
      </c>
      <c r="R5" s="196">
        <f t="shared" ref="R5:R23" si="22">IFERROR(T5/G5,"-")</f>
        <v>0.8</v>
      </c>
      <c r="S5" s="196">
        <f t="shared" ref="S5:S23" si="23">IFERROR(U5/T5,"-")</f>
        <v>0.3</v>
      </c>
      <c r="T5" s="103">
        <f t="shared" ref="T5:T23" si="24">IFERROR(SUMIFS(V$32:V$229,$B$32:$B$229,$D5),"-")</f>
        <v>163961150.32800001</v>
      </c>
      <c r="U5" s="103">
        <f t="shared" si="9"/>
        <v>49188345.098399997</v>
      </c>
      <c r="V5" s="103">
        <f t="shared" ref="V5:V23" si="25">IFERROR(T5-U5,"-")</f>
        <v>114772805.22960001</v>
      </c>
      <c r="W5" s="103">
        <f t="shared" si="10"/>
        <v>2.0396960281986813</v>
      </c>
      <c r="X5" s="195">
        <f t="shared" si="11"/>
        <v>309750044.07340509</v>
      </c>
      <c r="Y5" s="197">
        <f t="shared" ref="Y5:Y23" si="26">IFERROR(X5/$X$24,"")</f>
        <v>0.11045428302687428</v>
      </c>
      <c r="Z5" s="183">
        <f t="shared" ref="Z5:Z23" si="27">IFERROR(Y5-P5,"-")</f>
        <v>-5.6916507898742974E-3</v>
      </c>
      <c r="AA5" s="103">
        <f t="shared" ref="AA5:AA23" si="28">IFERROR(Y5*$G$24,"-")</f>
        <v>194907935.0930455</v>
      </c>
      <c r="AB5" s="194">
        <f t="shared" si="12"/>
        <v>53512112.659501456</v>
      </c>
      <c r="AC5" s="194">
        <f t="shared" ref="AC5:AC23" si="29">IFERROR(R5*AA5,"-")</f>
        <v>155926348.0744364</v>
      </c>
      <c r="AD5" s="194">
        <f t="shared" ref="AD5:AD23" si="30">IFERROR(AC5-(W5)*AB5,"-")</f>
        <v>46777904.422330901</v>
      </c>
      <c r="AE5" s="24">
        <f t="shared" ref="AE5:AE23" si="31">IFERROR(AB5/$AB$24,"")</f>
        <v>0.10453880238144486</v>
      </c>
      <c r="AF5" s="188" cm="1">
        <f t="array" ref="AF5">IFERROR(SUM(_xlfn._xlws.FILTER($AH$32:$AH$229*$AL$32:$AL$229,$B$32:$B$229=D5))/SUM(_xlfn._xlws.FILTER($AL$32:$AL$229,$B$32:$B$229=D5)),"-")</f>
        <v>3.6423143360690733</v>
      </c>
      <c r="AG5" s="198">
        <f t="shared" ref="AG5:AG23" si="32">IFERROR(SUMIFS(AX$32:AX$229,$F$32:$F$229,$F5)/SUMIFS(AV$32:AV$229,$F$32:$F$229,$F5),"-")</f>
        <v>0.79999999999999993</v>
      </c>
      <c r="AH5" s="19">
        <f t="shared" ref="AH5:AH23" si="33">IFERROR(SUMIFS(AY$32:AY$229,$F$32:$F$229,$F5)/SUMIFS(AX$32:AX$229,$F$32:$F$229,$F5),"-")</f>
        <v>0.3</v>
      </c>
      <c r="AI5" s="24">
        <f t="shared" si="13"/>
        <v>0</v>
      </c>
      <c r="AJ5" s="18">
        <f t="shared" si="14"/>
        <v>56269563.524599999</v>
      </c>
      <c r="AP5" s="25">
        <f t="shared" si="15"/>
        <v>309750044.07340509</v>
      </c>
      <c r="AQ5" s="183">
        <f t="shared" ref="AQ5:AQ24" si="34">IFERROR(AP5/AP$24,"")</f>
        <v>0.11045428302687428</v>
      </c>
      <c r="AR5" s="24">
        <f t="shared" ref="AR5:AR24" si="35">IFERROR(AQ5*$P$24,"")</f>
        <v>0.11045428302687428</v>
      </c>
      <c r="AS5" s="183">
        <f t="shared" ref="AS5:AS24" si="36">IFERROR(AR5-P5,"")</f>
        <v>-5.6916507898742974E-3</v>
      </c>
      <c r="AT5" s="194">
        <f t="shared" ref="AT5:AT23" si="37">IFERROR(AR5*AO$4,"-")</f>
        <v>194907935.0930455</v>
      </c>
      <c r="AU5" s="194">
        <f t="shared" si="16"/>
        <v>53512112.659501456</v>
      </c>
      <c r="AV5" s="18">
        <f t="shared" ref="AV5:AV23" si="38">IFERROR(AG5*AT5,"-")</f>
        <v>155926348.0744364</v>
      </c>
      <c r="AW5" s="194">
        <f t="shared" si="17"/>
        <v>46777904.422330901</v>
      </c>
      <c r="AX5" s="103">
        <f t="shared" si="18"/>
        <v>2.0226676839361835</v>
      </c>
      <c r="AY5" s="24">
        <f t="shared" ref="AY5:AY23" si="39">IFERROR(AU5/$AU$24,"-")</f>
        <v>0.10453880238144483</v>
      </c>
      <c r="AZ5" s="25">
        <f t="shared" ref="AZ5:AZ24" si="40">IFERROR(100*$M$4/$M5,"")</f>
        <v>93.073051259171336</v>
      </c>
      <c r="BA5" s="25">
        <f t="shared" ref="BA5:BA24" si="41">IFERROR(100*$M$5/$M5,"")</f>
        <v>100</v>
      </c>
      <c r="BB5" s="25">
        <f t="shared" ref="BB5:BB24" si="42">IFERROR(100*$AF$4/$AF5,"")</f>
        <v>93.073051259171322</v>
      </c>
      <c r="BC5" s="25">
        <f t="shared" ref="BC5:BC24" si="43">IFERROR(100*$AF$5/$AF5,"")</f>
        <v>100</v>
      </c>
    </row>
    <row r="6" spans="2:55" ht="14.4" customHeight="1" x14ac:dyDescent="0.3">
      <c r="B6" s="102" t="s">
        <v>89</v>
      </c>
      <c r="C6" s="4">
        <v>3</v>
      </c>
      <c r="D6" s="96" t="str">
        <f t="shared" si="19"/>
        <v>US FOODHELLMANNS BEST FOODS</v>
      </c>
      <c r="E6" s="3" t="s">
        <v>104</v>
      </c>
      <c r="F6" s="97" t="str">
        <f>IFERROR(INDEX('Input - US Food'!$Z$3:$Z$200,MATCH('Calculations - US Food'!$C6,'Input - US Food'!$AA$3:$AA$200,0)),"")</f>
        <v>HELLMANNS BEST FOODS</v>
      </c>
      <c r="G6" s="20">
        <f>IFERROR(INDEX('Input - US Food'!S$2:S$200,MATCH('Calculations - US Food'!$D6,'Input - US Food'!$P$2:$P$200,0)),"")</f>
        <v>815208285.3096</v>
      </c>
      <c r="H6" s="20">
        <f>IFERROR(INDEX('Input - US Food'!T$2:T$200,MATCH('Calculations - US Food'!$D6,'Input - US Food'!$P$2:$P$200,0)),"")</f>
        <v>220167137.30770001</v>
      </c>
      <c r="I6" s="27">
        <f>IFERROR(INDEX('Input - US Food'!U$2:U$200,MATCH('Calculations - US Food'!$D6,'Input - US Food'!$P$2:$P$200,0)),"")</f>
        <v>2.20499773298901</v>
      </c>
      <c r="J6" s="27">
        <f>IFERROR(INDEX('Input - US Food'!V$2:V$200,MATCH('Calculations - US Food'!$D6,'Input - US Food'!$P$2:$P$200,0)),"")</f>
        <v>8.1643992968366401</v>
      </c>
      <c r="K6" s="20">
        <f>IFERROR(INDEX('Input - US Food'!W$2:W$200,MATCH('Calculations - US Food'!$D6,'Input - US Food'!$P$2:$P$200,0)),"")</f>
        <v>2814723820.9288998</v>
      </c>
      <c r="L6" s="20">
        <f>IFERROR(INDEX('Input - US Food'!X$2:X$200,MATCH('Calculations - US Food'!$D6,'Input - US Food'!$P$2:$P$200,0)),"")</f>
        <v>862787684.70510006</v>
      </c>
      <c r="M6" s="21">
        <f t="shared" si="20"/>
        <v>3.7026792248758067</v>
      </c>
      <c r="N6" s="21">
        <f t="shared" si="6"/>
        <v>3.2623597564341331</v>
      </c>
      <c r="O6" s="21">
        <f t="shared" si="21"/>
        <v>-4.1493853997529655</v>
      </c>
      <c r="P6" s="9">
        <f t="shared" si="7"/>
        <v>0.46197835213047855</v>
      </c>
      <c r="Q6" s="9">
        <f t="shared" si="8"/>
        <v>0.43047552654746446</v>
      </c>
      <c r="R6" s="8">
        <f t="shared" si="22"/>
        <v>0</v>
      </c>
      <c r="S6" s="8" t="str">
        <f t="shared" si="23"/>
        <v>-</v>
      </c>
      <c r="T6">
        <f t="shared" si="24"/>
        <v>0</v>
      </c>
      <c r="U6">
        <f t="shared" si="9"/>
        <v>0</v>
      </c>
      <c r="V6">
        <f t="shared" si="25"/>
        <v>0</v>
      </c>
      <c r="W6">
        <f t="shared" si="10"/>
        <v>0</v>
      </c>
      <c r="X6" s="10">
        <f t="shared" si="11"/>
        <v>1306370353.165561</v>
      </c>
      <c r="Y6" s="7">
        <f t="shared" si="26"/>
        <v>0.46584077544883734</v>
      </c>
      <c r="Z6" s="13">
        <f t="shared" si="27"/>
        <v>3.8624233183587875E-3</v>
      </c>
      <c r="AA6">
        <f t="shared" si="28"/>
        <v>822023928.24173844</v>
      </c>
      <c r="AB6" s="16">
        <f t="shared" si="12"/>
        <v>222007870.06314605</v>
      </c>
      <c r="AC6" s="16">
        <f t="shared" si="29"/>
        <v>0</v>
      </c>
      <c r="AD6" s="16">
        <f t="shared" si="30"/>
        <v>0</v>
      </c>
      <c r="AE6" s="9">
        <f t="shared" si="31"/>
        <v>0.43370436527767869</v>
      </c>
      <c r="AF6" s="27" cm="1">
        <f t="array" ref="AF6">IFERROR(SUM(_xlfn._xlws.FILTER($AH$32:$AH$229*$AL$32:$AL$229,$B$32:$B$229=D6))/SUM(_xlfn._xlws.FILTER($AL$32:$AL$229,$B$32:$B$229=D6)),"-")</f>
        <v>3.7026792248758063</v>
      </c>
      <c r="AG6" s="163">
        <f t="shared" si="32"/>
        <v>0</v>
      </c>
      <c r="AH6" s="30" t="str">
        <f t="shared" si="33"/>
        <v>-</v>
      </c>
      <c r="AI6" s="9">
        <f t="shared" si="13"/>
        <v>-1.1993726241974364E-16</v>
      </c>
      <c r="AJ6" s="4">
        <f t="shared" si="14"/>
        <v>220167137.30770001</v>
      </c>
      <c r="AP6" s="20">
        <f t="shared" si="15"/>
        <v>1306370353.165561</v>
      </c>
      <c r="AQ6" s="13">
        <f t="shared" si="34"/>
        <v>0.46584077544883734</v>
      </c>
      <c r="AR6" s="9">
        <f t="shared" si="35"/>
        <v>0.46584077544883734</v>
      </c>
      <c r="AS6" s="13">
        <f t="shared" si="36"/>
        <v>3.8624233183587875E-3</v>
      </c>
      <c r="AT6" s="16">
        <f t="shared" si="37"/>
        <v>822023928.24173844</v>
      </c>
      <c r="AU6" s="16">
        <f t="shared" si="16"/>
        <v>222007870.06314608</v>
      </c>
      <c r="AV6" s="4">
        <f t="shared" si="38"/>
        <v>0</v>
      </c>
      <c r="AW6" s="16">
        <f t="shared" si="17"/>
        <v>0</v>
      </c>
      <c r="AX6">
        <f t="shared" si="18"/>
        <v>2.2049977329890051</v>
      </c>
      <c r="AY6" s="9">
        <f t="shared" si="39"/>
        <v>0.43370436527767869</v>
      </c>
      <c r="AZ6" s="20">
        <f t="shared" si="40"/>
        <v>91.555678554450537</v>
      </c>
      <c r="BA6" s="20">
        <f t="shared" si="41"/>
        <v>98.36969704528596</v>
      </c>
      <c r="BB6" s="20">
        <f t="shared" si="42"/>
        <v>91.555678554450537</v>
      </c>
      <c r="BC6" s="20">
        <f t="shared" si="43"/>
        <v>98.36969704528596</v>
      </c>
    </row>
    <row r="7" spans="2:55" ht="14.4" customHeight="1" x14ac:dyDescent="0.3">
      <c r="B7" s="102" t="s">
        <v>90</v>
      </c>
      <c r="C7" s="4">
        <v>4</v>
      </c>
      <c r="D7" s="96" t="str">
        <f t="shared" si="19"/>
        <v>US FOODDUKES</v>
      </c>
      <c r="E7" s="3" t="s">
        <v>104</v>
      </c>
      <c r="F7" s="97" t="str">
        <f>IFERROR(INDEX('Input - US Food'!$Z$3:$Z$200,MATCH('Calculations - US Food'!$C7,'Input - US Food'!$AA$3:$AA$200,0)),"")</f>
        <v>DUKES</v>
      </c>
      <c r="G7" s="20">
        <f>IFERROR(INDEX('Input - US Food'!S$2:S$200,MATCH('Calculations - US Food'!$D7,'Input - US Food'!$P$2:$P$200,0)),"")</f>
        <v>175092349.72240001</v>
      </c>
      <c r="H7" s="20">
        <f>IFERROR(INDEX('Input - US Food'!T$2:T$200,MATCH('Calculations - US Food'!$D7,'Input - US Food'!$P$2:$P$200,0)),"")</f>
        <v>58781344.817599997</v>
      </c>
      <c r="I7" s="27">
        <f>IFERROR(INDEX('Input - US Food'!U$2:U$200,MATCH('Calculations - US Food'!$D7,'Input - US Food'!$P$2:$P$200,0)),"")</f>
        <v>2.2432487578206901</v>
      </c>
      <c r="J7" s="27">
        <f>IFERROR(INDEX('Input - US Food'!V$2:V$200,MATCH('Calculations - US Food'!$D7,'Input - US Food'!$P$2:$P$200,0)),"")</f>
        <v>6.6819787338563401</v>
      </c>
      <c r="K7" s="20">
        <f>IFERROR(INDEX('Input - US Food'!W$2:W$200,MATCH('Calculations - US Food'!$D7,'Input - US Food'!$P$2:$P$200,0)),"")</f>
        <v>509845721.53280002</v>
      </c>
      <c r="L7" s="20">
        <f>IFERROR(INDEX('Input - US Food'!X$2:X$200,MATCH('Calculations - US Food'!$D7,'Input - US Food'!$P$2:$P$200,0)),"")</f>
        <v>183229024.71340001</v>
      </c>
      <c r="M7" s="21">
        <f t="shared" si="20"/>
        <v>2.9787060889082415</v>
      </c>
      <c r="N7" s="21">
        <f t="shared" si="6"/>
        <v>2.7825598173121406</v>
      </c>
      <c r="O7" s="21">
        <f t="shared" si="21"/>
        <v>-4.0217212915334617</v>
      </c>
      <c r="P7" s="9">
        <f t="shared" si="7"/>
        <v>9.922479524933657E-2</v>
      </c>
      <c r="Q7" s="9">
        <f t="shared" si="8"/>
        <v>0.11493055081222363</v>
      </c>
      <c r="R7" s="8">
        <f t="shared" si="22"/>
        <v>0</v>
      </c>
      <c r="S7" s="8" t="str">
        <f t="shared" si="23"/>
        <v>-</v>
      </c>
      <c r="T7">
        <f t="shared" si="24"/>
        <v>0</v>
      </c>
      <c r="U7">
        <f t="shared" si="9"/>
        <v>0</v>
      </c>
      <c r="V7">
        <f t="shared" si="25"/>
        <v>0</v>
      </c>
      <c r="W7">
        <f t="shared" si="10"/>
        <v>0</v>
      </c>
      <c r="X7" s="10">
        <f t="shared" si="11"/>
        <v>283934022.8705399</v>
      </c>
      <c r="Y7" s="7">
        <f t="shared" si="26"/>
        <v>0.10124850511940348</v>
      </c>
      <c r="Z7" s="13">
        <f t="shared" si="27"/>
        <v>2.0237098700669059E-3</v>
      </c>
      <c r="AA7">
        <f t="shared" si="28"/>
        <v>178663393.78871465</v>
      </c>
      <c r="AB7" s="16">
        <f t="shared" si="12"/>
        <v>59980202.294546805</v>
      </c>
      <c r="AC7" s="16">
        <f t="shared" si="29"/>
        <v>0</v>
      </c>
      <c r="AD7" s="16">
        <f t="shared" si="30"/>
        <v>0</v>
      </c>
      <c r="AE7" s="9">
        <f t="shared" si="31"/>
        <v>0.11717456483855315</v>
      </c>
      <c r="AF7" s="27" cm="1">
        <f t="array" ref="AF7">IFERROR(SUM(_xlfn._xlws.FILTER($AH$32:$AH$229*$AL$32:$AL$229,$B$32:$B$229=D7))/SUM(_xlfn._xlws.FILTER($AL$32:$AL$229,$B$32:$B$229=D7)),"-")</f>
        <v>2.9787060889082415</v>
      </c>
      <c r="AG7" s="163">
        <f t="shared" si="32"/>
        <v>0</v>
      </c>
      <c r="AH7" s="30" t="str">
        <f t="shared" si="33"/>
        <v>-</v>
      </c>
      <c r="AI7" s="9">
        <f t="shared" si="13"/>
        <v>0</v>
      </c>
      <c r="AJ7" s="4">
        <f t="shared" si="14"/>
        <v>58781344.817599997</v>
      </c>
      <c r="AP7" s="20">
        <f t="shared" si="15"/>
        <v>283934022.8705399</v>
      </c>
      <c r="AQ7" s="13">
        <f t="shared" si="34"/>
        <v>0.10124850511940348</v>
      </c>
      <c r="AR7" s="9">
        <f t="shared" si="35"/>
        <v>0.10124850511940348</v>
      </c>
      <c r="AS7" s="13">
        <f t="shared" si="36"/>
        <v>2.0237098700669059E-3</v>
      </c>
      <c r="AT7" s="16">
        <f t="shared" si="37"/>
        <v>178663393.78871465</v>
      </c>
      <c r="AU7" s="16">
        <f t="shared" si="16"/>
        <v>59980202.294546805</v>
      </c>
      <c r="AV7" s="4">
        <f t="shared" si="38"/>
        <v>0</v>
      </c>
      <c r="AW7" s="16">
        <f t="shared" si="17"/>
        <v>0</v>
      </c>
      <c r="AX7">
        <f t="shared" si="18"/>
        <v>2.2432487578206906</v>
      </c>
      <c r="AY7" s="9">
        <f t="shared" si="39"/>
        <v>0.11717456483855312</v>
      </c>
      <c r="AZ7" s="20">
        <f t="shared" si="40"/>
        <v>113.80824384295752</v>
      </c>
      <c r="BA7" s="20">
        <f t="shared" si="41"/>
        <v>122.27840637355591</v>
      </c>
      <c r="BB7" s="20">
        <f t="shared" si="42"/>
        <v>113.80824384295751</v>
      </c>
      <c r="BC7" s="20">
        <f t="shared" si="43"/>
        <v>122.27840637355591</v>
      </c>
    </row>
    <row r="8" spans="2:55" ht="14.4" customHeight="1" x14ac:dyDescent="0.3">
      <c r="B8" s="102" t="s">
        <v>91</v>
      </c>
      <c r="C8" s="4">
        <v>5</v>
      </c>
      <c r="D8" s="96" t="str">
        <f t="shared" si="19"/>
        <v>US FOODPRIVATE LABEL</v>
      </c>
      <c r="E8" s="3" t="s">
        <v>104</v>
      </c>
      <c r="F8" s="97" t="str">
        <f>IFERROR(INDEX('Input - US Food'!$Z$3:$Z$200,MATCH('Calculations - US Food'!$C8,'Input - US Food'!$AA$3:$AA$200,0)),"")</f>
        <v>PRIVATE LABEL</v>
      </c>
      <c r="G8" s="20">
        <f>IFERROR(INDEX('Input - US Food'!S$2:S$200,MATCH('Calculations - US Food'!$D8,'Input - US Food'!$P$2:$P$200,0)),"")</f>
        <v>179215848.8371</v>
      </c>
      <c r="H8" s="20">
        <f>IFERROR(INDEX('Input - US Food'!T$2:T$200,MATCH('Calculations - US Food'!$D8,'Input - US Food'!$P$2:$P$200,0)),"")</f>
        <v>77118373.038399994</v>
      </c>
      <c r="I8" s="27">
        <f>IFERROR(INDEX('Input - US Food'!U$2:U$200,MATCH('Calculations - US Food'!$D8,'Input - US Food'!$P$2:$P$200,0)),"")</f>
        <v>2.2322043719954499</v>
      </c>
      <c r="J8" s="27">
        <f>IFERROR(INDEX('Input - US Food'!V$2:V$200,MATCH('Calculations - US Food'!$D8,'Input - US Food'!$P$2:$P$200,0)),"")</f>
        <v>5.1874331050248204</v>
      </c>
      <c r="K8" s="20">
        <f>IFERROR(INDEX('Input - US Food'!W$2:W$200,MATCH('Calculations - US Food'!$D8,'Input - US Food'!$P$2:$P$200,0)),"")</f>
        <v>575532857.6293</v>
      </c>
      <c r="L8" s="20">
        <f>IFERROR(INDEX('Input - US Food'!X$2:X$200,MATCH('Calculations - US Food'!$D8,'Input - US Food'!$P$2:$P$200,0)),"")</f>
        <v>283476148.1548</v>
      </c>
      <c r="M8" s="21">
        <f t="shared" si="20"/>
        <v>2.3239059873301788</v>
      </c>
      <c r="N8" s="21">
        <f t="shared" si="6"/>
        <v>2.0302690768713787</v>
      </c>
      <c r="O8" s="21">
        <f t="shared" si="21"/>
        <v>-4.057768430007223</v>
      </c>
      <c r="P8" s="9">
        <f t="shared" si="7"/>
        <v>0.10156158127120228</v>
      </c>
      <c r="Q8" s="9">
        <f t="shared" si="8"/>
        <v>0.15078350314285524</v>
      </c>
      <c r="R8" s="8">
        <f t="shared" si="22"/>
        <v>0</v>
      </c>
      <c r="S8" s="8" t="str">
        <f t="shared" si="23"/>
        <v>-</v>
      </c>
      <c r="T8">
        <f t="shared" si="24"/>
        <v>0</v>
      </c>
      <c r="U8">
        <f t="shared" si="9"/>
        <v>0</v>
      </c>
      <c r="V8">
        <f t="shared" si="25"/>
        <v>0</v>
      </c>
      <c r="W8">
        <f t="shared" si="10"/>
        <v>0</v>
      </c>
      <c r="X8" s="10">
        <f t="shared" si="11"/>
        <v>289631125.07107484</v>
      </c>
      <c r="Y8" s="7">
        <f t="shared" si="26"/>
        <v>0.10328004426178949</v>
      </c>
      <c r="Z8" s="13">
        <f t="shared" si="27"/>
        <v>1.7184629905872134E-3</v>
      </c>
      <c r="AA8">
        <f t="shared" si="28"/>
        <v>182248253.41074318</v>
      </c>
      <c r="AB8" s="16">
        <f t="shared" si="12"/>
        <v>78423247.069525048</v>
      </c>
      <c r="AC8" s="16">
        <f t="shared" si="29"/>
        <v>0</v>
      </c>
      <c r="AD8" s="16">
        <f t="shared" si="30"/>
        <v>0</v>
      </c>
      <c r="AE8" s="9">
        <f t="shared" si="31"/>
        <v>0.15320404895388937</v>
      </c>
      <c r="AF8" s="27" cm="1">
        <f t="array" ref="AF8">IFERROR(SUM(_xlfn._xlws.FILTER($AH$32:$AH$229*$AL$32:$AL$229,$B$32:$B$229=D8))/SUM(_xlfn._xlws.FILTER($AL$32:$AL$229,$B$32:$B$229=D8)),"-")</f>
        <v>2.3239059873301788</v>
      </c>
      <c r="AG8" s="163">
        <f t="shared" si="32"/>
        <v>0</v>
      </c>
      <c r="AH8" s="30" t="str">
        <f t="shared" si="33"/>
        <v>-</v>
      </c>
      <c r="AI8" s="9">
        <f t="shared" si="13"/>
        <v>0</v>
      </c>
      <c r="AJ8" s="4">
        <f t="shared" si="14"/>
        <v>77118373.038399994</v>
      </c>
      <c r="AP8" s="20">
        <f t="shared" si="15"/>
        <v>289631125.07107484</v>
      </c>
      <c r="AQ8" s="13">
        <f t="shared" si="34"/>
        <v>0.10328004426178949</v>
      </c>
      <c r="AR8" s="9">
        <f t="shared" si="35"/>
        <v>0.10328004426178949</v>
      </c>
      <c r="AS8" s="13">
        <f t="shared" si="36"/>
        <v>1.7184629905872134E-3</v>
      </c>
      <c r="AT8" s="16">
        <f t="shared" si="37"/>
        <v>182248253.41074318</v>
      </c>
      <c r="AU8" s="16">
        <f t="shared" si="16"/>
        <v>78423247.069525048</v>
      </c>
      <c r="AV8" s="4">
        <f t="shared" si="38"/>
        <v>0</v>
      </c>
      <c r="AW8" s="16">
        <f t="shared" si="17"/>
        <v>0</v>
      </c>
      <c r="AX8">
        <f t="shared" si="18"/>
        <v>2.2322043719954467</v>
      </c>
      <c r="AY8" s="9">
        <f t="shared" si="39"/>
        <v>0.15320404895388934</v>
      </c>
      <c r="AZ8" s="20">
        <f t="shared" si="40"/>
        <v>145.87565536264802</v>
      </c>
      <c r="BA8" s="20">
        <f t="shared" si="41"/>
        <v>156.7324304824202</v>
      </c>
      <c r="BB8" s="20">
        <f t="shared" si="42"/>
        <v>145.87565536264799</v>
      </c>
      <c r="BC8" s="20">
        <f t="shared" si="43"/>
        <v>156.7324304824202</v>
      </c>
    </row>
    <row r="9" spans="2:55" ht="14.4" customHeight="1" x14ac:dyDescent="0.3">
      <c r="B9" s="102" t="s">
        <v>92</v>
      </c>
      <c r="C9" s="4">
        <v>6</v>
      </c>
      <c r="D9" s="96" t="str">
        <f t="shared" si="19"/>
        <v>US FOODMCCORMICK AIOLI</v>
      </c>
      <c r="E9" s="3" t="s">
        <v>104</v>
      </c>
      <c r="F9" s="97" t="str">
        <f>IFERROR(INDEX('Input - US Food'!$Z$3:$Z$200,MATCH('Calculations - US Food'!$C9,'Input - US Food'!$AA$3:$AA$200,0)),"")</f>
        <v>MCCORMICK AIOLI</v>
      </c>
      <c r="G9" s="20">
        <f>IFERROR(INDEX('Input - US Food'!S$2:S$200,MATCH('Calculations - US Food'!$D9,'Input - US Food'!$P$2:$P$200,0)),"")</f>
        <v>35614820.524999999</v>
      </c>
      <c r="H9" s="20">
        <f>IFERROR(INDEX('Input - US Food'!T$2:T$200,MATCH('Calculations - US Food'!$D9,'Input - US Food'!$P$2:$P$200,0)),"")</f>
        <v>7751208.6317999996</v>
      </c>
      <c r="I9" s="27">
        <f>IFERROR(INDEX('Input - US Food'!U$2:U$200,MATCH('Calculations - US Food'!$D9,'Input - US Food'!$P$2:$P$200,0)),"")</f>
        <v>2.1207997463947401</v>
      </c>
      <c r="J9" s="27">
        <f>IFERROR(INDEX('Input - US Food'!V$2:V$200,MATCH('Calculations - US Food'!$D9,'Input - US Food'!$P$2:$P$200,0)),"")</f>
        <v>9.7445322304238005</v>
      </c>
      <c r="K9" s="20">
        <f>IFERROR(INDEX('Input - US Food'!W$2:W$200,MATCH('Calculations - US Food'!$D9,'Input - US Food'!$P$2:$P$200,0)),"")</f>
        <v>108027217.16949999</v>
      </c>
      <c r="L9" s="20">
        <f>IFERROR(INDEX('Input - US Food'!X$2:X$200,MATCH('Calculations - US Food'!$D9,'Input - US Food'!$P$2:$P$200,0)),"")</f>
        <v>27955762.396400001</v>
      </c>
      <c r="M9" s="21">
        <f t="shared" si="20"/>
        <v>4.594744151110465</v>
      </c>
      <c r="N9" s="21">
        <f t="shared" si="6"/>
        <v>3.8642200358453178</v>
      </c>
      <c r="O9" s="21">
        <f t="shared" si="21"/>
        <v>-4.4611002242670157</v>
      </c>
      <c r="P9" s="9">
        <f t="shared" si="7"/>
        <v>2.0182910789864721E-2</v>
      </c>
      <c r="Q9" s="9">
        <f t="shared" si="8"/>
        <v>1.515532998228551E-2</v>
      </c>
      <c r="R9" s="8">
        <f t="shared" si="22"/>
        <v>0</v>
      </c>
      <c r="S9" s="8" t="str">
        <f t="shared" si="23"/>
        <v>-</v>
      </c>
      <c r="T9">
        <f t="shared" si="24"/>
        <v>0</v>
      </c>
      <c r="U9">
        <f t="shared" si="9"/>
        <v>0</v>
      </c>
      <c r="V9">
        <f t="shared" si="25"/>
        <v>0</v>
      </c>
      <c r="W9">
        <f t="shared" si="10"/>
        <v>0</v>
      </c>
      <c r="X9" s="10">
        <f t="shared" si="11"/>
        <v>55573361.431157134</v>
      </c>
      <c r="Y9" s="7">
        <f t="shared" si="26"/>
        <v>1.9816997316769197E-2</v>
      </c>
      <c r="Z9" s="13">
        <f t="shared" si="27"/>
        <v>-3.6591347309552352E-4</v>
      </c>
      <c r="AA9">
        <f t="shared" si="28"/>
        <v>34969128.592470586</v>
      </c>
      <c r="AB9" s="16">
        <f t="shared" si="12"/>
        <v>7610680.2560528191</v>
      </c>
      <c r="AC9" s="16">
        <f t="shared" si="29"/>
        <v>0</v>
      </c>
      <c r="AD9" s="16">
        <f t="shared" si="30"/>
        <v>0</v>
      </c>
      <c r="AE9" s="9">
        <f t="shared" si="31"/>
        <v>1.4867874948955195E-2</v>
      </c>
      <c r="AF9" s="27" cm="1">
        <f t="array" ref="AF9">IFERROR(SUM(_xlfn._xlws.FILTER($AH$32:$AH$229*$AL$32:$AL$229,$B$32:$B$229=D9))/SUM(_xlfn._xlws.FILTER($AL$32:$AL$229,$B$32:$B$229=D9)),"-")</f>
        <v>4.5947441511104641</v>
      </c>
      <c r="AG9" s="163">
        <f t="shared" si="32"/>
        <v>0</v>
      </c>
      <c r="AH9" s="30" t="str">
        <f t="shared" si="33"/>
        <v>-</v>
      </c>
      <c r="AI9" s="9">
        <f t="shared" si="13"/>
        <v>-1.9330312863785221E-16</v>
      </c>
      <c r="AJ9" s="4">
        <f t="shared" si="14"/>
        <v>7751208.6318000015</v>
      </c>
      <c r="AP9" s="20">
        <f t="shared" si="15"/>
        <v>55573361.431157142</v>
      </c>
      <c r="AQ9" s="13">
        <f t="shared" si="34"/>
        <v>1.9816997316769201E-2</v>
      </c>
      <c r="AR9" s="9">
        <f t="shared" si="35"/>
        <v>1.9816997316769201E-2</v>
      </c>
      <c r="AS9" s="13">
        <f t="shared" si="36"/>
        <v>-3.6591347309552005E-4</v>
      </c>
      <c r="AT9" s="16">
        <f t="shared" si="37"/>
        <v>34969128.592470594</v>
      </c>
      <c r="AU9" s="16">
        <f t="shared" si="16"/>
        <v>7610680.2560528219</v>
      </c>
      <c r="AV9" s="4">
        <f t="shared" si="38"/>
        <v>0</v>
      </c>
      <c r="AW9" s="16">
        <f t="shared" si="17"/>
        <v>0</v>
      </c>
      <c r="AX9">
        <f t="shared" si="18"/>
        <v>2.1207997463947428</v>
      </c>
      <c r="AY9" s="9">
        <f t="shared" si="39"/>
        <v>1.4867874948955197E-2</v>
      </c>
      <c r="AZ9" s="20">
        <f t="shared" si="40"/>
        <v>73.780236233837115</v>
      </c>
      <c r="BA9" s="20">
        <f t="shared" si="41"/>
        <v>79.271319931683095</v>
      </c>
      <c r="BB9" s="20">
        <f t="shared" si="42"/>
        <v>73.780236233837115</v>
      </c>
      <c r="BC9" s="20">
        <f t="shared" si="43"/>
        <v>79.271319931683109</v>
      </c>
    </row>
    <row r="10" spans="2:55" x14ac:dyDescent="0.3">
      <c r="B10" s="102" t="s">
        <v>126</v>
      </c>
      <c r="C10" s="4">
        <v>7</v>
      </c>
      <c r="D10" s="96" t="str">
        <f t="shared" si="19"/>
        <v>US FOODRESTOFCATEGORY</v>
      </c>
      <c r="E10" s="3" t="s">
        <v>104</v>
      </c>
      <c r="F10" s="97" t="str">
        <f>IFERROR(INDEX('Input - US Food'!$Z$3:$Z$200,MATCH('Calculations - US Food'!$C10,'Input - US Food'!$AA$3:$AA$200,0)),"")</f>
        <v>RESTOFCATEGORY</v>
      </c>
      <c r="G10" s="20">
        <f>IFERROR(INDEX('Input - US Food'!S$2:S$200,MATCH('Calculations - US Food'!$D10,'Input - US Food'!$P$2:$P$200,0)),"")</f>
        <v>184803178.06529999</v>
      </c>
      <c r="H10" s="20">
        <f>IFERROR(INDEX('Input - US Food'!T$2:T$200,MATCH('Calculations - US Food'!$D10,'Input - US Food'!$P$2:$P$200,0)),"")</f>
        <v>41299592.215300001</v>
      </c>
      <c r="I10" s="27">
        <f>IFERROR(INDEX('Input - US Food'!U$2:U$200,MATCH('Calculations - US Food'!$D10,'Input - US Food'!$P$2:$P$200,0)),"")</f>
        <v>2.2276466481725499</v>
      </c>
      <c r="J10" s="27">
        <f>IFERROR(INDEX('Input - US Food'!V$2:V$200,MATCH('Calculations - US Food'!$D10,'Input - US Food'!$P$2:$P$200,0)),"")</f>
        <v>9.9680446732422894</v>
      </c>
      <c r="K10" s="20">
        <f>IFERROR(INDEX('Input - US Food'!W$2:W$200,MATCH('Calculations - US Food'!$D10,'Input - US Food'!$P$2:$P$200,0)),"")</f>
        <v>621515223.61670005</v>
      </c>
      <c r="L10" s="20">
        <f>IFERROR(INDEX('Input - US Food'!X$2:X$200,MATCH('Calculations - US Food'!$D10,'Input - US Food'!$P$2:$P$200,0)),"")</f>
        <v>157999906.74829999</v>
      </c>
      <c r="M10" s="21">
        <f t="shared" si="20"/>
        <v>4.4746974038362808</v>
      </c>
      <c r="N10" s="21">
        <f t="shared" si="6"/>
        <v>3.9336429774404742</v>
      </c>
      <c r="O10" s="21">
        <f t="shared" si="21"/>
        <v>-4.0728331783766212</v>
      </c>
      <c r="P10" s="9">
        <f t="shared" si="7"/>
        <v>0.10472791948950681</v>
      </c>
      <c r="Q10" s="9">
        <f t="shared" si="8"/>
        <v>8.0749851782966606E-2</v>
      </c>
      <c r="R10" s="8">
        <f t="shared" si="22"/>
        <v>0</v>
      </c>
      <c r="S10" s="8" t="str">
        <f t="shared" si="23"/>
        <v>-</v>
      </c>
      <c r="T10">
        <f t="shared" si="24"/>
        <v>0</v>
      </c>
      <c r="U10">
        <f t="shared" si="9"/>
        <v>0</v>
      </c>
      <c r="V10">
        <f t="shared" si="25"/>
        <v>0</v>
      </c>
      <c r="W10">
        <f t="shared" si="10"/>
        <v>0</v>
      </c>
      <c r="X10" s="10">
        <f t="shared" si="11"/>
        <v>298239679.12704992</v>
      </c>
      <c r="Y10" s="7">
        <f t="shared" si="26"/>
        <v>0.10634978286019783</v>
      </c>
      <c r="Z10" s="13">
        <f t="shared" si="27"/>
        <v>1.6218633706910207E-3</v>
      </c>
      <c r="AA10">
        <f t="shared" si="28"/>
        <v>187665122.68095171</v>
      </c>
      <c r="AB10" s="16">
        <f t="shared" si="12"/>
        <v>41939176.159724511</v>
      </c>
      <c r="AC10" s="16">
        <f t="shared" si="29"/>
        <v>0</v>
      </c>
      <c r="AD10" s="16">
        <f t="shared" si="30"/>
        <v>0</v>
      </c>
      <c r="AE10" s="9">
        <f t="shared" si="31"/>
        <v>8.193044585062903E-2</v>
      </c>
      <c r="AF10" s="27" cm="1">
        <f t="array" ref="AF10">IFERROR(SUM(_xlfn._xlws.FILTER($AH$32:$AH$229*$AL$32:$AL$229,$B$32:$B$229=D10))/SUM(_xlfn._xlws.FILTER($AL$32:$AL$229,$B$32:$B$229=D10)),"-")</f>
        <v>4.4746974038362799</v>
      </c>
      <c r="AG10" s="163">
        <f t="shared" si="32"/>
        <v>0</v>
      </c>
      <c r="AH10" s="30" t="str">
        <f t="shared" si="33"/>
        <v>-</v>
      </c>
      <c r="AI10" s="9">
        <f t="shared" si="13"/>
        <v>-1.9848904619531714E-16</v>
      </c>
      <c r="AJ10" s="4">
        <f t="shared" si="14"/>
        <v>41299592.215300009</v>
      </c>
      <c r="AP10" s="20">
        <f t="shared" si="15"/>
        <v>298239679.12704998</v>
      </c>
      <c r="AQ10" s="13">
        <f t="shared" si="34"/>
        <v>0.10634978286019786</v>
      </c>
      <c r="AR10" s="9">
        <f t="shared" si="35"/>
        <v>0.10634978286019786</v>
      </c>
      <c r="AS10" s="13">
        <f t="shared" si="36"/>
        <v>1.6218633706910485E-3</v>
      </c>
      <c r="AT10" s="16">
        <f t="shared" si="37"/>
        <v>187665122.68095174</v>
      </c>
      <c r="AU10" s="16">
        <f t="shared" si="16"/>
        <v>41939176.159724526</v>
      </c>
      <c r="AV10" s="4">
        <f t="shared" si="38"/>
        <v>0</v>
      </c>
      <c r="AW10" s="16">
        <f t="shared" si="17"/>
        <v>0</v>
      </c>
      <c r="AX10">
        <f t="shared" si="18"/>
        <v>2.2276466481725476</v>
      </c>
      <c r="AY10" s="9">
        <f t="shared" si="39"/>
        <v>8.1930445850629044E-2</v>
      </c>
      <c r="AZ10" s="20">
        <f t="shared" si="40"/>
        <v>75.759605244443193</v>
      </c>
      <c r="BA10" s="20">
        <f t="shared" si="41"/>
        <v>81.398003202326422</v>
      </c>
      <c r="BB10" s="20">
        <f t="shared" si="42"/>
        <v>75.759605244443193</v>
      </c>
      <c r="BC10" s="20">
        <f t="shared" si="43"/>
        <v>81.398003202326436</v>
      </c>
    </row>
    <row r="11" spans="2:55" x14ac:dyDescent="0.3">
      <c r="B11" s="102" t="str">
        <f>""</f>
        <v/>
      </c>
      <c r="C11" s="4">
        <v>8</v>
      </c>
      <c r="D11" s="96" t="str">
        <f t="shared" si="19"/>
        <v/>
      </c>
      <c r="E11" s="3"/>
      <c r="F11" s="97" t="str">
        <f>IFERROR(INDEX('Input - US Food'!$Z$3:$Z$200,MATCH('Calculations - US Food'!$C11,'Input - US Food'!$AA$3:$AA$200,0)),"")</f>
        <v/>
      </c>
      <c r="G11" s="20" t="str">
        <f>IFERROR(INDEX('Input - US Food'!S$2:S$200,MATCH('Calculations - US Food'!$D11,'Input - US Food'!$P$2:$P$200,0)),"")</f>
        <v/>
      </c>
      <c r="H11" s="20" t="str">
        <f>IFERROR(INDEX('Input - US Food'!T$2:T$200,MATCH('Calculations - US Food'!$D11,'Input - US Food'!$P$2:$P$200,0)),"")</f>
        <v/>
      </c>
      <c r="I11" s="27" t="str">
        <f>IFERROR(INDEX('Input - US Food'!U$2:U$200,MATCH('Calculations - US Food'!$D11,'Input - US Food'!$P$2:$P$200,0)),"")</f>
        <v/>
      </c>
      <c r="J11" s="27" t="str">
        <f>IFERROR(INDEX('Input - US Food'!V$2:V$200,MATCH('Calculations - US Food'!$D11,'Input - US Food'!$P$2:$P$200,0)),"")</f>
        <v/>
      </c>
      <c r="K11" s="20" t="str">
        <f>IFERROR(INDEX('Input - US Food'!W$2:W$200,MATCH('Calculations - US Food'!$D11,'Input - US Food'!$P$2:$P$200,0)),"")</f>
        <v/>
      </c>
      <c r="L11" s="20" t="str">
        <f>IFERROR(INDEX('Input - US Food'!X$2:X$200,MATCH('Calculations - US Food'!$D11,'Input - US Food'!$P$2:$P$200,0)),"")</f>
        <v/>
      </c>
      <c r="M11" s="21" t="str">
        <f t="shared" si="20"/>
        <v/>
      </c>
      <c r="N11" s="21" t="str">
        <f t="shared" si="6"/>
        <v/>
      </c>
      <c r="O11" s="21" t="str">
        <f t="shared" si="21"/>
        <v/>
      </c>
      <c r="P11" s="9" t="str">
        <f t="shared" si="7"/>
        <v/>
      </c>
      <c r="Q11" s="9" t="str">
        <f t="shared" si="8"/>
        <v/>
      </c>
      <c r="R11" s="8" t="str">
        <f t="shared" si="22"/>
        <v>-</v>
      </c>
      <c r="S11" s="8" t="str">
        <f t="shared" si="23"/>
        <v>-</v>
      </c>
      <c r="T11" t="str">
        <f t="shared" si="24"/>
        <v>-</v>
      </c>
      <c r="U11" t="str">
        <f t="shared" si="9"/>
        <v>-</v>
      </c>
      <c r="V11" t="str">
        <f t="shared" si="25"/>
        <v>-</v>
      </c>
      <c r="W11" t="str">
        <f t="shared" si="10"/>
        <v>-</v>
      </c>
      <c r="X11" s="10" t="str">
        <f t="shared" si="11"/>
        <v>-</v>
      </c>
      <c r="Y11" s="7" t="str">
        <f t="shared" si="26"/>
        <v/>
      </c>
      <c r="Z11" s="13" t="str">
        <f t="shared" si="27"/>
        <v>-</v>
      </c>
      <c r="AA11" t="str">
        <f t="shared" si="28"/>
        <v>-</v>
      </c>
      <c r="AB11" s="16" t="str">
        <f t="shared" si="12"/>
        <v>-</v>
      </c>
      <c r="AC11" s="16" t="str">
        <f t="shared" si="29"/>
        <v>-</v>
      </c>
      <c r="AD11" s="16" t="str">
        <f t="shared" si="30"/>
        <v>-</v>
      </c>
      <c r="AE11" s="9" t="str">
        <f t="shared" si="31"/>
        <v/>
      </c>
      <c r="AF11" s="27" t="str" cm="1">
        <f t="array" ref="AF11">IFERROR(SUM(_xlfn._xlws.FILTER($AH$32:$AH$229*$AL$32:$AL$229,$B$32:$B$229=D11))/SUM(_xlfn._xlws.FILTER($AL$32:$AL$229,$B$32:$B$229=D11)),"-")</f>
        <v>-</v>
      </c>
      <c r="AG11" s="163" t="str">
        <f t="shared" si="32"/>
        <v>-</v>
      </c>
      <c r="AH11" s="30" t="str">
        <f t="shared" si="33"/>
        <v>-</v>
      </c>
      <c r="AI11" s="9" t="str">
        <f t="shared" si="13"/>
        <v/>
      </c>
      <c r="AJ11" s="4" t="str">
        <f t="shared" si="14"/>
        <v/>
      </c>
      <c r="AP11" s="20" t="str">
        <f t="shared" si="15"/>
        <v>-</v>
      </c>
      <c r="AQ11" s="13" t="str">
        <f t="shared" si="34"/>
        <v/>
      </c>
      <c r="AR11" s="9" t="str">
        <f t="shared" si="35"/>
        <v/>
      </c>
      <c r="AS11" s="13" t="str">
        <f t="shared" si="36"/>
        <v/>
      </c>
      <c r="AT11" s="16" t="str">
        <f t="shared" si="37"/>
        <v>-</v>
      </c>
      <c r="AU11" s="16" t="str">
        <f t="shared" si="16"/>
        <v>-</v>
      </c>
      <c r="AV11" s="4" t="str">
        <f t="shared" si="38"/>
        <v>-</v>
      </c>
      <c r="AW11" s="16" t="str">
        <f t="shared" si="17"/>
        <v>-</v>
      </c>
      <c r="AX11" t="str">
        <f t="shared" si="18"/>
        <v/>
      </c>
      <c r="AY11" s="9" t="str">
        <f t="shared" si="39"/>
        <v>-</v>
      </c>
      <c r="AZ11" s="20" t="str">
        <f t="shared" si="40"/>
        <v/>
      </c>
      <c r="BA11" s="20" t="str">
        <f t="shared" si="41"/>
        <v/>
      </c>
      <c r="BB11" s="20" t="str">
        <f t="shared" si="42"/>
        <v/>
      </c>
      <c r="BC11" s="20" t="str">
        <f t="shared" si="43"/>
        <v/>
      </c>
    </row>
    <row r="12" spans="2:55" x14ac:dyDescent="0.3">
      <c r="B12" s="102" t="str">
        <f>""</f>
        <v/>
      </c>
      <c r="C12" s="4">
        <v>9</v>
      </c>
      <c r="D12" s="96" t="str">
        <f t="shared" si="19"/>
        <v/>
      </c>
      <c r="E12" s="3"/>
      <c r="F12" s="97" t="str">
        <f>IFERROR(INDEX('Input - US Food'!$Z$3:$Z$200,MATCH('Calculations - US Food'!$C12,'Input - US Food'!$AA$3:$AA$200,0)),"")</f>
        <v/>
      </c>
      <c r="G12" s="20" t="str">
        <f>IFERROR(INDEX('Input - US Food'!S$2:S$200,MATCH('Calculations - US Food'!$D12,'Input - US Food'!$P$2:$P$200,0)),"")</f>
        <v/>
      </c>
      <c r="H12" s="20" t="str">
        <f>IFERROR(INDEX('Input - US Food'!T$2:T$200,MATCH('Calculations - US Food'!$D12,'Input - US Food'!$P$2:$P$200,0)),"")</f>
        <v/>
      </c>
      <c r="I12" s="27" t="str">
        <f>IFERROR(INDEX('Input - US Food'!U$2:U$200,MATCH('Calculations - US Food'!$D12,'Input - US Food'!$P$2:$P$200,0)),"")</f>
        <v/>
      </c>
      <c r="J12" s="27" t="str">
        <f>IFERROR(INDEX('Input - US Food'!V$2:V$200,MATCH('Calculations - US Food'!$D12,'Input - US Food'!$P$2:$P$200,0)),"")</f>
        <v/>
      </c>
      <c r="K12" s="20" t="str">
        <f>IFERROR(INDEX('Input - US Food'!W$2:W$200,MATCH('Calculations - US Food'!$D12,'Input - US Food'!$P$2:$P$200,0)),"")</f>
        <v/>
      </c>
      <c r="L12" s="20" t="str">
        <f>IFERROR(INDEX('Input - US Food'!X$2:X$200,MATCH('Calculations - US Food'!$D12,'Input - US Food'!$P$2:$P$200,0)),"")</f>
        <v/>
      </c>
      <c r="M12" s="21" t="str">
        <f t="shared" si="20"/>
        <v/>
      </c>
      <c r="N12" s="21" t="str">
        <f t="shared" si="6"/>
        <v/>
      </c>
      <c r="O12" s="21" t="str">
        <f t="shared" si="21"/>
        <v/>
      </c>
      <c r="P12" s="9" t="str">
        <f t="shared" si="7"/>
        <v/>
      </c>
      <c r="Q12" s="9" t="str">
        <f t="shared" si="8"/>
        <v/>
      </c>
      <c r="R12" s="8" t="str">
        <f t="shared" si="22"/>
        <v>-</v>
      </c>
      <c r="S12" s="8" t="str">
        <f t="shared" si="23"/>
        <v>-</v>
      </c>
      <c r="T12" t="str">
        <f t="shared" si="24"/>
        <v>-</v>
      </c>
      <c r="U12" t="str">
        <f t="shared" si="9"/>
        <v>-</v>
      </c>
      <c r="V12" t="str">
        <f t="shared" si="25"/>
        <v>-</v>
      </c>
      <c r="W12" t="str">
        <f t="shared" si="10"/>
        <v>-</v>
      </c>
      <c r="X12" s="10" t="str">
        <f t="shared" si="11"/>
        <v>-</v>
      </c>
      <c r="Y12" s="7" t="str">
        <f t="shared" si="26"/>
        <v/>
      </c>
      <c r="Z12" s="13" t="str">
        <f t="shared" si="27"/>
        <v>-</v>
      </c>
      <c r="AA12" t="str">
        <f t="shared" si="28"/>
        <v>-</v>
      </c>
      <c r="AB12" s="16" t="str">
        <f t="shared" si="12"/>
        <v>-</v>
      </c>
      <c r="AC12" s="16" t="str">
        <f t="shared" si="29"/>
        <v>-</v>
      </c>
      <c r="AD12" s="16" t="str">
        <f t="shared" si="30"/>
        <v>-</v>
      </c>
      <c r="AE12" s="9" t="str">
        <f t="shared" si="31"/>
        <v/>
      </c>
      <c r="AF12" s="27" t="str" cm="1">
        <f t="array" ref="AF12">IFERROR(SUM(_xlfn._xlws.FILTER($AH$32:$AH$229*$AL$32:$AL$229,$B$32:$B$229=D12))/SUM(_xlfn._xlws.FILTER($AL$32:$AL$229,$B$32:$B$229=D12)),"-")</f>
        <v>-</v>
      </c>
      <c r="AG12" s="163" t="str">
        <f t="shared" si="32"/>
        <v>-</v>
      </c>
      <c r="AH12" s="30" t="str">
        <f t="shared" si="33"/>
        <v>-</v>
      </c>
      <c r="AI12" s="9" t="str">
        <f t="shared" si="13"/>
        <v/>
      </c>
      <c r="AJ12" s="4" t="str">
        <f t="shared" si="14"/>
        <v/>
      </c>
      <c r="AP12" s="20" t="str">
        <f t="shared" si="15"/>
        <v>-</v>
      </c>
      <c r="AQ12" s="13" t="str">
        <f t="shared" si="34"/>
        <v/>
      </c>
      <c r="AR12" s="9" t="str">
        <f t="shared" si="35"/>
        <v/>
      </c>
      <c r="AS12" s="13" t="str">
        <f t="shared" si="36"/>
        <v/>
      </c>
      <c r="AT12" s="16" t="str">
        <f t="shared" si="37"/>
        <v>-</v>
      </c>
      <c r="AU12" s="16" t="str">
        <f t="shared" si="16"/>
        <v>-</v>
      </c>
      <c r="AV12" s="4" t="str">
        <f t="shared" si="38"/>
        <v>-</v>
      </c>
      <c r="AW12" s="16" t="str">
        <f t="shared" si="17"/>
        <v>-</v>
      </c>
      <c r="AX12" t="str">
        <f t="shared" si="18"/>
        <v/>
      </c>
      <c r="AY12" s="9" t="str">
        <f t="shared" si="39"/>
        <v>-</v>
      </c>
      <c r="AZ12" s="20" t="str">
        <f t="shared" si="40"/>
        <v/>
      </c>
      <c r="BA12" s="20" t="str">
        <f t="shared" si="41"/>
        <v/>
      </c>
      <c r="BB12" s="20" t="str">
        <f t="shared" si="42"/>
        <v/>
      </c>
      <c r="BC12" s="20" t="str">
        <f t="shared" si="43"/>
        <v/>
      </c>
    </row>
    <row r="13" spans="2:55" x14ac:dyDescent="0.3">
      <c r="B13" s="102" t="str">
        <f>""</f>
        <v/>
      </c>
      <c r="C13" s="4">
        <v>10</v>
      </c>
      <c r="D13" s="96" t="str">
        <f t="shared" si="19"/>
        <v/>
      </c>
      <c r="E13" s="3"/>
      <c r="F13" s="97" t="str">
        <f>IFERROR(INDEX('Input - US Food'!$Z$3:$Z$200,MATCH('Calculations - US Food'!$C13,'Input - US Food'!$AA$3:$AA$200,0)),"")</f>
        <v/>
      </c>
      <c r="G13" s="20" t="str">
        <f>IFERROR(INDEX('Input - US Food'!S$2:S$200,MATCH('Calculations - US Food'!$D13,'Input - US Food'!$P$2:$P$200,0)),"")</f>
        <v/>
      </c>
      <c r="H13" s="20" t="str">
        <f>IFERROR(INDEX('Input - US Food'!T$2:T$200,MATCH('Calculations - US Food'!$D13,'Input - US Food'!$P$2:$P$200,0)),"")</f>
        <v/>
      </c>
      <c r="I13" s="27" t="str">
        <f>IFERROR(INDEX('Input - US Food'!U$2:U$200,MATCH('Calculations - US Food'!$D13,'Input - US Food'!$P$2:$P$200,0)),"")</f>
        <v/>
      </c>
      <c r="J13" s="27" t="str">
        <f>IFERROR(INDEX('Input - US Food'!V$2:V$200,MATCH('Calculations - US Food'!$D13,'Input - US Food'!$P$2:$P$200,0)),"")</f>
        <v/>
      </c>
      <c r="K13" s="20" t="str">
        <f>IFERROR(INDEX('Input - US Food'!W$2:W$200,MATCH('Calculations - US Food'!$D13,'Input - US Food'!$P$2:$P$200,0)),"")</f>
        <v/>
      </c>
      <c r="L13" s="20" t="str">
        <f>IFERROR(INDEX('Input - US Food'!X$2:X$200,MATCH('Calculations - US Food'!$D13,'Input - US Food'!$P$2:$P$200,0)),"")</f>
        <v/>
      </c>
      <c r="M13" s="21" t="str">
        <f t="shared" si="20"/>
        <v/>
      </c>
      <c r="N13" s="21" t="str">
        <f t="shared" si="6"/>
        <v/>
      </c>
      <c r="O13" s="21" t="str">
        <f t="shared" si="21"/>
        <v/>
      </c>
      <c r="P13" s="9" t="str">
        <f t="shared" si="7"/>
        <v/>
      </c>
      <c r="Q13" s="9" t="str">
        <f t="shared" si="8"/>
        <v/>
      </c>
      <c r="R13" s="8" t="str">
        <f t="shared" si="22"/>
        <v>-</v>
      </c>
      <c r="S13" s="8" t="str">
        <f t="shared" si="23"/>
        <v>-</v>
      </c>
      <c r="T13" t="str">
        <f t="shared" si="24"/>
        <v>-</v>
      </c>
      <c r="U13" t="str">
        <f t="shared" si="9"/>
        <v>-</v>
      </c>
      <c r="V13" t="str">
        <f t="shared" si="25"/>
        <v>-</v>
      </c>
      <c r="W13" t="str">
        <f t="shared" si="10"/>
        <v>-</v>
      </c>
      <c r="X13" s="10" t="str">
        <f t="shared" si="11"/>
        <v>-</v>
      </c>
      <c r="Y13" s="7" t="str">
        <f t="shared" si="26"/>
        <v/>
      </c>
      <c r="Z13" s="13" t="str">
        <f t="shared" si="27"/>
        <v>-</v>
      </c>
      <c r="AA13" t="str">
        <f t="shared" si="28"/>
        <v>-</v>
      </c>
      <c r="AB13" s="16" t="str">
        <f t="shared" si="12"/>
        <v>-</v>
      </c>
      <c r="AC13" s="16" t="str">
        <f t="shared" si="29"/>
        <v>-</v>
      </c>
      <c r="AD13" s="16" t="str">
        <f t="shared" si="30"/>
        <v>-</v>
      </c>
      <c r="AE13" s="9" t="str">
        <f t="shared" si="31"/>
        <v/>
      </c>
      <c r="AF13" s="27" t="str" cm="1">
        <f t="array" ref="AF13">IFERROR(SUM(_xlfn._xlws.FILTER($AH$32:$AH$229*$AL$32:$AL$229,$B$32:$B$229=D13))/SUM(_xlfn._xlws.FILTER($AL$32:$AL$229,$B$32:$B$229=D13)),"-")</f>
        <v>-</v>
      </c>
      <c r="AG13" s="163" t="str">
        <f t="shared" si="32"/>
        <v>-</v>
      </c>
      <c r="AH13" s="30" t="str">
        <f t="shared" si="33"/>
        <v>-</v>
      </c>
      <c r="AI13" s="9" t="str">
        <f t="shared" si="13"/>
        <v/>
      </c>
      <c r="AJ13" s="4" t="str">
        <f t="shared" si="14"/>
        <v/>
      </c>
      <c r="AP13" s="20" t="str">
        <f t="shared" si="15"/>
        <v>-</v>
      </c>
      <c r="AQ13" s="13" t="str">
        <f t="shared" si="34"/>
        <v/>
      </c>
      <c r="AR13" s="9" t="str">
        <f t="shared" si="35"/>
        <v/>
      </c>
      <c r="AS13" s="13" t="str">
        <f t="shared" si="36"/>
        <v/>
      </c>
      <c r="AT13" s="16" t="str">
        <f t="shared" si="37"/>
        <v>-</v>
      </c>
      <c r="AU13" s="16" t="str">
        <f t="shared" si="16"/>
        <v>-</v>
      </c>
      <c r="AV13" s="4" t="str">
        <f t="shared" si="38"/>
        <v>-</v>
      </c>
      <c r="AW13" s="16" t="str">
        <f t="shared" si="17"/>
        <v>-</v>
      </c>
      <c r="AX13" t="str">
        <f t="shared" si="18"/>
        <v/>
      </c>
      <c r="AY13" s="9" t="str">
        <f t="shared" si="39"/>
        <v>-</v>
      </c>
      <c r="AZ13" s="20" t="str">
        <f t="shared" si="40"/>
        <v/>
      </c>
      <c r="BA13" s="20" t="str">
        <f t="shared" si="41"/>
        <v/>
      </c>
      <c r="BB13" s="20" t="str">
        <f t="shared" si="42"/>
        <v/>
      </c>
      <c r="BC13" s="20" t="str">
        <f t="shared" si="43"/>
        <v/>
      </c>
    </row>
    <row r="14" spans="2:55" x14ac:dyDescent="0.3">
      <c r="B14" s="102" t="str">
        <f>""</f>
        <v/>
      </c>
      <c r="C14" s="4">
        <v>11</v>
      </c>
      <c r="D14" s="96" t="str">
        <f t="shared" si="19"/>
        <v/>
      </c>
      <c r="E14" s="3"/>
      <c r="F14" s="97" t="str">
        <f>IFERROR(INDEX('Input - US Food'!$Z$3:$Z$200,MATCH('Calculations - US Food'!$C14,'Input - US Food'!$AA$3:$AA$200,0)),"")</f>
        <v/>
      </c>
      <c r="G14" s="20" t="str">
        <f>IFERROR(INDEX('Input - US Food'!S$2:S$200,MATCH('Calculations - US Food'!$D14,'Input - US Food'!$P$2:$P$200,0)),"")</f>
        <v/>
      </c>
      <c r="H14" s="20" t="str">
        <f>IFERROR(INDEX('Input - US Food'!T$2:T$200,MATCH('Calculations - US Food'!$D14,'Input - US Food'!$P$2:$P$200,0)),"")</f>
        <v/>
      </c>
      <c r="I14" s="27" t="str">
        <f>IFERROR(INDEX('Input - US Food'!U$2:U$200,MATCH('Calculations - US Food'!$D14,'Input - US Food'!$P$2:$P$200,0)),"")</f>
        <v/>
      </c>
      <c r="J14" s="27" t="str">
        <f>IFERROR(INDEX('Input - US Food'!V$2:V$200,MATCH('Calculations - US Food'!$D14,'Input - US Food'!$P$2:$P$200,0)),"")</f>
        <v/>
      </c>
      <c r="K14" s="20" t="str">
        <f>IFERROR(INDEX('Input - US Food'!W$2:W$200,MATCH('Calculations - US Food'!$D14,'Input - US Food'!$P$2:$P$200,0)),"")</f>
        <v/>
      </c>
      <c r="L14" s="20" t="str">
        <f>IFERROR(INDEX('Input - US Food'!X$2:X$200,MATCH('Calculations - US Food'!$D14,'Input - US Food'!$P$2:$P$200,0)),"")</f>
        <v/>
      </c>
      <c r="M14" s="21" t="str">
        <f t="shared" si="20"/>
        <v/>
      </c>
      <c r="N14" s="21" t="str">
        <f t="shared" si="6"/>
        <v/>
      </c>
      <c r="O14" s="21" t="str">
        <f t="shared" si="21"/>
        <v/>
      </c>
      <c r="P14" s="9" t="str">
        <f t="shared" si="7"/>
        <v/>
      </c>
      <c r="Q14" s="9" t="str">
        <f t="shared" si="8"/>
        <v/>
      </c>
      <c r="R14" s="8" t="str">
        <f t="shared" si="22"/>
        <v>-</v>
      </c>
      <c r="S14" s="8" t="str">
        <f t="shared" si="23"/>
        <v>-</v>
      </c>
      <c r="T14" t="str">
        <f t="shared" si="24"/>
        <v>-</v>
      </c>
      <c r="U14" t="str">
        <f t="shared" si="9"/>
        <v>-</v>
      </c>
      <c r="V14" t="str">
        <f t="shared" si="25"/>
        <v>-</v>
      </c>
      <c r="W14" t="str">
        <f t="shared" si="10"/>
        <v>-</v>
      </c>
      <c r="X14" s="10" t="str">
        <f t="shared" si="11"/>
        <v>-</v>
      </c>
      <c r="Y14" s="7" t="str">
        <f t="shared" si="26"/>
        <v/>
      </c>
      <c r="Z14" s="13" t="str">
        <f t="shared" si="27"/>
        <v>-</v>
      </c>
      <c r="AA14" t="str">
        <f t="shared" si="28"/>
        <v>-</v>
      </c>
      <c r="AB14" s="16" t="str">
        <f t="shared" si="12"/>
        <v>-</v>
      </c>
      <c r="AC14" s="16" t="str">
        <f t="shared" si="29"/>
        <v>-</v>
      </c>
      <c r="AD14" s="16" t="str">
        <f t="shared" si="30"/>
        <v>-</v>
      </c>
      <c r="AE14" s="9" t="str">
        <f t="shared" si="31"/>
        <v/>
      </c>
      <c r="AF14" s="27" t="str" cm="1">
        <f t="array" ref="AF14">IFERROR(SUM(_xlfn._xlws.FILTER($AH$32:$AH$229*$AL$32:$AL$229,$B$32:$B$229=D14))/SUM(_xlfn._xlws.FILTER($AL$32:$AL$229,$B$32:$B$229=D14)),"-")</f>
        <v>-</v>
      </c>
      <c r="AG14" s="163" t="str">
        <f t="shared" si="32"/>
        <v>-</v>
      </c>
      <c r="AH14" s="30" t="str">
        <f t="shared" si="33"/>
        <v>-</v>
      </c>
      <c r="AI14" s="9" t="str">
        <f t="shared" si="13"/>
        <v/>
      </c>
      <c r="AJ14" s="4" t="str">
        <f t="shared" si="14"/>
        <v/>
      </c>
      <c r="AP14" s="20" t="str">
        <f t="shared" si="15"/>
        <v>-</v>
      </c>
      <c r="AQ14" s="13" t="str">
        <f t="shared" si="34"/>
        <v/>
      </c>
      <c r="AR14" s="9" t="str">
        <f t="shared" si="35"/>
        <v/>
      </c>
      <c r="AS14" s="13" t="str">
        <f t="shared" si="36"/>
        <v/>
      </c>
      <c r="AT14" s="16" t="str">
        <f t="shared" si="37"/>
        <v>-</v>
      </c>
      <c r="AU14" s="16" t="str">
        <f t="shared" si="16"/>
        <v>-</v>
      </c>
      <c r="AV14" s="4" t="str">
        <f t="shared" si="38"/>
        <v>-</v>
      </c>
      <c r="AW14" s="16" t="str">
        <f t="shared" si="17"/>
        <v>-</v>
      </c>
      <c r="AX14" t="str">
        <f t="shared" si="18"/>
        <v/>
      </c>
      <c r="AY14" s="9" t="str">
        <f t="shared" si="39"/>
        <v>-</v>
      </c>
      <c r="AZ14" s="20" t="str">
        <f t="shared" si="40"/>
        <v/>
      </c>
      <c r="BA14" s="20" t="str">
        <f t="shared" si="41"/>
        <v/>
      </c>
      <c r="BB14" s="20" t="str">
        <f t="shared" si="42"/>
        <v/>
      </c>
      <c r="BC14" s="20" t="str">
        <f t="shared" si="43"/>
        <v/>
      </c>
    </row>
    <row r="15" spans="2:55" x14ac:dyDescent="0.3">
      <c r="B15" s="102" t="str">
        <f>""</f>
        <v/>
      </c>
      <c r="C15" s="4">
        <v>12</v>
      </c>
      <c r="D15" s="96" t="str">
        <f t="shared" si="19"/>
        <v/>
      </c>
      <c r="E15" s="3"/>
      <c r="F15" s="97" t="str">
        <f>IFERROR(INDEX('Input - US Food'!$Z$3:$Z$200,MATCH('Calculations - US Food'!$C15,'Input - US Food'!$AA$3:$AA$200,0)),"")</f>
        <v/>
      </c>
      <c r="G15" s="20" t="str">
        <f>IFERROR(INDEX('Input - US Food'!S$2:S$200,MATCH('Calculations - US Food'!$D15,'Input - US Food'!$P$2:$P$200,0)),"")</f>
        <v/>
      </c>
      <c r="H15" s="20" t="str">
        <f>IFERROR(INDEX('Input - US Food'!T$2:T$200,MATCH('Calculations - US Food'!$D15,'Input - US Food'!$P$2:$P$200,0)),"")</f>
        <v/>
      </c>
      <c r="I15" s="27" t="str">
        <f>IFERROR(INDEX('Input - US Food'!U$2:U$200,MATCH('Calculations - US Food'!$D15,'Input - US Food'!$P$2:$P$200,0)),"")</f>
        <v/>
      </c>
      <c r="J15" s="27" t="str">
        <f>IFERROR(INDEX('Input - US Food'!V$2:V$200,MATCH('Calculations - US Food'!$D15,'Input - US Food'!$P$2:$P$200,0)),"")</f>
        <v/>
      </c>
      <c r="K15" s="20" t="str">
        <f>IFERROR(INDEX('Input - US Food'!W$2:W$200,MATCH('Calculations - US Food'!$D15,'Input - US Food'!$P$2:$P$200,0)),"")</f>
        <v/>
      </c>
      <c r="L15" s="20" t="str">
        <f>IFERROR(INDEX('Input - US Food'!X$2:X$200,MATCH('Calculations - US Food'!$D15,'Input - US Food'!$P$2:$P$200,0)),"")</f>
        <v/>
      </c>
      <c r="M15" s="21" t="str">
        <f t="shared" si="20"/>
        <v/>
      </c>
      <c r="N15" s="21" t="str">
        <f t="shared" si="6"/>
        <v/>
      </c>
      <c r="O15" s="21" t="str">
        <f t="shared" si="21"/>
        <v/>
      </c>
      <c r="P15" s="9" t="str">
        <f t="shared" si="7"/>
        <v/>
      </c>
      <c r="Q15" s="9" t="str">
        <f t="shared" si="8"/>
        <v/>
      </c>
      <c r="R15" s="8" t="str">
        <f t="shared" si="22"/>
        <v>-</v>
      </c>
      <c r="S15" s="8" t="str">
        <f t="shared" si="23"/>
        <v>-</v>
      </c>
      <c r="T15" t="str">
        <f t="shared" si="24"/>
        <v>-</v>
      </c>
      <c r="U15" t="str">
        <f t="shared" si="9"/>
        <v>-</v>
      </c>
      <c r="V15" t="str">
        <f t="shared" si="25"/>
        <v>-</v>
      </c>
      <c r="W15" t="str">
        <f t="shared" si="10"/>
        <v>-</v>
      </c>
      <c r="X15" s="10" t="str">
        <f t="shared" si="11"/>
        <v>-</v>
      </c>
      <c r="Y15" s="7" t="str">
        <f t="shared" si="26"/>
        <v/>
      </c>
      <c r="Z15" s="13" t="str">
        <f t="shared" si="27"/>
        <v>-</v>
      </c>
      <c r="AA15" t="str">
        <f t="shared" si="28"/>
        <v>-</v>
      </c>
      <c r="AB15" s="16" t="str">
        <f t="shared" si="12"/>
        <v>-</v>
      </c>
      <c r="AC15" s="16" t="str">
        <f t="shared" si="29"/>
        <v>-</v>
      </c>
      <c r="AD15" s="16" t="str">
        <f t="shared" si="30"/>
        <v>-</v>
      </c>
      <c r="AE15" s="9" t="str">
        <f t="shared" si="31"/>
        <v/>
      </c>
      <c r="AF15" s="27" t="str" cm="1">
        <f t="array" ref="AF15">IFERROR(SUM(_xlfn._xlws.FILTER($AH$32:$AH$229*$AL$32:$AL$229,$B$32:$B$229=D15))/SUM(_xlfn._xlws.FILTER($AL$32:$AL$229,$B$32:$B$229=D15)),"-")</f>
        <v>-</v>
      </c>
      <c r="AG15" s="163" t="str">
        <f t="shared" si="32"/>
        <v>-</v>
      </c>
      <c r="AH15" s="30" t="str">
        <f t="shared" si="33"/>
        <v>-</v>
      </c>
      <c r="AI15" s="9" t="str">
        <f t="shared" si="13"/>
        <v/>
      </c>
      <c r="AJ15" s="4" t="str">
        <f t="shared" si="14"/>
        <v/>
      </c>
      <c r="AP15" s="20" t="str">
        <f t="shared" si="15"/>
        <v>-</v>
      </c>
      <c r="AQ15" s="13" t="str">
        <f t="shared" si="34"/>
        <v/>
      </c>
      <c r="AR15" s="9" t="str">
        <f t="shared" si="35"/>
        <v/>
      </c>
      <c r="AS15" s="13" t="str">
        <f t="shared" si="36"/>
        <v/>
      </c>
      <c r="AT15" s="16" t="str">
        <f t="shared" si="37"/>
        <v>-</v>
      </c>
      <c r="AU15" s="16" t="str">
        <f t="shared" si="16"/>
        <v>-</v>
      </c>
      <c r="AV15" s="4" t="str">
        <f t="shared" si="38"/>
        <v>-</v>
      </c>
      <c r="AW15" s="16" t="str">
        <f t="shared" si="17"/>
        <v>-</v>
      </c>
      <c r="AX15" t="str">
        <f t="shared" si="18"/>
        <v/>
      </c>
      <c r="AY15" s="9" t="str">
        <f t="shared" si="39"/>
        <v>-</v>
      </c>
      <c r="AZ15" s="20" t="str">
        <f t="shared" si="40"/>
        <v/>
      </c>
      <c r="BA15" s="20" t="str">
        <f t="shared" si="41"/>
        <v/>
      </c>
      <c r="BB15" s="20" t="str">
        <f t="shared" si="42"/>
        <v/>
      </c>
      <c r="BC15" s="20" t="str">
        <f t="shared" si="43"/>
        <v/>
      </c>
    </row>
    <row r="16" spans="2:55" x14ac:dyDescent="0.3">
      <c r="B16" s="102" t="str">
        <f>""</f>
        <v/>
      </c>
      <c r="C16" s="4">
        <v>13</v>
      </c>
      <c r="D16" s="96" t="str">
        <f t="shared" si="19"/>
        <v/>
      </c>
      <c r="E16" s="3"/>
      <c r="F16" s="97" t="str">
        <f>IFERROR(INDEX('Input - US Food'!$Z$3:$Z$200,MATCH('Calculations - US Food'!$C16,'Input - US Food'!$AA$3:$AA$200,0)),"")</f>
        <v/>
      </c>
      <c r="G16" s="20" t="str">
        <f>IFERROR(INDEX('Input - US Food'!S$2:S$200,MATCH('Calculations - US Food'!$D16,'Input - US Food'!$P$2:$P$200,0)),"")</f>
        <v/>
      </c>
      <c r="H16" s="20" t="str">
        <f>IFERROR(INDEX('Input - US Food'!T$2:T$200,MATCH('Calculations - US Food'!$D16,'Input - US Food'!$P$2:$P$200,0)),"")</f>
        <v/>
      </c>
      <c r="I16" s="27" t="str">
        <f>IFERROR(INDEX('Input - US Food'!U$2:U$200,MATCH('Calculations - US Food'!$D16,'Input - US Food'!$P$2:$P$200,0)),"")</f>
        <v/>
      </c>
      <c r="J16" s="27" t="str">
        <f>IFERROR(INDEX('Input - US Food'!V$2:V$200,MATCH('Calculations - US Food'!$D16,'Input - US Food'!$P$2:$P$200,0)),"")</f>
        <v/>
      </c>
      <c r="K16" s="20" t="str">
        <f>IFERROR(INDEX('Input - US Food'!W$2:W$200,MATCH('Calculations - US Food'!$D16,'Input - US Food'!$P$2:$P$200,0)),"")</f>
        <v/>
      </c>
      <c r="L16" s="20" t="str">
        <f>IFERROR(INDEX('Input - US Food'!X$2:X$200,MATCH('Calculations - US Food'!$D16,'Input - US Food'!$P$2:$P$200,0)),"")</f>
        <v/>
      </c>
      <c r="M16" s="21" t="str">
        <f t="shared" si="20"/>
        <v/>
      </c>
      <c r="N16" s="21" t="str">
        <f t="shared" si="6"/>
        <v/>
      </c>
      <c r="O16" s="21" t="str">
        <f t="shared" si="21"/>
        <v/>
      </c>
      <c r="P16" s="9" t="str">
        <f t="shared" si="7"/>
        <v/>
      </c>
      <c r="Q16" s="9" t="str">
        <f t="shared" si="8"/>
        <v/>
      </c>
      <c r="R16" s="8" t="str">
        <f t="shared" si="22"/>
        <v>-</v>
      </c>
      <c r="S16" s="8" t="str">
        <f t="shared" si="23"/>
        <v>-</v>
      </c>
      <c r="T16" t="str">
        <f t="shared" si="24"/>
        <v>-</v>
      </c>
      <c r="U16" t="str">
        <f t="shared" si="9"/>
        <v>-</v>
      </c>
      <c r="V16" t="str">
        <f t="shared" si="25"/>
        <v>-</v>
      </c>
      <c r="W16" t="str">
        <f t="shared" si="10"/>
        <v>-</v>
      </c>
      <c r="X16" s="10" t="str">
        <f t="shared" si="11"/>
        <v>-</v>
      </c>
      <c r="Y16" s="7" t="str">
        <f t="shared" si="26"/>
        <v/>
      </c>
      <c r="Z16" s="13" t="str">
        <f t="shared" si="27"/>
        <v>-</v>
      </c>
      <c r="AA16" t="str">
        <f t="shared" si="28"/>
        <v>-</v>
      </c>
      <c r="AB16" s="16" t="str">
        <f t="shared" si="12"/>
        <v>-</v>
      </c>
      <c r="AC16" s="16" t="str">
        <f t="shared" si="29"/>
        <v>-</v>
      </c>
      <c r="AD16" s="16" t="str">
        <f t="shared" si="30"/>
        <v>-</v>
      </c>
      <c r="AE16" s="9" t="str">
        <f t="shared" si="31"/>
        <v/>
      </c>
      <c r="AF16" s="27" t="str" cm="1">
        <f t="array" ref="AF16">IFERROR(SUM(_xlfn._xlws.FILTER($AH$32:$AH$229*$AL$32:$AL$229,$B$32:$B$229=D16))/SUM(_xlfn._xlws.FILTER($AL$32:$AL$229,$B$32:$B$229=D16)),"-")</f>
        <v>-</v>
      </c>
      <c r="AG16" s="163" t="str">
        <f t="shared" si="32"/>
        <v>-</v>
      </c>
      <c r="AH16" s="30" t="str">
        <f t="shared" si="33"/>
        <v>-</v>
      </c>
      <c r="AI16" s="9" t="str">
        <f t="shared" si="13"/>
        <v/>
      </c>
      <c r="AJ16" s="4" t="str">
        <f t="shared" si="14"/>
        <v/>
      </c>
      <c r="AP16" s="20" t="str">
        <f t="shared" si="15"/>
        <v>-</v>
      </c>
      <c r="AQ16" s="13" t="str">
        <f t="shared" si="34"/>
        <v/>
      </c>
      <c r="AR16" s="9" t="str">
        <f t="shared" si="35"/>
        <v/>
      </c>
      <c r="AS16" s="13" t="str">
        <f t="shared" si="36"/>
        <v/>
      </c>
      <c r="AT16" s="16" t="str">
        <f t="shared" si="37"/>
        <v>-</v>
      </c>
      <c r="AU16" s="16" t="str">
        <f t="shared" si="16"/>
        <v>-</v>
      </c>
      <c r="AV16" s="4" t="str">
        <f t="shared" si="38"/>
        <v>-</v>
      </c>
      <c r="AW16" s="16" t="str">
        <f t="shared" si="17"/>
        <v>-</v>
      </c>
      <c r="AX16" t="str">
        <f t="shared" si="18"/>
        <v/>
      </c>
      <c r="AY16" s="9" t="str">
        <f t="shared" si="39"/>
        <v>-</v>
      </c>
      <c r="AZ16" s="20" t="str">
        <f t="shared" si="40"/>
        <v/>
      </c>
      <c r="BA16" s="20" t="str">
        <f t="shared" si="41"/>
        <v/>
      </c>
      <c r="BB16" s="20" t="str">
        <f t="shared" si="42"/>
        <v/>
      </c>
      <c r="BC16" s="20" t="str">
        <f t="shared" si="43"/>
        <v/>
      </c>
    </row>
    <row r="17" spans="2:70" x14ac:dyDescent="0.3">
      <c r="B17" s="102" t="str">
        <f>""</f>
        <v/>
      </c>
      <c r="C17" s="4">
        <v>14</v>
      </c>
      <c r="D17" s="96" t="str">
        <f t="shared" si="19"/>
        <v/>
      </c>
      <c r="E17" s="3"/>
      <c r="F17" s="97" t="str">
        <f>IFERROR(INDEX('Input - US Food'!$Z$3:$Z$200,MATCH('Calculations - US Food'!$C17,'Input - US Food'!$AA$3:$AA$200,0)),"")</f>
        <v/>
      </c>
      <c r="G17" s="20" t="str">
        <f>IFERROR(INDEX('Input - US Food'!S$2:S$200,MATCH('Calculations - US Food'!$D17,'Input - US Food'!$P$2:$P$200,0)),"")</f>
        <v/>
      </c>
      <c r="H17" s="20" t="str">
        <f>IFERROR(INDEX('Input - US Food'!T$2:T$200,MATCH('Calculations - US Food'!$D17,'Input - US Food'!$P$2:$P$200,0)),"")</f>
        <v/>
      </c>
      <c r="I17" s="27" t="str">
        <f>IFERROR(INDEX('Input - US Food'!U$2:U$200,MATCH('Calculations - US Food'!$D17,'Input - US Food'!$P$2:$P$200,0)),"")</f>
        <v/>
      </c>
      <c r="J17" s="27" t="str">
        <f>IFERROR(INDEX('Input - US Food'!V$2:V$200,MATCH('Calculations - US Food'!$D17,'Input - US Food'!$P$2:$P$200,0)),"")</f>
        <v/>
      </c>
      <c r="K17" s="20" t="str">
        <f>IFERROR(INDEX('Input - US Food'!W$2:W$200,MATCH('Calculations - US Food'!$D17,'Input - US Food'!$P$2:$P$200,0)),"")</f>
        <v/>
      </c>
      <c r="L17" s="20" t="str">
        <f>IFERROR(INDEX('Input - US Food'!X$2:X$200,MATCH('Calculations - US Food'!$D17,'Input - US Food'!$P$2:$P$200,0)),"")</f>
        <v/>
      </c>
      <c r="M17" s="21" t="str">
        <f t="shared" si="20"/>
        <v/>
      </c>
      <c r="N17" s="21" t="str">
        <f t="shared" si="6"/>
        <v/>
      </c>
      <c r="O17" s="21" t="str">
        <f t="shared" si="21"/>
        <v/>
      </c>
      <c r="P17" s="9" t="str">
        <f t="shared" si="7"/>
        <v/>
      </c>
      <c r="Q17" s="9" t="str">
        <f t="shared" si="8"/>
        <v/>
      </c>
      <c r="R17" s="8" t="str">
        <f t="shared" si="22"/>
        <v>-</v>
      </c>
      <c r="S17" s="8" t="str">
        <f t="shared" si="23"/>
        <v>-</v>
      </c>
      <c r="T17" t="str">
        <f t="shared" si="24"/>
        <v>-</v>
      </c>
      <c r="U17" t="str">
        <f t="shared" si="9"/>
        <v>-</v>
      </c>
      <c r="V17" t="str">
        <f t="shared" si="25"/>
        <v>-</v>
      </c>
      <c r="W17" t="str">
        <f t="shared" si="10"/>
        <v>-</v>
      </c>
      <c r="X17" s="10" t="str">
        <f t="shared" si="11"/>
        <v>-</v>
      </c>
      <c r="Y17" s="7" t="str">
        <f t="shared" si="26"/>
        <v/>
      </c>
      <c r="Z17" s="13" t="str">
        <f t="shared" si="27"/>
        <v>-</v>
      </c>
      <c r="AA17" t="str">
        <f t="shared" si="28"/>
        <v>-</v>
      </c>
      <c r="AB17" s="16" t="str">
        <f t="shared" si="12"/>
        <v>-</v>
      </c>
      <c r="AC17" s="16" t="str">
        <f t="shared" si="29"/>
        <v>-</v>
      </c>
      <c r="AD17" s="16" t="str">
        <f t="shared" si="30"/>
        <v>-</v>
      </c>
      <c r="AE17" s="9" t="str">
        <f t="shared" si="31"/>
        <v/>
      </c>
      <c r="AF17" s="27" t="str" cm="1">
        <f t="array" ref="AF17">IFERROR(SUM(_xlfn._xlws.FILTER($AH$32:$AH$229*$AL$32:$AL$229,$B$32:$B$229=D17))/SUM(_xlfn._xlws.FILTER($AL$32:$AL$229,$B$32:$B$229=D17)),"-")</f>
        <v>-</v>
      </c>
      <c r="AG17" s="163" t="str">
        <f t="shared" si="32"/>
        <v>-</v>
      </c>
      <c r="AH17" s="30" t="str">
        <f t="shared" si="33"/>
        <v>-</v>
      </c>
      <c r="AI17" s="9" t="str">
        <f t="shared" si="13"/>
        <v/>
      </c>
      <c r="AJ17" s="4" t="str">
        <f t="shared" si="14"/>
        <v/>
      </c>
      <c r="AP17" s="20" t="str">
        <f t="shared" si="15"/>
        <v>-</v>
      </c>
      <c r="AQ17" s="13" t="str">
        <f t="shared" si="34"/>
        <v/>
      </c>
      <c r="AR17" s="9" t="str">
        <f t="shared" si="35"/>
        <v/>
      </c>
      <c r="AS17" s="13" t="str">
        <f t="shared" si="36"/>
        <v/>
      </c>
      <c r="AT17" s="16" t="str">
        <f t="shared" si="37"/>
        <v>-</v>
      </c>
      <c r="AU17" s="16" t="str">
        <f t="shared" si="16"/>
        <v>-</v>
      </c>
      <c r="AV17" s="4" t="str">
        <f t="shared" si="38"/>
        <v>-</v>
      </c>
      <c r="AW17" s="16" t="str">
        <f t="shared" si="17"/>
        <v>-</v>
      </c>
      <c r="AX17" t="str">
        <f t="shared" si="18"/>
        <v/>
      </c>
      <c r="AY17" s="9" t="str">
        <f t="shared" si="39"/>
        <v>-</v>
      </c>
      <c r="AZ17" s="20" t="str">
        <f t="shared" si="40"/>
        <v/>
      </c>
      <c r="BA17" s="20" t="str">
        <f t="shared" si="41"/>
        <v/>
      </c>
      <c r="BB17" s="20" t="str">
        <f t="shared" si="42"/>
        <v/>
      </c>
      <c r="BC17" s="20" t="str">
        <f t="shared" si="43"/>
        <v/>
      </c>
    </row>
    <row r="18" spans="2:70" x14ac:dyDescent="0.3">
      <c r="B18" s="102" t="str">
        <f>""</f>
        <v/>
      </c>
      <c r="C18" s="4">
        <v>15</v>
      </c>
      <c r="D18" s="96" t="str">
        <f t="shared" si="19"/>
        <v/>
      </c>
      <c r="E18" s="3"/>
      <c r="F18" s="97" t="str">
        <f>IFERROR(INDEX('Input - US Food'!$Z$3:$Z$200,MATCH('Calculations - US Food'!$C18,'Input - US Food'!$AA$3:$AA$200,0)),"")</f>
        <v/>
      </c>
      <c r="G18" s="20" t="str">
        <f>IFERROR(INDEX('Input - US Food'!S$2:S$200,MATCH('Calculations - US Food'!$D18,'Input - US Food'!$P$2:$P$200,0)),"")</f>
        <v/>
      </c>
      <c r="H18" s="20" t="str">
        <f>IFERROR(INDEX('Input - US Food'!T$2:T$200,MATCH('Calculations - US Food'!$D18,'Input - US Food'!$P$2:$P$200,0)),"")</f>
        <v/>
      </c>
      <c r="I18" s="27" t="str">
        <f>IFERROR(INDEX('Input - US Food'!U$2:U$200,MATCH('Calculations - US Food'!$D18,'Input - US Food'!$P$2:$P$200,0)),"")</f>
        <v/>
      </c>
      <c r="J18" s="27" t="str">
        <f>IFERROR(INDEX('Input - US Food'!V$2:V$200,MATCH('Calculations - US Food'!$D18,'Input - US Food'!$P$2:$P$200,0)),"")</f>
        <v/>
      </c>
      <c r="K18" s="20" t="str">
        <f>IFERROR(INDEX('Input - US Food'!W$2:W$200,MATCH('Calculations - US Food'!$D18,'Input - US Food'!$P$2:$P$200,0)),"")</f>
        <v/>
      </c>
      <c r="L18" s="20" t="str">
        <f>IFERROR(INDEX('Input - US Food'!X$2:X$200,MATCH('Calculations - US Food'!$D18,'Input - US Food'!$P$2:$P$200,0)),"")</f>
        <v/>
      </c>
      <c r="M18" s="21" t="str">
        <f t="shared" si="20"/>
        <v/>
      </c>
      <c r="N18" s="21" t="str">
        <f t="shared" si="6"/>
        <v/>
      </c>
      <c r="O18" s="21" t="str">
        <f t="shared" si="21"/>
        <v/>
      </c>
      <c r="P18" s="9" t="str">
        <f t="shared" si="7"/>
        <v/>
      </c>
      <c r="Q18" s="9" t="str">
        <f t="shared" si="8"/>
        <v/>
      </c>
      <c r="R18" s="8" t="str">
        <f t="shared" si="22"/>
        <v>-</v>
      </c>
      <c r="S18" s="8" t="str">
        <f t="shared" si="23"/>
        <v>-</v>
      </c>
      <c r="T18" t="str">
        <f t="shared" si="24"/>
        <v>-</v>
      </c>
      <c r="U18" t="str">
        <f t="shared" si="9"/>
        <v>-</v>
      </c>
      <c r="V18" t="str">
        <f t="shared" si="25"/>
        <v>-</v>
      </c>
      <c r="W18" t="str">
        <f t="shared" si="10"/>
        <v>-</v>
      </c>
      <c r="X18" s="10" t="str">
        <f t="shared" si="11"/>
        <v>-</v>
      </c>
      <c r="Y18" s="7" t="str">
        <f t="shared" si="26"/>
        <v/>
      </c>
      <c r="Z18" s="13" t="str">
        <f t="shared" si="27"/>
        <v>-</v>
      </c>
      <c r="AA18" t="str">
        <f t="shared" si="28"/>
        <v>-</v>
      </c>
      <c r="AB18" s="16" t="str">
        <f t="shared" si="12"/>
        <v>-</v>
      </c>
      <c r="AC18" s="16" t="str">
        <f t="shared" si="29"/>
        <v>-</v>
      </c>
      <c r="AD18" s="16" t="str">
        <f t="shared" si="30"/>
        <v>-</v>
      </c>
      <c r="AE18" s="9" t="str">
        <f t="shared" si="31"/>
        <v/>
      </c>
      <c r="AF18" s="27" t="str" cm="1">
        <f t="array" ref="AF18">IFERROR(SUM(_xlfn._xlws.FILTER($AH$32:$AH$229*$AL$32:$AL$229,$B$32:$B$229=D18))/SUM(_xlfn._xlws.FILTER($AL$32:$AL$229,$B$32:$B$229=D18)),"-")</f>
        <v>-</v>
      </c>
      <c r="AG18" s="163" t="str">
        <f t="shared" si="32"/>
        <v>-</v>
      </c>
      <c r="AH18" s="30" t="str">
        <f t="shared" si="33"/>
        <v>-</v>
      </c>
      <c r="AI18" s="9" t="str">
        <f t="shared" si="13"/>
        <v/>
      </c>
      <c r="AJ18" s="4" t="str">
        <f t="shared" si="14"/>
        <v/>
      </c>
      <c r="AP18" s="20" t="str">
        <f t="shared" si="15"/>
        <v>-</v>
      </c>
      <c r="AQ18" s="13" t="str">
        <f t="shared" si="34"/>
        <v/>
      </c>
      <c r="AR18" s="9" t="str">
        <f t="shared" si="35"/>
        <v/>
      </c>
      <c r="AS18" s="13" t="str">
        <f t="shared" si="36"/>
        <v/>
      </c>
      <c r="AT18" s="16" t="str">
        <f t="shared" si="37"/>
        <v>-</v>
      </c>
      <c r="AU18" s="16" t="str">
        <f t="shared" si="16"/>
        <v>-</v>
      </c>
      <c r="AV18" s="4" t="str">
        <f t="shared" si="38"/>
        <v>-</v>
      </c>
      <c r="AW18" s="16" t="str">
        <f t="shared" si="17"/>
        <v>-</v>
      </c>
      <c r="AX18" t="str">
        <f t="shared" si="18"/>
        <v/>
      </c>
      <c r="AY18" s="9" t="str">
        <f t="shared" si="39"/>
        <v>-</v>
      </c>
      <c r="AZ18" s="20" t="str">
        <f t="shared" si="40"/>
        <v/>
      </c>
      <c r="BA18" s="20" t="str">
        <f t="shared" si="41"/>
        <v/>
      </c>
      <c r="BB18" s="20" t="str">
        <f t="shared" si="42"/>
        <v/>
      </c>
      <c r="BC18" s="20" t="str">
        <f t="shared" si="43"/>
        <v/>
      </c>
    </row>
    <row r="19" spans="2:70" x14ac:dyDescent="0.3">
      <c r="B19" s="102" t="str">
        <f>""</f>
        <v/>
      </c>
      <c r="C19" s="4">
        <v>16</v>
      </c>
      <c r="D19" s="96" t="str">
        <f t="shared" si="19"/>
        <v/>
      </c>
      <c r="E19" s="3"/>
      <c r="F19" s="97" t="str">
        <f>IFERROR(INDEX('Input - US Food'!$Z$3:$Z$200,MATCH('Calculations - US Food'!$C19,'Input - US Food'!$AA$3:$AA$200,0)),"")</f>
        <v/>
      </c>
      <c r="G19" s="20" t="str">
        <f>IFERROR(INDEX('Input - US Food'!S$2:S$200,MATCH('Calculations - US Food'!$D19,'Input - US Food'!$P$2:$P$200,0)),"")</f>
        <v/>
      </c>
      <c r="H19" s="20" t="str">
        <f>IFERROR(INDEX('Input - US Food'!T$2:T$200,MATCH('Calculations - US Food'!$D19,'Input - US Food'!$P$2:$P$200,0)),"")</f>
        <v/>
      </c>
      <c r="I19" s="27" t="str">
        <f>IFERROR(INDEX('Input - US Food'!U$2:U$200,MATCH('Calculations - US Food'!$D19,'Input - US Food'!$P$2:$P$200,0)),"")</f>
        <v/>
      </c>
      <c r="J19" s="27" t="str">
        <f>IFERROR(INDEX('Input - US Food'!V$2:V$200,MATCH('Calculations - US Food'!$D19,'Input - US Food'!$P$2:$P$200,0)),"")</f>
        <v/>
      </c>
      <c r="K19" s="20" t="str">
        <f>IFERROR(INDEX('Input - US Food'!W$2:W$200,MATCH('Calculations - US Food'!$D19,'Input - US Food'!$P$2:$P$200,0)),"")</f>
        <v/>
      </c>
      <c r="L19" s="20" t="str">
        <f>IFERROR(INDEX('Input - US Food'!X$2:X$200,MATCH('Calculations - US Food'!$D19,'Input - US Food'!$P$2:$P$200,0)),"")</f>
        <v/>
      </c>
      <c r="M19" s="21" t="str">
        <f t="shared" si="20"/>
        <v/>
      </c>
      <c r="N19" s="21" t="str">
        <f t="shared" si="6"/>
        <v/>
      </c>
      <c r="O19" s="21" t="str">
        <f t="shared" si="21"/>
        <v/>
      </c>
      <c r="P19" s="9" t="str">
        <f t="shared" si="7"/>
        <v/>
      </c>
      <c r="Q19" s="9" t="str">
        <f t="shared" si="8"/>
        <v/>
      </c>
      <c r="R19" s="8" t="str">
        <f t="shared" si="22"/>
        <v>-</v>
      </c>
      <c r="S19" s="8" t="str">
        <f t="shared" si="23"/>
        <v>-</v>
      </c>
      <c r="T19" t="str">
        <f t="shared" si="24"/>
        <v>-</v>
      </c>
      <c r="U19" t="str">
        <f t="shared" si="9"/>
        <v>-</v>
      </c>
      <c r="V19" t="str">
        <f t="shared" si="25"/>
        <v>-</v>
      </c>
      <c r="W19" t="str">
        <f t="shared" si="10"/>
        <v>-</v>
      </c>
      <c r="X19" s="10" t="str">
        <f t="shared" si="11"/>
        <v>-</v>
      </c>
      <c r="Y19" s="7" t="str">
        <f t="shared" si="26"/>
        <v/>
      </c>
      <c r="Z19" s="13" t="str">
        <f t="shared" si="27"/>
        <v>-</v>
      </c>
      <c r="AA19" t="str">
        <f t="shared" si="28"/>
        <v>-</v>
      </c>
      <c r="AB19" s="16" t="str">
        <f t="shared" si="12"/>
        <v>-</v>
      </c>
      <c r="AC19" s="16" t="str">
        <f t="shared" si="29"/>
        <v>-</v>
      </c>
      <c r="AD19" s="16" t="str">
        <f t="shared" si="30"/>
        <v>-</v>
      </c>
      <c r="AE19" s="9" t="str">
        <f t="shared" si="31"/>
        <v/>
      </c>
      <c r="AF19" s="27" t="str" cm="1">
        <f t="array" ref="AF19">IFERROR(SUM(_xlfn._xlws.FILTER($AH$32:$AH$229*$AL$32:$AL$229,$B$32:$B$229=D19))/SUM(_xlfn._xlws.FILTER($AL$32:$AL$229,$B$32:$B$229=D19)),"-")</f>
        <v>-</v>
      </c>
      <c r="AG19" s="163" t="str">
        <f t="shared" si="32"/>
        <v>-</v>
      </c>
      <c r="AH19" s="30" t="str">
        <f t="shared" si="33"/>
        <v>-</v>
      </c>
      <c r="AI19" s="9" t="str">
        <f t="shared" si="13"/>
        <v/>
      </c>
      <c r="AJ19" s="4" t="str">
        <f t="shared" si="14"/>
        <v/>
      </c>
      <c r="AP19" s="20" t="str">
        <f t="shared" si="15"/>
        <v>-</v>
      </c>
      <c r="AQ19" s="13" t="str">
        <f t="shared" si="34"/>
        <v/>
      </c>
      <c r="AR19" s="9" t="str">
        <f t="shared" si="35"/>
        <v/>
      </c>
      <c r="AS19" s="13" t="str">
        <f t="shared" si="36"/>
        <v/>
      </c>
      <c r="AT19" s="16" t="str">
        <f t="shared" si="37"/>
        <v>-</v>
      </c>
      <c r="AU19" s="16" t="str">
        <f t="shared" si="16"/>
        <v>-</v>
      </c>
      <c r="AV19" s="4" t="str">
        <f t="shared" si="38"/>
        <v>-</v>
      </c>
      <c r="AW19" s="16" t="str">
        <f t="shared" si="17"/>
        <v>-</v>
      </c>
      <c r="AX19" t="str">
        <f t="shared" si="18"/>
        <v/>
      </c>
      <c r="AY19" s="9" t="str">
        <f t="shared" si="39"/>
        <v>-</v>
      </c>
      <c r="AZ19" s="20" t="str">
        <f t="shared" si="40"/>
        <v/>
      </c>
      <c r="BA19" s="20" t="str">
        <f t="shared" si="41"/>
        <v/>
      </c>
      <c r="BB19" s="20" t="str">
        <f t="shared" si="42"/>
        <v/>
      </c>
      <c r="BC19" s="20" t="str">
        <f t="shared" si="43"/>
        <v/>
      </c>
    </row>
    <row r="20" spans="2:70" x14ac:dyDescent="0.3">
      <c r="B20" s="102" t="str">
        <f>""</f>
        <v/>
      </c>
      <c r="C20" s="4">
        <v>17</v>
      </c>
      <c r="D20" s="96" t="str">
        <f t="shared" si="19"/>
        <v/>
      </c>
      <c r="E20" s="3"/>
      <c r="F20" s="97" t="str">
        <f>IFERROR(INDEX('Input - US Food'!$Z$3:$Z$200,MATCH('Calculations - US Food'!$C20,'Input - US Food'!$AA$3:$AA$200,0)),"")</f>
        <v/>
      </c>
      <c r="G20" s="20" t="str">
        <f>IFERROR(INDEX('Input - US Food'!S$2:S$200,MATCH('Calculations - US Food'!$D20,'Input - US Food'!$P$2:$P$200,0)),"")</f>
        <v/>
      </c>
      <c r="H20" s="20" t="str">
        <f>IFERROR(INDEX('Input - US Food'!T$2:T$200,MATCH('Calculations - US Food'!$D20,'Input - US Food'!$P$2:$P$200,0)),"")</f>
        <v/>
      </c>
      <c r="I20" s="27" t="str">
        <f>IFERROR(INDEX('Input - US Food'!U$2:U$200,MATCH('Calculations - US Food'!$D20,'Input - US Food'!$P$2:$P$200,0)),"")</f>
        <v/>
      </c>
      <c r="J20" s="27" t="str">
        <f>IFERROR(INDEX('Input - US Food'!V$2:V$200,MATCH('Calculations - US Food'!$D20,'Input - US Food'!$P$2:$P$200,0)),"")</f>
        <v/>
      </c>
      <c r="K20" s="20" t="str">
        <f>IFERROR(INDEX('Input - US Food'!W$2:W$200,MATCH('Calculations - US Food'!$D20,'Input - US Food'!$P$2:$P$200,0)),"")</f>
        <v/>
      </c>
      <c r="L20" s="20" t="str">
        <f>IFERROR(INDEX('Input - US Food'!X$2:X$200,MATCH('Calculations - US Food'!$D20,'Input - US Food'!$P$2:$P$200,0)),"")</f>
        <v/>
      </c>
      <c r="M20" s="21" t="str">
        <f t="shared" si="20"/>
        <v/>
      </c>
      <c r="N20" s="21" t="str">
        <f t="shared" si="6"/>
        <v/>
      </c>
      <c r="O20" s="21" t="str">
        <f t="shared" si="21"/>
        <v/>
      </c>
      <c r="P20" s="9" t="str">
        <f t="shared" si="7"/>
        <v/>
      </c>
      <c r="Q20" s="9" t="str">
        <f t="shared" si="8"/>
        <v/>
      </c>
      <c r="R20" s="8" t="str">
        <f t="shared" si="22"/>
        <v>-</v>
      </c>
      <c r="S20" s="8" t="str">
        <f t="shared" si="23"/>
        <v>-</v>
      </c>
      <c r="T20" t="str">
        <f t="shared" si="24"/>
        <v>-</v>
      </c>
      <c r="U20" t="str">
        <f t="shared" si="9"/>
        <v>-</v>
      </c>
      <c r="V20" t="str">
        <f t="shared" si="25"/>
        <v>-</v>
      </c>
      <c r="W20" t="str">
        <f t="shared" si="10"/>
        <v>-</v>
      </c>
      <c r="X20" s="10" t="str">
        <f t="shared" si="11"/>
        <v>-</v>
      </c>
      <c r="Y20" s="7" t="str">
        <f t="shared" si="26"/>
        <v/>
      </c>
      <c r="Z20" s="13" t="str">
        <f t="shared" si="27"/>
        <v>-</v>
      </c>
      <c r="AA20" t="str">
        <f t="shared" si="28"/>
        <v>-</v>
      </c>
      <c r="AB20" s="16" t="str">
        <f t="shared" si="12"/>
        <v>-</v>
      </c>
      <c r="AC20" s="16" t="str">
        <f t="shared" si="29"/>
        <v>-</v>
      </c>
      <c r="AD20" s="16" t="str">
        <f t="shared" si="30"/>
        <v>-</v>
      </c>
      <c r="AE20" s="9" t="str">
        <f t="shared" si="31"/>
        <v/>
      </c>
      <c r="AF20" s="27" t="str" cm="1">
        <f t="array" ref="AF20">IFERROR(SUM(_xlfn._xlws.FILTER($AH$32:$AH$229*$AL$32:$AL$229,$B$32:$B$229=D20))/SUM(_xlfn._xlws.FILTER($AL$32:$AL$229,$B$32:$B$229=D20)),"-")</f>
        <v>-</v>
      </c>
      <c r="AG20" s="163" t="str">
        <f t="shared" si="32"/>
        <v>-</v>
      </c>
      <c r="AH20" s="30" t="str">
        <f t="shared" si="33"/>
        <v>-</v>
      </c>
      <c r="AI20" s="9" t="str">
        <f t="shared" si="13"/>
        <v/>
      </c>
      <c r="AJ20" s="4" t="str">
        <f t="shared" si="14"/>
        <v/>
      </c>
      <c r="AP20" s="20" t="str">
        <f t="shared" si="15"/>
        <v>-</v>
      </c>
      <c r="AQ20" s="13" t="str">
        <f t="shared" si="34"/>
        <v/>
      </c>
      <c r="AR20" s="9" t="str">
        <f t="shared" si="35"/>
        <v/>
      </c>
      <c r="AS20" s="13" t="str">
        <f t="shared" si="36"/>
        <v/>
      </c>
      <c r="AT20" s="16" t="str">
        <f t="shared" si="37"/>
        <v>-</v>
      </c>
      <c r="AU20" s="16" t="str">
        <f t="shared" si="16"/>
        <v>-</v>
      </c>
      <c r="AV20" s="4" t="str">
        <f t="shared" si="38"/>
        <v>-</v>
      </c>
      <c r="AW20" s="16" t="str">
        <f t="shared" si="17"/>
        <v>-</v>
      </c>
      <c r="AX20" t="str">
        <f t="shared" si="18"/>
        <v/>
      </c>
      <c r="AY20" s="9" t="str">
        <f t="shared" si="39"/>
        <v>-</v>
      </c>
      <c r="AZ20" s="20" t="str">
        <f t="shared" si="40"/>
        <v/>
      </c>
      <c r="BA20" s="20" t="str">
        <f t="shared" si="41"/>
        <v/>
      </c>
      <c r="BB20" s="20" t="str">
        <f t="shared" si="42"/>
        <v/>
      </c>
      <c r="BC20" s="20" t="str">
        <f t="shared" si="43"/>
        <v/>
      </c>
    </row>
    <row r="21" spans="2:70" x14ac:dyDescent="0.3">
      <c r="B21" s="102" t="str">
        <f>""</f>
        <v/>
      </c>
      <c r="C21" s="4">
        <v>18</v>
      </c>
      <c r="D21" s="96" t="str">
        <f t="shared" si="19"/>
        <v/>
      </c>
      <c r="E21" s="3"/>
      <c r="F21" s="97" t="str">
        <f>IFERROR(INDEX('Input - US Food'!$Z$3:$Z$200,MATCH('Calculations - US Food'!$C21,'Input - US Food'!$AA$3:$AA$200,0)),"")</f>
        <v/>
      </c>
      <c r="G21" s="20" t="str">
        <f>IFERROR(INDEX('Input - US Food'!S$2:S$200,MATCH('Calculations - US Food'!$D21,'Input - US Food'!$P$2:$P$200,0)),"")</f>
        <v/>
      </c>
      <c r="H21" s="20" t="str">
        <f>IFERROR(INDEX('Input - US Food'!T$2:T$200,MATCH('Calculations - US Food'!$D21,'Input - US Food'!$P$2:$P$200,0)),"")</f>
        <v/>
      </c>
      <c r="I21" s="27" t="str">
        <f>IFERROR(INDEX('Input - US Food'!U$2:U$200,MATCH('Calculations - US Food'!$D21,'Input - US Food'!$P$2:$P$200,0)),"")</f>
        <v/>
      </c>
      <c r="J21" s="27" t="str">
        <f>IFERROR(INDEX('Input - US Food'!V$2:V$200,MATCH('Calculations - US Food'!$D21,'Input - US Food'!$P$2:$P$200,0)),"")</f>
        <v/>
      </c>
      <c r="K21" s="20" t="str">
        <f>IFERROR(INDEX('Input - US Food'!W$2:W$200,MATCH('Calculations - US Food'!$D21,'Input - US Food'!$P$2:$P$200,0)),"")</f>
        <v/>
      </c>
      <c r="L21" s="20" t="str">
        <f>IFERROR(INDEX('Input - US Food'!X$2:X$200,MATCH('Calculations - US Food'!$D21,'Input - US Food'!$P$2:$P$200,0)),"")</f>
        <v/>
      </c>
      <c r="M21" s="21" t="str">
        <f t="shared" si="20"/>
        <v/>
      </c>
      <c r="N21" s="21" t="str">
        <f t="shared" si="6"/>
        <v/>
      </c>
      <c r="O21" s="21" t="str">
        <f t="shared" si="21"/>
        <v/>
      </c>
      <c r="P21" s="9" t="str">
        <f t="shared" si="7"/>
        <v/>
      </c>
      <c r="Q21" s="9" t="str">
        <f t="shared" si="8"/>
        <v/>
      </c>
      <c r="R21" s="8" t="str">
        <f t="shared" si="22"/>
        <v>-</v>
      </c>
      <c r="S21" s="8" t="str">
        <f t="shared" si="23"/>
        <v>-</v>
      </c>
      <c r="T21" t="str">
        <f t="shared" si="24"/>
        <v>-</v>
      </c>
      <c r="U21" t="str">
        <f t="shared" si="9"/>
        <v>-</v>
      </c>
      <c r="V21" t="str">
        <f t="shared" si="25"/>
        <v>-</v>
      </c>
      <c r="W21" t="str">
        <f t="shared" si="10"/>
        <v>-</v>
      </c>
      <c r="X21" s="10" t="str">
        <f t="shared" si="11"/>
        <v>-</v>
      </c>
      <c r="Y21" s="7" t="str">
        <f t="shared" si="26"/>
        <v/>
      </c>
      <c r="Z21" s="13" t="str">
        <f t="shared" si="27"/>
        <v>-</v>
      </c>
      <c r="AA21" t="str">
        <f t="shared" si="28"/>
        <v>-</v>
      </c>
      <c r="AB21" s="16" t="str">
        <f t="shared" si="12"/>
        <v>-</v>
      </c>
      <c r="AC21" s="16" t="str">
        <f t="shared" si="29"/>
        <v>-</v>
      </c>
      <c r="AD21" s="16" t="str">
        <f t="shared" si="30"/>
        <v>-</v>
      </c>
      <c r="AE21" s="9" t="str">
        <f t="shared" si="31"/>
        <v/>
      </c>
      <c r="AF21" s="27" t="str" cm="1">
        <f t="array" ref="AF21">IFERROR(SUM(_xlfn._xlws.FILTER($AH$32:$AH$229*$AL$32:$AL$229,$B$32:$B$229=D21))/SUM(_xlfn._xlws.FILTER($AL$32:$AL$229,$B$32:$B$229=D21)),"-")</f>
        <v>-</v>
      </c>
      <c r="AG21" s="163" t="str">
        <f t="shared" si="32"/>
        <v>-</v>
      </c>
      <c r="AH21" s="30" t="str">
        <f t="shared" si="33"/>
        <v>-</v>
      </c>
      <c r="AI21" s="9" t="str">
        <f t="shared" si="13"/>
        <v/>
      </c>
      <c r="AJ21" s="4" t="str">
        <f t="shared" si="14"/>
        <v/>
      </c>
      <c r="AP21" s="20" t="str">
        <f t="shared" si="15"/>
        <v>-</v>
      </c>
      <c r="AQ21" s="13" t="str">
        <f t="shared" si="34"/>
        <v/>
      </c>
      <c r="AR21" s="9" t="str">
        <f t="shared" si="35"/>
        <v/>
      </c>
      <c r="AS21" s="13" t="str">
        <f t="shared" si="36"/>
        <v/>
      </c>
      <c r="AT21" s="16" t="str">
        <f t="shared" si="37"/>
        <v>-</v>
      </c>
      <c r="AU21" s="16" t="str">
        <f t="shared" si="16"/>
        <v>-</v>
      </c>
      <c r="AV21" s="4" t="str">
        <f t="shared" si="38"/>
        <v>-</v>
      </c>
      <c r="AW21" s="16" t="str">
        <f t="shared" si="17"/>
        <v>-</v>
      </c>
      <c r="AX21" t="str">
        <f t="shared" si="18"/>
        <v/>
      </c>
      <c r="AY21" s="9" t="str">
        <f t="shared" si="39"/>
        <v>-</v>
      </c>
      <c r="AZ21" s="20" t="str">
        <f t="shared" si="40"/>
        <v/>
      </c>
      <c r="BA21" s="20" t="str">
        <f t="shared" si="41"/>
        <v/>
      </c>
      <c r="BB21" s="20" t="str">
        <f t="shared" si="42"/>
        <v/>
      </c>
      <c r="BC21" s="20" t="str">
        <f t="shared" si="43"/>
        <v/>
      </c>
    </row>
    <row r="22" spans="2:70" x14ac:dyDescent="0.3">
      <c r="B22" s="102" t="str">
        <f>""</f>
        <v/>
      </c>
      <c r="C22" s="4">
        <v>19</v>
      </c>
      <c r="D22" s="96" t="str">
        <f t="shared" si="19"/>
        <v/>
      </c>
      <c r="E22" s="3"/>
      <c r="F22" s="97" t="str">
        <f>IFERROR(INDEX('Input - US Food'!$Z$3:$Z$200,MATCH('Calculations - US Food'!$C22,'Input - US Food'!$AA$3:$AA$200,0)),"")</f>
        <v/>
      </c>
      <c r="G22" s="20" t="str">
        <f>IFERROR(INDEX('Input - US Food'!S$2:S$200,MATCH('Calculations - US Food'!$D22,'Input - US Food'!$P$2:$P$200,0)),"")</f>
        <v/>
      </c>
      <c r="H22" s="20" t="str">
        <f>IFERROR(INDEX('Input - US Food'!T$2:T$200,MATCH('Calculations - US Food'!$D22,'Input - US Food'!$P$2:$P$200,0)),"")</f>
        <v/>
      </c>
      <c r="I22" s="27" t="str">
        <f>IFERROR(INDEX('Input - US Food'!U$2:U$200,MATCH('Calculations - US Food'!$D22,'Input - US Food'!$P$2:$P$200,0)),"")</f>
        <v/>
      </c>
      <c r="J22" s="27" t="str">
        <f>IFERROR(INDEX('Input - US Food'!V$2:V$200,MATCH('Calculations - US Food'!$D22,'Input - US Food'!$P$2:$P$200,0)),"")</f>
        <v/>
      </c>
      <c r="K22" s="20" t="str">
        <f>IFERROR(INDEX('Input - US Food'!W$2:W$200,MATCH('Calculations - US Food'!$D22,'Input - US Food'!$P$2:$P$200,0)),"")</f>
        <v/>
      </c>
      <c r="L22" s="20" t="str">
        <f>IFERROR(INDEX('Input - US Food'!X$2:X$200,MATCH('Calculations - US Food'!$D22,'Input - US Food'!$P$2:$P$200,0)),"")</f>
        <v/>
      </c>
      <c r="M22" s="21" t="str">
        <f t="shared" si="20"/>
        <v/>
      </c>
      <c r="N22" s="21" t="str">
        <f t="shared" si="6"/>
        <v/>
      </c>
      <c r="O22" s="21" t="str">
        <f t="shared" si="21"/>
        <v/>
      </c>
      <c r="P22" s="9" t="str">
        <f t="shared" si="7"/>
        <v/>
      </c>
      <c r="Q22" s="9" t="str">
        <f t="shared" si="8"/>
        <v/>
      </c>
      <c r="R22" s="8" t="str">
        <f t="shared" si="22"/>
        <v>-</v>
      </c>
      <c r="S22" s="8" t="str">
        <f t="shared" si="23"/>
        <v>-</v>
      </c>
      <c r="T22" t="str">
        <f t="shared" si="24"/>
        <v>-</v>
      </c>
      <c r="U22" t="str">
        <f t="shared" si="9"/>
        <v>-</v>
      </c>
      <c r="V22" t="str">
        <f t="shared" si="25"/>
        <v>-</v>
      </c>
      <c r="W22" t="str">
        <f t="shared" si="10"/>
        <v>-</v>
      </c>
      <c r="X22" s="10" t="str">
        <f t="shared" si="11"/>
        <v>-</v>
      </c>
      <c r="Y22" s="7" t="str">
        <f t="shared" si="26"/>
        <v/>
      </c>
      <c r="Z22" s="13" t="str">
        <f t="shared" si="27"/>
        <v>-</v>
      </c>
      <c r="AA22" t="str">
        <f t="shared" si="28"/>
        <v>-</v>
      </c>
      <c r="AB22" s="16" t="str">
        <f t="shared" si="12"/>
        <v>-</v>
      </c>
      <c r="AC22" s="16" t="str">
        <f t="shared" si="29"/>
        <v>-</v>
      </c>
      <c r="AD22" s="16" t="str">
        <f t="shared" si="30"/>
        <v>-</v>
      </c>
      <c r="AE22" s="9" t="str">
        <f t="shared" si="31"/>
        <v/>
      </c>
      <c r="AF22" s="27" t="str" cm="1">
        <f t="array" ref="AF22">IFERROR(SUM(_xlfn._xlws.FILTER($AH$32:$AH$229*$AL$32:$AL$229,$B$32:$B$229=D22))/SUM(_xlfn._xlws.FILTER($AL$32:$AL$229,$B$32:$B$229=D22)),"-")</f>
        <v>-</v>
      </c>
      <c r="AG22" s="163" t="str">
        <f t="shared" si="32"/>
        <v>-</v>
      </c>
      <c r="AH22" s="30" t="str">
        <f t="shared" si="33"/>
        <v>-</v>
      </c>
      <c r="AI22" s="9" t="str">
        <f t="shared" si="13"/>
        <v/>
      </c>
      <c r="AJ22" s="4" t="str">
        <f t="shared" si="14"/>
        <v/>
      </c>
      <c r="AP22" s="20" t="str">
        <f t="shared" si="15"/>
        <v>-</v>
      </c>
      <c r="AQ22" s="13" t="str">
        <f t="shared" si="34"/>
        <v/>
      </c>
      <c r="AR22" s="9" t="str">
        <f t="shared" si="35"/>
        <v/>
      </c>
      <c r="AS22" s="13" t="str">
        <f t="shared" si="36"/>
        <v/>
      </c>
      <c r="AT22" s="16" t="str">
        <f t="shared" si="37"/>
        <v>-</v>
      </c>
      <c r="AU22" s="16" t="str">
        <f t="shared" si="16"/>
        <v>-</v>
      </c>
      <c r="AV22" s="4" t="str">
        <f t="shared" si="38"/>
        <v>-</v>
      </c>
      <c r="AW22" s="16" t="str">
        <f t="shared" si="17"/>
        <v>-</v>
      </c>
      <c r="AX22" t="str">
        <f t="shared" si="18"/>
        <v/>
      </c>
      <c r="AY22" s="9" t="str">
        <f t="shared" si="39"/>
        <v>-</v>
      </c>
      <c r="AZ22" s="20" t="str">
        <f t="shared" si="40"/>
        <v/>
      </c>
      <c r="BA22" s="20" t="str">
        <f t="shared" si="41"/>
        <v/>
      </c>
      <c r="BB22" s="20" t="str">
        <f t="shared" si="42"/>
        <v/>
      </c>
      <c r="BC22" s="20" t="str">
        <f t="shared" si="43"/>
        <v/>
      </c>
    </row>
    <row r="23" spans="2:70" x14ac:dyDescent="0.3">
      <c r="B23" s="102" t="str">
        <f>""</f>
        <v/>
      </c>
      <c r="C23" s="4">
        <v>20</v>
      </c>
      <c r="D23" s="96" t="str">
        <f t="shared" si="19"/>
        <v/>
      </c>
      <c r="E23" s="3"/>
      <c r="F23" s="97" t="str">
        <f>IFERROR(INDEX('Input - US Food'!$Z$3:$Z$200,MATCH('Calculations - US Food'!$C23,'Input - US Food'!$AA$3:$AA$200,0)),"")</f>
        <v/>
      </c>
      <c r="G23" s="20" t="str">
        <f>IFERROR(INDEX('Input - US Food'!S$2:S$200,MATCH('Calculations - US Food'!$D23,'Input - US Food'!$P$2:$P$200,0)),"")</f>
        <v/>
      </c>
      <c r="H23" s="20" t="str">
        <f>IFERROR(INDEX('Input - US Food'!T$2:T$200,MATCH('Calculations - US Food'!$D23,'Input - US Food'!$P$2:$P$200,0)),"")</f>
        <v/>
      </c>
      <c r="I23" s="27" t="str">
        <f>IFERROR(INDEX('Input - US Food'!U$2:U$200,MATCH('Calculations - US Food'!$D23,'Input - US Food'!$P$2:$P$200,0)),"")</f>
        <v/>
      </c>
      <c r="J23" s="27" t="str">
        <f>IFERROR(INDEX('Input - US Food'!V$2:V$200,MATCH('Calculations - US Food'!$D23,'Input - US Food'!$P$2:$P$200,0)),"")</f>
        <v/>
      </c>
      <c r="K23" s="20" t="str">
        <f>IFERROR(INDEX('Input - US Food'!W$2:W$200,MATCH('Calculations - US Food'!$D23,'Input - US Food'!$P$2:$P$200,0)),"")</f>
        <v/>
      </c>
      <c r="L23" s="20" t="str">
        <f>IFERROR(INDEX('Input - US Food'!X$2:X$200,MATCH('Calculations - US Food'!$D23,'Input - US Food'!$P$2:$P$200,0)),"")</f>
        <v/>
      </c>
      <c r="M23" s="21" t="str">
        <f t="shared" si="20"/>
        <v/>
      </c>
      <c r="N23" s="21" t="str">
        <f t="shared" si="6"/>
        <v/>
      </c>
      <c r="O23" s="21" t="str">
        <f t="shared" si="21"/>
        <v/>
      </c>
      <c r="P23" s="9" t="str">
        <f t="shared" si="7"/>
        <v/>
      </c>
      <c r="Q23" s="9" t="str">
        <f t="shared" si="8"/>
        <v/>
      </c>
      <c r="R23" s="8" t="str">
        <f t="shared" si="22"/>
        <v>-</v>
      </c>
      <c r="S23" s="8" t="str">
        <f t="shared" si="23"/>
        <v>-</v>
      </c>
      <c r="T23" t="str">
        <f t="shared" si="24"/>
        <v>-</v>
      </c>
      <c r="U23" t="str">
        <f t="shared" si="9"/>
        <v>-</v>
      </c>
      <c r="V23" t="str">
        <f t="shared" si="25"/>
        <v>-</v>
      </c>
      <c r="W23" t="str">
        <f t="shared" si="10"/>
        <v>-</v>
      </c>
      <c r="X23" s="10" t="str">
        <f t="shared" si="11"/>
        <v>-</v>
      </c>
      <c r="Y23" s="7" t="str">
        <f t="shared" si="26"/>
        <v/>
      </c>
      <c r="Z23" s="13" t="str">
        <f t="shared" si="27"/>
        <v>-</v>
      </c>
      <c r="AA23" t="str">
        <f t="shared" si="28"/>
        <v>-</v>
      </c>
      <c r="AB23" s="16" t="str">
        <f t="shared" si="12"/>
        <v>-</v>
      </c>
      <c r="AC23" s="16" t="str">
        <f t="shared" si="29"/>
        <v>-</v>
      </c>
      <c r="AD23" s="16" t="str">
        <f t="shared" si="30"/>
        <v>-</v>
      </c>
      <c r="AE23" s="9" t="str">
        <f t="shared" si="31"/>
        <v/>
      </c>
      <c r="AF23" s="27" t="str" cm="1">
        <f t="array" ref="AF23">IFERROR(SUM(_xlfn._xlws.FILTER($AH$32:$AH$229*$AL$32:$AL$229,$B$32:$B$229=D23))/SUM(_xlfn._xlws.FILTER($AL$32:$AL$229,$B$32:$B$229=D23)),"-")</f>
        <v>-</v>
      </c>
      <c r="AG23" s="163" t="str">
        <f t="shared" si="32"/>
        <v>-</v>
      </c>
      <c r="AH23" s="30" t="str">
        <f t="shared" si="33"/>
        <v>-</v>
      </c>
      <c r="AI23" s="9" t="str">
        <f t="shared" si="13"/>
        <v/>
      </c>
      <c r="AJ23" s="4" t="str">
        <f t="shared" si="14"/>
        <v/>
      </c>
      <c r="AP23" s="20" t="str">
        <f t="shared" si="15"/>
        <v>-</v>
      </c>
      <c r="AQ23" s="13" t="str">
        <f t="shared" si="34"/>
        <v/>
      </c>
      <c r="AR23" s="9" t="str">
        <f t="shared" si="35"/>
        <v/>
      </c>
      <c r="AS23" s="13" t="str">
        <f t="shared" si="36"/>
        <v/>
      </c>
      <c r="AT23" s="16" t="str">
        <f t="shared" si="37"/>
        <v>-</v>
      </c>
      <c r="AU23" s="16" t="str">
        <f t="shared" si="16"/>
        <v>-</v>
      </c>
      <c r="AV23" s="4" t="str">
        <f t="shared" si="38"/>
        <v>-</v>
      </c>
      <c r="AW23" s="16" t="str">
        <f t="shared" si="17"/>
        <v>-</v>
      </c>
      <c r="AX23" t="str">
        <f t="shared" si="18"/>
        <v/>
      </c>
      <c r="AY23" s="9" t="str">
        <f t="shared" si="39"/>
        <v>-</v>
      </c>
      <c r="AZ23" s="20" t="str">
        <f t="shared" si="40"/>
        <v/>
      </c>
      <c r="BA23" s="20" t="str">
        <f t="shared" si="41"/>
        <v/>
      </c>
      <c r="BB23" s="20" t="str">
        <f t="shared" si="42"/>
        <v/>
      </c>
      <c r="BC23" s="20" t="str">
        <f t="shared" si="43"/>
        <v/>
      </c>
    </row>
    <row r="24" spans="2:70" x14ac:dyDescent="0.3">
      <c r="D24" s="96" t="str">
        <f t="shared" si="19"/>
        <v>US FOODTOTAL CATEGORY</v>
      </c>
      <c r="E24" s="97" t="str">
        <f>E4</f>
        <v>US FOOD</v>
      </c>
      <c r="F24" s="3" t="s">
        <v>43</v>
      </c>
      <c r="G24" s="20">
        <f>SUM(G4:G23)</f>
        <v>1764602781.819</v>
      </c>
      <c r="H24" s="20">
        <f>SUM(H4:H23)</f>
        <v>511450997.16470003</v>
      </c>
      <c r="I24" s="27" t="str">
        <f>IFERROR(INDEX('Input - US Food'!U$2:U$200,MATCH('Calculations - US Food'!$D24,'Input - US Food'!$P$2:$P$200,0)),"")</f>
        <v/>
      </c>
      <c r="J24" s="27">
        <f>'Input - US Food'!N3</f>
        <v>8.4596351060000003</v>
      </c>
      <c r="K24" s="20">
        <f t="shared" ref="K24:L24" si="44">SUM(K4:K23)</f>
        <v>6055616565.3190002</v>
      </c>
      <c r="L24" s="20">
        <f t="shared" si="44"/>
        <v>1982212897.3906002</v>
      </c>
      <c r="M24" s="188">
        <f t="shared" si="20"/>
        <v>3.4501893467826279</v>
      </c>
      <c r="N24" s="21">
        <f t="shared" si="6"/>
        <v>3.0549778852163958</v>
      </c>
      <c r="O24" s="27">
        <f t="shared" si="21"/>
        <v>-3.4436837053622993</v>
      </c>
      <c r="P24" s="9">
        <f>IFERROR(G24/SUM(G$4:G$23),"")</f>
        <v>1</v>
      </c>
      <c r="Q24" s="8">
        <f t="shared" ref="Q24" si="45">SUM(Q4:Q23)</f>
        <v>0.99999999999999989</v>
      </c>
      <c r="R24" s="20"/>
      <c r="S24" s="20"/>
      <c r="T24" s="20">
        <f t="shared" ref="T24:X24" si="46">SUM(T4:T23)</f>
        <v>299734639.48768002</v>
      </c>
      <c r="U24" s="20">
        <f t="shared" si="46"/>
        <v>89920391.846303999</v>
      </c>
      <c r="V24" s="8"/>
      <c r="W24" s="20"/>
      <c r="X24" s="20">
        <f t="shared" si="46"/>
        <v>2804328049.4432325</v>
      </c>
      <c r="Y24" s="20"/>
      <c r="AA24" s="20">
        <f t="shared" ref="AA24:AB24" si="47">SUM(AA4:AA23)</f>
        <v>1764602781.8190002</v>
      </c>
      <c r="AB24" s="20">
        <f t="shared" si="47"/>
        <v>511887561.7518993</v>
      </c>
      <c r="AC24" s="20"/>
      <c r="AD24" s="20"/>
      <c r="AF24" s="27">
        <f>AT24/AU24</f>
        <v>3.4472468441697832</v>
      </c>
      <c r="AJ24" s="20">
        <f t="shared" ref="AJ24" si="48">SUM(AJ4:AJ23)</f>
        <v>511450997.16470003</v>
      </c>
      <c r="AP24" s="15">
        <f>SUM(AP4:AP23)</f>
        <v>2804328049.4432325</v>
      </c>
      <c r="AQ24" s="13">
        <f t="shared" si="34"/>
        <v>1</v>
      </c>
      <c r="AR24" s="9">
        <f t="shared" si="35"/>
        <v>1</v>
      </c>
      <c r="AS24" s="13">
        <f t="shared" si="36"/>
        <v>0</v>
      </c>
      <c r="AT24" s="15">
        <f t="shared" ref="AT24" si="49">SUM(AT4:AT23)</f>
        <v>1764602781.8190002</v>
      </c>
      <c r="AU24" s="15">
        <f>SUM(AU4:AU23)</f>
        <v>511887561.75189942</v>
      </c>
      <c r="AZ24" s="20">
        <f t="shared" si="40"/>
        <v>98.255856368896715</v>
      </c>
      <c r="BA24" s="20">
        <f t="shared" si="41"/>
        <v>105.56853465058681</v>
      </c>
      <c r="BB24" s="20">
        <f t="shared" si="42"/>
        <v>98.339725649851076</v>
      </c>
      <c r="BC24" s="20">
        <f t="shared" si="43"/>
        <v>105.65864589097242</v>
      </c>
    </row>
    <row r="28" spans="2:70" x14ac:dyDescent="0.3">
      <c r="AA28" s="163">
        <f>AA32-R32</f>
        <v>4.3277257854173763E-5</v>
      </c>
    </row>
    <row r="29" spans="2:70" x14ac:dyDescent="0.3">
      <c r="B29" t="str">
        <f>"L3_"&amp;B31</f>
        <v>L3_Key_Brand</v>
      </c>
      <c r="C29" t="str">
        <f>"L3_"&amp;C31</f>
        <v>L3_L2_Key</v>
      </c>
      <c r="D29" t="str">
        <f t="shared" ref="D29:BE29" si="50">"L3_"&amp;D31</f>
        <v>L3_Key_Input</v>
      </c>
      <c r="E29" t="str">
        <f t="shared" si="50"/>
        <v>L3_Channel</v>
      </c>
      <c r="F29" t="str">
        <f t="shared" si="50"/>
        <v>L3_Brand</v>
      </c>
      <c r="G29" t="str">
        <f t="shared" si="50"/>
        <v>L3_Variant</v>
      </c>
      <c r="H29" t="str">
        <f t="shared" si="50"/>
        <v>L3_PPG</v>
      </c>
      <c r="I29" t="str">
        <f t="shared" si="50"/>
        <v>L3_RSV</v>
      </c>
      <c r="J29" t="str">
        <f t="shared" si="50"/>
        <v>L3_Vol</v>
      </c>
      <c r="K29" t="str">
        <f t="shared" si="50"/>
        <v>L3_CSF</v>
      </c>
      <c r="L29" t="str">
        <f t="shared" si="50"/>
        <v>L3_MCV</v>
      </c>
      <c r="M29" t="str">
        <f t="shared" si="50"/>
        <v>L3_RSV_Total</v>
      </c>
      <c r="N29" t="str">
        <f t="shared" si="50"/>
        <v>L3_Volume_Total</v>
      </c>
      <c r="O29" t="str">
        <f t="shared" si="50"/>
        <v>L3_Current Price</v>
      </c>
      <c r="P29" t="str">
        <f t="shared" si="50"/>
        <v>L3_Price_FP</v>
      </c>
      <c r="Q29" t="str">
        <f t="shared" si="50"/>
        <v>L3_Elasticity</v>
      </c>
      <c r="R29" t="str">
        <f t="shared" si="50"/>
        <v>L3_Val Share</v>
      </c>
      <c r="S29" t="str">
        <f t="shared" si="50"/>
        <v>L3_Vol. Share</v>
      </c>
      <c r="T29" t="str">
        <f t="shared" si="50"/>
        <v>L3_NSV_to_RSV_o</v>
      </c>
      <c r="U29" t="str">
        <f t="shared" si="50"/>
        <v>L3_NSV_to_GM_o</v>
      </c>
      <c r="V29" t="str">
        <f t="shared" si="50"/>
        <v>L3_NSV_o</v>
      </c>
      <c r="W29" t="str">
        <f t="shared" si="50"/>
        <v>L3_GM_o</v>
      </c>
      <c r="X29" t="str">
        <f t="shared" si="50"/>
        <v>L3_Fixed Cost</v>
      </c>
      <c r="Y29" t="str">
        <f t="shared" si="50"/>
        <v>L3_Fixed Cost per Unit</v>
      </c>
      <c r="Z29" t="str">
        <f t="shared" si="50"/>
        <v>L3_TPV(cs)</v>
      </c>
      <c r="AA29" t="str">
        <f t="shared" si="50"/>
        <v>L3_PVS(CSS)</v>
      </c>
      <c r="AB29" t="str">
        <f t="shared" si="50"/>
        <v>L3_MS Headroom</v>
      </c>
      <c r="AC29" t="str">
        <f t="shared" si="50"/>
        <v>L3_New RSV</v>
      </c>
      <c r="AD29" t="str">
        <f t="shared" si="50"/>
        <v>L3_Vol_i</v>
      </c>
      <c r="AE29" t="str">
        <f t="shared" si="50"/>
        <v>L3_NSV_i</v>
      </c>
      <c r="AF29" t="str">
        <f t="shared" si="50"/>
        <v>L3_GM</v>
      </c>
      <c r="AG29" t="str">
        <f t="shared" si="50"/>
        <v>L3_</v>
      </c>
      <c r="AH29" t="str">
        <f t="shared" si="50"/>
        <v>L3_New Price</v>
      </c>
      <c r="AI29" t="str">
        <f t="shared" si="50"/>
        <v>L3_NSV_to_RSV</v>
      </c>
      <c r="AJ29" t="str">
        <f t="shared" si="50"/>
        <v>L3_NSV_to_GM</v>
      </c>
      <c r="AK29" t="str">
        <f t="shared" si="50"/>
        <v>L3_Price_Chng</v>
      </c>
      <c r="AL29" t="str">
        <f t="shared" si="50"/>
        <v>L3_Revised_New_Vol</v>
      </c>
      <c r="AM29" t="str">
        <f t="shared" si="50"/>
        <v>L3_New Category Price</v>
      </c>
      <c r="AN29" t="str">
        <f t="shared" si="50"/>
        <v>L3_Chg Category Price</v>
      </c>
      <c r="AO29" t="str">
        <f t="shared" si="50"/>
        <v>L3_Chng in Cat Vol.</v>
      </c>
      <c r="AP29" t="str">
        <f t="shared" si="50"/>
        <v>L3_New Cat Vol</v>
      </c>
      <c r="AQ29" t="str">
        <f t="shared" si="50"/>
        <v>L3_New Cat Val</v>
      </c>
      <c r="AR29" t="str">
        <f t="shared" si="50"/>
        <v>L3_TPV_n(cs)</v>
      </c>
      <c r="AS29" t="str">
        <f t="shared" si="50"/>
        <v>L3_TPV_Share(css)</v>
      </c>
      <c r="AT29" t="str">
        <f t="shared" si="50"/>
        <v>L3_PVS_N</v>
      </c>
      <c r="AU29" t="str">
        <f t="shared" si="50"/>
        <v>L3_MSP_N</v>
      </c>
      <c r="AV29" t="str">
        <f t="shared" si="50"/>
        <v>L3_RSV_N</v>
      </c>
      <c r="AW29" t="str">
        <f t="shared" si="50"/>
        <v>L3_New Vol</v>
      </c>
      <c r="AX29" t="str">
        <f t="shared" si="50"/>
        <v>L3_New NSV</v>
      </c>
      <c r="AY29" t="str">
        <f t="shared" si="50"/>
        <v>L3_New GP</v>
      </c>
      <c r="AZ29" s="96" t="str">
        <f t="shared" si="50"/>
        <v>L3_Vol_Contri</v>
      </c>
      <c r="BA29" s="96" t="str">
        <f t="shared" si="50"/>
        <v>L3_Updated_Vol</v>
      </c>
      <c r="BB29" s="96" t="str">
        <f t="shared" si="50"/>
        <v>L3_Sim. Vol Share</v>
      </c>
      <c r="BC29" s="96" t="str">
        <f t="shared" si="50"/>
        <v>L3_Val_Contri</v>
      </c>
      <c r="BD29" s="96" t="str">
        <f t="shared" si="50"/>
        <v>L3_Updated_Val</v>
      </c>
      <c r="BE29" s="96" t="str">
        <f t="shared" si="50"/>
        <v>L3_Sim. Val Share</v>
      </c>
    </row>
    <row r="30" spans="2:70" x14ac:dyDescent="0.3">
      <c r="B30" s="26" t="str">
        <f>IFERROR(E30&amp;F30,"")</f>
        <v>US FOODTOTAL CATEGORY</v>
      </c>
      <c r="C30" s="26"/>
      <c r="E30" s="97" t="str">
        <f>E32</f>
        <v>US FOOD</v>
      </c>
      <c r="F30" s="3" t="s">
        <v>43</v>
      </c>
      <c r="I30" s="15">
        <f>SUM(I32:I229)</f>
        <v>1764602781.8189991</v>
      </c>
      <c r="J30" s="15">
        <f>SUM(J32:J229)</f>
        <v>511450997.16470003</v>
      </c>
      <c r="L30" s="184">
        <f>'Input - US Food'!N3</f>
        <v>8.4596351060000003</v>
      </c>
      <c r="M30" s="15">
        <f t="shared" ref="M30:N30" si="51">SUM(M32:M229)</f>
        <v>908304577713.2262</v>
      </c>
      <c r="N30" s="15">
        <f t="shared" si="51"/>
        <v>297323387830.81476</v>
      </c>
      <c r="O30" s="178">
        <f>IFERROR(I30/J30,"")</f>
        <v>3.4501893467826261</v>
      </c>
      <c r="P30" s="14">
        <f>IFERROR(M30/N30,"")</f>
        <v>3.0549382083258001</v>
      </c>
      <c r="Q30" s="179">
        <f>IFERROR((O30/(O30-L30)*5),0)</f>
        <v>-3.4436837053622966</v>
      </c>
      <c r="R30" s="19">
        <f>SUM(R32:R229)</f>
        <v>1.0000000000000004</v>
      </c>
      <c r="Z30" s="12">
        <f>SUM(Z32:Z229)</f>
        <v>2804328049.4432325</v>
      </c>
      <c r="AL30" s="176">
        <f>SUM(AL32:AL80)</f>
        <v>511450997.16470003</v>
      </c>
      <c r="AR30" s="15">
        <f>SUM(AR32:AR229)</f>
        <v>2804328049.4432325</v>
      </c>
      <c r="AZ30" s="96"/>
      <c r="BA30" s="96"/>
      <c r="BB30" s="96"/>
      <c r="BC30" s="96"/>
      <c r="BD30" s="96"/>
      <c r="BE30" s="96"/>
      <c r="BG30" s="4"/>
    </row>
    <row r="31" spans="2:70" x14ac:dyDescent="0.3">
      <c r="B31" s="4" t="s">
        <v>42</v>
      </c>
      <c r="C31" s="4" t="s">
        <v>103</v>
      </c>
      <c r="D31" s="4" t="s">
        <v>41</v>
      </c>
      <c r="E31" s="4" t="s">
        <v>0</v>
      </c>
      <c r="F31" s="4" t="s">
        <v>1</v>
      </c>
      <c r="G31" s="4" t="s">
        <v>100</v>
      </c>
      <c r="H31" s="4" t="s">
        <v>2</v>
      </c>
      <c r="I31" s="6" t="s">
        <v>3</v>
      </c>
      <c r="J31" s="6" t="s">
        <v>4</v>
      </c>
      <c r="K31" s="185" t="s">
        <v>5</v>
      </c>
      <c r="L31" s="6" t="s">
        <v>6</v>
      </c>
      <c r="M31" s="6" t="s">
        <v>7</v>
      </c>
      <c r="N31" s="6" t="s">
        <v>8</v>
      </c>
      <c r="O31" s="164" t="s">
        <v>10</v>
      </c>
      <c r="P31" s="5" t="s">
        <v>12</v>
      </c>
      <c r="Q31" s="164" t="s">
        <v>11</v>
      </c>
      <c r="R31" s="177" t="s">
        <v>20</v>
      </c>
      <c r="S31" s="177" t="s">
        <v>19</v>
      </c>
      <c r="T31" s="5" t="s">
        <v>27</v>
      </c>
      <c r="U31" s="5" t="s">
        <v>28</v>
      </c>
      <c r="V31" s="165" t="s">
        <v>29</v>
      </c>
      <c r="W31" s="165" t="s">
        <v>30</v>
      </c>
      <c r="X31" s="165" t="s">
        <v>47</v>
      </c>
      <c r="Y31" s="165" t="s">
        <v>48</v>
      </c>
      <c r="Z31" s="164" t="s">
        <v>160</v>
      </c>
      <c r="AA31" s="177" t="s">
        <v>161</v>
      </c>
      <c r="AB31" s="5" t="s">
        <v>24</v>
      </c>
      <c r="AC31" s="164" t="s">
        <v>25</v>
      </c>
      <c r="AD31" s="164" t="s">
        <v>26</v>
      </c>
      <c r="AE31" s="164" t="s">
        <v>21</v>
      </c>
      <c r="AF31" s="164" t="s">
        <v>18</v>
      </c>
      <c r="AG31" s="5"/>
      <c r="AH31" s="164" t="s">
        <v>13</v>
      </c>
      <c r="AI31" s="164" t="s">
        <v>16</v>
      </c>
      <c r="AJ31" s="164" t="s">
        <v>17</v>
      </c>
      <c r="AK31" s="164" t="s">
        <v>14</v>
      </c>
      <c r="AL31" s="164" t="s">
        <v>15</v>
      </c>
      <c r="AM31" s="177" t="s">
        <v>31</v>
      </c>
      <c r="AN31" s="177" t="s">
        <v>83</v>
      </c>
      <c r="AO31" s="18" t="s">
        <v>32</v>
      </c>
      <c r="AP31" s="180" t="s">
        <v>34</v>
      </c>
      <c r="AQ31" s="180" t="s">
        <v>35</v>
      </c>
      <c r="AR31" s="182" t="s">
        <v>163</v>
      </c>
      <c r="AS31" s="182" t="s">
        <v>164</v>
      </c>
      <c r="AT31" s="4" t="s">
        <v>44</v>
      </c>
      <c r="AU31" s="181" t="s">
        <v>45</v>
      </c>
      <c r="AV31" s="182" t="s">
        <v>46</v>
      </c>
      <c r="AW31" s="182" t="s">
        <v>38</v>
      </c>
      <c r="AX31" s="4" t="s">
        <v>39</v>
      </c>
      <c r="AY31" s="4" t="s">
        <v>40</v>
      </c>
      <c r="AZ31" s="122" t="s">
        <v>128</v>
      </c>
      <c r="BA31" s="123" t="s">
        <v>129</v>
      </c>
      <c r="BB31" s="123" t="s">
        <v>130</v>
      </c>
      <c r="BC31" s="122" t="s">
        <v>157</v>
      </c>
      <c r="BD31" s="123" t="s">
        <v>158</v>
      </c>
      <c r="BE31" s="123" t="s">
        <v>159</v>
      </c>
    </row>
    <row r="32" spans="2:70" x14ac:dyDescent="0.3">
      <c r="B32" s="96" t="str">
        <f>IFERROR(E32&amp;F32,"")</f>
        <v>US FOODDUKES</v>
      </c>
      <c r="C32" s="96" t="str">
        <f>E32&amp;F32&amp;G32</f>
        <v>US FOODDUKESAIOLI</v>
      </c>
      <c r="D32" s="96" t="str">
        <f>IFERROR(E32&amp;F32&amp;G32&amp;H32,"")</f>
        <v>US FOODDUKESAIOLIOTHER</v>
      </c>
      <c r="E32" s="3" t="s">
        <v>104</v>
      </c>
      <c r="F32" s="3" t="s">
        <v>105</v>
      </c>
      <c r="G32" s="3" t="s">
        <v>112</v>
      </c>
      <c r="H32" s="3" t="s">
        <v>115</v>
      </c>
      <c r="I32" s="20">
        <f>IFERROR(INDEX('Input - US Food'!G$2:G$200,MATCH('Calculations - US Food'!$D32,'Input - US Food'!$B$2:$B$200,0)),"")</f>
        <v>1204355.1221</v>
      </c>
      <c r="J32" s="20">
        <f>IFERROR(INDEX('Input - US Food'!H$2:H$200,MATCH('Calculations - US Food'!$D32,'Input - US Food'!$B$2:$B$200,0)),"")</f>
        <v>383615.08630000002</v>
      </c>
      <c r="K32" s="21">
        <f>IFERROR(INDEX('Input - US Food'!I$2:I$200,MATCH('Calculations - US Food'!$D32,'Input - US Food'!$B$2:$B$200,0)),"")</f>
        <v>2.3799654172848399</v>
      </c>
      <c r="L32" s="21">
        <f>IFERROR(INDEX('Input - US Food'!J$2:J$200,MATCH('Calculations - US Food'!$D32,'Input - US Food'!$B$2:$B$200,0)),"")</f>
        <v>7.4718738732978398</v>
      </c>
      <c r="M32" s="20">
        <f>IFERROR(INDEX('Input - US Food'!K$2:K$200,MATCH('Calculations - US Food'!$D32,'Input - US Food'!$B$2:$B$200,0)),"")</f>
        <v>4247136.6379000004</v>
      </c>
      <c r="N32" s="20">
        <f>IFERROR(INDEX('Input - US Food'!L$2:L$200,MATCH('Calculations - US Food'!$D32,'Input - US Food'!$B$2:$B$200,0)),"")</f>
        <v>1290285.3801</v>
      </c>
      <c r="O32" s="21">
        <f>IFERROR(I32/J32,"")</f>
        <v>3.1394884224082715</v>
      </c>
      <c r="P32" s="21">
        <f t="shared" ref="P32:P63" si="52">IFERROR(M32/N32,"")</f>
        <v>3.2916257933348341</v>
      </c>
      <c r="Q32" s="21">
        <f>IFERROR((O32/(O32-L32)*5),0)</f>
        <v>-3.6232792049512135</v>
      </c>
      <c r="R32" s="13">
        <f t="shared" ref="R32:R63" si="53">I32/SUM(I$32:I$229)</f>
        <v>6.8250777710920246E-4</v>
      </c>
      <c r="S32" s="13">
        <f t="shared" ref="S32:S63" si="54">J32/SUM(J$32:J$229)</f>
        <v>7.5005247506921245E-4</v>
      </c>
      <c r="T32" s="22">
        <f>IFERROR(INDEX('US Food'!$S$11:$S$197,MATCH('Calculations - US Food'!$D32,'US Food'!$N$11:$N$197,0)),"")</f>
        <v>0</v>
      </c>
      <c r="U32" s="22">
        <f>IFERROR(INDEX('US Food'!$T$11:$T$197,MATCH('Calculations - US Food'!$D32,'US Food'!$N$11:$N$197,0)),"")</f>
        <v>0</v>
      </c>
      <c r="V32" s="16">
        <f t="shared" ref="V32:V63" si="55">T32*I32</f>
        <v>0</v>
      </c>
      <c r="W32" s="16">
        <f>U32*V32</f>
        <v>0</v>
      </c>
      <c r="X32" s="16">
        <f>V32-W32</f>
        <v>0</v>
      </c>
      <c r="Y32" s="10">
        <f t="shared" ref="Y32:Y63" si="56">IFERROR(X32/J32,"-")</f>
        <v>0</v>
      </c>
      <c r="Z32" s="10">
        <f t="shared" ref="Z32:Z63" si="57">IFERROR((L32+O32)*J32*0.5,"-")</f>
        <v>2035339.3314139333</v>
      </c>
      <c r="AA32" s="13">
        <f>IFERROR(Z32/$Z$30,"-")</f>
        <v>7.2578503496337622E-4</v>
      </c>
      <c r="AB32" s="9">
        <f t="shared" ref="AB32:AB63" si="58">IFERROR(AA32-R32,"-")</f>
        <v>4.3277257854173763E-5</v>
      </c>
      <c r="AC32" s="16">
        <f>IFERROR(AA32*$I$30,"-")</f>
        <v>1280722.2916989732</v>
      </c>
      <c r="AD32" s="16">
        <f t="shared" ref="AD32:AD63" si="59">IFERROR(AC32/O32,"-")</f>
        <v>407939.80400046939</v>
      </c>
      <c r="AE32" s="16">
        <f t="shared" ref="AE32:AE63" si="60">IFERROR(T32*AC32,"-")</f>
        <v>0</v>
      </c>
      <c r="AF32" s="16">
        <f>IFERROR(AE32-(Y32)*AD32,"-")</f>
        <v>0</v>
      </c>
      <c r="AG32" s="16"/>
      <c r="AH32" s="32">
        <f>IFERROR(INDEX('US Food'!$R$11:$R$197,MATCH('Calculations - US Food'!D32,'US Food'!$N$11:$N$197,0)),"")</f>
        <v>3.1394884224082715</v>
      </c>
      <c r="AI32" s="23">
        <f>T32</f>
        <v>0</v>
      </c>
      <c r="AJ32" s="23">
        <f>U32</f>
        <v>0</v>
      </c>
      <c r="AK32" s="9">
        <f t="shared" ref="AK32:AK63" si="61">IFERROR((AH32-O32)/O32,"")</f>
        <v>0</v>
      </c>
      <c r="AL32" s="4">
        <f t="shared" ref="AL32:AL63" si="62">IFERROR(MAX((1+AK32*Q32/5)*J32,0),"")</f>
        <v>383615.08630000002</v>
      </c>
      <c r="AM32" s="180">
        <f>SUMPRODUCT(AH$32:AH$229,AL$32:AL$229)/SUM(AL$32:AL$229)</f>
        <v>3.4501893467826261</v>
      </c>
      <c r="AN32" s="183">
        <f>$AM32/$O$30-1</f>
        <v>0</v>
      </c>
      <c r="AO32" s="24">
        <f>$AN32*$Q$30/5</f>
        <v>0</v>
      </c>
      <c r="AP32" s="25">
        <f>(1+$AO32)*$J$30</f>
        <v>511450997.16470003</v>
      </c>
      <c r="AQ32" s="25">
        <f>AP32*AM32</f>
        <v>1764602781.8189991</v>
      </c>
      <c r="AR32" s="20">
        <f t="shared" ref="AR32:AR63" si="63">IFERROR(0.5*(L32+AH32)*AL32,"-")</f>
        <v>2035339.3314139333</v>
      </c>
      <c r="AS32" s="13">
        <f>IFERROR(AR32/AR$30,"-")</f>
        <v>7.2578503496337622E-4</v>
      </c>
      <c r="AT32" s="13">
        <f>IFERROR(AS32*$R$30,"-")</f>
        <v>7.2578503496337655E-4</v>
      </c>
      <c r="AU32" s="13">
        <f t="shared" ref="AU32:AU63" si="64">IFERROR(AT32-R32,"-")</f>
        <v>4.3277257854174088E-5</v>
      </c>
      <c r="AV32" s="16">
        <f>IFERROR(AT32*AQ$32,"-")</f>
        <v>1280722.2916989736</v>
      </c>
      <c r="AW32" s="16">
        <f t="shared" ref="AW32:AW63" si="65">IFERROR(AV32/AH32,"-")</f>
        <v>407939.80400046956</v>
      </c>
      <c r="AX32" s="16">
        <f t="shared" ref="AX32:AX63" si="66">IFERROR(AI32*AV32,"-")</f>
        <v>0</v>
      </c>
      <c r="AY32" s="16">
        <f>IFERROR(AX32-(Y32*AW32),"-")</f>
        <v>0</v>
      </c>
      <c r="AZ32" s="13">
        <f>IFERROR(AW32/SUMIFS($AW$32:$AW$229,$B$32:$B$229,B32),"-")</f>
        <v>6.8294014463212141E-3</v>
      </c>
      <c r="BA32" s="10">
        <f>IFERROR(AZ32*INDEX($AU$4:$AU$24,MATCH($B32,$D$4:$D$24,0)),"-")</f>
        <v>409628.88030101696</v>
      </c>
      <c r="BB32" s="9">
        <f>IFERROR(BA32/SUM($BA$32:$BA$229),"-")</f>
        <v>8.0023214258047369E-4</v>
      </c>
      <c r="BC32" s="13">
        <f>IFERROR(AV32/SUMIFS($AV$32:$AV$229,$B$32:$B$229,B32),"-")</f>
        <v>7.1683530942748255E-3</v>
      </c>
      <c r="BD32" s="10">
        <f>IFERROR(BC32*INDEX($AT$4:$AT$24,MATCH($B32,$D$4:$D$24,0)),"-")</f>
        <v>1280722.2916989743</v>
      </c>
      <c r="BE32" s="13">
        <f>IFERROR(BD32/SUM($BD$32:$BD$229),"-")</f>
        <v>7.2578503496337644E-4</v>
      </c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</row>
    <row r="33" spans="2:70" x14ac:dyDescent="0.3">
      <c r="B33" s="96" t="str">
        <f t="shared" ref="B33:B96" si="67">IFERROR(E33&amp;F33,"")</f>
        <v>US FOODHELLMANNS BEST FOODS</v>
      </c>
      <c r="C33" s="96" t="str">
        <f t="shared" ref="C33:C96" si="68">E33&amp;F33&amp;G33</f>
        <v>US FOODHELLMANNS BEST FOODSAIOLI</v>
      </c>
      <c r="D33" s="96" t="str">
        <f t="shared" ref="D33:D96" si="69">IFERROR(E33&amp;F33&amp;G33&amp;H33,"")</f>
        <v>US FOODHELLMANNS BEST FOODSAIOLIJAR 15OZ</v>
      </c>
      <c r="E33" s="3" t="s">
        <v>104</v>
      </c>
      <c r="F33" s="3" t="s">
        <v>106</v>
      </c>
      <c r="G33" s="3" t="s">
        <v>112</v>
      </c>
      <c r="H33" s="3" t="s">
        <v>116</v>
      </c>
      <c r="I33" s="20">
        <f>IFERROR(INDEX('Input - US Food'!G$2:G$200,MATCH('Calculations - US Food'!$D33,'Input - US Food'!$B$2:$B$200,0)),"")</f>
        <v>335955.92690000002</v>
      </c>
      <c r="J33" s="20">
        <f>IFERROR(INDEX('Input - US Food'!H$2:H$200,MATCH('Calculations - US Food'!$D33,'Input - US Food'!$B$2:$B$200,0)),"")</f>
        <v>55191.940300000002</v>
      </c>
      <c r="K33" s="21">
        <f>IFERROR(INDEX('Input - US Food'!I$2:I$200,MATCH('Calculations - US Food'!$D33,'Input - US Food'!$B$2:$B$200,0)),"")</f>
        <v>2.39836104111194</v>
      </c>
      <c r="L33" s="21">
        <f>IFERROR(INDEX('Input - US Food'!J$2:J$200,MATCH('Calculations - US Food'!$D33,'Input - US Food'!$B$2:$B$200,0)),"")</f>
        <v>14.598936044428401</v>
      </c>
      <c r="M33" s="20">
        <f>IFERROR(INDEX('Input - US Food'!K$2:K$200,MATCH('Calculations - US Food'!$D33,'Input - US Food'!$B$2:$B$200,0)),"")</f>
        <v>3791314.9117000001</v>
      </c>
      <c r="N33" s="20">
        <f>IFERROR(INDEX('Input - US Food'!L$2:L$200,MATCH('Calculations - US Food'!$D33,'Input - US Food'!$B$2:$B$200,0)),"")</f>
        <v>675181.12670000002</v>
      </c>
      <c r="O33" s="21">
        <f t="shared" ref="O33:O96" si="70">IFERROR(I33/J33,"")</f>
        <v>6.0870468599923457</v>
      </c>
      <c r="P33" s="21">
        <f t="shared" si="52"/>
        <v>5.6152560576305577</v>
      </c>
      <c r="Q33" s="21">
        <f t="shared" ref="Q33:Q96" si="71">IFERROR((O33/(O33-L33)*5),0)</f>
        <v>-3.5756144893911919</v>
      </c>
      <c r="R33" s="9">
        <f t="shared" si="53"/>
        <v>1.903861482943418E-4</v>
      </c>
      <c r="S33" s="9">
        <f t="shared" si="54"/>
        <v>1.0791246982792921E-4</v>
      </c>
      <c r="T33" s="22">
        <f>IFERROR(INDEX('US Food'!$S$11:$S$197,MATCH('Calculations - US Food'!$D33,'US Food'!$N$11:$N$197,0)),"")</f>
        <v>0</v>
      </c>
      <c r="U33" s="22">
        <f>IFERROR(INDEX('US Food'!$T$11:$T$197,MATCH('Calculations - US Food'!$D33,'US Food'!$N$11:$N$197,0)),"")</f>
        <v>0</v>
      </c>
      <c r="V33" s="16">
        <f t="shared" si="55"/>
        <v>0</v>
      </c>
      <c r="W33" s="16">
        <f t="shared" ref="W33:W96" si="72">U33*V33</f>
        <v>0</v>
      </c>
      <c r="X33" s="16">
        <f t="shared" ref="X33:X96" si="73">V33-W33</f>
        <v>0</v>
      </c>
      <c r="Y33" s="10">
        <f t="shared" si="56"/>
        <v>0</v>
      </c>
      <c r="Z33" s="10">
        <f t="shared" si="57"/>
        <v>570849.76675380522</v>
      </c>
      <c r="AA33" s="13">
        <f t="shared" ref="AA33:AA96" si="74">IFERROR(Z33/$Z$30,"-")</f>
        <v>2.0356026709041438E-4</v>
      </c>
      <c r="AB33" s="9">
        <f t="shared" si="58"/>
        <v>1.3174118796072581E-5</v>
      </c>
      <c r="AC33" s="16">
        <f t="shared" ref="AC33:AC96" si="75">IFERROR(AA33*$I$30,"-")</f>
        <v>359203.01357556367</v>
      </c>
      <c r="AD33" s="16">
        <f t="shared" si="59"/>
        <v>59011.047859095233</v>
      </c>
      <c r="AE33" s="16">
        <f t="shared" si="60"/>
        <v>0</v>
      </c>
      <c r="AF33" s="16">
        <f t="shared" ref="AF33:AF96" si="76">IFERROR(AE33-(Y33)*AD33,"-")</f>
        <v>0</v>
      </c>
      <c r="AG33" s="16"/>
      <c r="AH33" s="32">
        <f>IFERROR(INDEX('US Food'!$R$11:$R$197,MATCH('Calculations - US Food'!D33,'US Food'!$N$11:$N$197,0)),"")</f>
        <v>6.0870468599923457</v>
      </c>
      <c r="AI33" s="23">
        <f t="shared" ref="AI33:AI96" si="77">T33</f>
        <v>0</v>
      </c>
      <c r="AJ33" s="23">
        <f t="shared" ref="AJ33:AJ96" si="78">U33</f>
        <v>0</v>
      </c>
      <c r="AK33" s="9">
        <f t="shared" si="61"/>
        <v>0</v>
      </c>
      <c r="AL33" s="4">
        <f t="shared" si="62"/>
        <v>55191.940300000002</v>
      </c>
      <c r="AM33" s="4">
        <v>0</v>
      </c>
      <c r="AN33" s="4"/>
      <c r="AO33" s="4"/>
      <c r="AP33" s="4"/>
      <c r="AQ33" s="4"/>
      <c r="AR33" s="20">
        <f t="shared" si="63"/>
        <v>570849.76675380522</v>
      </c>
      <c r="AS33" s="13">
        <f t="shared" ref="AS33:AS96" si="79">IFERROR(AR33/AR$30,"-")</f>
        <v>2.0356026709041438E-4</v>
      </c>
      <c r="AT33" s="13">
        <f t="shared" ref="AT33:AT96" si="80">IFERROR(AS33*$R$30,"-")</f>
        <v>2.0356026709041446E-4</v>
      </c>
      <c r="AU33" s="13">
        <f t="shared" si="64"/>
        <v>1.3174118796072663E-5</v>
      </c>
      <c r="AV33" s="16">
        <f t="shared" ref="AV33:AV96" si="81">IFERROR(AT33*AQ$32,"-")</f>
        <v>359203.01357556379</v>
      </c>
      <c r="AW33" s="16">
        <f t="shared" si="65"/>
        <v>59011.047859095255</v>
      </c>
      <c r="AX33" s="16">
        <f t="shared" si="66"/>
        <v>0</v>
      </c>
      <c r="AY33" s="16">
        <f t="shared" ref="AY33:AY96" si="82">IFERROR(AX33-(Y33*AW33),"-")</f>
        <v>0</v>
      </c>
      <c r="AZ33" s="13">
        <f t="shared" ref="AZ33:AZ96" si="83">IFERROR(AW33/SUMIFS($AW$32:$AW$229,$B$32:$B$229,B33),"-")</f>
        <v>2.6654054354853556E-4</v>
      </c>
      <c r="BA33" s="10">
        <f t="shared" ref="BA33:BA96" si="84">IFERROR(AZ33*INDEX($AU$4:$AU$24,MATCH($B33,$D$4:$D$24,0)),"-")</f>
        <v>59174.098358683616</v>
      </c>
      <c r="BB33" s="9">
        <f t="shared" ref="BB33:BB96" si="85">IFERROR(BA33/SUM($BA$32:$BA$229),"-")</f>
        <v>1.155997972604851E-4</v>
      </c>
      <c r="BC33" s="13">
        <f t="shared" ref="BC33:BC96" si="86">IFERROR(AV33/SUMIFS($AV$32:$AV$229,$B$32:$B$229,B33),"-")</f>
        <v>4.3697391430426875E-4</v>
      </c>
      <c r="BD33" s="10">
        <f t="shared" ref="BD33:BD96" si="87">IFERROR(BC33*INDEX($AT$4:$AT$24,MATCH($B33,$D$4:$D$24,0)),"-")</f>
        <v>359203.01357556379</v>
      </c>
      <c r="BE33" s="13">
        <f t="shared" ref="BE33:BE96" si="88">IFERROR(BD33/SUM($BD$32:$BD$229),"-")</f>
        <v>2.0356026709041433E-4</v>
      </c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2:70" x14ac:dyDescent="0.3">
      <c r="B34" s="96" t="str">
        <f t="shared" si="67"/>
        <v>US FOODHELLMANNS BEST FOODS</v>
      </c>
      <c r="C34" s="96" t="str">
        <f t="shared" si="68"/>
        <v>US FOODHELLMANNS BEST FOODSAIOLI</v>
      </c>
      <c r="D34" s="96" t="str">
        <f t="shared" si="69"/>
        <v>US FOODHELLMANNS BEST FOODSAIOLIOTHER</v>
      </c>
      <c r="E34" s="3" t="s">
        <v>104</v>
      </c>
      <c r="F34" s="3" t="s">
        <v>106</v>
      </c>
      <c r="G34" s="3" t="s">
        <v>112</v>
      </c>
      <c r="H34" s="3" t="s">
        <v>115</v>
      </c>
      <c r="I34" s="20">
        <f>IFERROR(INDEX('Input - US Food'!G$2:G$200,MATCH('Calculations - US Food'!$D34,'Input - US Food'!$B$2:$B$200,0)),"")</f>
        <v>10361287.3859</v>
      </c>
      <c r="J34" s="20">
        <f>IFERROR(INDEX('Input - US Food'!H$2:H$200,MATCH('Calculations - US Food'!$D34,'Input - US Food'!$B$2:$B$200,0)),"")</f>
        <v>1598720.8688000001</v>
      </c>
      <c r="K34" s="21">
        <f>IFERROR(INDEX('Input - US Food'!I$2:I$200,MATCH('Calculations - US Food'!$D34,'Input - US Food'!$B$2:$B$200,0)),"")</f>
        <v>2.2729309824624901</v>
      </c>
      <c r="L34" s="21">
        <f>IFERROR(INDEX('Input - US Food'!J$2:J$200,MATCH('Calculations - US Food'!$D34,'Input - US Food'!$B$2:$B$200,0)),"")</f>
        <v>14.7308336165567</v>
      </c>
      <c r="M34" s="20">
        <f>IFERROR(INDEX('Input - US Food'!K$2:K$200,MATCH('Calculations - US Food'!$D34,'Input - US Food'!$B$2:$B$200,0)),"")</f>
        <v>19897782.866500001</v>
      </c>
      <c r="N34" s="20">
        <f>IFERROR(INDEX('Input - US Food'!L$2:L$200,MATCH('Calculations - US Food'!$D34,'Input - US Food'!$B$2:$B$200,0)),"")</f>
        <v>3190651.5427000001</v>
      </c>
      <c r="O34" s="21">
        <f t="shared" si="70"/>
        <v>6.4809858857207407</v>
      </c>
      <c r="P34" s="21">
        <f t="shared" si="52"/>
        <v>6.2362757575407484</v>
      </c>
      <c r="Q34" s="21">
        <f t="shared" si="71"/>
        <v>-3.9279427312920969</v>
      </c>
      <c r="R34" s="9">
        <f t="shared" si="53"/>
        <v>5.871739233698426E-3</v>
      </c>
      <c r="S34" s="9">
        <f t="shared" si="54"/>
        <v>3.1258534593983241E-3</v>
      </c>
      <c r="T34" s="22">
        <f>IFERROR(INDEX('US Food'!$S$11:$S$197,MATCH('Calculations - US Food'!$D34,'US Food'!$N$11:$N$197,0)),"")</f>
        <v>0</v>
      </c>
      <c r="U34" s="22">
        <f>IFERROR(INDEX('US Food'!$T$11:$T$197,MATCH('Calculations - US Food'!$D34,'US Food'!$N$11:$N$197,0)),"")</f>
        <v>0</v>
      </c>
      <c r="V34" s="16">
        <f t="shared" si="55"/>
        <v>0</v>
      </c>
      <c r="W34" s="16">
        <f t="shared" si="72"/>
        <v>0</v>
      </c>
      <c r="X34" s="16">
        <f t="shared" si="73"/>
        <v>0</v>
      </c>
      <c r="Y34" s="10">
        <f t="shared" si="56"/>
        <v>0</v>
      </c>
      <c r="Z34" s="10">
        <f t="shared" si="57"/>
        <v>16955889.251754887</v>
      </c>
      <c r="AA34" s="13">
        <f t="shared" si="74"/>
        <v>6.0463287293087151E-3</v>
      </c>
      <c r="AB34" s="9">
        <f t="shared" si="58"/>
        <v>1.7458949561028909E-4</v>
      </c>
      <c r="AC34" s="16">
        <f t="shared" si="75"/>
        <v>10669368.495530292</v>
      </c>
      <c r="AD34" s="16">
        <f t="shared" si="59"/>
        <v>1646257.0176302379</v>
      </c>
      <c r="AE34" s="16">
        <f t="shared" si="60"/>
        <v>0</v>
      </c>
      <c r="AF34" s="16">
        <f t="shared" si="76"/>
        <v>0</v>
      </c>
      <c r="AG34" s="16"/>
      <c r="AH34" s="32">
        <f>IFERROR(INDEX('US Food'!$R$11:$R$197,MATCH('Calculations - US Food'!D34,'US Food'!$N$11:$N$197,0)),"")</f>
        <v>6.4809858857207407</v>
      </c>
      <c r="AI34" s="23">
        <f t="shared" si="77"/>
        <v>0</v>
      </c>
      <c r="AJ34" s="23">
        <f t="shared" si="78"/>
        <v>0</v>
      </c>
      <c r="AK34" s="9">
        <f t="shared" si="61"/>
        <v>0</v>
      </c>
      <c r="AL34" s="4">
        <f t="shared" si="62"/>
        <v>1598720.8688000001</v>
      </c>
      <c r="AM34" s="4"/>
      <c r="AN34" s="4"/>
      <c r="AO34" s="4"/>
      <c r="AP34" s="4"/>
      <c r="AQ34" s="4"/>
      <c r="AR34" s="20">
        <f t="shared" si="63"/>
        <v>16955889.251754887</v>
      </c>
      <c r="AS34" s="13">
        <f t="shared" si="79"/>
        <v>6.0463287293087151E-3</v>
      </c>
      <c r="AT34" s="13">
        <f t="shared" si="80"/>
        <v>6.0463287293087177E-3</v>
      </c>
      <c r="AU34" s="13">
        <f t="shared" si="64"/>
        <v>1.7458949561029169E-4</v>
      </c>
      <c r="AV34" s="16">
        <f t="shared" si="81"/>
        <v>10669368.495530296</v>
      </c>
      <c r="AW34" s="16">
        <f t="shared" si="65"/>
        <v>1646257.0176302386</v>
      </c>
      <c r="AX34" s="16">
        <f t="shared" si="66"/>
        <v>0</v>
      </c>
      <c r="AY34" s="16">
        <f t="shared" si="82"/>
        <v>0</v>
      </c>
      <c r="AZ34" s="13">
        <f t="shared" si="83"/>
        <v>7.4357981466028882E-3</v>
      </c>
      <c r="BA34" s="10">
        <f t="shared" si="84"/>
        <v>1650805.7087467965</v>
      </c>
      <c r="BB34" s="9">
        <f t="shared" si="85"/>
        <v>3.2249381155053454E-3</v>
      </c>
      <c r="BC34" s="13">
        <f t="shared" si="86"/>
        <v>1.2979389198987744E-2</v>
      </c>
      <c r="BD34" s="10">
        <f t="shared" si="87"/>
        <v>10669368.495530296</v>
      </c>
      <c r="BE34" s="13">
        <f t="shared" si="88"/>
        <v>6.0463287293087134E-3</v>
      </c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2:70" s="166" customFormat="1" x14ac:dyDescent="0.3">
      <c r="B35" s="166" t="str">
        <f t="shared" si="67"/>
        <v>US FOODKRAFT</v>
      </c>
      <c r="C35" s="166" t="str">
        <f t="shared" si="68"/>
        <v>US FOODKRAFTAIOLI</v>
      </c>
      <c r="D35" s="166" t="str">
        <f t="shared" si="69"/>
        <v>US FOODKRAFTAIOLIJAR 30OZ</v>
      </c>
      <c r="E35" s="167" t="s">
        <v>104</v>
      </c>
      <c r="F35" s="167" t="s">
        <v>107</v>
      </c>
      <c r="G35" s="167" t="s">
        <v>112</v>
      </c>
      <c r="H35" s="167" t="s">
        <v>118</v>
      </c>
      <c r="I35" s="168">
        <f>IFERROR(INDEX('Input - US Food'!G$2:G$200,MATCH('Calculations - US Food'!$D35,'Input - US Food'!$B$2:$B$200,0)),"")</f>
        <v>403504.72769999999</v>
      </c>
      <c r="J35" s="168">
        <f>IFERROR(INDEX('Input - US Food'!H$2:H$200,MATCH('Calculations - US Food'!$D35,'Input - US Food'!$B$2:$B$200,0)),"")</f>
        <v>157821.22529999999</v>
      </c>
      <c r="K35" s="169">
        <f>IFERROR(INDEX('Input - US Food'!I$2:I$200,MATCH('Calculations - US Food'!$D35,'Input - US Food'!$B$2:$B$200,0)),"")</f>
        <v>2.2761904860709898</v>
      </c>
      <c r="L35" s="169">
        <f>IFERROR(INDEX('Input - US Food'!J$2:J$200,MATCH('Calculations - US Food'!$D35,'Input - US Food'!$B$2:$B$200,0)),"")</f>
        <v>5.8195823820878898</v>
      </c>
      <c r="M35" s="168">
        <f>IFERROR(INDEX('Input - US Food'!K$2:K$200,MATCH('Calculations - US Food'!$D35,'Input - US Food'!$B$2:$B$200,0)),"")</f>
        <v>1347223.8367000001</v>
      </c>
      <c r="N35" s="168">
        <f>IFERROR(INDEX('Input - US Food'!L$2:L$200,MATCH('Calculations - US Food'!$D35,'Input - US Food'!$B$2:$B$200,0)),"")</f>
        <v>618327.11080000002</v>
      </c>
      <c r="O35" s="169">
        <f t="shared" si="70"/>
        <v>2.5567202822876576</v>
      </c>
      <c r="P35" s="169">
        <f t="shared" si="52"/>
        <v>2.1788205840706931</v>
      </c>
      <c r="Q35" s="169">
        <f t="shared" si="71"/>
        <v>-3.9179104174279877</v>
      </c>
      <c r="R35" s="170">
        <f t="shared" si="53"/>
        <v>2.2866603853137797E-4</v>
      </c>
      <c r="S35" s="170">
        <f t="shared" si="54"/>
        <v>3.0857545722836395E-4</v>
      </c>
      <c r="T35" s="171">
        <f>IFERROR(INDEX('US Food'!$S$11:$S$197,MATCH('Calculations - US Food'!$D35,'US Food'!$N$11:$N$197,0)),"")</f>
        <v>0.8</v>
      </c>
      <c r="U35" s="171">
        <f>IFERROR(INDEX('US Food'!$T$11:$T$197,MATCH('Calculations - US Food'!$D35,'US Food'!$N$11:$N$197,0)),"")</f>
        <v>0.3</v>
      </c>
      <c r="V35" s="172">
        <f t="shared" si="55"/>
        <v>322803.78216</v>
      </c>
      <c r="W35" s="172">
        <f t="shared" si="72"/>
        <v>96841.134647999992</v>
      </c>
      <c r="X35" s="172">
        <f t="shared" si="73"/>
        <v>225962.647512</v>
      </c>
      <c r="Y35" s="173">
        <f t="shared" si="56"/>
        <v>1.4317633580810882</v>
      </c>
      <c r="Z35" s="173">
        <f t="shared" si="57"/>
        <v>660979.1749877017</v>
      </c>
      <c r="AA35" s="174">
        <f t="shared" si="74"/>
        <v>2.3569966256941003E-4</v>
      </c>
      <c r="AB35" s="170">
        <f t="shared" si="58"/>
        <v>7.0336240380320628E-6</v>
      </c>
      <c r="AC35" s="172">
        <f t="shared" si="75"/>
        <v>415916.28024378035</v>
      </c>
      <c r="AD35" s="172">
        <f t="shared" si="59"/>
        <v>162675.70728215683</v>
      </c>
      <c r="AE35" s="172">
        <f t="shared" si="60"/>
        <v>332733.02419502428</v>
      </c>
      <c r="AF35" s="172">
        <f t="shared" si="76"/>
        <v>99819.907258507272</v>
      </c>
      <c r="AG35" s="189"/>
      <c r="AH35" s="190">
        <f>IFERROR(INDEX('US Food'!$R$11:$R$197,MATCH('Calculations - US Food'!D35,'US Food'!$N$11:$N$197,0)),"")</f>
        <v>2.5567202822876576</v>
      </c>
      <c r="AI35" s="171">
        <f t="shared" si="77"/>
        <v>0.8</v>
      </c>
      <c r="AJ35" s="171">
        <f t="shared" si="78"/>
        <v>0.3</v>
      </c>
      <c r="AK35" s="170">
        <f t="shared" si="61"/>
        <v>0</v>
      </c>
      <c r="AL35" s="175">
        <f t="shared" si="62"/>
        <v>157821.22529999999</v>
      </c>
      <c r="AM35" s="175"/>
      <c r="AN35" s="175"/>
      <c r="AO35" s="175"/>
      <c r="AP35" s="175"/>
      <c r="AQ35" s="175"/>
      <c r="AR35" s="168">
        <f t="shared" si="63"/>
        <v>660979.1749877017</v>
      </c>
      <c r="AS35" s="174">
        <f t="shared" si="79"/>
        <v>2.3569966256941003E-4</v>
      </c>
      <c r="AT35" s="174">
        <f t="shared" si="80"/>
        <v>2.3569966256941014E-4</v>
      </c>
      <c r="AU35" s="174">
        <f t="shared" si="64"/>
        <v>7.0336240380321712E-6</v>
      </c>
      <c r="AV35" s="172">
        <f t="shared" si="81"/>
        <v>415916.28024378052</v>
      </c>
      <c r="AW35" s="172">
        <f t="shared" si="65"/>
        <v>162675.70728215689</v>
      </c>
      <c r="AX35" s="172">
        <f t="shared" si="66"/>
        <v>332733.02419502445</v>
      </c>
      <c r="AY35" s="172">
        <f t="shared" si="82"/>
        <v>99819.907258507359</v>
      </c>
      <c r="AZ35" s="174">
        <f t="shared" si="83"/>
        <v>3.3765370555627282E-3</v>
      </c>
      <c r="BA35" s="173">
        <f t="shared" si="84"/>
        <v>163472.58764474725</v>
      </c>
      <c r="BB35" s="170">
        <f t="shared" si="85"/>
        <v>3.1935252946032477E-4</v>
      </c>
      <c r="BC35" s="174">
        <f t="shared" si="86"/>
        <v>2.5341430588404702E-3</v>
      </c>
      <c r="BD35" s="173">
        <f t="shared" si="87"/>
        <v>415916.28024378041</v>
      </c>
      <c r="BE35" s="174">
        <f t="shared" si="88"/>
        <v>2.3569966256940989E-4</v>
      </c>
      <c r="BF35" s="175"/>
      <c r="BG35" s="175"/>
      <c r="BH35" s="175"/>
      <c r="BI35" s="175"/>
      <c r="BJ35" s="175"/>
      <c r="BK35" s="175"/>
      <c r="BL35" s="175"/>
      <c r="BM35" s="175"/>
      <c r="BN35" s="175"/>
      <c r="BO35" s="175"/>
      <c r="BP35" s="175"/>
      <c r="BQ35" s="175"/>
      <c r="BR35" s="175"/>
    </row>
    <row r="36" spans="2:70" s="166" customFormat="1" x14ac:dyDescent="0.3">
      <c r="B36" s="166" t="str">
        <f t="shared" si="67"/>
        <v>US FOODKRAFT</v>
      </c>
      <c r="C36" s="166" t="str">
        <f t="shared" si="68"/>
        <v>US FOODKRAFTAIOLI</v>
      </c>
      <c r="D36" s="166" t="str">
        <f t="shared" si="69"/>
        <v>US FOODKRAFTAIOLISQUEEZY 12OZ</v>
      </c>
      <c r="E36" s="167" t="s">
        <v>104</v>
      </c>
      <c r="F36" s="167" t="s">
        <v>107</v>
      </c>
      <c r="G36" s="167" t="s">
        <v>112</v>
      </c>
      <c r="H36" s="167" t="s">
        <v>117</v>
      </c>
      <c r="I36" s="168">
        <f>IFERROR(INDEX('Input - US Food'!G$2:G$200,MATCH('Calculations - US Food'!$D36,'Input - US Food'!$B$2:$B$200,0)),"")</f>
        <v>11069302.607100001</v>
      </c>
      <c r="J36" s="168">
        <f>IFERROR(INDEX('Input - US Food'!H$2:H$200,MATCH('Calculations - US Food'!$D36,'Input - US Food'!$B$2:$B$200,0)),"")</f>
        <v>1659444.6651999999</v>
      </c>
      <c r="K36" s="169">
        <f>IFERROR(INDEX('Input - US Food'!I$2:I$200,MATCH('Calculations - US Food'!$D36,'Input - US Food'!$B$2:$B$200,0)),"")</f>
        <v>2.1311689446233402</v>
      </c>
      <c r="L36" s="169">
        <f>IFERROR(INDEX('Input - US Food'!J$2:J$200,MATCH('Calculations - US Food'!$D36,'Input - US Food'!$B$2:$B$200,0)),"")</f>
        <v>14.215932865737701</v>
      </c>
      <c r="M36" s="168">
        <f>IFERROR(INDEX('Input - US Food'!K$2:K$200,MATCH('Calculations - US Food'!$D36,'Input - US Food'!$B$2:$B$200,0)),"")</f>
        <v>32537523.274700001</v>
      </c>
      <c r="N36" s="168">
        <f>IFERROR(INDEX('Input - US Food'!L$2:L$200,MATCH('Calculations - US Food'!$D36,'Input - US Food'!$B$2:$B$200,0)),"")</f>
        <v>5756114.443</v>
      </c>
      <c r="O36" s="169">
        <f t="shared" si="70"/>
        <v>6.6704861205877597</v>
      </c>
      <c r="P36" s="169">
        <f t="shared" si="52"/>
        <v>5.6526887359351967</v>
      </c>
      <c r="Q36" s="169">
        <f t="shared" si="71"/>
        <v>-4.4202062156726587</v>
      </c>
      <c r="R36" s="170">
        <f t="shared" si="53"/>
        <v>6.272971300481274E-3</v>
      </c>
      <c r="S36" s="170">
        <f t="shared" si="54"/>
        <v>3.2445819333608949E-3</v>
      </c>
      <c r="T36" s="171">
        <f>IFERROR(INDEX('US Food'!$S$11:$S$197,MATCH('Calculations - US Food'!$D36,'US Food'!$N$11:$N$197,0)),"")</f>
        <v>0.8</v>
      </c>
      <c r="U36" s="171">
        <f>IFERROR(INDEX('US Food'!$T$11:$T$197,MATCH('Calculations - US Food'!$D36,'US Food'!$N$11:$N$197,0)),"")</f>
        <v>0.3</v>
      </c>
      <c r="V36" s="172">
        <f t="shared" si="55"/>
        <v>8855442.0856800005</v>
      </c>
      <c r="W36" s="172">
        <f t="shared" si="72"/>
        <v>2656632.6257040002</v>
      </c>
      <c r="X36" s="172">
        <f t="shared" si="73"/>
        <v>6198809.4599760007</v>
      </c>
      <c r="Y36" s="173">
        <f t="shared" si="56"/>
        <v>3.7354722275291454</v>
      </c>
      <c r="Z36" s="173">
        <f t="shared" si="57"/>
        <v>17329928.280994888</v>
      </c>
      <c r="AA36" s="174">
        <f t="shared" si="74"/>
        <v>6.1797079284057191E-3</v>
      </c>
      <c r="AB36" s="170">
        <f t="shared" si="58"/>
        <v>-9.3263372075554941E-5</v>
      </c>
      <c r="AC36" s="172">
        <f t="shared" si="75"/>
        <v>10904729.801293656</v>
      </c>
      <c r="AD36" s="172">
        <f t="shared" si="59"/>
        <v>1634772.8792414912</v>
      </c>
      <c r="AE36" s="172">
        <f t="shared" si="60"/>
        <v>8723783.8410349246</v>
      </c>
      <c r="AF36" s="172">
        <f t="shared" si="76"/>
        <v>2617135.1523104766</v>
      </c>
      <c r="AG36" s="189"/>
      <c r="AH36" s="190">
        <f>IFERROR(INDEX('US Food'!$R$11:$R$197,MATCH('Calculations - US Food'!D36,'US Food'!$N$11:$N$197,0)),"")</f>
        <v>6.6704861205877597</v>
      </c>
      <c r="AI36" s="171">
        <f t="shared" si="77"/>
        <v>0.8</v>
      </c>
      <c r="AJ36" s="171">
        <f t="shared" si="78"/>
        <v>0.3</v>
      </c>
      <c r="AK36" s="170">
        <f t="shared" si="61"/>
        <v>0</v>
      </c>
      <c r="AL36" s="175">
        <f t="shared" si="62"/>
        <v>1659444.6651999999</v>
      </c>
      <c r="AM36" s="175"/>
      <c r="AN36" s="175"/>
      <c r="AO36" s="175"/>
      <c r="AP36" s="175"/>
      <c r="AQ36" s="175"/>
      <c r="AR36" s="168">
        <f t="shared" si="63"/>
        <v>17329928.280994888</v>
      </c>
      <c r="AS36" s="174">
        <f t="shared" si="79"/>
        <v>6.1797079284057191E-3</v>
      </c>
      <c r="AT36" s="174">
        <f t="shared" si="80"/>
        <v>6.1797079284057217E-3</v>
      </c>
      <c r="AU36" s="174">
        <f t="shared" si="64"/>
        <v>-9.3263372075552339E-5</v>
      </c>
      <c r="AV36" s="172">
        <f t="shared" si="81"/>
        <v>10904729.80129366</v>
      </c>
      <c r="AW36" s="172">
        <f t="shared" si="65"/>
        <v>1634772.8792414917</v>
      </c>
      <c r="AX36" s="172">
        <f t="shared" si="66"/>
        <v>8723783.8410349283</v>
      </c>
      <c r="AY36" s="172">
        <f t="shared" si="82"/>
        <v>2617135.1523104785</v>
      </c>
      <c r="AZ36" s="174">
        <f t="shared" si="83"/>
        <v>3.3931748608375764E-2</v>
      </c>
      <c r="BA36" s="173">
        <f t="shared" si="84"/>
        <v>1642780.948955941</v>
      </c>
      <c r="BB36" s="170">
        <f t="shared" si="85"/>
        <v>3.2092613138198518E-3</v>
      </c>
      <c r="BC36" s="174">
        <f t="shared" si="86"/>
        <v>6.6441605311246724E-2</v>
      </c>
      <c r="BD36" s="173">
        <f t="shared" si="87"/>
        <v>10904729.801293656</v>
      </c>
      <c r="BE36" s="174">
        <f t="shared" si="88"/>
        <v>6.1797079284057156E-3</v>
      </c>
      <c r="BF36" s="175"/>
      <c r="BG36" s="175"/>
      <c r="BH36" s="175"/>
      <c r="BI36" s="175"/>
      <c r="BJ36" s="175"/>
      <c r="BK36" s="175"/>
      <c r="BL36" s="175"/>
      <c r="BM36" s="175"/>
      <c r="BN36" s="175"/>
      <c r="BO36" s="175"/>
      <c r="BP36" s="175"/>
      <c r="BQ36" s="175"/>
      <c r="BR36" s="175"/>
    </row>
    <row r="37" spans="2:70" s="166" customFormat="1" x14ac:dyDescent="0.3">
      <c r="B37" s="166" t="str">
        <f t="shared" si="67"/>
        <v>US FOODKRAFT</v>
      </c>
      <c r="C37" s="166" t="str">
        <f t="shared" si="68"/>
        <v>US FOODKRAFTAIOLI</v>
      </c>
      <c r="D37" s="166" t="str">
        <f t="shared" si="69"/>
        <v>US FOODKRAFTAIOLIOTHER</v>
      </c>
      <c r="E37" s="167" t="s">
        <v>104</v>
      </c>
      <c r="F37" s="167" t="s">
        <v>107</v>
      </c>
      <c r="G37" s="167" t="s">
        <v>112</v>
      </c>
      <c r="H37" s="167" t="s">
        <v>115</v>
      </c>
      <c r="I37" s="168">
        <f>IFERROR(INDEX('Input - US Food'!G$2:G$200,MATCH('Calculations - US Food'!$D37,'Input - US Food'!$B$2:$B$200,0)),"")</f>
        <v>684827.34840000002</v>
      </c>
      <c r="J37" s="168">
        <f>IFERROR(INDEX('Input - US Food'!H$2:H$200,MATCH('Calculations - US Food'!$D37,'Input - US Food'!$B$2:$B$200,0)),"")</f>
        <v>196214.99679999999</v>
      </c>
      <c r="K37" s="169">
        <f>IFERROR(INDEX('Input - US Food'!I$2:I$200,MATCH('Calculations - US Food'!$D37,'Input - US Food'!$B$2:$B$200,0)),"")</f>
        <v>3.11205377399429</v>
      </c>
      <c r="L37" s="169">
        <f>IFERROR(INDEX('Input - US Food'!J$2:J$200,MATCH('Calculations - US Food'!$D37,'Input - US Food'!$B$2:$B$200,0)),"")</f>
        <v>10.8616546588182</v>
      </c>
      <c r="M37" s="168">
        <f>IFERROR(INDEX('Input - US Food'!K$2:K$200,MATCH('Calculations - US Food'!$D37,'Input - US Food'!$B$2:$B$200,0)),"")</f>
        <v>1771692.2842999999</v>
      </c>
      <c r="N37" s="168">
        <f>IFERROR(INDEX('Input - US Food'!L$2:L$200,MATCH('Calculations - US Food'!$D37,'Input - US Food'!$B$2:$B$200,0)),"")</f>
        <v>484745.94910000003</v>
      </c>
      <c r="O37" s="169">
        <f t="shared" si="70"/>
        <v>3.4901886174278398</v>
      </c>
      <c r="P37" s="169">
        <f t="shared" si="52"/>
        <v>3.6548882720719984</v>
      </c>
      <c r="Q37" s="169">
        <f t="shared" si="71"/>
        <v>-2.3673639665642021</v>
      </c>
      <c r="R37" s="170">
        <f t="shared" si="53"/>
        <v>3.8809150447675363E-4</v>
      </c>
      <c r="S37" s="170">
        <f t="shared" si="54"/>
        <v>3.836437857932533E-4</v>
      </c>
      <c r="T37" s="171">
        <f>IFERROR(INDEX('US Food'!$S$11:$S$197,MATCH('Calculations - US Food'!$D37,'US Food'!$N$11:$N$197,0)),"")</f>
        <v>0.8</v>
      </c>
      <c r="U37" s="171">
        <f>IFERROR(INDEX('US Food'!$T$11:$T$197,MATCH('Calculations - US Food'!$D37,'US Food'!$N$11:$N$197,0)),"")</f>
        <v>0.3</v>
      </c>
      <c r="V37" s="172">
        <f t="shared" si="55"/>
        <v>547861.87872000004</v>
      </c>
      <c r="W37" s="172">
        <f t="shared" si="72"/>
        <v>164358.563616</v>
      </c>
      <c r="X37" s="172">
        <f t="shared" si="73"/>
        <v>383503.31510400004</v>
      </c>
      <c r="Y37" s="173">
        <f t="shared" si="56"/>
        <v>1.9545056257595905</v>
      </c>
      <c r="Z37" s="173">
        <f t="shared" si="57"/>
        <v>1408023.441261359</v>
      </c>
      <c r="AA37" s="174">
        <f t="shared" si="74"/>
        <v>5.0208941908237378E-4</v>
      </c>
      <c r="AB37" s="170">
        <f t="shared" si="58"/>
        <v>1.1399791460562015E-4</v>
      </c>
      <c r="AC37" s="172">
        <f t="shared" si="75"/>
        <v>885988.38563464198</v>
      </c>
      <c r="AD37" s="172">
        <f t="shared" si="59"/>
        <v>253851.14753127232</v>
      </c>
      <c r="AE37" s="172">
        <f t="shared" si="60"/>
        <v>708790.70850771363</v>
      </c>
      <c r="AF37" s="172">
        <f t="shared" si="76"/>
        <v>212637.2125523141</v>
      </c>
      <c r="AG37" s="189"/>
      <c r="AH37" s="190">
        <f>IFERROR(INDEX('US Food'!$R$11:$R$197,MATCH('Calculations - US Food'!D37,'US Food'!$N$11:$N$197,0)),"")</f>
        <v>3.4901886174278398</v>
      </c>
      <c r="AI37" s="171">
        <f t="shared" si="77"/>
        <v>0.8</v>
      </c>
      <c r="AJ37" s="171">
        <f t="shared" si="78"/>
        <v>0.3</v>
      </c>
      <c r="AK37" s="170">
        <f t="shared" si="61"/>
        <v>0</v>
      </c>
      <c r="AL37" s="175">
        <f t="shared" si="62"/>
        <v>196214.99679999999</v>
      </c>
      <c r="AM37" s="175"/>
      <c r="AN37" s="175"/>
      <c r="AO37" s="175"/>
      <c r="AP37" s="175"/>
      <c r="AQ37" s="175"/>
      <c r="AR37" s="168">
        <f t="shared" si="63"/>
        <v>1408023.441261359</v>
      </c>
      <c r="AS37" s="174">
        <f t="shared" si="79"/>
        <v>5.0208941908237378E-4</v>
      </c>
      <c r="AT37" s="174">
        <f t="shared" si="80"/>
        <v>5.02089419082374E-4</v>
      </c>
      <c r="AU37" s="174">
        <f t="shared" si="64"/>
        <v>1.1399791460562036E-4</v>
      </c>
      <c r="AV37" s="172">
        <f t="shared" si="81"/>
        <v>885988.38563464233</v>
      </c>
      <c r="AW37" s="172">
        <f t="shared" si="65"/>
        <v>253851.14753127244</v>
      </c>
      <c r="AX37" s="172">
        <f t="shared" si="66"/>
        <v>708790.70850771386</v>
      </c>
      <c r="AY37" s="172">
        <f t="shared" si="82"/>
        <v>212637.2125523141</v>
      </c>
      <c r="AZ37" s="174">
        <f t="shared" si="83"/>
        <v>5.2689969544732242E-3</v>
      </c>
      <c r="BA37" s="173">
        <f t="shared" si="84"/>
        <v>255094.65830413686</v>
      </c>
      <c r="BB37" s="170">
        <f t="shared" si="85"/>
        <v>4.9834119319307787E-4</v>
      </c>
      <c r="BC37" s="174">
        <f t="shared" si="86"/>
        <v>5.3982530242704455E-3</v>
      </c>
      <c r="BD37" s="173">
        <f t="shared" si="87"/>
        <v>885988.38563464198</v>
      </c>
      <c r="BE37" s="174">
        <f t="shared" si="88"/>
        <v>5.0208941908237346E-4</v>
      </c>
      <c r="BF37" s="175"/>
      <c r="BG37" s="175"/>
      <c r="BH37" s="175"/>
      <c r="BI37" s="175"/>
      <c r="BJ37" s="175"/>
      <c r="BK37" s="175"/>
      <c r="BL37" s="175"/>
      <c r="BM37" s="175"/>
      <c r="BN37" s="175"/>
      <c r="BO37" s="175"/>
      <c r="BP37" s="175"/>
      <c r="BQ37" s="175"/>
      <c r="BR37" s="175"/>
    </row>
    <row r="38" spans="2:70" x14ac:dyDescent="0.3">
      <c r="B38" s="96" t="str">
        <f t="shared" si="67"/>
        <v>US FOODMCCORMICK AIOLI</v>
      </c>
      <c r="C38" s="96" t="str">
        <f t="shared" si="68"/>
        <v>US FOODMCCORMICK AIOLIAIOLI</v>
      </c>
      <c r="D38" s="96" t="str">
        <f t="shared" si="69"/>
        <v>US FOODMCCORMICK AIOLIAIOLIJAR 15OZ</v>
      </c>
      <c r="E38" s="3" t="s">
        <v>104</v>
      </c>
      <c r="F38" s="3" t="s">
        <v>108</v>
      </c>
      <c r="G38" s="3" t="s">
        <v>112</v>
      </c>
      <c r="H38" s="3" t="s">
        <v>116</v>
      </c>
      <c r="I38" s="20">
        <f>IFERROR(INDEX('Input - US Food'!G$2:G$200,MATCH('Calculations - US Food'!$D38,'Input - US Food'!$B$2:$B$200,0)),"")</f>
        <v>6439832.5915999999</v>
      </c>
      <c r="J38" s="20">
        <f>IFERROR(INDEX('Input - US Food'!H$2:H$200,MATCH('Calculations - US Food'!$D38,'Input - US Food'!$B$2:$B$200,0)),"")</f>
        <v>971268.90330000001</v>
      </c>
      <c r="K38" s="21">
        <f>IFERROR(INDEX('Input - US Food'!I$2:I$200,MATCH('Calculations - US Food'!$D38,'Input - US Food'!$B$2:$B$200,0)),"")</f>
        <v>2.3696543203476699</v>
      </c>
      <c r="L38" s="21">
        <f>IFERROR(INDEX('Input - US Food'!J$2:J$200,MATCH('Calculations - US Food'!$D38,'Input - US Food'!$B$2:$B$200,0)),"")</f>
        <v>15.711588285337299</v>
      </c>
      <c r="M38" s="20">
        <f>IFERROR(INDEX('Input - US Food'!K$2:K$200,MATCH('Calculations - US Food'!$D38,'Input - US Food'!$B$2:$B$200,0)),"")</f>
        <v>19847887.635699999</v>
      </c>
      <c r="N38" s="20">
        <f>IFERROR(INDEX('Input - US Food'!L$2:L$200,MATCH('Calculations - US Food'!$D38,'Input - US Food'!$B$2:$B$200,0)),"")</f>
        <v>3599103.0989000001</v>
      </c>
      <c r="O38" s="21">
        <f t="shared" si="70"/>
        <v>6.630329221619176</v>
      </c>
      <c r="P38" s="21">
        <f t="shared" si="52"/>
        <v>5.5146760429747461</v>
      </c>
      <c r="Q38" s="21">
        <f t="shared" si="71"/>
        <v>-3.6505561481606561</v>
      </c>
      <c r="R38" s="9">
        <f t="shared" si="53"/>
        <v>3.6494516828096866E-3</v>
      </c>
      <c r="S38" s="9">
        <f t="shared" si="54"/>
        <v>1.8990458688796477E-3</v>
      </c>
      <c r="T38" s="22">
        <f>IFERROR(INDEX('US Food'!$S$11:$S$197,MATCH('Calculations - US Food'!$D38,'US Food'!$N$11:$N$197,0)),"")</f>
        <v>0</v>
      </c>
      <c r="U38" s="22">
        <f>IFERROR(INDEX('US Food'!$T$11:$T$197,MATCH('Calculations - US Food'!$D38,'US Food'!$N$11:$N$197,0)),"")</f>
        <v>0</v>
      </c>
      <c r="V38" s="16">
        <f t="shared" si="55"/>
        <v>0</v>
      </c>
      <c r="W38" s="16">
        <f t="shared" si="72"/>
        <v>0</v>
      </c>
      <c r="X38" s="16">
        <f t="shared" si="73"/>
        <v>0</v>
      </c>
      <c r="Y38" s="10">
        <f t="shared" si="56"/>
        <v>0</v>
      </c>
      <c r="Z38" s="10">
        <f t="shared" si="57"/>
        <v>10850004.857300345</v>
      </c>
      <c r="AA38" s="13">
        <f t="shared" si="74"/>
        <v>3.8690212649887699E-3</v>
      </c>
      <c r="AB38" s="9">
        <f t="shared" si="58"/>
        <v>2.1956958217908334E-4</v>
      </c>
      <c r="AC38" s="16">
        <f t="shared" si="75"/>
        <v>6827285.6871160464</v>
      </c>
      <c r="AD38" s="16">
        <f t="shared" si="59"/>
        <v>1029705.3824800531</v>
      </c>
      <c r="AE38" s="16">
        <f t="shared" si="60"/>
        <v>0</v>
      </c>
      <c r="AF38" s="16">
        <f t="shared" si="76"/>
        <v>0</v>
      </c>
      <c r="AG38" s="16"/>
      <c r="AH38" s="32">
        <f>IFERROR(INDEX('US Food'!$R$11:$R$197,MATCH('Calculations - US Food'!D38,'US Food'!$N$11:$N$197,0)),"")</f>
        <v>6.630329221619176</v>
      </c>
      <c r="AI38" s="23">
        <f t="shared" si="77"/>
        <v>0</v>
      </c>
      <c r="AJ38" s="23">
        <f t="shared" si="78"/>
        <v>0</v>
      </c>
      <c r="AK38" s="9">
        <f t="shared" si="61"/>
        <v>0</v>
      </c>
      <c r="AL38" s="4">
        <f t="shared" si="62"/>
        <v>971268.90330000001</v>
      </c>
      <c r="AM38" s="4"/>
      <c r="AN38" s="4"/>
      <c r="AO38" s="4"/>
      <c r="AP38" s="4"/>
      <c r="AQ38" s="4"/>
      <c r="AR38" s="20">
        <f t="shared" si="63"/>
        <v>10850004.857300345</v>
      </c>
      <c r="AS38" s="13">
        <f t="shared" si="79"/>
        <v>3.8690212649887699E-3</v>
      </c>
      <c r="AT38" s="13">
        <f t="shared" si="80"/>
        <v>3.8690212649887716E-3</v>
      </c>
      <c r="AU38" s="13">
        <f t="shared" si="64"/>
        <v>2.1956958217908508E-4</v>
      </c>
      <c r="AV38" s="16">
        <f t="shared" si="81"/>
        <v>6827285.6871160492</v>
      </c>
      <c r="AW38" s="16">
        <f t="shared" si="65"/>
        <v>1029705.3824800536</v>
      </c>
      <c r="AX38" s="16">
        <f t="shared" si="66"/>
        <v>0</v>
      </c>
      <c r="AY38" s="16">
        <f t="shared" si="82"/>
        <v>0</v>
      </c>
      <c r="AZ38" s="13">
        <f t="shared" si="83"/>
        <v>0.13653477141731191</v>
      </c>
      <c r="BA38" s="10">
        <f t="shared" si="84"/>
        <v>1039122.4890904209</v>
      </c>
      <c r="BB38" s="9">
        <f t="shared" si="85"/>
        <v>2.0299819076167762E-3</v>
      </c>
      <c r="BC38" s="13">
        <f t="shared" si="86"/>
        <v>0.19523751268386111</v>
      </c>
      <c r="BD38" s="10">
        <f t="shared" si="87"/>
        <v>6827285.6871160474</v>
      </c>
      <c r="BE38" s="13">
        <f t="shared" si="88"/>
        <v>3.8690212649887682E-3</v>
      </c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</row>
    <row r="39" spans="2:70" x14ac:dyDescent="0.3">
      <c r="B39" s="96" t="str">
        <f t="shared" si="67"/>
        <v>US FOODMCCORMICK AIOLI</v>
      </c>
      <c r="C39" s="96" t="str">
        <f t="shared" si="68"/>
        <v>US FOODMCCORMICK AIOLIAIOLI</v>
      </c>
      <c r="D39" s="96" t="str">
        <f t="shared" si="69"/>
        <v>US FOODMCCORMICK AIOLIAIOLIJAR 30OZ</v>
      </c>
      <c r="E39" s="3" t="s">
        <v>104</v>
      </c>
      <c r="F39" s="3" t="s">
        <v>108</v>
      </c>
      <c r="G39" s="3" t="s">
        <v>112</v>
      </c>
      <c r="H39" s="3" t="s">
        <v>118</v>
      </c>
      <c r="I39" s="20">
        <f>IFERROR(INDEX('Input - US Food'!G$2:G$200,MATCH('Calculations - US Food'!$D39,'Input - US Food'!$B$2:$B$200,0)),"")</f>
        <v>26965742.531800002</v>
      </c>
      <c r="J39" s="20">
        <f>IFERROR(INDEX('Input - US Food'!H$2:H$200,MATCH('Calculations - US Food'!$D39,'Input - US Food'!$B$2:$B$200,0)),"")</f>
        <v>6415556.8498</v>
      </c>
      <c r="K39" s="21">
        <f>IFERROR(INDEX('Input - US Food'!I$2:I$200,MATCH('Calculations - US Food'!$D39,'Input - US Food'!$B$2:$B$200,0)),"")</f>
        <v>2.0208962240766302</v>
      </c>
      <c r="L39" s="21">
        <f>IFERROR(INDEX('Input - US Food'!J$2:J$200,MATCH('Calculations - US Food'!$D39,'Input - US Food'!$B$2:$B$200,0)),"")</f>
        <v>8.4941913130480806</v>
      </c>
      <c r="M39" s="20">
        <f>IFERROR(INDEX('Input - US Food'!K$2:K$200,MATCH('Calculations - US Food'!$D39,'Input - US Food'!$B$2:$B$200,0)),"")</f>
        <v>79260003.457800001</v>
      </c>
      <c r="N39" s="20">
        <f>IFERROR(INDEX('Input - US Food'!L$2:L$200,MATCH('Calculations - US Food'!$D39,'Input - US Food'!$B$2:$B$200,0)),"")</f>
        <v>22503187.365699999</v>
      </c>
      <c r="O39" s="21">
        <f t="shared" si="70"/>
        <v>4.2031803572344053</v>
      </c>
      <c r="P39" s="21">
        <f t="shared" si="52"/>
        <v>3.5221678675888537</v>
      </c>
      <c r="Q39" s="21">
        <f t="shared" si="71"/>
        <v>-4.8976574524235685</v>
      </c>
      <c r="R39" s="9">
        <f t="shared" si="53"/>
        <v>1.5281480234323899E-2</v>
      </c>
      <c r="S39" s="9">
        <f t="shared" si="54"/>
        <v>1.2543834864660612E-2</v>
      </c>
      <c r="T39" s="22">
        <f>IFERROR(INDEX('US Food'!$S$11:$S$197,MATCH('Calculations - US Food'!$D39,'US Food'!$N$11:$N$197,0)),"")</f>
        <v>0</v>
      </c>
      <c r="U39" s="22">
        <f>IFERROR(INDEX('US Food'!$T$11:$T$197,MATCH('Calculations - US Food'!$D39,'US Food'!$N$11:$N$197,0)),"")</f>
        <v>0</v>
      </c>
      <c r="V39" s="16">
        <f t="shared" si="55"/>
        <v>0</v>
      </c>
      <c r="W39" s="16">
        <f t="shared" si="72"/>
        <v>0</v>
      </c>
      <c r="X39" s="16">
        <f t="shared" si="73"/>
        <v>0</v>
      </c>
      <c r="Y39" s="10">
        <f t="shared" si="56"/>
        <v>0</v>
      </c>
      <c r="Z39" s="10">
        <f t="shared" si="57"/>
        <v>40730354.896868631</v>
      </c>
      <c r="AA39" s="13">
        <f t="shared" si="74"/>
        <v>1.4524104947334953E-2</v>
      </c>
      <c r="AB39" s="9">
        <f t="shared" si="58"/>
        <v>-7.5737528698894586E-4</v>
      </c>
      <c r="AC39" s="16">
        <f t="shared" si="75"/>
        <v>25629275.993498344</v>
      </c>
      <c r="AD39" s="16">
        <f t="shared" si="59"/>
        <v>6097591.3035437316</v>
      </c>
      <c r="AE39" s="16">
        <f t="shared" si="60"/>
        <v>0</v>
      </c>
      <c r="AF39" s="16">
        <f t="shared" si="76"/>
        <v>0</v>
      </c>
      <c r="AG39" s="16"/>
      <c r="AH39" s="32">
        <f>IFERROR(INDEX('US Food'!$R$11:$R$197,MATCH('Calculations - US Food'!D39,'US Food'!$N$11:$N$197,0)),"")</f>
        <v>4.2031803572344053</v>
      </c>
      <c r="AI39" s="23">
        <f t="shared" si="77"/>
        <v>0</v>
      </c>
      <c r="AJ39" s="23">
        <f t="shared" si="78"/>
        <v>0</v>
      </c>
      <c r="AK39" s="9">
        <f t="shared" si="61"/>
        <v>0</v>
      </c>
      <c r="AL39" s="4">
        <f t="shared" si="62"/>
        <v>6415556.8498</v>
      </c>
      <c r="AM39" s="4"/>
      <c r="AN39" s="4"/>
      <c r="AO39" s="4"/>
      <c r="AP39" s="4"/>
      <c r="AQ39" s="4"/>
      <c r="AR39" s="20">
        <f t="shared" si="63"/>
        <v>40730354.896868631</v>
      </c>
      <c r="AS39" s="13">
        <f t="shared" si="79"/>
        <v>1.4524104947334953E-2</v>
      </c>
      <c r="AT39" s="13">
        <f t="shared" si="80"/>
        <v>1.452410494733496E-2</v>
      </c>
      <c r="AU39" s="13">
        <f t="shared" si="64"/>
        <v>-7.5737528698893893E-4</v>
      </c>
      <c r="AV39" s="16">
        <f t="shared" si="81"/>
        <v>25629275.993498359</v>
      </c>
      <c r="AW39" s="16">
        <f t="shared" si="65"/>
        <v>6097591.3035437353</v>
      </c>
      <c r="AX39" s="16">
        <f t="shared" si="66"/>
        <v>0</v>
      </c>
      <c r="AY39" s="16">
        <f t="shared" si="82"/>
        <v>0</v>
      </c>
      <c r="AZ39" s="13">
        <f t="shared" si="83"/>
        <v>0.8085159590215697</v>
      </c>
      <c r="BA39" s="10">
        <f t="shared" si="84"/>
        <v>6153356.4460290726</v>
      </c>
      <c r="BB39" s="9">
        <f t="shared" si="85"/>
        <v>1.2020914172967283E-2</v>
      </c>
      <c r="BC39" s="13">
        <f t="shared" si="86"/>
        <v>0.73291148579026189</v>
      </c>
      <c r="BD39" s="10">
        <f t="shared" si="87"/>
        <v>25629275.993498351</v>
      </c>
      <c r="BE39" s="13">
        <f t="shared" si="88"/>
        <v>1.4524104947334946E-2</v>
      </c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</row>
    <row r="40" spans="2:70" x14ac:dyDescent="0.3">
      <c r="B40" s="96" t="str">
        <f t="shared" si="67"/>
        <v>US FOODMCCORMICK AIOLI</v>
      </c>
      <c r="C40" s="96" t="str">
        <f t="shared" si="68"/>
        <v>US FOODMCCORMICK AIOLIAIOLI</v>
      </c>
      <c r="D40" s="96" t="str">
        <f t="shared" si="69"/>
        <v>US FOODMCCORMICK AIOLIAIOLIOTHER</v>
      </c>
      <c r="E40" s="3" t="s">
        <v>104</v>
      </c>
      <c r="F40" s="3" t="s">
        <v>108</v>
      </c>
      <c r="G40" s="3" t="s">
        <v>112</v>
      </c>
      <c r="H40" s="3" t="s">
        <v>115</v>
      </c>
      <c r="I40" s="20">
        <f>IFERROR(INDEX('Input - US Food'!G$2:G$200,MATCH('Calculations - US Food'!$D40,'Input - US Food'!$B$2:$B$200,0)),"")</f>
        <v>2209245.4016</v>
      </c>
      <c r="J40" s="20">
        <f>IFERROR(INDEX('Input - US Food'!H$2:H$200,MATCH('Calculations - US Food'!$D40,'Input - US Food'!$B$2:$B$200,0)),"")</f>
        <v>364382.8787</v>
      </c>
      <c r="K40" s="21">
        <f>IFERROR(INDEX('Input - US Food'!I$2:I$200,MATCH('Calculations - US Food'!$D40,'Input - US Food'!$B$2:$B$200,0)),"")</f>
        <v>2.6148104453188701</v>
      </c>
      <c r="L40" s="21">
        <f>IFERROR(INDEX('Input - US Food'!J$2:J$200,MATCH('Calculations - US Food'!$D40,'Input - US Food'!$B$2:$B$200,0)),"")</f>
        <v>15.853538379701</v>
      </c>
      <c r="M40" s="20">
        <f>IFERROR(INDEX('Input - US Food'!K$2:K$200,MATCH('Calculations - US Food'!$D40,'Input - US Food'!$B$2:$B$200,0)),"")</f>
        <v>8919326.0759999994</v>
      </c>
      <c r="N40" s="20">
        <f>IFERROR(INDEX('Input - US Food'!L$2:L$200,MATCH('Calculations - US Food'!$D40,'Input - US Food'!$B$2:$B$200,0)),"")</f>
        <v>1853471.9317999999</v>
      </c>
      <c r="O40" s="21">
        <f t="shared" si="70"/>
        <v>6.0629780671415503</v>
      </c>
      <c r="P40" s="21">
        <f t="shared" si="52"/>
        <v>4.8122261378611721</v>
      </c>
      <c r="Q40" s="21">
        <f t="shared" si="71"/>
        <v>-3.096338653551773</v>
      </c>
      <c r="R40" s="9">
        <f t="shared" si="53"/>
        <v>1.251978872731149E-3</v>
      </c>
      <c r="S40" s="9">
        <f t="shared" si="54"/>
        <v>7.1244924874525094E-4</v>
      </c>
      <c r="T40" s="22">
        <f>IFERROR(INDEX('US Food'!$S$11:$S$197,MATCH('Calculations - US Food'!$D40,'US Food'!$N$11:$N$197,0)),"")</f>
        <v>0</v>
      </c>
      <c r="U40" s="22">
        <f>IFERROR(INDEX('US Food'!$T$11:$T$197,MATCH('Calculations - US Food'!$D40,'US Food'!$N$11:$N$197,0)),"")</f>
        <v>0</v>
      </c>
      <c r="V40" s="16">
        <f t="shared" si="55"/>
        <v>0</v>
      </c>
      <c r="W40" s="16">
        <f t="shared" si="72"/>
        <v>0</v>
      </c>
      <c r="X40" s="16">
        <f t="shared" si="73"/>
        <v>0</v>
      </c>
      <c r="Y40" s="10">
        <f t="shared" si="56"/>
        <v>0</v>
      </c>
      <c r="Z40" s="10">
        <f t="shared" si="57"/>
        <v>3993001.6769881919</v>
      </c>
      <c r="AA40" s="13">
        <f t="shared" si="74"/>
        <v>1.4238711044454863E-3</v>
      </c>
      <c r="AB40" s="9">
        <f t="shared" si="58"/>
        <v>1.7189223171433727E-4</v>
      </c>
      <c r="AC40" s="16">
        <f t="shared" si="75"/>
        <v>2512566.9118561954</v>
      </c>
      <c r="AD40" s="16">
        <f t="shared" si="59"/>
        <v>414411.34769612807</v>
      </c>
      <c r="AE40" s="16">
        <f t="shared" si="60"/>
        <v>0</v>
      </c>
      <c r="AF40" s="16">
        <f t="shared" si="76"/>
        <v>0</v>
      </c>
      <c r="AG40" s="16"/>
      <c r="AH40" s="32">
        <f>IFERROR(INDEX('US Food'!$R$11:$R$197,MATCH('Calculations - US Food'!D40,'US Food'!$N$11:$N$197,0)),"")</f>
        <v>6.0629780671415503</v>
      </c>
      <c r="AI40" s="23">
        <f t="shared" si="77"/>
        <v>0</v>
      </c>
      <c r="AJ40" s="23">
        <f t="shared" si="78"/>
        <v>0</v>
      </c>
      <c r="AK40" s="9">
        <f t="shared" si="61"/>
        <v>0</v>
      </c>
      <c r="AL40" s="4">
        <f t="shared" si="62"/>
        <v>364382.8787</v>
      </c>
      <c r="AM40" s="4" t="s">
        <v>162</v>
      </c>
      <c r="AN40" s="4"/>
      <c r="AO40" s="4"/>
      <c r="AP40" s="4"/>
      <c r="AQ40" s="4"/>
      <c r="AR40" s="20">
        <f t="shared" si="63"/>
        <v>3993001.6769881919</v>
      </c>
      <c r="AS40" s="13">
        <f t="shared" si="79"/>
        <v>1.4238711044454863E-3</v>
      </c>
      <c r="AT40" s="13">
        <f t="shared" si="80"/>
        <v>1.4238711044454869E-3</v>
      </c>
      <c r="AU40" s="13">
        <f t="shared" si="64"/>
        <v>1.7189223171433792E-4</v>
      </c>
      <c r="AV40" s="16">
        <f t="shared" si="81"/>
        <v>2512566.9118561968</v>
      </c>
      <c r="AW40" s="16">
        <f t="shared" si="65"/>
        <v>414411.3476961283</v>
      </c>
      <c r="AX40" s="16">
        <f t="shared" si="66"/>
        <v>0</v>
      </c>
      <c r="AY40" s="16">
        <f t="shared" si="82"/>
        <v>0</v>
      </c>
      <c r="AZ40" s="13">
        <f t="shared" si="83"/>
        <v>5.4949269561118452E-2</v>
      </c>
      <c r="BA40" s="10">
        <f t="shared" si="84"/>
        <v>418201.32093332853</v>
      </c>
      <c r="BB40" s="9">
        <f t="shared" si="85"/>
        <v>8.1697886837113953E-4</v>
      </c>
      <c r="BC40" s="13">
        <f t="shared" si="86"/>
        <v>7.1851001525877076E-2</v>
      </c>
      <c r="BD40" s="10">
        <f t="shared" si="87"/>
        <v>2512566.9118561964</v>
      </c>
      <c r="BE40" s="13">
        <f t="shared" si="88"/>
        <v>1.4238711044454856E-3</v>
      </c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2:70" x14ac:dyDescent="0.3">
      <c r="B41" s="96" t="str">
        <f t="shared" si="67"/>
        <v>US FOODPRIVATE LABEL</v>
      </c>
      <c r="C41" s="96" t="str">
        <f t="shared" si="68"/>
        <v>US FOODPRIVATE LABELAIOLI</v>
      </c>
      <c r="D41" s="96" t="str">
        <f t="shared" si="69"/>
        <v>US FOODPRIVATE LABELAIOLIJAR 8OZ</v>
      </c>
      <c r="E41" s="3" t="s">
        <v>104</v>
      </c>
      <c r="F41" s="3" t="s">
        <v>110</v>
      </c>
      <c r="G41" s="3" t="s">
        <v>112</v>
      </c>
      <c r="H41" s="3" t="s">
        <v>119</v>
      </c>
      <c r="I41" s="20">
        <f>IFERROR(INDEX('Input - US Food'!G$2:G$200,MATCH('Calculations - US Food'!$D41,'Input - US Food'!$B$2:$B$200,0)),"")</f>
        <v>913314.60880000005</v>
      </c>
      <c r="J41" s="20">
        <f>IFERROR(INDEX('Input - US Food'!H$2:H$200,MATCH('Calculations - US Food'!$D41,'Input - US Food'!$B$2:$B$200,0)),"")</f>
        <v>138277.49170000001</v>
      </c>
      <c r="K41" s="21">
        <f>IFERROR(INDEX('Input - US Food'!I$2:I$200,MATCH('Calculations - US Food'!$D41,'Input - US Food'!$B$2:$B$200,0)),"")</f>
        <v>1.9295598749893701</v>
      </c>
      <c r="L41" s="21">
        <f>IFERROR(INDEX('Input - US Food'!J$2:J$200,MATCH('Calculations - US Food'!$D41,'Input - US Food'!$B$2:$B$200,0)),"")</f>
        <v>12.7446282161777</v>
      </c>
      <c r="M41" s="20">
        <f>IFERROR(INDEX('Input - US Food'!K$2:K$200,MATCH('Calculations - US Food'!$D41,'Input - US Food'!$B$2:$B$200,0)),"")</f>
        <v>2354395.8536999999</v>
      </c>
      <c r="N41" s="20">
        <f>IFERROR(INDEX('Input - US Food'!L$2:L$200,MATCH('Calculations - US Food'!$D41,'Input - US Food'!$B$2:$B$200,0)),"")</f>
        <v>429300.20240000001</v>
      </c>
      <c r="O41" s="21">
        <f t="shared" si="70"/>
        <v>6.6049405262678764</v>
      </c>
      <c r="P41" s="21">
        <f t="shared" si="52"/>
        <v>5.4842644856391054</v>
      </c>
      <c r="Q41" s="21">
        <f t="shared" si="71"/>
        <v>-5.3788896600739688</v>
      </c>
      <c r="R41" s="9">
        <f t="shared" si="53"/>
        <v>5.1757518361074514E-4</v>
      </c>
      <c r="S41" s="9">
        <f t="shared" si="54"/>
        <v>2.7036312856277645E-4</v>
      </c>
      <c r="T41" s="22">
        <f>IFERROR(INDEX('US Food'!$S$11:$S$197,MATCH('Calculations - US Food'!$D41,'US Food'!$N$11:$N$197,0)),"")</f>
        <v>0</v>
      </c>
      <c r="U41" s="22">
        <f>IFERROR(INDEX('US Food'!$T$11:$T$197,MATCH('Calculations - US Food'!$D41,'US Food'!$N$11:$N$197,0)),"")</f>
        <v>0</v>
      </c>
      <c r="V41" s="16">
        <f t="shared" si="55"/>
        <v>0</v>
      </c>
      <c r="W41" s="16">
        <f t="shared" si="72"/>
        <v>0</v>
      </c>
      <c r="X41" s="16">
        <f t="shared" si="73"/>
        <v>0</v>
      </c>
      <c r="Y41" s="10">
        <f t="shared" si="56"/>
        <v>0</v>
      </c>
      <c r="Z41" s="10">
        <f t="shared" si="57"/>
        <v>1337804.915591049</v>
      </c>
      <c r="AA41" s="13">
        <f t="shared" si="74"/>
        <v>4.7705007830901061E-4</v>
      </c>
      <c r="AB41" s="9">
        <f t="shared" si="58"/>
        <v>-4.0525105301734532E-5</v>
      </c>
      <c r="AC41" s="16">
        <f t="shared" si="75"/>
        <v>841803.89525105141</v>
      </c>
      <c r="AD41" s="16">
        <f t="shared" si="59"/>
        <v>127450.63969966024</v>
      </c>
      <c r="AE41" s="16">
        <f t="shared" si="60"/>
        <v>0</v>
      </c>
      <c r="AF41" s="16">
        <f t="shared" si="76"/>
        <v>0</v>
      </c>
      <c r="AG41" s="16"/>
      <c r="AH41" s="32">
        <f>IFERROR(INDEX('US Food'!$R$11:$R$197,MATCH('Calculations - US Food'!D41,'US Food'!$N$11:$N$197,0)),"")</f>
        <v>6.6049405262678764</v>
      </c>
      <c r="AI41" s="23">
        <f t="shared" si="77"/>
        <v>0</v>
      </c>
      <c r="AJ41" s="23">
        <f t="shared" si="78"/>
        <v>0</v>
      </c>
      <c r="AK41" s="9">
        <f t="shared" si="61"/>
        <v>0</v>
      </c>
      <c r="AL41" s="4">
        <f t="shared" si="62"/>
        <v>138277.49170000001</v>
      </c>
      <c r="AM41" s="4"/>
      <c r="AN41" s="4"/>
      <c r="AO41" s="4"/>
      <c r="AP41" s="4"/>
      <c r="AQ41" s="4"/>
      <c r="AR41" s="20">
        <f t="shared" si="63"/>
        <v>1337804.915591049</v>
      </c>
      <c r="AS41" s="13">
        <f t="shared" si="79"/>
        <v>4.7705007830901061E-4</v>
      </c>
      <c r="AT41" s="13">
        <f t="shared" si="80"/>
        <v>4.7705007830901083E-4</v>
      </c>
      <c r="AU41" s="13">
        <f t="shared" si="64"/>
        <v>-4.0525105301734315E-5</v>
      </c>
      <c r="AV41" s="16">
        <f t="shared" si="81"/>
        <v>841803.89525105187</v>
      </c>
      <c r="AW41" s="16">
        <f t="shared" si="65"/>
        <v>127450.63969966031</v>
      </c>
      <c r="AX41" s="16">
        <f t="shared" si="66"/>
        <v>0</v>
      </c>
      <c r="AY41" s="16">
        <f t="shared" si="82"/>
        <v>0</v>
      </c>
      <c r="AZ41" s="13">
        <f t="shared" si="83"/>
        <v>1.629585406281067E-3</v>
      </c>
      <c r="BA41" s="10">
        <f t="shared" si="84"/>
        <v>127797.37893767247</v>
      </c>
      <c r="BB41" s="9">
        <f t="shared" si="85"/>
        <v>2.4965908235842824E-4</v>
      </c>
      <c r="BC41" s="13">
        <f t="shared" si="86"/>
        <v>4.6189956803252908E-3</v>
      </c>
      <c r="BD41" s="10">
        <f t="shared" si="87"/>
        <v>841803.89525105164</v>
      </c>
      <c r="BE41" s="13">
        <f t="shared" si="88"/>
        <v>4.7705007830901039E-4</v>
      </c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</row>
    <row r="42" spans="2:70" x14ac:dyDescent="0.3">
      <c r="B42" s="96" t="str">
        <f t="shared" si="67"/>
        <v>US FOODPRIVATE LABEL</v>
      </c>
      <c r="C42" s="96" t="str">
        <f t="shared" si="68"/>
        <v>US FOODPRIVATE LABELAIOLI</v>
      </c>
      <c r="D42" s="96" t="str">
        <f t="shared" si="69"/>
        <v>US FOODPRIVATE LABELAIOLIJAR 30OZ</v>
      </c>
      <c r="E42" s="3" t="s">
        <v>104</v>
      </c>
      <c r="F42" s="3" t="s">
        <v>110</v>
      </c>
      <c r="G42" s="3" t="s">
        <v>112</v>
      </c>
      <c r="H42" s="3" t="s">
        <v>118</v>
      </c>
      <c r="I42" s="20">
        <f>IFERROR(INDEX('Input - US Food'!G$2:G$200,MATCH('Calculations - US Food'!$D42,'Input - US Food'!$B$2:$B$200,0)),"")</f>
        <v>65602.848400000003</v>
      </c>
      <c r="J42" s="20">
        <f>IFERROR(INDEX('Input - US Food'!H$2:H$200,MATCH('Calculations - US Food'!$D42,'Input - US Food'!$B$2:$B$200,0)),"")</f>
        <v>25314.704900000001</v>
      </c>
      <c r="K42" s="21">
        <f>IFERROR(INDEX('Input - US Food'!I$2:I$200,MATCH('Calculations - US Food'!$D42,'Input - US Food'!$B$2:$B$200,0)),"")</f>
        <v>1.87750088726981</v>
      </c>
      <c r="L42" s="21">
        <f>IFERROR(INDEX('Input - US Food'!J$2:J$200,MATCH('Calculations - US Food'!$D42,'Input - US Food'!$B$2:$B$200,0)),"")</f>
        <v>4.8655280227432902</v>
      </c>
      <c r="M42" s="20">
        <f>IFERROR(INDEX('Input - US Food'!K$2:K$200,MATCH('Calculations - US Food'!$D42,'Input - US Food'!$B$2:$B$200,0)),"")</f>
        <v>260330.85509999999</v>
      </c>
      <c r="N42" s="20">
        <f>IFERROR(INDEX('Input - US Food'!L$2:L$200,MATCH('Calculations - US Food'!$D42,'Input - US Food'!$B$2:$B$200,0)),"")</f>
        <v>127799.4339</v>
      </c>
      <c r="O42" s="21">
        <f t="shared" si="70"/>
        <v>2.5914917301682627</v>
      </c>
      <c r="P42" s="21">
        <f t="shared" si="52"/>
        <v>2.0370266687073326</v>
      </c>
      <c r="Q42" s="21">
        <f t="shared" si="71"/>
        <v>-5.6979999365660108</v>
      </c>
      <c r="R42" s="9">
        <f t="shared" si="53"/>
        <v>3.7177119449157197E-5</v>
      </c>
      <c r="S42" s="9">
        <f t="shared" si="54"/>
        <v>4.9495855986860128E-5</v>
      </c>
      <c r="T42" s="22">
        <f>IFERROR(INDEX('US Food'!$S$11:$S$197,MATCH('Calculations - US Food'!$D42,'US Food'!$N$11:$N$197,0)),"")</f>
        <v>0</v>
      </c>
      <c r="U42" s="22">
        <f>IFERROR(INDEX('US Food'!$T$11:$T$197,MATCH('Calculations - US Food'!$D42,'US Food'!$N$11:$N$197,0)),"")</f>
        <v>0</v>
      </c>
      <c r="V42" s="16">
        <f t="shared" si="55"/>
        <v>0</v>
      </c>
      <c r="W42" s="16">
        <f t="shared" si="72"/>
        <v>0</v>
      </c>
      <c r="X42" s="16">
        <f t="shared" si="73"/>
        <v>0</v>
      </c>
      <c r="Y42" s="10">
        <f t="shared" si="56"/>
        <v>0</v>
      </c>
      <c r="Z42" s="10">
        <f t="shared" si="57"/>
        <v>94386.127239213441</v>
      </c>
      <c r="AA42" s="13">
        <f t="shared" si="74"/>
        <v>3.3657305983853326E-5</v>
      </c>
      <c r="AB42" s="9">
        <f t="shared" si="58"/>
        <v>-3.5198134653038703E-6</v>
      </c>
      <c r="AC42" s="16">
        <f t="shared" si="75"/>
        <v>59391.775767640822</v>
      </c>
      <c r="AD42" s="16">
        <f t="shared" si="59"/>
        <v>22917.987765982405</v>
      </c>
      <c r="AE42" s="16">
        <f t="shared" si="60"/>
        <v>0</v>
      </c>
      <c r="AF42" s="16">
        <f t="shared" si="76"/>
        <v>0</v>
      </c>
      <c r="AG42" s="16"/>
      <c r="AH42" s="32">
        <f>IFERROR(INDEX('US Food'!$R$11:$R$197,MATCH('Calculations - US Food'!D42,'US Food'!$N$11:$N$197,0)),"")</f>
        <v>2.5914917301682627</v>
      </c>
      <c r="AI42" s="23">
        <f t="shared" si="77"/>
        <v>0</v>
      </c>
      <c r="AJ42" s="23">
        <f t="shared" si="78"/>
        <v>0</v>
      </c>
      <c r="AK42" s="9">
        <f t="shared" si="61"/>
        <v>0</v>
      </c>
      <c r="AL42" s="4">
        <f t="shared" si="62"/>
        <v>25314.704900000001</v>
      </c>
      <c r="AM42" s="4"/>
      <c r="AN42" s="4"/>
      <c r="AO42" s="4"/>
      <c r="AP42" s="4"/>
      <c r="AQ42" s="4"/>
      <c r="AR42" s="20">
        <f t="shared" si="63"/>
        <v>94386.127239213441</v>
      </c>
      <c r="AS42" s="13">
        <f t="shared" si="79"/>
        <v>3.3657305983853326E-5</v>
      </c>
      <c r="AT42" s="13">
        <f t="shared" si="80"/>
        <v>3.365730598385334E-5</v>
      </c>
      <c r="AU42" s="13">
        <f t="shared" si="64"/>
        <v>-3.5198134653038568E-6</v>
      </c>
      <c r="AV42" s="16">
        <f t="shared" si="81"/>
        <v>59391.775767640844</v>
      </c>
      <c r="AW42" s="16">
        <f t="shared" si="65"/>
        <v>22917.987765982412</v>
      </c>
      <c r="AX42" s="16">
        <f t="shared" si="66"/>
        <v>0</v>
      </c>
      <c r="AY42" s="16">
        <f t="shared" si="82"/>
        <v>0</v>
      </c>
      <c r="AZ42" s="13">
        <f t="shared" si="83"/>
        <v>2.9302966617336256E-4</v>
      </c>
      <c r="BA42" s="10">
        <f t="shared" si="84"/>
        <v>22980.337909014059</v>
      </c>
      <c r="BB42" s="9">
        <f t="shared" si="85"/>
        <v>4.4893331321365693E-5</v>
      </c>
      <c r="BC42" s="13">
        <f t="shared" si="86"/>
        <v>3.2588392292455184E-4</v>
      </c>
      <c r="BD42" s="10">
        <f t="shared" si="87"/>
        <v>59391.775767640822</v>
      </c>
      <c r="BE42" s="13">
        <f t="shared" si="88"/>
        <v>3.3657305983853306E-5</v>
      </c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</row>
    <row r="43" spans="2:70" x14ac:dyDescent="0.3">
      <c r="B43" s="96" t="str">
        <f t="shared" si="67"/>
        <v>US FOODPRIVATE LABEL</v>
      </c>
      <c r="C43" s="96" t="str">
        <f t="shared" si="68"/>
        <v>US FOODPRIVATE LABELAIOLI</v>
      </c>
      <c r="D43" s="96" t="str">
        <f t="shared" si="69"/>
        <v>US FOODPRIVATE LABELAIOLIOTHER</v>
      </c>
      <c r="E43" s="3" t="s">
        <v>104</v>
      </c>
      <c r="F43" s="3" t="s">
        <v>110</v>
      </c>
      <c r="G43" s="3" t="s">
        <v>112</v>
      </c>
      <c r="H43" s="3" t="s">
        <v>115</v>
      </c>
      <c r="I43" s="20">
        <f>IFERROR(INDEX('Input - US Food'!G$2:G$200,MATCH('Calculations - US Food'!$D43,'Input - US Food'!$B$2:$B$200,0)),"")</f>
        <v>536171.96140000003</v>
      </c>
      <c r="J43" s="20">
        <f>IFERROR(INDEX('Input - US Food'!H$2:H$200,MATCH('Calculations - US Food'!$D43,'Input - US Food'!$B$2:$B$200,0)),"")</f>
        <v>149056.23929999999</v>
      </c>
      <c r="K43" s="21">
        <f>IFERROR(INDEX('Input - US Food'!I$2:I$200,MATCH('Calculations - US Food'!$D43,'Input - US Food'!$B$2:$B$200,0)),"")</f>
        <v>2.52452809802721</v>
      </c>
      <c r="L43" s="21">
        <f>IFERROR(INDEX('Input - US Food'!J$2:J$200,MATCH('Calculations - US Food'!$D43,'Input - US Food'!$B$2:$B$200,0)),"")</f>
        <v>9.0810098811386002</v>
      </c>
      <c r="M43" s="20">
        <f>IFERROR(INDEX('Input - US Food'!K$2:K$200,MATCH('Calculations - US Food'!$D43,'Input - US Food'!$B$2:$B$200,0)),"")</f>
        <v>2058620.8577000001</v>
      </c>
      <c r="N43" s="20">
        <f>IFERROR(INDEX('Input - US Food'!L$2:L$200,MATCH('Calculations - US Food'!$D43,'Input - US Food'!$B$2:$B$200,0)),"")</f>
        <v>622307.4632</v>
      </c>
      <c r="O43" s="21">
        <f t="shared" si="70"/>
        <v>3.5971118278441638</v>
      </c>
      <c r="P43" s="21">
        <f t="shared" si="52"/>
        <v>3.3080446233349945</v>
      </c>
      <c r="Q43" s="21">
        <f t="shared" si="71"/>
        <v>-3.2797034088582384</v>
      </c>
      <c r="R43" s="9">
        <f t="shared" si="53"/>
        <v>3.0384853006255598E-4</v>
      </c>
      <c r="S43" s="9">
        <f t="shared" si="54"/>
        <v>2.9143796791151848E-4</v>
      </c>
      <c r="T43" s="22">
        <f>IFERROR(INDEX('US Food'!$S$11:$S$197,MATCH('Calculations - US Food'!$D43,'US Food'!$N$11:$N$197,0)),"")</f>
        <v>0</v>
      </c>
      <c r="U43" s="22">
        <f>IFERROR(INDEX('US Food'!$T$11:$T$197,MATCH('Calculations - US Food'!$D43,'US Food'!$N$11:$N$197,0)),"")</f>
        <v>0</v>
      </c>
      <c r="V43" s="16">
        <f t="shared" si="55"/>
        <v>0</v>
      </c>
      <c r="W43" s="16">
        <f t="shared" si="72"/>
        <v>0</v>
      </c>
      <c r="X43" s="16">
        <f t="shared" si="73"/>
        <v>0</v>
      </c>
      <c r="Y43" s="10">
        <f t="shared" si="56"/>
        <v>0</v>
      </c>
      <c r="Z43" s="10">
        <f t="shared" si="57"/>
        <v>944876.57166432985</v>
      </c>
      <c r="AA43" s="13">
        <f t="shared" si="74"/>
        <v>3.3693510709345304E-4</v>
      </c>
      <c r="AB43" s="9">
        <f t="shared" si="58"/>
        <v>3.3086577030897065E-5</v>
      </c>
      <c r="AC43" s="16">
        <f t="shared" si="75"/>
        <v>594556.62726958958</v>
      </c>
      <c r="AD43" s="16">
        <f t="shared" si="59"/>
        <v>165287.22367408904</v>
      </c>
      <c r="AE43" s="16">
        <f t="shared" si="60"/>
        <v>0</v>
      </c>
      <c r="AF43" s="16">
        <f t="shared" si="76"/>
        <v>0</v>
      </c>
      <c r="AG43" s="16"/>
      <c r="AH43" s="32">
        <f>IFERROR(INDEX('US Food'!$R$11:$R$197,MATCH('Calculations - US Food'!D43,'US Food'!$N$11:$N$197,0)),"")</f>
        <v>3.5971118278441638</v>
      </c>
      <c r="AI43" s="23">
        <f t="shared" si="77"/>
        <v>0</v>
      </c>
      <c r="AJ43" s="23">
        <f t="shared" si="78"/>
        <v>0</v>
      </c>
      <c r="AK43" s="9">
        <f t="shared" si="61"/>
        <v>0</v>
      </c>
      <c r="AL43" s="4">
        <f t="shared" si="62"/>
        <v>149056.23929999999</v>
      </c>
      <c r="AM43" s="4"/>
      <c r="AN43" s="4"/>
      <c r="AO43" s="4"/>
      <c r="AP43" s="4"/>
      <c r="AQ43" s="4"/>
      <c r="AR43" s="20">
        <f t="shared" si="63"/>
        <v>944876.57166432985</v>
      </c>
      <c r="AS43" s="13">
        <f t="shared" si="79"/>
        <v>3.3693510709345304E-4</v>
      </c>
      <c r="AT43" s="13">
        <f t="shared" si="80"/>
        <v>3.369351070934532E-4</v>
      </c>
      <c r="AU43" s="13">
        <f t="shared" si="64"/>
        <v>3.3086577030897227E-5</v>
      </c>
      <c r="AV43" s="16">
        <f t="shared" si="81"/>
        <v>594556.62726958992</v>
      </c>
      <c r="AW43" s="16">
        <f t="shared" si="65"/>
        <v>165287.22367408912</v>
      </c>
      <c r="AX43" s="16">
        <f t="shared" si="66"/>
        <v>0</v>
      </c>
      <c r="AY43" s="16">
        <f t="shared" si="82"/>
        <v>0</v>
      </c>
      <c r="AZ43" s="13">
        <f t="shared" si="83"/>
        <v>2.1133644223264576E-3</v>
      </c>
      <c r="BA43" s="10">
        <f t="shared" si="84"/>
        <v>165736.90024005185</v>
      </c>
      <c r="BB43" s="9">
        <f t="shared" si="85"/>
        <v>3.2377598641551068E-4</v>
      </c>
      <c r="BC43" s="13">
        <f t="shared" si="86"/>
        <v>3.2623447201417283E-3</v>
      </c>
      <c r="BD43" s="10">
        <f t="shared" si="87"/>
        <v>594556.62726958969</v>
      </c>
      <c r="BE43" s="13">
        <f t="shared" si="88"/>
        <v>3.3693510709345288E-4</v>
      </c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2:70" x14ac:dyDescent="0.3">
      <c r="B44" s="96" t="str">
        <f t="shared" si="67"/>
        <v>US FOODDUKES</v>
      </c>
      <c r="C44" s="96" t="str">
        <f t="shared" si="68"/>
        <v>US FOODDUKESMAYO</v>
      </c>
      <c r="D44" s="96" t="str">
        <f t="shared" si="69"/>
        <v>US FOODDUKESMAYOJAR 8OZ</v>
      </c>
      <c r="E44" s="3" t="s">
        <v>104</v>
      </c>
      <c r="F44" s="3" t="s">
        <v>105</v>
      </c>
      <c r="G44" s="3" t="s">
        <v>113</v>
      </c>
      <c r="H44" s="3" t="s">
        <v>119</v>
      </c>
      <c r="I44" s="20">
        <f>IFERROR(INDEX('Input - US Food'!G$2:G$200,MATCH('Calculations - US Food'!$D44,'Input - US Food'!$B$2:$B$200,0)),"")</f>
        <v>4563623.9692000002</v>
      </c>
      <c r="J44" s="20">
        <f>IFERROR(INDEX('Input - US Food'!H$2:H$200,MATCH('Calculations - US Food'!$D44,'Input - US Food'!$B$2:$B$200,0)),"")</f>
        <v>746388.68290000001</v>
      </c>
      <c r="K44" s="21">
        <f>IFERROR(INDEX('Input - US Food'!I$2:I$200,MATCH('Calculations - US Food'!$D44,'Input - US Food'!$B$2:$B$200,0)),"")</f>
        <v>2.37871631808471</v>
      </c>
      <c r="L44" s="21">
        <f>IFERROR(INDEX('Input - US Food'!J$2:J$200,MATCH('Calculations - US Food'!$D44,'Input - US Food'!$B$2:$B$200,0)),"")</f>
        <v>14.5441203140442</v>
      </c>
      <c r="M44" s="20">
        <f>IFERROR(INDEX('Input - US Food'!K$2:K$200,MATCH('Calculations - US Food'!$D44,'Input - US Food'!$B$2:$B$200,0)),"")</f>
        <v>14074814.2107</v>
      </c>
      <c r="N44" s="20">
        <f>IFERROR(INDEX('Input - US Food'!L$2:L$200,MATCH('Calculations - US Food'!$D44,'Input - US Food'!$B$2:$B$200,0)),"")</f>
        <v>2485004.2752</v>
      </c>
      <c r="O44" s="21">
        <f t="shared" si="70"/>
        <v>6.1142727291477801</v>
      </c>
      <c r="P44" s="21">
        <f t="shared" si="52"/>
        <v>5.6638993949284933</v>
      </c>
      <c r="Q44" s="21">
        <f t="shared" si="71"/>
        <v>-3.6265618491742329</v>
      </c>
      <c r="R44" s="9">
        <f t="shared" si="53"/>
        <v>2.58620467802714E-3</v>
      </c>
      <c r="S44" s="9">
        <f t="shared" si="54"/>
        <v>1.4593552208084642E-3</v>
      </c>
      <c r="T44" s="22">
        <f>IFERROR(INDEX('US Food'!$S$11:$S$197,MATCH('Calculations - US Food'!$D44,'US Food'!$N$11:$N$197,0)),"")</f>
        <v>0</v>
      </c>
      <c r="U44" s="22">
        <f>IFERROR(INDEX('US Food'!$T$11:$T$197,MATCH('Calculations - US Food'!$D44,'US Food'!$N$11:$N$197,0)),"")</f>
        <v>0</v>
      </c>
      <c r="V44" s="16">
        <f t="shared" si="55"/>
        <v>0</v>
      </c>
      <c r="W44" s="16">
        <f t="shared" si="72"/>
        <v>0</v>
      </c>
      <c r="X44" s="16">
        <f t="shared" si="73"/>
        <v>0</v>
      </c>
      <c r="Y44" s="10">
        <f t="shared" si="56"/>
        <v>0</v>
      </c>
      <c r="Z44" s="10">
        <f t="shared" si="57"/>
        <v>7709595.3871692922</v>
      </c>
      <c r="AA44" s="13">
        <f t="shared" si="74"/>
        <v>2.7491774326116893E-3</v>
      </c>
      <c r="AB44" s="9">
        <f t="shared" si="58"/>
        <v>1.629727545845493E-4</v>
      </c>
      <c r="AC44" s="16">
        <f t="shared" si="75"/>
        <v>4851206.1453006007</v>
      </c>
      <c r="AD44" s="16">
        <f t="shared" si="59"/>
        <v>793423.25084291294</v>
      </c>
      <c r="AE44" s="16">
        <f t="shared" si="60"/>
        <v>0</v>
      </c>
      <c r="AF44" s="16">
        <f t="shared" si="76"/>
        <v>0</v>
      </c>
      <c r="AG44" s="16"/>
      <c r="AH44" s="32">
        <f>IFERROR(INDEX('US Food'!$R$11:$R$197,MATCH('Calculations - US Food'!D44,'US Food'!$N$11:$N$197,0)),"")</f>
        <v>6.1142727291477801</v>
      </c>
      <c r="AI44" s="23">
        <f t="shared" si="77"/>
        <v>0</v>
      </c>
      <c r="AJ44" s="23">
        <f t="shared" si="78"/>
        <v>0</v>
      </c>
      <c r="AK44" s="9">
        <f t="shared" si="61"/>
        <v>0</v>
      </c>
      <c r="AL44" s="4">
        <f t="shared" si="62"/>
        <v>746388.68290000001</v>
      </c>
      <c r="AM44" s="4"/>
      <c r="AN44" s="4"/>
      <c r="AO44" s="4"/>
      <c r="AP44" s="4"/>
      <c r="AQ44" s="4"/>
      <c r="AR44" s="20">
        <f t="shared" si="63"/>
        <v>7709595.3871692922</v>
      </c>
      <c r="AS44" s="13">
        <f t="shared" si="79"/>
        <v>2.7491774326116893E-3</v>
      </c>
      <c r="AT44" s="13">
        <f t="shared" si="80"/>
        <v>2.7491774326116906E-3</v>
      </c>
      <c r="AU44" s="13">
        <f t="shared" si="64"/>
        <v>1.629727545845506E-4</v>
      </c>
      <c r="AV44" s="16">
        <f t="shared" si="81"/>
        <v>4851206.1453006035</v>
      </c>
      <c r="AW44" s="16">
        <f t="shared" si="65"/>
        <v>793423.25084291329</v>
      </c>
      <c r="AX44" s="16">
        <f t="shared" si="66"/>
        <v>0</v>
      </c>
      <c r="AY44" s="16">
        <f t="shared" si="82"/>
        <v>0</v>
      </c>
      <c r="AZ44" s="13">
        <f t="shared" si="83"/>
        <v>1.328285654823042E-2</v>
      </c>
      <c r="BA44" s="10">
        <f t="shared" si="84"/>
        <v>796708.42281230632</v>
      </c>
      <c r="BB44" s="9">
        <f t="shared" si="85"/>
        <v>1.5564129358518256E-3</v>
      </c>
      <c r="BC44" s="13">
        <f t="shared" si="86"/>
        <v>2.7152770595176248E-2</v>
      </c>
      <c r="BD44" s="10">
        <f t="shared" si="87"/>
        <v>4851206.1453006063</v>
      </c>
      <c r="BE44" s="13">
        <f t="shared" si="88"/>
        <v>2.7491774326116906E-3</v>
      </c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2:70" x14ac:dyDescent="0.3">
      <c r="B45" s="96" t="str">
        <f t="shared" si="67"/>
        <v>US FOODDUKES</v>
      </c>
      <c r="C45" s="96" t="str">
        <f t="shared" si="68"/>
        <v>US FOODDUKESMAYO</v>
      </c>
      <c r="D45" s="96" t="str">
        <f t="shared" si="69"/>
        <v>US FOODDUKESMAYOJAR 15OZ</v>
      </c>
      <c r="E45" s="3" t="s">
        <v>104</v>
      </c>
      <c r="F45" s="3" t="s">
        <v>105</v>
      </c>
      <c r="G45" s="3" t="s">
        <v>113</v>
      </c>
      <c r="H45" s="3" t="s">
        <v>116</v>
      </c>
      <c r="I45" s="20">
        <f>IFERROR(INDEX('Input - US Food'!G$2:G$200,MATCH('Calculations - US Food'!$D45,'Input - US Food'!$B$2:$B$200,0)),"")</f>
        <v>12709984.560000001</v>
      </c>
      <c r="J45" s="20">
        <f>IFERROR(INDEX('Input - US Food'!H$2:H$200,MATCH('Calculations - US Food'!$D45,'Input - US Food'!$B$2:$B$200,0)),"")</f>
        <v>3124459.6845999998</v>
      </c>
      <c r="K45" s="21">
        <f>IFERROR(INDEX('Input - US Food'!I$2:I$200,MATCH('Calculations - US Food'!$D45,'Input - US Food'!$B$2:$B$200,0)),"")</f>
        <v>2.5247490647580202</v>
      </c>
      <c r="L45" s="21">
        <f>IFERROR(INDEX('Input - US Food'!J$2:J$200,MATCH('Calculations - US Food'!$D45,'Input - US Food'!$B$2:$B$200,0)),"")</f>
        <v>10.2704226875173</v>
      </c>
      <c r="M45" s="20">
        <f>IFERROR(INDEX('Input - US Food'!K$2:K$200,MATCH('Calculations - US Food'!$D45,'Input - US Food'!$B$2:$B$200,0)),"")</f>
        <v>37804706.008599997</v>
      </c>
      <c r="N45" s="20">
        <f>IFERROR(INDEX('Input - US Food'!L$2:L$200,MATCH('Calculations - US Food'!$D45,'Input - US Food'!$B$2:$B$200,0)),"")</f>
        <v>9508712.3304999992</v>
      </c>
      <c r="O45" s="21">
        <f t="shared" si="70"/>
        <v>4.0678984026088214</v>
      </c>
      <c r="P45" s="21">
        <f t="shared" si="52"/>
        <v>3.9757965847108658</v>
      </c>
      <c r="Q45" s="21">
        <f t="shared" si="71"/>
        <v>-3.2792281140329669</v>
      </c>
      <c r="R45" s="9">
        <f t="shared" si="53"/>
        <v>7.2027453945744174E-3</v>
      </c>
      <c r="S45" s="9">
        <f t="shared" si="54"/>
        <v>6.1090108376381669E-3</v>
      </c>
      <c r="T45" s="22">
        <f>IFERROR(INDEX('US Food'!$S$11:$S$197,MATCH('Calculations - US Food'!$D45,'US Food'!$N$11:$N$197,0)),"")</f>
        <v>0</v>
      </c>
      <c r="U45" s="22">
        <f>IFERROR(INDEX('US Food'!$T$11:$T$197,MATCH('Calculations - US Food'!$D45,'US Food'!$N$11:$N$197,0)),"")</f>
        <v>0</v>
      </c>
      <c r="V45" s="16">
        <f t="shared" si="55"/>
        <v>0</v>
      </c>
      <c r="W45" s="16">
        <f t="shared" si="72"/>
        <v>0</v>
      </c>
      <c r="X45" s="16">
        <f t="shared" si="73"/>
        <v>0</v>
      </c>
      <c r="Y45" s="10">
        <f t="shared" si="56"/>
        <v>0</v>
      </c>
      <c r="Z45" s="10">
        <f t="shared" si="57"/>
        <v>22399753.095474493</v>
      </c>
      <c r="AA45" s="13">
        <f t="shared" si="74"/>
        <v>7.9875651851507561E-3</v>
      </c>
      <c r="AB45" s="9">
        <f t="shared" si="58"/>
        <v>7.8481979057633874E-4</v>
      </c>
      <c r="AC45" s="16">
        <f t="shared" si="75"/>
        <v>14094879.745677613</v>
      </c>
      <c r="AD45" s="16">
        <f t="shared" si="59"/>
        <v>3464904.5651283464</v>
      </c>
      <c r="AE45" s="16">
        <f t="shared" si="60"/>
        <v>0</v>
      </c>
      <c r="AF45" s="16">
        <f t="shared" si="76"/>
        <v>0</v>
      </c>
      <c r="AG45" s="16"/>
      <c r="AH45" s="32">
        <f>IFERROR(INDEX('US Food'!$R$11:$R$197,MATCH('Calculations - US Food'!D45,'US Food'!$N$11:$N$197,0)),"")</f>
        <v>4.0678984026088214</v>
      </c>
      <c r="AI45" s="23">
        <f t="shared" si="77"/>
        <v>0</v>
      </c>
      <c r="AJ45" s="23">
        <f t="shared" si="78"/>
        <v>0</v>
      </c>
      <c r="AK45" s="9">
        <f t="shared" si="61"/>
        <v>0</v>
      </c>
      <c r="AL45" s="4">
        <f t="shared" si="62"/>
        <v>3124459.6845999998</v>
      </c>
      <c r="AM45" s="4"/>
      <c r="AN45" s="4"/>
      <c r="AO45" s="4"/>
      <c r="AP45" s="4"/>
      <c r="AQ45" s="4"/>
      <c r="AR45" s="20">
        <f t="shared" si="63"/>
        <v>22399753.095474493</v>
      </c>
      <c r="AS45" s="13">
        <f t="shared" si="79"/>
        <v>7.9875651851507561E-3</v>
      </c>
      <c r="AT45" s="13">
        <f t="shared" si="80"/>
        <v>7.9875651851507596E-3</v>
      </c>
      <c r="AU45" s="13">
        <f t="shared" si="64"/>
        <v>7.8481979057634221E-4</v>
      </c>
      <c r="AV45" s="16">
        <f t="shared" si="81"/>
        <v>14094879.745677618</v>
      </c>
      <c r="AW45" s="16">
        <f t="shared" si="65"/>
        <v>3464904.5651283478</v>
      </c>
      <c r="AX45" s="16">
        <f t="shared" si="66"/>
        <v>0</v>
      </c>
      <c r="AY45" s="16">
        <f t="shared" si="82"/>
        <v>0</v>
      </c>
      <c r="AZ45" s="13">
        <f t="shared" si="83"/>
        <v>5.8006656904765481E-2</v>
      </c>
      <c r="BA45" s="10">
        <f t="shared" si="84"/>
        <v>3479251.0155782038</v>
      </c>
      <c r="BB45" s="9">
        <f t="shared" si="85"/>
        <v>6.7969047805551495E-3</v>
      </c>
      <c r="BC45" s="13">
        <f t="shared" si="86"/>
        <v>7.8890697455048203E-2</v>
      </c>
      <c r="BD45" s="10">
        <f t="shared" si="87"/>
        <v>14094879.745677626</v>
      </c>
      <c r="BE45" s="13">
        <f t="shared" si="88"/>
        <v>7.9875651851507579E-3</v>
      </c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</row>
    <row r="46" spans="2:70" x14ac:dyDescent="0.3">
      <c r="B46" s="96" t="str">
        <f t="shared" si="67"/>
        <v>US FOODDUKES</v>
      </c>
      <c r="C46" s="96" t="str">
        <f t="shared" si="68"/>
        <v>US FOODDUKESMAYO</v>
      </c>
      <c r="D46" s="96" t="str">
        <f t="shared" si="69"/>
        <v>US FOODDUKESMAYOJAR 30OZ</v>
      </c>
      <c r="E46" s="3" t="s">
        <v>104</v>
      </c>
      <c r="F46" s="3" t="s">
        <v>105</v>
      </c>
      <c r="G46" s="3" t="s">
        <v>113</v>
      </c>
      <c r="H46" s="3" t="s">
        <v>118</v>
      </c>
      <c r="I46" s="20">
        <f>IFERROR(INDEX('Input - US Food'!G$2:G$200,MATCH('Calculations - US Food'!$D46,'Input - US Food'!$B$2:$B$200,0)),"")</f>
        <v>97775309.870000005</v>
      </c>
      <c r="J46" s="20">
        <f>IFERROR(INDEX('Input - US Food'!H$2:H$200,MATCH('Calculations - US Food'!$D46,'Input - US Food'!$B$2:$B$200,0)),"")</f>
        <v>38968102.0097</v>
      </c>
      <c r="K46" s="21">
        <f>IFERROR(INDEX('Input - US Food'!I$2:I$200,MATCH('Calculations - US Food'!$D46,'Input - US Food'!$B$2:$B$200,0)),"")</f>
        <v>2.2129434618356898</v>
      </c>
      <c r="L46" s="21">
        <f>IFERROR(INDEX('Input - US Food'!J$2:J$200,MATCH('Calculations - US Food'!$D46,'Input - US Food'!$B$2:$B$200,0)),"")</f>
        <v>5.55252171768376</v>
      </c>
      <c r="M46" s="20">
        <f>IFERROR(INDEX('Input - US Food'!K$2:K$200,MATCH('Calculations - US Food'!$D46,'Input - US Food'!$B$2:$B$200,0)),"")</f>
        <v>283189994.78740001</v>
      </c>
      <c r="N46" s="20">
        <f>IFERROR(INDEX('Input - US Food'!L$2:L$200,MATCH('Calculations - US Food'!$D46,'Input - US Food'!$B$2:$B$200,0)),"")</f>
        <v>121783614.23190001</v>
      </c>
      <c r="O46" s="21">
        <f t="shared" si="70"/>
        <v>2.5091114226107707</v>
      </c>
      <c r="P46" s="21">
        <f t="shared" si="52"/>
        <v>2.3253538382277803</v>
      </c>
      <c r="Q46" s="21">
        <f t="shared" si="71"/>
        <v>-4.1222036783420215</v>
      </c>
      <c r="R46" s="9">
        <f t="shared" si="53"/>
        <v>5.5409246135955104E-2</v>
      </c>
      <c r="S46" s="9">
        <f t="shared" si="54"/>
        <v>7.6191271941447203E-2</v>
      </c>
      <c r="T46" s="22">
        <f>IFERROR(INDEX('US Food'!$S$11:$S$197,MATCH('Calculations - US Food'!$D46,'US Food'!$N$11:$N$197,0)),"")</f>
        <v>0</v>
      </c>
      <c r="U46" s="22">
        <f>IFERROR(INDEX('US Food'!$T$11:$T$197,MATCH('Calculations - US Food'!$D46,'US Food'!$N$11:$N$197,0)),"")</f>
        <v>0</v>
      </c>
      <c r="V46" s="16">
        <f t="shared" si="55"/>
        <v>0</v>
      </c>
      <c r="W46" s="16">
        <f t="shared" si="72"/>
        <v>0</v>
      </c>
      <c r="X46" s="16">
        <f t="shared" si="73"/>
        <v>0</v>
      </c>
      <c r="Y46" s="10">
        <f t="shared" si="56"/>
        <v>0</v>
      </c>
      <c r="Z46" s="10">
        <f t="shared" si="57"/>
        <v>157073271.28788769</v>
      </c>
      <c r="AA46" s="13">
        <f t="shared" si="74"/>
        <v>5.6011018867451259E-2</v>
      </c>
      <c r="AB46" s="9">
        <f t="shared" si="58"/>
        <v>6.0177273149615573E-4</v>
      </c>
      <c r="AC46" s="16">
        <f t="shared" si="75"/>
        <v>98837199.706020936</v>
      </c>
      <c r="AD46" s="16">
        <f t="shared" si="59"/>
        <v>39391315.513274118</v>
      </c>
      <c r="AE46" s="16">
        <f t="shared" si="60"/>
        <v>0</v>
      </c>
      <c r="AF46" s="16">
        <f t="shared" si="76"/>
        <v>0</v>
      </c>
      <c r="AG46" s="16"/>
      <c r="AH46" s="32">
        <f>IFERROR(INDEX('US Food'!$R$11:$R$197,MATCH('Calculations - US Food'!D46,'US Food'!$N$11:$N$197,0)),"")</f>
        <v>2.5091114226107707</v>
      </c>
      <c r="AI46" s="23">
        <f t="shared" si="77"/>
        <v>0</v>
      </c>
      <c r="AJ46" s="23">
        <f t="shared" si="78"/>
        <v>0</v>
      </c>
      <c r="AK46" s="9">
        <f t="shared" si="61"/>
        <v>0</v>
      </c>
      <c r="AL46" s="4">
        <f t="shared" si="62"/>
        <v>38968102.0097</v>
      </c>
      <c r="AM46" s="4"/>
      <c r="AN46" s="4"/>
      <c r="AO46" s="4"/>
      <c r="AP46" s="4"/>
      <c r="AQ46" s="4"/>
      <c r="AR46" s="20">
        <f t="shared" si="63"/>
        <v>157073271.28788769</v>
      </c>
      <c r="AS46" s="13">
        <f t="shared" si="79"/>
        <v>5.6011018867451259E-2</v>
      </c>
      <c r="AT46" s="13">
        <f t="shared" si="80"/>
        <v>5.6011018867451287E-2</v>
      </c>
      <c r="AU46" s="13">
        <f t="shared" si="64"/>
        <v>6.0177273149618349E-4</v>
      </c>
      <c r="AV46" s="16">
        <f t="shared" si="81"/>
        <v>98837199.706020981</v>
      </c>
      <c r="AW46" s="16">
        <f t="shared" si="65"/>
        <v>39391315.513274133</v>
      </c>
      <c r="AX46" s="16">
        <f t="shared" si="66"/>
        <v>0</v>
      </c>
      <c r="AY46" s="16">
        <f t="shared" si="82"/>
        <v>0</v>
      </c>
      <c r="AZ46" s="13">
        <f t="shared" si="83"/>
        <v>0.6594578526064595</v>
      </c>
      <c r="BA46" s="10">
        <f t="shared" si="84"/>
        <v>39554415.404062875</v>
      </c>
      <c r="BB46" s="9">
        <f t="shared" si="85"/>
        <v>7.727168690852862E-2</v>
      </c>
      <c r="BC46" s="13">
        <f t="shared" si="86"/>
        <v>0.55320341570867515</v>
      </c>
      <c r="BD46" s="10">
        <f t="shared" si="87"/>
        <v>98837199.706021041</v>
      </c>
      <c r="BE46" s="13">
        <f t="shared" si="88"/>
        <v>5.601101886745128E-2</v>
      </c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</row>
    <row r="47" spans="2:70" x14ac:dyDescent="0.3">
      <c r="B47" s="96" t="str">
        <f t="shared" si="67"/>
        <v>US FOODDUKES</v>
      </c>
      <c r="C47" s="96" t="str">
        <f t="shared" si="68"/>
        <v>US FOODDUKESMAYO</v>
      </c>
      <c r="D47" s="96" t="str">
        <f t="shared" si="69"/>
        <v>US FOODDUKESMAYOJAR 48OZ</v>
      </c>
      <c r="E47" s="3" t="s">
        <v>104</v>
      </c>
      <c r="F47" s="3" t="s">
        <v>105</v>
      </c>
      <c r="G47" s="3" t="s">
        <v>113</v>
      </c>
      <c r="H47" s="3" t="s">
        <v>121</v>
      </c>
      <c r="I47" s="20">
        <f>IFERROR(INDEX('Input - US Food'!G$2:G$200,MATCH('Calculations - US Food'!$D47,'Input - US Food'!$B$2:$B$200,0)),"")</f>
        <v>11799395.299000001</v>
      </c>
      <c r="J47" s="20">
        <f>IFERROR(INDEX('Input - US Food'!H$2:H$200,MATCH('Calculations - US Food'!$D47,'Input - US Food'!$B$2:$B$200,0)),"")</f>
        <v>4540759.2560000001</v>
      </c>
      <c r="K47" s="21">
        <f>IFERROR(INDEX('Input - US Food'!I$2:I$200,MATCH('Calculations - US Food'!$D47,'Input - US Food'!$B$2:$B$200,0)),"")</f>
        <v>2.0996989117526801</v>
      </c>
      <c r="L47" s="21">
        <f>IFERROR(INDEX('Input - US Food'!J$2:J$200,MATCH('Calculations - US Food'!$D47,'Input - US Food'!$B$2:$B$200,0)),"")</f>
        <v>5.4561750737859303</v>
      </c>
      <c r="M47" s="20">
        <f>IFERROR(INDEX('Input - US Food'!K$2:K$200,MATCH('Calculations - US Food'!$D47,'Input - US Food'!$B$2:$B$200,0)),"")</f>
        <v>34413763.703500003</v>
      </c>
      <c r="N47" s="20">
        <f>IFERROR(INDEX('Input - US Food'!L$2:L$200,MATCH('Calculations - US Food'!$D47,'Input - US Food'!$B$2:$B$200,0)),"")</f>
        <v>14465548.3017</v>
      </c>
      <c r="O47" s="21">
        <f t="shared" si="70"/>
        <v>2.598551174764153</v>
      </c>
      <c r="P47" s="21">
        <f t="shared" si="52"/>
        <v>2.379015505375325</v>
      </c>
      <c r="Q47" s="21">
        <f t="shared" si="71"/>
        <v>-4.5466990524079982</v>
      </c>
      <c r="R47" s="9">
        <f t="shared" si="53"/>
        <v>6.686714664949623E-3</v>
      </c>
      <c r="S47" s="9">
        <f t="shared" si="54"/>
        <v>8.8781902492562001E-3</v>
      </c>
      <c r="T47" s="22">
        <f>IFERROR(INDEX('US Food'!$S$11:$S$197,MATCH('Calculations - US Food'!$D47,'US Food'!$N$11:$N$197,0)),"")</f>
        <v>0</v>
      </c>
      <c r="U47" s="22">
        <f>IFERROR(INDEX('US Food'!$T$11:$T$197,MATCH('Calculations - US Food'!$D47,'US Food'!$N$11:$N$197,0)),"")</f>
        <v>0</v>
      </c>
      <c r="V47" s="16">
        <f t="shared" si="55"/>
        <v>0</v>
      </c>
      <c r="W47" s="16">
        <f t="shared" si="72"/>
        <v>0</v>
      </c>
      <c r="X47" s="16">
        <f t="shared" si="73"/>
        <v>0</v>
      </c>
      <c r="Y47" s="10">
        <f t="shared" si="56"/>
        <v>0</v>
      </c>
      <c r="Z47" s="10">
        <f t="shared" si="57"/>
        <v>18287286.383824971</v>
      </c>
      <c r="AA47" s="13">
        <f t="shared" si="74"/>
        <v>6.5210938454421203E-3</v>
      </c>
      <c r="AB47" s="9">
        <f t="shared" si="58"/>
        <v>-1.6562081950750266E-4</v>
      </c>
      <c r="AC47" s="16">
        <f t="shared" si="75"/>
        <v>11507140.34016992</v>
      </c>
      <c r="AD47" s="16">
        <f t="shared" si="59"/>
        <v>4428290.8306450108</v>
      </c>
      <c r="AE47" s="16">
        <f t="shared" si="60"/>
        <v>0</v>
      </c>
      <c r="AF47" s="16">
        <f t="shared" si="76"/>
        <v>0</v>
      </c>
      <c r="AG47" s="16"/>
      <c r="AH47" s="32">
        <f>IFERROR(INDEX('US Food'!$R$11:$R$197,MATCH('Calculations - US Food'!D47,'US Food'!$N$11:$N$197,0)),"")</f>
        <v>2.598551174764153</v>
      </c>
      <c r="AI47" s="23">
        <f t="shared" si="77"/>
        <v>0</v>
      </c>
      <c r="AJ47" s="23">
        <f t="shared" si="78"/>
        <v>0</v>
      </c>
      <c r="AK47" s="9">
        <f t="shared" si="61"/>
        <v>0</v>
      </c>
      <c r="AL47" s="4">
        <f t="shared" si="62"/>
        <v>4540759.2560000001</v>
      </c>
      <c r="AM47" s="4"/>
      <c r="AN47" s="4"/>
      <c r="AO47" s="4"/>
      <c r="AP47" s="4"/>
      <c r="AQ47" s="4"/>
      <c r="AR47" s="20">
        <f t="shared" si="63"/>
        <v>18287286.383824971</v>
      </c>
      <c r="AS47" s="13">
        <f t="shared" si="79"/>
        <v>6.5210938454421203E-3</v>
      </c>
      <c r="AT47" s="13">
        <f t="shared" si="80"/>
        <v>6.5210938454421229E-3</v>
      </c>
      <c r="AU47" s="13">
        <f t="shared" si="64"/>
        <v>-1.6562081950750006E-4</v>
      </c>
      <c r="AV47" s="16">
        <f t="shared" si="81"/>
        <v>11507140.340169923</v>
      </c>
      <c r="AW47" s="16">
        <f t="shared" si="65"/>
        <v>4428290.8306450127</v>
      </c>
      <c r="AX47" s="16">
        <f t="shared" si="66"/>
        <v>0</v>
      </c>
      <c r="AY47" s="16">
        <f t="shared" si="82"/>
        <v>0</v>
      </c>
      <c r="AZ47" s="13">
        <f t="shared" si="83"/>
        <v>7.4134898107425698E-2</v>
      </c>
      <c r="BA47" s="10">
        <f t="shared" si="84"/>
        <v>4446626.1855690088</v>
      </c>
      <c r="BB47" s="9">
        <f t="shared" si="85"/>
        <v>8.6867244250880826E-3</v>
      </c>
      <c r="BC47" s="13">
        <f t="shared" si="86"/>
        <v>6.4406816058683772E-2</v>
      </c>
      <c r="BD47" s="10">
        <f t="shared" si="87"/>
        <v>11507140.340169929</v>
      </c>
      <c r="BE47" s="13">
        <f t="shared" si="88"/>
        <v>6.5210938454421212E-3</v>
      </c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2:70" x14ac:dyDescent="0.3">
      <c r="B48" s="96" t="str">
        <f t="shared" si="67"/>
        <v>US FOODDUKES</v>
      </c>
      <c r="C48" s="96" t="str">
        <f t="shared" si="68"/>
        <v>US FOODDUKESMAYO</v>
      </c>
      <c r="D48" s="96" t="str">
        <f t="shared" si="69"/>
        <v>US FOODDUKESMAYOSQUEEZY 12OZ</v>
      </c>
      <c r="E48" s="3" t="s">
        <v>104</v>
      </c>
      <c r="F48" s="3" t="s">
        <v>105</v>
      </c>
      <c r="G48" s="3" t="s">
        <v>113</v>
      </c>
      <c r="H48" s="3" t="s">
        <v>117</v>
      </c>
      <c r="I48" s="20">
        <f>IFERROR(INDEX('Input - US Food'!G$2:G$200,MATCH('Calculations - US Food'!$D48,'Input - US Food'!$B$2:$B$200,0)),"")</f>
        <v>6454228.0728000002</v>
      </c>
      <c r="J48" s="20">
        <f>IFERROR(INDEX('Input - US Food'!H$2:H$200,MATCH('Calculations - US Food'!$D48,'Input - US Food'!$B$2:$B$200,0)),"")</f>
        <v>1203803.3635</v>
      </c>
      <c r="K48" s="21">
        <f>IFERROR(INDEX('Input - US Food'!I$2:I$200,MATCH('Calculations - US Food'!$D48,'Input - US Food'!$B$2:$B$200,0)),"")</f>
        <v>2.5297933915322202</v>
      </c>
      <c r="L48" s="21">
        <f>IFERROR(INDEX('Input - US Food'!J$2:J$200,MATCH('Calculations - US Food'!$D48,'Input - US Food'!$B$2:$B$200,0)),"")</f>
        <v>13.5635636359569</v>
      </c>
      <c r="M48" s="20">
        <f>IFERROR(INDEX('Input - US Food'!K$2:K$200,MATCH('Calculations - US Food'!$D48,'Input - US Food'!$B$2:$B$200,0)),"")</f>
        <v>14978288.7213</v>
      </c>
      <c r="N48" s="20">
        <f>IFERROR(INDEX('Input - US Food'!L$2:L$200,MATCH('Calculations - US Food'!$D48,'Input - US Food'!$B$2:$B$200,0)),"")</f>
        <v>2797425.0002000001</v>
      </c>
      <c r="O48" s="21">
        <f t="shared" si="70"/>
        <v>5.3615301871516996</v>
      </c>
      <c r="P48" s="21">
        <f t="shared" si="52"/>
        <v>5.3543128842521739</v>
      </c>
      <c r="Q48" s="21">
        <f t="shared" si="71"/>
        <v>-3.2684152171634469</v>
      </c>
      <c r="R48" s="9">
        <f t="shared" si="53"/>
        <v>3.6576095987714652E-3</v>
      </c>
      <c r="S48" s="9">
        <f t="shared" si="54"/>
        <v>2.3537022513856693E-3</v>
      </c>
      <c r="T48" s="22">
        <f>IFERROR(INDEX('US Food'!$S$11:$S$197,MATCH('Calculations - US Food'!$D48,'US Food'!$N$11:$N$197,0)),"")</f>
        <v>0</v>
      </c>
      <c r="U48" s="22">
        <f>IFERROR(INDEX('US Food'!$T$11:$T$197,MATCH('Calculations - US Food'!$D48,'US Food'!$N$11:$N$197,0)),"")</f>
        <v>0</v>
      </c>
      <c r="V48" s="16">
        <f t="shared" si="55"/>
        <v>0</v>
      </c>
      <c r="W48" s="16">
        <f t="shared" si="72"/>
        <v>0</v>
      </c>
      <c r="X48" s="16">
        <f t="shared" si="73"/>
        <v>0</v>
      </c>
      <c r="Y48" s="10">
        <f t="shared" si="56"/>
        <v>0</v>
      </c>
      <c r="Z48" s="10">
        <f t="shared" si="57"/>
        <v>11391045.799405603</v>
      </c>
      <c r="AA48" s="13">
        <f t="shared" si="74"/>
        <v>4.0619519537548991E-3</v>
      </c>
      <c r="AB48" s="9">
        <f t="shared" si="58"/>
        <v>4.0434235498343395E-4</v>
      </c>
      <c r="AC48" s="16">
        <f t="shared" si="75"/>
        <v>7167731.7172110127</v>
      </c>
      <c r="AD48" s="16">
        <f t="shared" si="59"/>
        <v>1336881.7235026804</v>
      </c>
      <c r="AE48" s="16">
        <f t="shared" si="60"/>
        <v>0</v>
      </c>
      <c r="AF48" s="16">
        <f t="shared" si="76"/>
        <v>0</v>
      </c>
      <c r="AG48" s="16"/>
      <c r="AH48" s="32">
        <f>IFERROR(INDEX('US Food'!$R$11:$R$197,MATCH('Calculations - US Food'!D48,'US Food'!$N$11:$N$197,0)),"")</f>
        <v>5.3615301871516996</v>
      </c>
      <c r="AI48" s="23">
        <f t="shared" si="77"/>
        <v>0</v>
      </c>
      <c r="AJ48" s="23">
        <f t="shared" si="78"/>
        <v>0</v>
      </c>
      <c r="AK48" s="9">
        <f t="shared" si="61"/>
        <v>0</v>
      </c>
      <c r="AL48" s="4">
        <f t="shared" si="62"/>
        <v>1203803.3635</v>
      </c>
      <c r="AM48" s="4"/>
      <c r="AN48" s="4"/>
      <c r="AO48" s="4"/>
      <c r="AP48" s="4"/>
      <c r="AQ48" s="4"/>
      <c r="AR48" s="20">
        <f t="shared" si="63"/>
        <v>11391045.799405603</v>
      </c>
      <c r="AS48" s="13">
        <f t="shared" si="79"/>
        <v>4.0619519537548991E-3</v>
      </c>
      <c r="AT48" s="13">
        <f t="shared" si="80"/>
        <v>4.0619519537549009E-3</v>
      </c>
      <c r="AU48" s="13">
        <f t="shared" si="64"/>
        <v>4.0434235498343568E-4</v>
      </c>
      <c r="AV48" s="16">
        <f t="shared" si="81"/>
        <v>7167731.7172110165</v>
      </c>
      <c r="AW48" s="16">
        <f t="shared" si="65"/>
        <v>1336881.7235026811</v>
      </c>
      <c r="AX48" s="16">
        <f t="shared" si="66"/>
        <v>0</v>
      </c>
      <c r="AY48" s="16">
        <f t="shared" si="82"/>
        <v>0</v>
      </c>
      <c r="AZ48" s="13">
        <f t="shared" si="83"/>
        <v>2.238100299729295E-2</v>
      </c>
      <c r="BA48" s="10">
        <f t="shared" si="84"/>
        <v>1342417.0873324894</v>
      </c>
      <c r="BB48" s="9">
        <f t="shared" si="85"/>
        <v>2.6224842868581549E-3</v>
      </c>
      <c r="BC48" s="13">
        <f t="shared" si="86"/>
        <v>4.0118636309391394E-2</v>
      </c>
      <c r="BD48" s="10">
        <f t="shared" si="87"/>
        <v>7167731.7172110202</v>
      </c>
      <c r="BE48" s="13">
        <f t="shared" si="88"/>
        <v>4.0619519537549E-3</v>
      </c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</row>
    <row r="49" spans="2:70" x14ac:dyDescent="0.3">
      <c r="B49" s="96" t="str">
        <f t="shared" si="67"/>
        <v>US FOODDUKES</v>
      </c>
      <c r="C49" s="96" t="str">
        <f t="shared" si="68"/>
        <v>US FOODDUKESMAYO</v>
      </c>
      <c r="D49" s="96" t="str">
        <f t="shared" si="69"/>
        <v>US FOODDUKESMAYOSQUEEZY 18 TO 22OZ</v>
      </c>
      <c r="E49" s="3" t="s">
        <v>104</v>
      </c>
      <c r="F49" s="3" t="s">
        <v>105</v>
      </c>
      <c r="G49" s="3" t="s">
        <v>113</v>
      </c>
      <c r="H49" s="3" t="s">
        <v>120</v>
      </c>
      <c r="I49" s="20">
        <f>IFERROR(INDEX('Input - US Food'!G$2:G$200,MATCH('Calculations - US Food'!$D49,'Input - US Food'!$B$2:$B$200,0)),"")</f>
        <v>38774325.067400001</v>
      </c>
      <c r="J49" s="20">
        <f>IFERROR(INDEX('Input - US Food'!H$2:H$200,MATCH('Calculations - US Food'!$D49,'Input - US Food'!$B$2:$B$200,0)),"")</f>
        <v>9492429.8443</v>
      </c>
      <c r="K49" s="21">
        <f>IFERROR(INDEX('Input - US Food'!I$2:I$200,MATCH('Calculations - US Food'!$D49,'Input - US Food'!$B$2:$B$200,0)),"")</f>
        <v>2.2219668303486899</v>
      </c>
      <c r="L49" s="21">
        <f>IFERROR(INDEX('Input - US Food'!J$2:J$200,MATCH('Calculations - US Food'!$D49,'Input - US Food'!$B$2:$B$200,0)),"")</f>
        <v>9.0762076288248696</v>
      </c>
      <c r="M49" s="20">
        <f>IFERROR(INDEX('Input - US Food'!K$2:K$200,MATCH('Calculations - US Food'!$D49,'Input - US Food'!$B$2:$B$200,0)),"")</f>
        <v>112268819.0442</v>
      </c>
      <c r="N49" s="20">
        <f>IFERROR(INDEX('Input - US Food'!L$2:L$200,MATCH('Calculations - US Food'!$D49,'Input - US Food'!$B$2:$B$200,0)),"")</f>
        <v>28998452.6481</v>
      </c>
      <c r="O49" s="21">
        <f t="shared" si="70"/>
        <v>4.0847628798313584</v>
      </c>
      <c r="P49" s="21">
        <f t="shared" si="52"/>
        <v>3.8715451616193715</v>
      </c>
      <c r="Q49" s="21">
        <f t="shared" si="71"/>
        <v>-4.091764093607388</v>
      </c>
      <c r="R49" s="9">
        <f t="shared" si="53"/>
        <v>2.1973401304190628E-2</v>
      </c>
      <c r="S49" s="9">
        <f t="shared" si="54"/>
        <v>1.8559803181385136E-2</v>
      </c>
      <c r="T49" s="22">
        <f>IFERROR(INDEX('US Food'!$S$11:$S$197,MATCH('Calculations - US Food'!$D49,'US Food'!$N$11:$N$197,0)),"")</f>
        <v>0</v>
      </c>
      <c r="U49" s="22">
        <f>IFERROR(INDEX('US Food'!$T$11:$T$197,MATCH('Calculations - US Food'!$D49,'US Food'!$N$11:$N$197,0)),"")</f>
        <v>0</v>
      </c>
      <c r="V49" s="16">
        <f t="shared" si="55"/>
        <v>0</v>
      </c>
      <c r="W49" s="16">
        <f t="shared" si="72"/>
        <v>0</v>
      </c>
      <c r="X49" s="16">
        <f t="shared" si="73"/>
        <v>0</v>
      </c>
      <c r="Y49" s="10">
        <f t="shared" si="56"/>
        <v>0</v>
      </c>
      <c r="Z49" s="10">
        <f t="shared" si="57"/>
        <v>62464794.618160263</v>
      </c>
      <c r="AA49" s="13">
        <f t="shared" si="74"/>
        <v>2.2274424930621772E-2</v>
      </c>
      <c r="AB49" s="9">
        <f t="shared" si="58"/>
        <v>3.0102362643114403E-4</v>
      </c>
      <c r="AC49" s="16">
        <f t="shared" si="75"/>
        <v>39305512.19599364</v>
      </c>
      <c r="AD49" s="16">
        <f t="shared" si="59"/>
        <v>9622470.9615497645</v>
      </c>
      <c r="AE49" s="16">
        <f t="shared" si="60"/>
        <v>0</v>
      </c>
      <c r="AF49" s="16">
        <f t="shared" si="76"/>
        <v>0</v>
      </c>
      <c r="AG49" s="16"/>
      <c r="AH49" s="32">
        <f>IFERROR(INDEX('US Food'!$R$11:$R$197,MATCH('Calculations - US Food'!D49,'US Food'!$N$11:$N$197,0)),"")</f>
        <v>4.0847628798313584</v>
      </c>
      <c r="AI49" s="23">
        <f t="shared" si="77"/>
        <v>0</v>
      </c>
      <c r="AJ49" s="23">
        <f t="shared" si="78"/>
        <v>0</v>
      </c>
      <c r="AK49" s="9">
        <f t="shared" si="61"/>
        <v>0</v>
      </c>
      <c r="AL49" s="4">
        <f t="shared" si="62"/>
        <v>9492429.8443</v>
      </c>
      <c r="AM49" s="4"/>
      <c r="AN49" s="4"/>
      <c r="AO49" s="4"/>
      <c r="AP49" s="4"/>
      <c r="AQ49" s="4"/>
      <c r="AR49" s="20">
        <f t="shared" si="63"/>
        <v>62464794.618160263</v>
      </c>
      <c r="AS49" s="13">
        <f t="shared" si="79"/>
        <v>2.2274424930621772E-2</v>
      </c>
      <c r="AT49" s="13">
        <f t="shared" si="80"/>
        <v>2.2274424930621782E-2</v>
      </c>
      <c r="AU49" s="13">
        <f t="shared" si="64"/>
        <v>3.0102362643115443E-4</v>
      </c>
      <c r="AV49" s="16">
        <f t="shared" si="81"/>
        <v>39305512.195993662</v>
      </c>
      <c r="AW49" s="16">
        <f t="shared" si="65"/>
        <v>9622470.9615497701</v>
      </c>
      <c r="AX49" s="16">
        <f t="shared" si="66"/>
        <v>0</v>
      </c>
      <c r="AY49" s="16">
        <f t="shared" si="82"/>
        <v>0</v>
      </c>
      <c r="AZ49" s="13">
        <f t="shared" si="83"/>
        <v>0.1610917014166047</v>
      </c>
      <c r="BA49" s="10">
        <f t="shared" si="84"/>
        <v>9662312.8389406819</v>
      </c>
      <c r="BB49" s="9">
        <f t="shared" si="85"/>
        <v>1.8875850012592791E-2</v>
      </c>
      <c r="BC49" s="13">
        <f t="shared" si="86"/>
        <v>0.21999756840215376</v>
      </c>
      <c r="BD49" s="10">
        <f t="shared" si="87"/>
        <v>39305512.195993684</v>
      </c>
      <c r="BE49" s="13">
        <f t="shared" si="88"/>
        <v>2.2274424930621779E-2</v>
      </c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</row>
    <row r="50" spans="2:70" x14ac:dyDescent="0.3">
      <c r="B50" s="96" t="str">
        <f t="shared" si="67"/>
        <v>US FOODDUKES</v>
      </c>
      <c r="C50" s="96" t="str">
        <f t="shared" si="68"/>
        <v>US FOODDUKESMAYO</v>
      </c>
      <c r="D50" s="96" t="str">
        <f t="shared" si="69"/>
        <v>US FOODDUKESMAYOOTHER</v>
      </c>
      <c r="E50" s="3" t="s">
        <v>104</v>
      </c>
      <c r="F50" s="3" t="s">
        <v>105</v>
      </c>
      <c r="G50" s="3" t="s">
        <v>113</v>
      </c>
      <c r="H50" s="3" t="s">
        <v>115</v>
      </c>
      <c r="I50" s="20">
        <f>IFERROR(INDEX('Input - US Food'!G$2:G$200,MATCH('Calculations - US Food'!$D50,'Input - US Food'!$B$2:$B$200,0)),"")</f>
        <v>1811127.7619</v>
      </c>
      <c r="J50" s="20">
        <f>IFERROR(INDEX('Input - US Food'!H$2:H$200,MATCH('Calculations - US Food'!$D50,'Input - US Food'!$B$2:$B$200,0)),"")</f>
        <v>321786.89030000003</v>
      </c>
      <c r="K50" s="21">
        <f>IFERROR(INDEX('Input - US Food'!I$2:I$200,MATCH('Calculations - US Food'!$D50,'Input - US Food'!$B$2:$B$200,0)),"")</f>
        <v>1.8412539648824899</v>
      </c>
      <c r="L50" s="21">
        <f>IFERROR(INDEX('Input - US Food'!J$2:J$200,MATCH('Calculations - US Food'!$D50,'Input - US Food'!$B$2:$B$200,0)),"")</f>
        <v>10.3632132726046</v>
      </c>
      <c r="M50" s="20">
        <f>IFERROR(INDEX('Input - US Food'!K$2:K$200,MATCH('Calculations - US Food'!$D50,'Input - US Food'!$B$2:$B$200,0)),"")</f>
        <v>8868198.4191999994</v>
      </c>
      <c r="N50" s="20">
        <f>IFERROR(INDEX('Input - US Food'!L$2:L$200,MATCH('Calculations - US Food'!$D50,'Input - US Food'!$B$2:$B$200,0)),"")</f>
        <v>1899982.5456999999</v>
      </c>
      <c r="O50" s="21">
        <f t="shared" si="70"/>
        <v>5.6283453940945085</v>
      </c>
      <c r="P50" s="21">
        <f t="shared" si="52"/>
        <v>4.6675157302209529</v>
      </c>
      <c r="Q50" s="21">
        <f t="shared" si="71"/>
        <v>-5.9435083919021245</v>
      </c>
      <c r="R50" s="9">
        <f t="shared" si="53"/>
        <v>1.0263656957590433E-3</v>
      </c>
      <c r="S50" s="9">
        <f t="shared" si="54"/>
        <v>6.2916465523358168E-4</v>
      </c>
      <c r="T50" s="22">
        <f>IFERROR(INDEX('US Food'!$S$11:$S$197,MATCH('Calculations - US Food'!$D50,'US Food'!$N$11:$N$197,0)),"")</f>
        <v>0</v>
      </c>
      <c r="U50" s="22">
        <f>IFERROR(INDEX('US Food'!$T$11:$T$197,MATCH('Calculations - US Food'!$D50,'US Food'!$N$11:$N$197,0)),"")</f>
        <v>0</v>
      </c>
      <c r="V50" s="16">
        <f t="shared" si="55"/>
        <v>0</v>
      </c>
      <c r="W50" s="16">
        <f t="shared" si="72"/>
        <v>0</v>
      </c>
      <c r="X50" s="16">
        <f t="shared" si="73"/>
        <v>0</v>
      </c>
      <c r="Y50" s="10">
        <f t="shared" si="56"/>
        <v>0</v>
      </c>
      <c r="Z50" s="10">
        <f t="shared" si="57"/>
        <v>2572936.9672035608</v>
      </c>
      <c r="AA50" s="13">
        <f t="shared" si="74"/>
        <v>9.1748786940757093E-4</v>
      </c>
      <c r="AB50" s="9">
        <f t="shared" si="58"/>
        <v>-1.0887782635147234E-4</v>
      </c>
      <c r="AC50" s="16">
        <f t="shared" si="75"/>
        <v>1619001.6466417862</v>
      </c>
      <c r="AD50" s="16">
        <f t="shared" si="59"/>
        <v>287651.43808347464</v>
      </c>
      <c r="AE50" s="16">
        <f t="shared" si="60"/>
        <v>0</v>
      </c>
      <c r="AF50" s="16">
        <f t="shared" si="76"/>
        <v>0</v>
      </c>
      <c r="AG50" s="16"/>
      <c r="AH50" s="32">
        <f>IFERROR(INDEX('US Food'!$R$11:$R$197,MATCH('Calculations - US Food'!D50,'US Food'!$N$11:$N$197,0)),"")</f>
        <v>5.6283453940945085</v>
      </c>
      <c r="AI50" s="23">
        <f t="shared" si="77"/>
        <v>0</v>
      </c>
      <c r="AJ50" s="23">
        <f t="shared" si="78"/>
        <v>0</v>
      </c>
      <c r="AK50" s="9">
        <f t="shared" si="61"/>
        <v>0</v>
      </c>
      <c r="AL50" s="4">
        <f t="shared" si="62"/>
        <v>321786.89030000003</v>
      </c>
      <c r="AM50" s="4"/>
      <c r="AN50" s="4"/>
      <c r="AO50" s="4"/>
      <c r="AP50" s="4"/>
      <c r="AQ50" s="4"/>
      <c r="AR50" s="20">
        <f t="shared" si="63"/>
        <v>2572936.9672035608</v>
      </c>
      <c r="AS50" s="13">
        <f t="shared" si="79"/>
        <v>9.1748786940757093E-4</v>
      </c>
      <c r="AT50" s="13">
        <f t="shared" si="80"/>
        <v>9.1748786940757136E-4</v>
      </c>
      <c r="AU50" s="13">
        <f t="shared" si="64"/>
        <v>-1.088778263514719E-4</v>
      </c>
      <c r="AV50" s="16">
        <f t="shared" si="81"/>
        <v>1619001.6466417869</v>
      </c>
      <c r="AW50" s="16">
        <f t="shared" si="65"/>
        <v>287651.43808347476</v>
      </c>
      <c r="AX50" s="16">
        <f t="shared" si="66"/>
        <v>0</v>
      </c>
      <c r="AY50" s="16">
        <f t="shared" si="82"/>
        <v>0</v>
      </c>
      <c r="AZ50" s="13">
        <f t="shared" si="83"/>
        <v>4.8156299729001156E-3</v>
      </c>
      <c r="BA50" s="10">
        <f t="shared" si="84"/>
        <v>288842.45995023189</v>
      </c>
      <c r="BB50" s="9">
        <f t="shared" si="85"/>
        <v>5.6426934649806445E-4</v>
      </c>
      <c r="BC50" s="13">
        <f t="shared" si="86"/>
        <v>9.0617423765967479E-3</v>
      </c>
      <c r="BD50" s="10">
        <f t="shared" si="87"/>
        <v>1619001.6466417876</v>
      </c>
      <c r="BE50" s="13">
        <f t="shared" si="88"/>
        <v>9.1748786940757114E-4</v>
      </c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2:70" x14ac:dyDescent="0.3">
      <c r="B51" s="96" t="str">
        <f t="shared" si="67"/>
        <v>US FOODHELLMANNS BEST FOODS</v>
      </c>
      <c r="C51" s="96" t="str">
        <f t="shared" si="68"/>
        <v>US FOODHELLMANNS BEST FOODSMAYO</v>
      </c>
      <c r="D51" s="96" t="str">
        <f t="shared" si="69"/>
        <v>US FOODHELLMANNS BEST FOODSMAYOJAR 8OZ</v>
      </c>
      <c r="E51" s="3" t="s">
        <v>104</v>
      </c>
      <c r="F51" s="3" t="s">
        <v>106</v>
      </c>
      <c r="G51" s="3" t="s">
        <v>113</v>
      </c>
      <c r="H51" s="3" t="s">
        <v>119</v>
      </c>
      <c r="I51" s="20">
        <f>IFERROR(INDEX('Input - US Food'!G$2:G$200,MATCH('Calculations - US Food'!$D51,'Input - US Food'!$B$2:$B$200,0)),"")</f>
        <v>17220191.103100002</v>
      </c>
      <c r="J51" s="20">
        <f>IFERROR(INDEX('Input - US Food'!H$2:H$200,MATCH('Calculations - US Food'!$D51,'Input - US Food'!$B$2:$B$200,0)),"")</f>
        <v>2199048.8382999999</v>
      </c>
      <c r="K51" s="21">
        <f>IFERROR(INDEX('Input - US Food'!I$2:I$200,MATCH('Calculations - US Food'!$D51,'Input - US Food'!$B$2:$B$200,0)),"")</f>
        <v>2.21125343094704</v>
      </c>
      <c r="L51" s="21">
        <f>IFERROR(INDEX('Input - US Food'!J$2:J$200,MATCH('Calculations - US Food'!$D51,'Input - US Food'!$B$2:$B$200,0)),"")</f>
        <v>17.3157621582112</v>
      </c>
      <c r="M51" s="20">
        <f>IFERROR(INDEX('Input - US Food'!K$2:K$200,MATCH('Calculations - US Food'!$D51,'Input - US Food'!$B$2:$B$200,0)),"")</f>
        <v>52992292.634400003</v>
      </c>
      <c r="N51" s="20">
        <f>IFERROR(INDEX('Input - US Food'!L$2:L$200,MATCH('Calculations - US Food'!$D51,'Input - US Food'!$B$2:$B$200,0)),"")</f>
        <v>7422612.7273000004</v>
      </c>
      <c r="O51" s="21">
        <f t="shared" si="70"/>
        <v>7.8307451854558492</v>
      </c>
      <c r="P51" s="21">
        <f t="shared" si="52"/>
        <v>7.1393045254128626</v>
      </c>
      <c r="Q51" s="21">
        <f t="shared" si="71"/>
        <v>-4.1279552835534128</v>
      </c>
      <c r="R51" s="9">
        <f t="shared" si="53"/>
        <v>9.7586784292320872E-3</v>
      </c>
      <c r="S51" s="9">
        <f t="shared" si="54"/>
        <v>4.2996276290216146E-3</v>
      </c>
      <c r="T51" s="22">
        <f>IFERROR(INDEX('US Food'!$S$11:$S$197,MATCH('Calculations - US Food'!$D51,'US Food'!$N$11:$N$197,0)),"")</f>
        <v>0</v>
      </c>
      <c r="U51" s="22">
        <f>IFERROR(INDEX('US Food'!$T$11:$T$197,MATCH('Calculations - US Food'!$D51,'US Food'!$N$11:$N$197,0)),"")</f>
        <v>0</v>
      </c>
      <c r="V51" s="16">
        <f t="shared" si="55"/>
        <v>0</v>
      </c>
      <c r="W51" s="16">
        <f t="shared" si="72"/>
        <v>0</v>
      </c>
      <c r="X51" s="16">
        <f t="shared" si="73"/>
        <v>0</v>
      </c>
      <c r="Y51" s="10">
        <f t="shared" si="56"/>
        <v>0</v>
      </c>
      <c r="Z51" s="10">
        <f t="shared" si="57"/>
        <v>27649198.880696721</v>
      </c>
      <c r="AA51" s="13">
        <f t="shared" si="74"/>
        <v>9.8594737823865346E-3</v>
      </c>
      <c r="AB51" s="9">
        <f t="shared" si="58"/>
        <v>1.007953531544474E-4</v>
      </c>
      <c r="AC51" s="16">
        <f t="shared" si="75"/>
        <v>17398054.863670766</v>
      </c>
      <c r="AD51" s="16">
        <f t="shared" si="59"/>
        <v>2221762.3548758058</v>
      </c>
      <c r="AE51" s="16">
        <f t="shared" si="60"/>
        <v>0</v>
      </c>
      <c r="AF51" s="16">
        <f t="shared" si="76"/>
        <v>0</v>
      </c>
      <c r="AG51" s="16"/>
      <c r="AH51" s="32">
        <f>IFERROR(INDEX('US Food'!$R$11:$R$197,MATCH('Calculations - US Food'!D51,'US Food'!$N$11:$N$197,0)),"")</f>
        <v>7.8307451854558492</v>
      </c>
      <c r="AI51" s="23">
        <f t="shared" si="77"/>
        <v>0</v>
      </c>
      <c r="AJ51" s="23">
        <f t="shared" si="78"/>
        <v>0</v>
      </c>
      <c r="AK51" s="9">
        <f t="shared" si="61"/>
        <v>0</v>
      </c>
      <c r="AL51" s="4">
        <f t="shared" si="62"/>
        <v>2199048.8382999999</v>
      </c>
      <c r="AM51" s="4"/>
      <c r="AN51" s="4"/>
      <c r="AO51" s="4"/>
      <c r="AP51" s="4"/>
      <c r="AQ51" s="4"/>
      <c r="AR51" s="20">
        <f t="shared" si="63"/>
        <v>27649198.880696721</v>
      </c>
      <c r="AS51" s="13">
        <f t="shared" si="79"/>
        <v>9.8594737823865346E-3</v>
      </c>
      <c r="AT51" s="13">
        <f t="shared" si="80"/>
        <v>9.8594737823865398E-3</v>
      </c>
      <c r="AU51" s="13">
        <f t="shared" si="64"/>
        <v>1.0079535315445261E-4</v>
      </c>
      <c r="AV51" s="16">
        <f t="shared" si="81"/>
        <v>17398054.863670778</v>
      </c>
      <c r="AW51" s="16">
        <f t="shared" si="65"/>
        <v>2221762.3548758072</v>
      </c>
      <c r="AX51" s="16">
        <f t="shared" si="66"/>
        <v>0</v>
      </c>
      <c r="AY51" s="16">
        <f t="shared" si="82"/>
        <v>0</v>
      </c>
      <c r="AZ51" s="13">
        <f t="shared" si="83"/>
        <v>1.0035235217620338E-2</v>
      </c>
      <c r="BA51" s="10">
        <f t="shared" si="84"/>
        <v>2227901.1962465635</v>
      </c>
      <c r="BB51" s="9">
        <f t="shared" si="85"/>
        <v>4.3523253204702369E-3</v>
      </c>
      <c r="BC51" s="13">
        <f t="shared" si="86"/>
        <v>2.1164900760108296E-2</v>
      </c>
      <c r="BD51" s="10">
        <f t="shared" si="87"/>
        <v>17398054.863670778</v>
      </c>
      <c r="BE51" s="13">
        <f t="shared" si="88"/>
        <v>9.8594737823865328E-3</v>
      </c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</row>
    <row r="52" spans="2:70" x14ac:dyDescent="0.3">
      <c r="B52" s="96" t="str">
        <f t="shared" si="67"/>
        <v>US FOODHELLMANNS BEST FOODS</v>
      </c>
      <c r="C52" s="96" t="str">
        <f t="shared" si="68"/>
        <v>US FOODHELLMANNS BEST FOODSMAYO</v>
      </c>
      <c r="D52" s="96" t="str">
        <f t="shared" si="69"/>
        <v>US FOODHELLMANNS BEST FOODSMAYOJAR 15OZ</v>
      </c>
      <c r="E52" s="3" t="s">
        <v>104</v>
      </c>
      <c r="F52" s="3" t="s">
        <v>106</v>
      </c>
      <c r="G52" s="3" t="s">
        <v>113</v>
      </c>
      <c r="H52" s="3" t="s">
        <v>116</v>
      </c>
      <c r="I52" s="20">
        <f>IFERROR(INDEX('Input - US Food'!G$2:G$200,MATCH('Calculations - US Food'!$D52,'Input - US Food'!$B$2:$B$200,0)),"")</f>
        <v>57926349.503700003</v>
      </c>
      <c r="J52" s="20">
        <f>IFERROR(INDEX('Input - US Food'!H$2:H$200,MATCH('Calculations - US Food'!$D52,'Input - US Food'!$B$2:$B$200,0)),"")</f>
        <v>11513620.8069</v>
      </c>
      <c r="K52" s="21">
        <f>IFERROR(INDEX('Input - US Food'!I$2:I$200,MATCH('Calculations - US Food'!$D52,'Input - US Food'!$B$2:$B$200,0)),"")</f>
        <v>2.4304026662371201</v>
      </c>
      <c r="L52" s="21">
        <f>IFERROR(INDEX('Input - US Food'!J$2:J$200,MATCH('Calculations - US Food'!$D52,'Input - US Food'!$B$2:$B$200,0)),"")</f>
        <v>12.2276351323647</v>
      </c>
      <c r="M52" s="20">
        <f>IFERROR(INDEX('Input - US Food'!K$2:K$200,MATCH('Calculations - US Food'!$D52,'Input - US Food'!$B$2:$B$200,0)),"")</f>
        <v>205134626.5068</v>
      </c>
      <c r="N52" s="20">
        <f>IFERROR(INDEX('Input - US Food'!L$2:L$200,MATCH('Calculations - US Food'!$D52,'Input - US Food'!$B$2:$B$200,0)),"")</f>
        <v>43558064.771799996</v>
      </c>
      <c r="O52" s="21">
        <f t="shared" si="70"/>
        <v>5.0311149268512745</v>
      </c>
      <c r="P52" s="21">
        <f t="shared" si="52"/>
        <v>4.7094522583015799</v>
      </c>
      <c r="Q52" s="21">
        <f t="shared" si="71"/>
        <v>-3.4955192114911435</v>
      </c>
      <c r="R52" s="9">
        <f t="shared" si="53"/>
        <v>3.2826849249318307E-2</v>
      </c>
      <c r="S52" s="9">
        <f t="shared" si="54"/>
        <v>2.2511679262974094E-2</v>
      </c>
      <c r="T52" s="22">
        <f>IFERROR(INDEX('US Food'!$S$11:$S$197,MATCH('Calculations - US Food'!$D52,'US Food'!$N$11:$N$197,0)),"")</f>
        <v>0</v>
      </c>
      <c r="U52" s="22">
        <f>IFERROR(INDEX('US Food'!$T$11:$T$197,MATCH('Calculations - US Food'!$D52,'US Food'!$N$11:$N$197,0)),"")</f>
        <v>0</v>
      </c>
      <c r="V52" s="16">
        <f t="shared" si="55"/>
        <v>0</v>
      </c>
      <c r="W52" s="16">
        <f t="shared" si="72"/>
        <v>0</v>
      </c>
      <c r="X52" s="16">
        <f t="shared" si="73"/>
        <v>0</v>
      </c>
      <c r="Y52" s="10">
        <f t="shared" si="56"/>
        <v>0</v>
      </c>
      <c r="Z52" s="10">
        <f t="shared" si="57"/>
        <v>99355351.891437829</v>
      </c>
      <c r="AA52" s="13">
        <f t="shared" si="74"/>
        <v>3.5429290061540303E-2</v>
      </c>
      <c r="AB52" s="9">
        <f t="shared" si="58"/>
        <v>2.6024408122219955E-3</v>
      </c>
      <c r="AC52" s="16">
        <f t="shared" si="75"/>
        <v>62518623.800466232</v>
      </c>
      <c r="AD52" s="16">
        <f t="shared" si="59"/>
        <v>12426395.482798789</v>
      </c>
      <c r="AE52" s="16">
        <f t="shared" si="60"/>
        <v>0</v>
      </c>
      <c r="AF52" s="16">
        <f t="shared" si="76"/>
        <v>0</v>
      </c>
      <c r="AG52" s="16"/>
      <c r="AH52" s="32">
        <f>IFERROR(INDEX('US Food'!$R$11:$R$197,MATCH('Calculations - US Food'!D52,'US Food'!$N$11:$N$197,0)),"")</f>
        <v>5.0311149268512745</v>
      </c>
      <c r="AI52" s="23">
        <f t="shared" si="77"/>
        <v>0</v>
      </c>
      <c r="AJ52" s="23">
        <f t="shared" si="78"/>
        <v>0</v>
      </c>
      <c r="AK52" s="9">
        <f t="shared" si="61"/>
        <v>0</v>
      </c>
      <c r="AL52" s="4">
        <f t="shared" si="62"/>
        <v>11513620.8069</v>
      </c>
      <c r="AM52" s="4"/>
      <c r="AN52" s="4"/>
      <c r="AO52" s="4"/>
      <c r="AP52" s="4"/>
      <c r="AQ52" s="4"/>
      <c r="AR52" s="20">
        <f t="shared" si="63"/>
        <v>99355351.891437829</v>
      </c>
      <c r="AS52" s="13">
        <f t="shared" si="79"/>
        <v>3.5429290061540303E-2</v>
      </c>
      <c r="AT52" s="13">
        <f t="shared" si="80"/>
        <v>3.5429290061540317E-2</v>
      </c>
      <c r="AU52" s="13">
        <f t="shared" si="64"/>
        <v>2.6024408122220094E-3</v>
      </c>
      <c r="AV52" s="16">
        <f t="shared" si="81"/>
        <v>62518623.800466262</v>
      </c>
      <c r="AW52" s="16">
        <f t="shared" si="65"/>
        <v>12426395.482798794</v>
      </c>
      <c r="AX52" s="16">
        <f t="shared" si="66"/>
        <v>0</v>
      </c>
      <c r="AY52" s="16">
        <f t="shared" si="82"/>
        <v>0</v>
      </c>
      <c r="AZ52" s="13">
        <f t="shared" si="83"/>
        <v>5.6127425736327848E-2</v>
      </c>
      <c r="BA52" s="10">
        <f t="shared" si="84"/>
        <v>12460730.239849554</v>
      </c>
      <c r="BB52" s="9">
        <f t="shared" si="85"/>
        <v>2.4342709553644117E-2</v>
      </c>
      <c r="BC52" s="13">
        <f t="shared" si="86"/>
        <v>7.6054506021728557E-2</v>
      </c>
      <c r="BD52" s="10">
        <f t="shared" si="87"/>
        <v>62518623.800466262</v>
      </c>
      <c r="BE52" s="13">
        <f t="shared" si="88"/>
        <v>3.5429290061540296E-2</v>
      </c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</row>
    <row r="53" spans="2:70" x14ac:dyDescent="0.3">
      <c r="B53" s="96" t="str">
        <f t="shared" si="67"/>
        <v>US FOODHELLMANNS BEST FOODS</v>
      </c>
      <c r="C53" s="96" t="str">
        <f t="shared" si="68"/>
        <v>US FOODHELLMANNS BEST FOODSMAYO</v>
      </c>
      <c r="D53" s="96" t="str">
        <f t="shared" si="69"/>
        <v>US FOODHELLMANNS BEST FOODSMAYOJAR 30OZ</v>
      </c>
      <c r="E53" s="3" t="s">
        <v>104</v>
      </c>
      <c r="F53" s="3" t="s">
        <v>106</v>
      </c>
      <c r="G53" s="3" t="s">
        <v>113</v>
      </c>
      <c r="H53" s="3" t="s">
        <v>118</v>
      </c>
      <c r="I53" s="20">
        <f>IFERROR(INDEX('Input - US Food'!G$2:G$200,MATCH('Calculations - US Food'!$D53,'Input - US Food'!$B$2:$B$200,0)),"")</f>
        <v>435635764.35299999</v>
      </c>
      <c r="J53" s="20">
        <f>IFERROR(INDEX('Input - US Food'!H$2:H$200,MATCH('Calculations - US Food'!$D53,'Input - US Food'!$B$2:$B$200,0)),"")</f>
        <v>142300525.99200001</v>
      </c>
      <c r="K53" s="21">
        <f>IFERROR(INDEX('Input - US Food'!I$2:I$200,MATCH('Calculations - US Food'!$D53,'Input - US Food'!$B$2:$B$200,0)),"")</f>
        <v>2.1593716627579602</v>
      </c>
      <c r="L53" s="21">
        <f>IFERROR(INDEX('Input - US Food'!J$2:J$200,MATCH('Calculations - US Food'!$D53,'Input - US Food'!$B$2:$B$200,0)),"")</f>
        <v>6.6106538838841598</v>
      </c>
      <c r="M53" s="20">
        <f>IFERROR(INDEX('Input - US Food'!K$2:K$200,MATCH('Calculations - US Food'!$D53,'Input - US Food'!$B$2:$B$200,0)),"")</f>
        <v>1547114704.8099999</v>
      </c>
      <c r="N53" s="20">
        <f>IFERROR(INDEX('Input - US Food'!L$2:L$200,MATCH('Calculations - US Food'!$D53,'Input - US Food'!$B$2:$B$200,0)),"")</f>
        <v>575180782.62800002</v>
      </c>
      <c r="O53" s="21">
        <f t="shared" si="70"/>
        <v>3.0613784546199847</v>
      </c>
      <c r="P53" s="21">
        <f t="shared" si="52"/>
        <v>2.6897885874093976</v>
      </c>
      <c r="Q53" s="21">
        <f t="shared" si="71"/>
        <v>-4.3126808775934586</v>
      </c>
      <c r="R53" s="9">
        <f t="shared" si="53"/>
        <v>0.24687468978368898</v>
      </c>
      <c r="S53" s="9">
        <f t="shared" si="54"/>
        <v>0.27822905181701246</v>
      </c>
      <c r="T53" s="22">
        <f>IFERROR(INDEX('US Food'!$S$11:$S$197,MATCH('Calculations - US Food'!$D53,'US Food'!$N$11:$N$197,0)),"")</f>
        <v>0</v>
      </c>
      <c r="U53" s="22">
        <f>IFERROR(INDEX('US Food'!$T$11:$T$197,MATCH('Calculations - US Food'!$D53,'US Food'!$N$11:$N$197,0)),"")</f>
        <v>0</v>
      </c>
      <c r="V53" s="16">
        <f t="shared" si="55"/>
        <v>0</v>
      </c>
      <c r="W53" s="16">
        <f t="shared" si="72"/>
        <v>0</v>
      </c>
      <c r="X53" s="16">
        <f t="shared" si="73"/>
        <v>0</v>
      </c>
      <c r="Y53" s="10">
        <f t="shared" si="56"/>
        <v>0</v>
      </c>
      <c r="Z53" s="10">
        <f t="shared" si="57"/>
        <v>688167644.59038687</v>
      </c>
      <c r="AA53" s="13">
        <f t="shared" si="74"/>
        <v>0.24539484413280918</v>
      </c>
      <c r="AB53" s="9">
        <f t="shared" si="58"/>
        <v>-1.4798456508798019E-3</v>
      </c>
      <c r="AC53" s="16">
        <f t="shared" si="75"/>
        <v>433024424.60079473</v>
      </c>
      <c r="AD53" s="16">
        <f t="shared" si="59"/>
        <v>141447531.24113399</v>
      </c>
      <c r="AE53" s="16">
        <f t="shared" si="60"/>
        <v>0</v>
      </c>
      <c r="AF53" s="16">
        <f t="shared" si="76"/>
        <v>0</v>
      </c>
      <c r="AG53" s="16"/>
      <c r="AH53" s="32">
        <f>IFERROR(INDEX('US Food'!$R$11:$R$197,MATCH('Calculations - US Food'!D53,'US Food'!$N$11:$N$197,0)),"")</f>
        <v>3.0613784546199847</v>
      </c>
      <c r="AI53" s="23">
        <f t="shared" si="77"/>
        <v>0</v>
      </c>
      <c r="AJ53" s="23">
        <f t="shared" si="78"/>
        <v>0</v>
      </c>
      <c r="AK53" s="9">
        <f t="shared" si="61"/>
        <v>0</v>
      </c>
      <c r="AL53" s="4">
        <f t="shared" si="62"/>
        <v>142300525.99200001</v>
      </c>
      <c r="AM53" s="4"/>
      <c r="AN53" s="4"/>
      <c r="AO53" s="4"/>
      <c r="AP53" s="4"/>
      <c r="AQ53" s="4"/>
      <c r="AR53" s="20">
        <f t="shared" si="63"/>
        <v>688167644.59038687</v>
      </c>
      <c r="AS53" s="13">
        <f t="shared" si="79"/>
        <v>0.24539484413280918</v>
      </c>
      <c r="AT53" s="13">
        <f t="shared" si="80"/>
        <v>0.24539484413280929</v>
      </c>
      <c r="AU53" s="13">
        <f t="shared" si="64"/>
        <v>-1.4798456508796909E-3</v>
      </c>
      <c r="AV53" s="16">
        <f t="shared" si="81"/>
        <v>433024424.60079497</v>
      </c>
      <c r="AW53" s="16">
        <f t="shared" si="65"/>
        <v>141447531.24113405</v>
      </c>
      <c r="AX53" s="16">
        <f t="shared" si="66"/>
        <v>0</v>
      </c>
      <c r="AY53" s="16">
        <f t="shared" si="82"/>
        <v>0</v>
      </c>
      <c r="AZ53" s="13">
        <f t="shared" si="83"/>
        <v>0.6388888729892207</v>
      </c>
      <c r="BA53" s="10">
        <f t="shared" si="84"/>
        <v>141838357.89938074</v>
      </c>
      <c r="BB53" s="9">
        <f t="shared" si="85"/>
        <v>0.27708889314276147</v>
      </c>
      <c r="BC53" s="13">
        <f t="shared" si="86"/>
        <v>0.52677836948981416</v>
      </c>
      <c r="BD53" s="10">
        <f t="shared" si="87"/>
        <v>433024424.60079497</v>
      </c>
      <c r="BE53" s="13">
        <f t="shared" si="88"/>
        <v>0.24539484413280913</v>
      </c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2:70" x14ac:dyDescent="0.3">
      <c r="B54" s="96" t="str">
        <f t="shared" si="67"/>
        <v>US FOODHELLMANNS BEST FOODS</v>
      </c>
      <c r="C54" s="96" t="str">
        <f t="shared" si="68"/>
        <v>US FOODHELLMANNS BEST FOODSMAYO</v>
      </c>
      <c r="D54" s="96" t="str">
        <f t="shared" si="69"/>
        <v>US FOODHELLMANNS BEST FOODSMAYOJAR 48OZ</v>
      </c>
      <c r="E54" s="3" t="s">
        <v>104</v>
      </c>
      <c r="F54" s="3" t="s">
        <v>106</v>
      </c>
      <c r="G54" s="3" t="s">
        <v>113</v>
      </c>
      <c r="H54" s="3" t="s">
        <v>121</v>
      </c>
      <c r="I54" s="20">
        <f>IFERROR(INDEX('Input - US Food'!G$2:G$200,MATCH('Calculations - US Food'!$D54,'Input - US Food'!$B$2:$B$200,0)),"")</f>
        <v>54884847.571800001</v>
      </c>
      <c r="J54" s="20">
        <f>IFERROR(INDEX('Input - US Food'!H$2:H$200,MATCH('Calculations - US Food'!$D54,'Input - US Food'!$B$2:$B$200,0)),"")</f>
        <v>18601332.812899999</v>
      </c>
      <c r="K54" s="21">
        <f>IFERROR(INDEX('Input - US Food'!I$2:I$200,MATCH('Calculations - US Food'!$D54,'Input - US Food'!$B$2:$B$200,0)),"")</f>
        <v>2.2015778712039298</v>
      </c>
      <c r="L54" s="21">
        <f>IFERROR(INDEX('Input - US Food'!J$2:J$200,MATCH('Calculations - US Food'!$D54,'Input - US Food'!$B$2:$B$200,0)),"")</f>
        <v>6.4959466665032801</v>
      </c>
      <c r="M54" s="20">
        <f>IFERROR(INDEX('Input - US Food'!K$2:K$200,MATCH('Calculations - US Food'!$D54,'Input - US Food'!$B$2:$B$200,0)),"")</f>
        <v>178355675.53650001</v>
      </c>
      <c r="N54" s="20">
        <f>IFERROR(INDEX('Input - US Food'!L$2:L$200,MATCH('Calculations - US Food'!$D54,'Input - US Food'!$B$2:$B$200,0)),"")</f>
        <v>64350495.250799999</v>
      </c>
      <c r="O54" s="21">
        <f t="shared" si="70"/>
        <v>2.9505868275061147</v>
      </c>
      <c r="P54" s="21">
        <f t="shared" si="52"/>
        <v>2.7716286384646387</v>
      </c>
      <c r="Q54" s="21">
        <f t="shared" si="71"/>
        <v>-4.1611951416766662</v>
      </c>
      <c r="R54" s="9">
        <f t="shared" si="53"/>
        <v>3.1103230787850881E-2</v>
      </c>
      <c r="S54" s="9">
        <f t="shared" si="54"/>
        <v>3.6369726358965147E-2</v>
      </c>
      <c r="T54" s="22">
        <f>IFERROR(INDEX('US Food'!$S$11:$S$197,MATCH('Calculations - US Food'!$D54,'US Food'!$N$11:$N$197,0)),"")</f>
        <v>0</v>
      </c>
      <c r="U54" s="22">
        <f>IFERROR(INDEX('US Food'!$T$11:$T$197,MATCH('Calculations - US Food'!$D54,'US Food'!$N$11:$N$197,0)),"")</f>
        <v>0</v>
      </c>
      <c r="V54" s="16">
        <f t="shared" si="55"/>
        <v>0</v>
      </c>
      <c r="W54" s="16">
        <f t="shared" si="72"/>
        <v>0</v>
      </c>
      <c r="X54" s="16">
        <f t="shared" si="73"/>
        <v>0</v>
      </c>
      <c r="Y54" s="10">
        <f t="shared" si="56"/>
        <v>0</v>
      </c>
      <c r="Z54" s="10">
        <f t="shared" si="57"/>
        <v>87859056.725137904</v>
      </c>
      <c r="AA54" s="13">
        <f t="shared" si="74"/>
        <v>3.1329807061118015E-2</v>
      </c>
      <c r="AB54" s="9">
        <f t="shared" si="58"/>
        <v>2.2657627326713378E-4</v>
      </c>
      <c r="AC54" s="16">
        <f t="shared" si="75"/>
        <v>55284664.693901367</v>
      </c>
      <c r="AD54" s="16">
        <f t="shared" si="59"/>
        <v>18736837.085600659</v>
      </c>
      <c r="AE54" s="16">
        <f t="shared" si="60"/>
        <v>0</v>
      </c>
      <c r="AF54" s="16">
        <f t="shared" si="76"/>
        <v>0</v>
      </c>
      <c r="AG54" s="16"/>
      <c r="AH54" s="32">
        <f>IFERROR(INDEX('US Food'!$R$11:$R$197,MATCH('Calculations - US Food'!D54,'US Food'!$N$11:$N$197,0)),"")</f>
        <v>2.9505868275061147</v>
      </c>
      <c r="AI54" s="23">
        <f t="shared" si="77"/>
        <v>0</v>
      </c>
      <c r="AJ54" s="23">
        <f t="shared" si="78"/>
        <v>0</v>
      </c>
      <c r="AK54" s="9">
        <f t="shared" si="61"/>
        <v>0</v>
      </c>
      <c r="AL54" s="4">
        <f t="shared" si="62"/>
        <v>18601332.812899999</v>
      </c>
      <c r="AM54" s="4"/>
      <c r="AN54" s="4"/>
      <c r="AO54" s="4"/>
      <c r="AP54" s="4"/>
      <c r="AQ54" s="4"/>
      <c r="AR54" s="20">
        <f t="shared" si="63"/>
        <v>87859056.725137904</v>
      </c>
      <c r="AS54" s="13">
        <f t="shared" si="79"/>
        <v>3.1329807061118015E-2</v>
      </c>
      <c r="AT54" s="13">
        <f t="shared" si="80"/>
        <v>3.1329807061118028E-2</v>
      </c>
      <c r="AU54" s="13">
        <f t="shared" si="64"/>
        <v>2.2657627326714766E-4</v>
      </c>
      <c r="AV54" s="16">
        <f t="shared" si="81"/>
        <v>55284664.69390139</v>
      </c>
      <c r="AW54" s="16">
        <f t="shared" si="65"/>
        <v>18736837.085600667</v>
      </c>
      <c r="AX54" s="16">
        <f t="shared" si="66"/>
        <v>0</v>
      </c>
      <c r="AY54" s="16">
        <f t="shared" si="82"/>
        <v>0</v>
      </c>
      <c r="AZ54" s="13">
        <f t="shared" si="83"/>
        <v>8.4630368759103902E-2</v>
      </c>
      <c r="BA54" s="10">
        <f t="shared" si="84"/>
        <v>18788607.910867278</v>
      </c>
      <c r="BB54" s="9">
        <f t="shared" si="85"/>
        <v>3.670456036588305E-2</v>
      </c>
      <c r="BC54" s="13">
        <f t="shared" si="86"/>
        <v>6.7254325323779909E-2</v>
      </c>
      <c r="BD54" s="10">
        <f t="shared" si="87"/>
        <v>55284664.69390139</v>
      </c>
      <c r="BE54" s="13">
        <f t="shared" si="88"/>
        <v>3.1329807061118008E-2</v>
      </c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2:70" x14ac:dyDescent="0.3">
      <c r="B55" s="96" t="str">
        <f t="shared" si="67"/>
        <v>US FOODHELLMANNS BEST FOODS</v>
      </c>
      <c r="C55" s="96" t="str">
        <f t="shared" si="68"/>
        <v>US FOODHELLMANNS BEST FOODSMAYO</v>
      </c>
      <c r="D55" s="96" t="str">
        <f t="shared" si="69"/>
        <v>US FOODHELLMANNS BEST FOODSMAYOSQUEEZY 12OZ</v>
      </c>
      <c r="E55" s="3" t="s">
        <v>104</v>
      </c>
      <c r="F55" s="3" t="s">
        <v>106</v>
      </c>
      <c r="G55" s="3" t="s">
        <v>113</v>
      </c>
      <c r="H55" s="3" t="s">
        <v>117</v>
      </c>
      <c r="I55" s="20">
        <f>IFERROR(INDEX('Input - US Food'!G$2:G$200,MATCH('Calculations - US Food'!$D55,'Input - US Food'!$B$2:$B$200,0)),"")</f>
        <v>68427850.290600002</v>
      </c>
      <c r="J55" s="20">
        <f>IFERROR(INDEX('Input - US Food'!H$2:H$200,MATCH('Calculations - US Food'!$D55,'Input - US Food'!$B$2:$B$200,0)),"")</f>
        <v>10263512.395300001</v>
      </c>
      <c r="K55" s="21">
        <f>IFERROR(INDEX('Input - US Food'!I$2:I$200,MATCH('Calculations - US Food'!$D55,'Input - US Food'!$B$2:$B$200,0)),"")</f>
        <v>2.4220944653821599</v>
      </c>
      <c r="L55" s="21">
        <f>IFERROR(INDEX('Input - US Food'!J$2:J$200,MATCH('Calculations - US Food'!$D55,'Input - US Food'!$B$2:$B$200,0)),"")</f>
        <v>16.148342895046198</v>
      </c>
      <c r="M55" s="20">
        <f>IFERROR(INDEX('Input - US Food'!K$2:K$200,MATCH('Calculations - US Food'!$D55,'Input - US Food'!$B$2:$B$200,0)),"")</f>
        <v>223134748.20649999</v>
      </c>
      <c r="N55" s="20">
        <f>IFERROR(INDEX('Input - US Food'!L$2:L$200,MATCH('Calculations - US Food'!$D55,'Input - US Food'!$B$2:$B$200,0)),"")</f>
        <v>36517878.205200002</v>
      </c>
      <c r="O55" s="21">
        <f t="shared" si="70"/>
        <v>6.6670987138803826</v>
      </c>
      <c r="P55" s="21">
        <f t="shared" si="52"/>
        <v>6.1102878692094027</v>
      </c>
      <c r="Q55" s="21">
        <f t="shared" si="71"/>
        <v>-3.5159408335481732</v>
      </c>
      <c r="R55" s="9">
        <f t="shared" si="53"/>
        <v>3.8778047385861408E-2</v>
      </c>
      <c r="S55" s="9">
        <f t="shared" si="54"/>
        <v>2.0067440384703938E-2</v>
      </c>
      <c r="T55" s="22">
        <f>IFERROR(INDEX('US Food'!$S$11:$S$197,MATCH('Calculations - US Food'!$D55,'US Food'!$N$11:$N$197,0)),"")</f>
        <v>0</v>
      </c>
      <c r="U55" s="22">
        <f>IFERROR(INDEX('US Food'!$T$11:$T$197,MATCH('Calculations - US Food'!$D55,'US Food'!$N$11:$N$197,0)),"")</f>
        <v>0</v>
      </c>
      <c r="V55" s="16">
        <f t="shared" si="55"/>
        <v>0</v>
      </c>
      <c r="W55" s="16">
        <f t="shared" si="72"/>
        <v>0</v>
      </c>
      <c r="X55" s="16">
        <f t="shared" si="73"/>
        <v>0</v>
      </c>
      <c r="Y55" s="10">
        <f t="shared" si="56"/>
        <v>0</v>
      </c>
      <c r="Z55" s="10">
        <f t="shared" si="57"/>
        <v>117083283.87873067</v>
      </c>
      <c r="AA55" s="13">
        <f t="shared" si="74"/>
        <v>4.1750922793064894E-2</v>
      </c>
      <c r="AB55" s="9">
        <f t="shared" si="58"/>
        <v>2.972875407203486E-3</v>
      </c>
      <c r="AC55" s="16">
        <f t="shared" si="75"/>
        <v>73673794.504152566</v>
      </c>
      <c r="AD55" s="16">
        <f t="shared" si="59"/>
        <v>11050353.034487016</v>
      </c>
      <c r="AE55" s="16">
        <f t="shared" si="60"/>
        <v>0</v>
      </c>
      <c r="AF55" s="16">
        <f t="shared" si="76"/>
        <v>0</v>
      </c>
      <c r="AG55" s="16"/>
      <c r="AH55" s="32">
        <f>IFERROR(INDEX('US Food'!$R$11:$R$197,MATCH('Calculations - US Food'!D55,'US Food'!$N$11:$N$197,0)),"")</f>
        <v>6.6670987138803826</v>
      </c>
      <c r="AI55" s="23">
        <f t="shared" si="77"/>
        <v>0</v>
      </c>
      <c r="AJ55" s="23">
        <f t="shared" si="78"/>
        <v>0</v>
      </c>
      <c r="AK55" s="9">
        <f t="shared" si="61"/>
        <v>0</v>
      </c>
      <c r="AL55" s="4">
        <f t="shared" si="62"/>
        <v>10263512.395300001</v>
      </c>
      <c r="AM55" s="4"/>
      <c r="AN55" s="4"/>
      <c r="AO55" s="4"/>
      <c r="AP55" s="4"/>
      <c r="AQ55" s="4"/>
      <c r="AR55" s="20">
        <f t="shared" si="63"/>
        <v>117083283.87873067</v>
      </c>
      <c r="AS55" s="13">
        <f t="shared" si="79"/>
        <v>4.1750922793064894E-2</v>
      </c>
      <c r="AT55" s="13">
        <f t="shared" si="80"/>
        <v>4.1750922793064915E-2</v>
      </c>
      <c r="AU55" s="13">
        <f t="shared" si="64"/>
        <v>2.9728754072035068E-3</v>
      </c>
      <c r="AV55" s="16">
        <f t="shared" si="81"/>
        <v>73673794.504152596</v>
      </c>
      <c r="AW55" s="16">
        <f t="shared" si="65"/>
        <v>11050353.03448702</v>
      </c>
      <c r="AX55" s="16">
        <f t="shared" si="66"/>
        <v>0</v>
      </c>
      <c r="AY55" s="16">
        <f t="shared" si="82"/>
        <v>0</v>
      </c>
      <c r="AZ55" s="13">
        <f t="shared" si="83"/>
        <v>4.9912130203961728E-2</v>
      </c>
      <c r="BA55" s="10">
        <f t="shared" si="84"/>
        <v>11080885.716895964</v>
      </c>
      <c r="BB55" s="9">
        <f t="shared" si="85"/>
        <v>2.1647108749766077E-2</v>
      </c>
      <c r="BC55" s="13">
        <f t="shared" si="86"/>
        <v>8.962487827055908E-2</v>
      </c>
      <c r="BD55" s="10">
        <f t="shared" si="87"/>
        <v>73673794.504152596</v>
      </c>
      <c r="BE55" s="13">
        <f t="shared" si="88"/>
        <v>4.175092279306488E-2</v>
      </c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</row>
    <row r="56" spans="2:70" x14ac:dyDescent="0.3">
      <c r="B56" s="96" t="str">
        <f t="shared" si="67"/>
        <v>US FOODHELLMANNS BEST FOODS</v>
      </c>
      <c r="C56" s="96" t="str">
        <f t="shared" si="68"/>
        <v>US FOODHELLMANNS BEST FOODSMAYO</v>
      </c>
      <c r="D56" s="96" t="str">
        <f t="shared" si="69"/>
        <v>US FOODHELLMANNS BEST FOODSMAYOSQUEEZY 18 TO 22OZ</v>
      </c>
      <c r="E56" s="3" t="s">
        <v>104</v>
      </c>
      <c r="F56" s="3" t="s">
        <v>106</v>
      </c>
      <c r="G56" s="3" t="s">
        <v>113</v>
      </c>
      <c r="H56" s="3" t="s">
        <v>120</v>
      </c>
      <c r="I56" s="20">
        <f>IFERROR(INDEX('Input - US Food'!G$2:G$200,MATCH('Calculations - US Food'!$D56,'Input - US Food'!$B$2:$B$200,0)),"")</f>
        <v>150137134.43700001</v>
      </c>
      <c r="J56" s="20">
        <f>IFERROR(INDEX('Input - US Food'!H$2:H$200,MATCH('Calculations - US Food'!$D56,'Input - US Food'!$B$2:$B$200,0)),"")</f>
        <v>31295077.771499999</v>
      </c>
      <c r="K56" s="21">
        <f>IFERROR(INDEX('Input - US Food'!I$2:I$200,MATCH('Calculations - US Food'!$D56,'Input - US Food'!$B$2:$B$200,0)),"")</f>
        <v>2.2524050289298101</v>
      </c>
      <c r="L56" s="21">
        <f>IFERROR(INDEX('Input - US Food'!J$2:J$200,MATCH('Calculations - US Food'!$D56,'Input - US Food'!$B$2:$B$200,0)),"")</f>
        <v>10.8058410688142</v>
      </c>
      <c r="M56" s="20">
        <f>IFERROR(INDEX('Input - US Food'!K$2:K$200,MATCH('Calculations - US Food'!$D56,'Input - US Food'!$B$2:$B$200,0)),"")</f>
        <v>511612348.505</v>
      </c>
      <c r="N56" s="20">
        <f>IFERROR(INDEX('Input - US Food'!L$2:L$200,MATCH('Calculations - US Food'!$D56,'Input - US Food'!$B$2:$B$200,0)),"")</f>
        <v>122113760.75660001</v>
      </c>
      <c r="O56" s="21">
        <f t="shared" si="70"/>
        <v>4.7974680086504806</v>
      </c>
      <c r="P56" s="21">
        <f t="shared" si="52"/>
        <v>4.1896371492870292</v>
      </c>
      <c r="Q56" s="21">
        <f t="shared" si="71"/>
        <v>-3.99231868644967</v>
      </c>
      <c r="R56" s="9">
        <f t="shared" si="53"/>
        <v>8.5082680353838439E-2</v>
      </c>
      <c r="S56" s="9">
        <f t="shared" si="54"/>
        <v>6.1188809768655511E-2</v>
      </c>
      <c r="T56" s="22">
        <f>IFERROR(INDEX('US Food'!$S$11:$S$197,MATCH('Calculations - US Food'!$D56,'US Food'!$N$11:$N$197,0)),"")</f>
        <v>0</v>
      </c>
      <c r="U56" s="22">
        <f>IFERROR(INDEX('US Food'!$T$11:$T$197,MATCH('Calculations - US Food'!$D56,'US Food'!$N$11:$N$197,0)),"")</f>
        <v>0</v>
      </c>
      <c r="V56" s="16">
        <f t="shared" si="55"/>
        <v>0</v>
      </c>
      <c r="W56" s="16">
        <f t="shared" si="72"/>
        <v>0</v>
      </c>
      <c r="X56" s="16">
        <f t="shared" si="73"/>
        <v>0</v>
      </c>
      <c r="Y56" s="10">
        <f t="shared" si="56"/>
        <v>0</v>
      </c>
      <c r="Z56" s="10">
        <f t="shared" si="57"/>
        <v>244153385.53600451</v>
      </c>
      <c r="AA56" s="13">
        <f t="shared" si="74"/>
        <v>8.7063061536070435E-2</v>
      </c>
      <c r="AB56" s="9">
        <f t="shared" si="58"/>
        <v>1.9803811822319967E-3</v>
      </c>
      <c r="AC56" s="16">
        <f t="shared" si="75"/>
        <v>153631720.5802286</v>
      </c>
      <c r="AD56" s="16">
        <f t="shared" si="59"/>
        <v>32023500.793170463</v>
      </c>
      <c r="AE56" s="16">
        <f t="shared" si="60"/>
        <v>0</v>
      </c>
      <c r="AF56" s="16">
        <f t="shared" si="76"/>
        <v>0</v>
      </c>
      <c r="AG56" s="16"/>
      <c r="AH56" s="32">
        <f>IFERROR(INDEX('US Food'!$R$11:$R$197,MATCH('Calculations - US Food'!D56,'US Food'!$N$11:$N$197,0)),"")</f>
        <v>4.7974680086504806</v>
      </c>
      <c r="AI56" s="23">
        <f t="shared" si="77"/>
        <v>0</v>
      </c>
      <c r="AJ56" s="23">
        <f t="shared" si="78"/>
        <v>0</v>
      </c>
      <c r="AK56" s="9">
        <f t="shared" si="61"/>
        <v>0</v>
      </c>
      <c r="AL56" s="4">
        <f t="shared" si="62"/>
        <v>31295077.771499999</v>
      </c>
      <c r="AM56" s="4"/>
      <c r="AN56" s="4"/>
      <c r="AO56" s="4"/>
      <c r="AP56" s="4"/>
      <c r="AQ56" s="4"/>
      <c r="AR56" s="20">
        <f t="shared" si="63"/>
        <v>244153385.53600451</v>
      </c>
      <c r="AS56" s="13">
        <f t="shared" si="79"/>
        <v>8.7063061536070435E-2</v>
      </c>
      <c r="AT56" s="13">
        <f t="shared" si="80"/>
        <v>8.7063061536070477E-2</v>
      </c>
      <c r="AU56" s="13">
        <f t="shared" si="64"/>
        <v>1.9803811822320383E-3</v>
      </c>
      <c r="AV56" s="16">
        <f t="shared" si="81"/>
        <v>153631720.58022866</v>
      </c>
      <c r="AW56" s="16">
        <f t="shared" si="65"/>
        <v>32023500.793170478</v>
      </c>
      <c r="AX56" s="16">
        <f t="shared" si="66"/>
        <v>0</v>
      </c>
      <c r="AY56" s="16">
        <f t="shared" si="82"/>
        <v>0</v>
      </c>
      <c r="AZ56" s="13">
        <f t="shared" si="83"/>
        <v>0.14464344588693911</v>
      </c>
      <c r="BA56" s="10">
        <f t="shared" si="84"/>
        <v>32111983.339953281</v>
      </c>
      <c r="BB56" s="9">
        <f t="shared" si="85"/>
        <v>6.2732493889971194E-2</v>
      </c>
      <c r="BC56" s="13">
        <f t="shared" si="86"/>
        <v>0.1868944629249881</v>
      </c>
      <c r="BD56" s="10">
        <f t="shared" si="87"/>
        <v>153631720.58022866</v>
      </c>
      <c r="BE56" s="13">
        <f t="shared" si="88"/>
        <v>8.7063061536070421E-2</v>
      </c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</row>
    <row r="57" spans="2:70" x14ac:dyDescent="0.3">
      <c r="B57" s="96" t="str">
        <f t="shared" si="67"/>
        <v>US FOODHELLMANNS BEST FOODS</v>
      </c>
      <c r="C57" s="96" t="str">
        <f t="shared" si="68"/>
        <v>US FOODHELLMANNS BEST FOODSMAYO</v>
      </c>
      <c r="D57" s="96" t="str">
        <f t="shared" si="69"/>
        <v>US FOODHELLMANNS BEST FOODSMAYOOTHER</v>
      </c>
      <c r="E57" s="3" t="s">
        <v>104</v>
      </c>
      <c r="F57" s="3" t="s">
        <v>106</v>
      </c>
      <c r="G57" s="3" t="s">
        <v>113</v>
      </c>
      <c r="H57" s="3" t="s">
        <v>115</v>
      </c>
      <c r="I57" s="20">
        <f>IFERROR(INDEX('Input - US Food'!G$2:G$200,MATCH('Calculations - US Food'!$D57,'Input - US Food'!$B$2:$B$200,0)),"")</f>
        <v>20278904.737599999</v>
      </c>
      <c r="J57" s="20">
        <f>IFERROR(INDEX('Input - US Food'!H$2:H$200,MATCH('Calculations - US Food'!$D57,'Input - US Food'!$B$2:$B$200,0)),"")</f>
        <v>2340105.8816999998</v>
      </c>
      <c r="K57" s="21">
        <f>IFERROR(INDEX('Input - US Food'!I$2:I$200,MATCH('Calculations - US Food'!$D57,'Input - US Food'!$B$2:$B$200,0)),"")</f>
        <v>1.4237692284328101</v>
      </c>
      <c r="L57" s="21">
        <f>IFERROR(INDEX('Input - US Food'!J$2:J$200,MATCH('Calculations - US Food'!$D57,'Input - US Food'!$B$2:$B$200,0)),"")</f>
        <v>12.338108620427199</v>
      </c>
      <c r="M57" s="20">
        <f>IFERROR(INDEX('Input - US Food'!K$2:K$200,MATCH('Calculations - US Food'!$D57,'Input - US Food'!$B$2:$B$200,0)),"")</f>
        <v>72690326.951499999</v>
      </c>
      <c r="N57" s="20">
        <f>IFERROR(INDEX('Input - US Food'!L$2:L$200,MATCH('Calculations - US Food'!$D57,'Input - US Food'!$B$2:$B$200,0)),"")</f>
        <v>9778257.6960000005</v>
      </c>
      <c r="O57" s="21">
        <f t="shared" si="70"/>
        <v>8.66580649028929</v>
      </c>
      <c r="P57" s="21">
        <f t="shared" si="52"/>
        <v>7.433873110261298</v>
      </c>
      <c r="Q57" s="21">
        <f t="shared" si="71"/>
        <v>-11.798874633939576</v>
      </c>
      <c r="R57" s="9">
        <f t="shared" si="53"/>
        <v>1.1492050758695943E-2</v>
      </c>
      <c r="S57" s="9">
        <f t="shared" si="54"/>
        <v>4.5754253969054774E-3</v>
      </c>
      <c r="T57" s="22">
        <f>IFERROR(INDEX('US Food'!$S$11:$S$197,MATCH('Calculations - US Food'!$D57,'US Food'!$N$11:$N$197,0)),"")</f>
        <v>0</v>
      </c>
      <c r="U57" s="22">
        <f>IFERROR(INDEX('US Food'!$T$11:$T$197,MATCH('Calculations - US Food'!$D57,'US Food'!$N$11:$N$197,0)),"")</f>
        <v>0</v>
      </c>
      <c r="V57" s="16">
        <f t="shared" si="55"/>
        <v>0</v>
      </c>
      <c r="W57" s="16">
        <f t="shared" si="72"/>
        <v>0</v>
      </c>
      <c r="X57" s="16">
        <f t="shared" si="73"/>
        <v>0</v>
      </c>
      <c r="Y57" s="10">
        <f t="shared" si="56"/>
        <v>0</v>
      </c>
      <c r="Z57" s="10">
        <f t="shared" si="57"/>
        <v>24575692.644657582</v>
      </c>
      <c r="AA57" s="13">
        <f t="shared" si="74"/>
        <v>8.763487085448796E-3</v>
      </c>
      <c r="AB57" s="9">
        <f t="shared" si="58"/>
        <v>-2.7285636732471471E-3</v>
      </c>
      <c r="AC57" s="16">
        <f t="shared" si="75"/>
        <v>15464073.689417817</v>
      </c>
      <c r="AD57" s="16">
        <f t="shared" si="59"/>
        <v>1784493.3078930983</v>
      </c>
      <c r="AE57" s="16">
        <f t="shared" si="60"/>
        <v>0</v>
      </c>
      <c r="AF57" s="16">
        <f t="shared" si="76"/>
        <v>0</v>
      </c>
      <c r="AG57" s="16"/>
      <c r="AH57" s="32">
        <f>IFERROR(INDEX('US Food'!$R$11:$R$197,MATCH('Calculations - US Food'!D57,'US Food'!$N$11:$N$197,0)),"")</f>
        <v>8.66580649028929</v>
      </c>
      <c r="AI57" s="23">
        <f t="shared" si="77"/>
        <v>0</v>
      </c>
      <c r="AJ57" s="23">
        <f t="shared" si="78"/>
        <v>0</v>
      </c>
      <c r="AK57" s="9">
        <f t="shared" si="61"/>
        <v>0</v>
      </c>
      <c r="AL57" s="4">
        <f t="shared" si="62"/>
        <v>2340105.8816999998</v>
      </c>
      <c r="AM57" s="4"/>
      <c r="AN57" s="4"/>
      <c r="AO57" s="4"/>
      <c r="AP57" s="4"/>
      <c r="AQ57" s="4"/>
      <c r="AR57" s="20">
        <f t="shared" si="63"/>
        <v>24575692.644657582</v>
      </c>
      <c r="AS57" s="13">
        <f t="shared" si="79"/>
        <v>8.763487085448796E-3</v>
      </c>
      <c r="AT57" s="13">
        <f t="shared" si="80"/>
        <v>8.7634870854487994E-3</v>
      </c>
      <c r="AU57" s="13">
        <f t="shared" si="64"/>
        <v>-2.7285636732471436E-3</v>
      </c>
      <c r="AV57" s="16">
        <f t="shared" si="81"/>
        <v>15464073.689417824</v>
      </c>
      <c r="AW57" s="16">
        <f t="shared" si="65"/>
        <v>1784493.3078930993</v>
      </c>
      <c r="AX57" s="16">
        <f t="shared" si="66"/>
        <v>0</v>
      </c>
      <c r="AY57" s="16">
        <f t="shared" si="82"/>
        <v>0</v>
      </c>
      <c r="AZ57" s="13">
        <f t="shared" si="83"/>
        <v>8.0601825166749935E-3</v>
      </c>
      <c r="BA57" s="10">
        <f t="shared" si="84"/>
        <v>1789423.9528472237</v>
      </c>
      <c r="BB57" s="9">
        <f t="shared" si="85"/>
        <v>3.4957363424167713E-3</v>
      </c>
      <c r="BC57" s="13">
        <f t="shared" si="86"/>
        <v>1.8812194095729769E-2</v>
      </c>
      <c r="BD57" s="10">
        <f t="shared" si="87"/>
        <v>15464073.689417822</v>
      </c>
      <c r="BE57" s="13">
        <f t="shared" si="88"/>
        <v>8.7634870854487925E-3</v>
      </c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2:70" x14ac:dyDescent="0.3">
      <c r="B58" s="96" t="str">
        <f t="shared" si="67"/>
        <v>US FOODKRAFT</v>
      </c>
      <c r="C58" s="96" t="str">
        <f t="shared" si="68"/>
        <v>US FOODKRAFTMAYO</v>
      </c>
      <c r="D58" s="96" t="str">
        <f t="shared" si="69"/>
        <v>US FOODKRAFTMAYOJAR 15OZ</v>
      </c>
      <c r="E58" s="3" t="s">
        <v>104</v>
      </c>
      <c r="F58" s="3" t="s">
        <v>107</v>
      </c>
      <c r="G58" s="3" t="s">
        <v>113</v>
      </c>
      <c r="H58" s="3" t="s">
        <v>116</v>
      </c>
      <c r="I58" s="20">
        <f>IFERROR(INDEX('Input - US Food'!G$2:G$200,MATCH('Calculations - US Food'!$D58,'Input - US Food'!$B$2:$B$200,0)),"")</f>
        <v>6020246.9265999999</v>
      </c>
      <c r="J58" s="20">
        <f>IFERROR(INDEX('Input - US Food'!H$2:H$200,MATCH('Calculations - US Food'!$D58,'Input - US Food'!$B$2:$B$200,0)),"")</f>
        <v>1201032.3731</v>
      </c>
      <c r="K58" s="21">
        <f>IFERROR(INDEX('Input - US Food'!I$2:I$200,MATCH('Calculations - US Food'!$D58,'Input - US Food'!$B$2:$B$200,0)),"")</f>
        <v>1.9636771887928499</v>
      </c>
      <c r="L58" s="21">
        <f>IFERROR(INDEX('Input - US Food'!J$2:J$200,MATCH('Calculations - US Food'!$D58,'Input - US Food'!$B$2:$B$200,0)),"")</f>
        <v>9.8430498839521192</v>
      </c>
      <c r="M58" s="20">
        <f>IFERROR(INDEX('Input - US Food'!K$2:K$200,MATCH('Calculations - US Food'!$D58,'Input - US Food'!$B$2:$B$200,0)),"")</f>
        <v>19972468.993000001</v>
      </c>
      <c r="N58" s="20">
        <f>IFERROR(INDEX('Input - US Food'!L$2:L$200,MATCH('Calculations - US Food'!$D58,'Input - US Food'!$B$2:$B$200,0)),"")</f>
        <v>4546595.6005999995</v>
      </c>
      <c r="O58" s="21">
        <f t="shared" si="70"/>
        <v>5.0125600786771995</v>
      </c>
      <c r="P58" s="21">
        <f t="shared" si="52"/>
        <v>4.3928404343602274</v>
      </c>
      <c r="Q58" s="21">
        <f t="shared" si="71"/>
        <v>-5.1884594324197284</v>
      </c>
      <c r="R58" s="9">
        <f t="shared" si="53"/>
        <v>3.4116725807233346E-3</v>
      </c>
      <c r="S58" s="9">
        <f t="shared" si="54"/>
        <v>2.348284351302648E-3</v>
      </c>
      <c r="T58" s="22">
        <f>IFERROR(INDEX('US Food'!$S$11:$S$197,MATCH('Calculations - US Food'!$D58,'US Food'!$N$11:$N$197,0)),"")</f>
        <v>0.8</v>
      </c>
      <c r="U58" s="22">
        <f>IFERROR(INDEX('US Food'!$T$11:$T$197,MATCH('Calculations - US Food'!$D58,'US Food'!$N$11:$N$197,0)),"")</f>
        <v>0.3</v>
      </c>
      <c r="V58" s="16">
        <f t="shared" si="55"/>
        <v>4816197.5412800005</v>
      </c>
      <c r="W58" s="16">
        <f t="shared" si="72"/>
        <v>1444859.262384</v>
      </c>
      <c r="X58" s="16">
        <f t="shared" si="73"/>
        <v>3371338.2788960002</v>
      </c>
      <c r="Y58" s="10">
        <f t="shared" si="56"/>
        <v>2.8070336440592323</v>
      </c>
      <c r="Z58" s="10">
        <f t="shared" si="57"/>
        <v>8921034.2436323464</v>
      </c>
      <c r="AA58" s="13">
        <f t="shared" si="74"/>
        <v>3.1811664278733427E-3</v>
      </c>
      <c r="AB58" s="9">
        <f t="shared" si="58"/>
        <v>-2.3050615284999189E-4</v>
      </c>
      <c r="AC58" s="16">
        <f t="shared" si="75"/>
        <v>5613495.1280545089</v>
      </c>
      <c r="AD58" s="16">
        <f t="shared" si="59"/>
        <v>1119885.8547219436</v>
      </c>
      <c r="AE58" s="16">
        <f t="shared" si="60"/>
        <v>4490796.1024436075</v>
      </c>
      <c r="AF58" s="16">
        <f t="shared" si="76"/>
        <v>1347238.8307330823</v>
      </c>
      <c r="AG58" s="16"/>
      <c r="AH58" s="32">
        <f>IFERROR(INDEX('US Food'!$R$11:$R$197,MATCH('Calculations - US Food'!D58,'US Food'!$N$11:$N$197,0)),"")</f>
        <v>5.0125600786771995</v>
      </c>
      <c r="AI58" s="23">
        <f t="shared" si="77"/>
        <v>0.8</v>
      </c>
      <c r="AJ58" s="23">
        <f t="shared" si="78"/>
        <v>0.3</v>
      </c>
      <c r="AK58" s="9">
        <f t="shared" si="61"/>
        <v>0</v>
      </c>
      <c r="AL58" s="4">
        <f t="shared" si="62"/>
        <v>1201032.3731</v>
      </c>
      <c r="AM58" s="4"/>
      <c r="AN58" s="4"/>
      <c r="AO58" s="4"/>
      <c r="AP58" s="4"/>
      <c r="AQ58" s="4"/>
      <c r="AR58" s="20">
        <f t="shared" si="63"/>
        <v>8921034.2436323464</v>
      </c>
      <c r="AS58" s="13">
        <f t="shared" si="79"/>
        <v>3.1811664278733427E-3</v>
      </c>
      <c r="AT58" s="13">
        <f t="shared" si="80"/>
        <v>3.181166427873344E-3</v>
      </c>
      <c r="AU58" s="13">
        <f t="shared" si="64"/>
        <v>-2.3050615284999059E-4</v>
      </c>
      <c r="AV58" s="16">
        <f t="shared" si="81"/>
        <v>5613495.1280545108</v>
      </c>
      <c r="AW58" s="16">
        <f t="shared" si="65"/>
        <v>1119885.8547219441</v>
      </c>
      <c r="AX58" s="16">
        <f t="shared" si="66"/>
        <v>4490796.1024436085</v>
      </c>
      <c r="AY58" s="16">
        <f t="shared" si="82"/>
        <v>1347238.8307330818</v>
      </c>
      <c r="AZ58" s="13">
        <f t="shared" si="83"/>
        <v>2.3244626684859288E-2</v>
      </c>
      <c r="BA58" s="10">
        <f t="shared" si="84"/>
        <v>1125371.7079011332</v>
      </c>
      <c r="BB58" s="9">
        <f t="shared" si="85"/>
        <v>2.1984744150641742E-3</v>
      </c>
      <c r="BC58" s="13">
        <f t="shared" si="86"/>
        <v>3.4202555635129785E-2</v>
      </c>
      <c r="BD58" s="10">
        <f t="shared" si="87"/>
        <v>5613495.1280545089</v>
      </c>
      <c r="BE58" s="13">
        <f t="shared" si="88"/>
        <v>3.1811664278733405E-3</v>
      </c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</row>
    <row r="59" spans="2:70" x14ac:dyDescent="0.3">
      <c r="B59" s="96" t="str">
        <f t="shared" si="67"/>
        <v>US FOODKRAFT</v>
      </c>
      <c r="C59" s="96" t="str">
        <f t="shared" si="68"/>
        <v>US FOODKRAFTMAYO</v>
      </c>
      <c r="D59" s="96" t="str">
        <f t="shared" si="69"/>
        <v>US FOODKRAFTMAYOJAR 30OZ</v>
      </c>
      <c r="E59" s="3" t="s">
        <v>104</v>
      </c>
      <c r="F59" s="3" t="s">
        <v>107</v>
      </c>
      <c r="G59" s="3" t="s">
        <v>113</v>
      </c>
      <c r="H59" s="3" t="s">
        <v>118</v>
      </c>
      <c r="I59" s="20">
        <f>IFERROR(INDEX('Input - US Food'!G$2:G$200,MATCH('Calculations - US Food'!$D59,'Input - US Food'!$B$2:$B$200,0)),"")</f>
        <v>87433267.873999998</v>
      </c>
      <c r="J59" s="20">
        <f>IFERROR(INDEX('Input - US Food'!H$2:H$200,MATCH('Calculations - US Food'!$D59,'Input - US Food'!$B$2:$B$200,0)),"")</f>
        <v>32408283.108399998</v>
      </c>
      <c r="K59" s="21">
        <f>IFERROR(INDEX('Input - US Food'!I$2:I$200,MATCH('Calculations - US Food'!$D59,'Input - US Food'!$B$2:$B$200,0)),"")</f>
        <v>1.97247245713013</v>
      </c>
      <c r="L59" s="21">
        <f>IFERROR(INDEX('Input - US Food'!J$2:J$200,MATCH('Calculations - US Food'!$D59,'Input - US Food'!$B$2:$B$200,0)),"")</f>
        <v>5.3214701976497398</v>
      </c>
      <c r="M59" s="20">
        <f>IFERROR(INDEX('Input - US Food'!K$2:K$200,MATCH('Calculations - US Food'!$D59,'Input - US Food'!$B$2:$B$200,0)),"")</f>
        <v>333606272.93300003</v>
      </c>
      <c r="N59" s="20">
        <f>IFERROR(INDEX('Input - US Food'!L$2:L$200,MATCH('Calculations - US Food'!$D59,'Input - US Food'!$B$2:$B$200,0)),"")</f>
        <v>146058358.97530001</v>
      </c>
      <c r="O59" s="21">
        <f t="shared" si="70"/>
        <v>2.6978679364639935</v>
      </c>
      <c r="P59" s="21">
        <f t="shared" si="52"/>
        <v>2.2840614893490367</v>
      </c>
      <c r="Q59" s="21">
        <f t="shared" si="71"/>
        <v>-5.141533791872634</v>
      </c>
      <c r="R59" s="9">
        <f t="shared" si="53"/>
        <v>4.9548413260389106E-2</v>
      </c>
      <c r="S59" s="9">
        <f t="shared" si="54"/>
        <v>6.3365372808069267E-2</v>
      </c>
      <c r="T59" s="22">
        <f>IFERROR(INDEX('US Food'!$S$11:$S$197,MATCH('Calculations - US Food'!$D59,'US Food'!$N$11:$N$197,0)),"")</f>
        <v>0.8</v>
      </c>
      <c r="U59" s="22">
        <f>IFERROR(INDEX('US Food'!$T$11:$T$197,MATCH('Calculations - US Food'!$D59,'US Food'!$N$11:$N$197,0)),"")</f>
        <v>0.3</v>
      </c>
      <c r="V59" s="16">
        <f t="shared" si="55"/>
        <v>69946614.299199998</v>
      </c>
      <c r="W59" s="16">
        <f t="shared" si="72"/>
        <v>20983984.289759997</v>
      </c>
      <c r="X59" s="16">
        <f t="shared" si="73"/>
        <v>48962630.009440005</v>
      </c>
      <c r="Y59" s="10">
        <f t="shared" si="56"/>
        <v>1.5108060444198366</v>
      </c>
      <c r="Z59" s="10">
        <f t="shared" si="57"/>
        <v>129946490.29617302</v>
      </c>
      <c r="AA59" s="13">
        <f t="shared" si="74"/>
        <v>4.6337834948365769E-2</v>
      </c>
      <c r="AB59" s="9">
        <f t="shared" si="58"/>
        <v>-3.2105783120233364E-3</v>
      </c>
      <c r="AC59" s="16">
        <f t="shared" si="75"/>
        <v>81767872.453355864</v>
      </c>
      <c r="AD59" s="16">
        <f t="shared" si="59"/>
        <v>30308330.273766596</v>
      </c>
      <c r="AE59" s="16">
        <f t="shared" si="60"/>
        <v>65414297.962684691</v>
      </c>
      <c r="AF59" s="16">
        <f t="shared" si="76"/>
        <v>19624289.388805397</v>
      </c>
      <c r="AG59" s="16"/>
      <c r="AH59" s="32">
        <f>IFERROR(INDEX('US Food'!$R$11:$R$197,MATCH('Calculations - US Food'!D59,'US Food'!$N$11:$N$197,0)),"")</f>
        <v>2.6978679364639935</v>
      </c>
      <c r="AI59" s="23">
        <f t="shared" si="77"/>
        <v>0.8</v>
      </c>
      <c r="AJ59" s="23">
        <f t="shared" si="78"/>
        <v>0.3</v>
      </c>
      <c r="AK59" s="9">
        <f t="shared" si="61"/>
        <v>0</v>
      </c>
      <c r="AL59" s="4">
        <f t="shared" si="62"/>
        <v>32408283.108399998</v>
      </c>
      <c r="AM59" s="4"/>
      <c r="AN59" s="4"/>
      <c r="AO59" s="4"/>
      <c r="AP59" s="4"/>
      <c r="AQ59" s="4"/>
      <c r="AR59" s="20">
        <f t="shared" si="63"/>
        <v>129946490.29617302</v>
      </c>
      <c r="AS59" s="13">
        <f t="shared" si="79"/>
        <v>4.6337834948365769E-2</v>
      </c>
      <c r="AT59" s="13">
        <f t="shared" si="80"/>
        <v>4.633783494836579E-2</v>
      </c>
      <c r="AU59" s="13">
        <f t="shared" si="64"/>
        <v>-3.2105783120233156E-3</v>
      </c>
      <c r="AV59" s="16">
        <f t="shared" si="81"/>
        <v>81767872.453355908</v>
      </c>
      <c r="AW59" s="16">
        <f t="shared" si="65"/>
        <v>30308330.273766611</v>
      </c>
      <c r="AX59" s="16">
        <f t="shared" si="66"/>
        <v>65414297.962684728</v>
      </c>
      <c r="AY59" s="16">
        <f t="shared" si="82"/>
        <v>19624289.388805412</v>
      </c>
      <c r="AZ59" s="13">
        <f t="shared" si="83"/>
        <v>0.62908716962948452</v>
      </c>
      <c r="BA59" s="10">
        <f t="shared" si="84"/>
        <v>30456798.128135156</v>
      </c>
      <c r="BB59" s="9">
        <f t="shared" si="85"/>
        <v>5.9499000178669895E-2</v>
      </c>
      <c r="BC59" s="13">
        <f t="shared" si="86"/>
        <v>0.4982047980722758</v>
      </c>
      <c r="BD59" s="10">
        <f t="shared" si="87"/>
        <v>81767872.453355879</v>
      </c>
      <c r="BE59" s="13">
        <f t="shared" si="88"/>
        <v>4.6337834948365741E-2</v>
      </c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</row>
    <row r="60" spans="2:70" x14ac:dyDescent="0.3">
      <c r="B60" s="96" t="str">
        <f t="shared" si="67"/>
        <v>US FOODKRAFT</v>
      </c>
      <c r="C60" s="96" t="str">
        <f t="shared" si="68"/>
        <v>US FOODKRAFTMAYO</v>
      </c>
      <c r="D60" s="96" t="str">
        <f t="shared" si="69"/>
        <v>US FOODKRAFTMAYOJAR 48OZ</v>
      </c>
      <c r="E60" s="3" t="s">
        <v>104</v>
      </c>
      <c r="F60" s="3" t="s">
        <v>107</v>
      </c>
      <c r="G60" s="3" t="s">
        <v>113</v>
      </c>
      <c r="H60" s="3" t="s">
        <v>121</v>
      </c>
      <c r="I60" s="20">
        <f>IFERROR(INDEX('Input - US Food'!G$2:G$200,MATCH('Calculations - US Food'!$D60,'Input - US Food'!$B$2:$B$200,0)),"")</f>
        <v>1738730.291</v>
      </c>
      <c r="J60" s="20">
        <f>IFERROR(INDEX('Input - US Food'!H$2:H$200,MATCH('Calculations - US Food'!$D60,'Input - US Food'!$B$2:$B$200,0)),"")</f>
        <v>633968.95739999996</v>
      </c>
      <c r="K60" s="21">
        <f>IFERROR(INDEX('Input - US Food'!I$2:I$200,MATCH('Calculations - US Food'!$D60,'Input - US Food'!$B$2:$B$200,0)),"")</f>
        <v>1.90662568090187</v>
      </c>
      <c r="L60" s="21">
        <f>IFERROR(INDEX('Input - US Food'!J$2:J$200,MATCH('Calculations - US Food'!$D60,'Input - US Food'!$B$2:$B$200,0)),"")</f>
        <v>5.2291327300603703</v>
      </c>
      <c r="M60" s="20">
        <f>IFERROR(INDEX('Input - US Food'!K$2:K$200,MATCH('Calculations - US Food'!$D60,'Input - US Food'!$B$2:$B$200,0)),"")</f>
        <v>7266452.5203</v>
      </c>
      <c r="N60" s="20">
        <f>IFERROR(INDEX('Input - US Food'!L$2:L$200,MATCH('Calculations - US Food'!$D60,'Input - US Food'!$B$2:$B$200,0)),"")</f>
        <v>3425478.0669999998</v>
      </c>
      <c r="O60" s="21">
        <f t="shared" si="70"/>
        <v>2.7426110864020674</v>
      </c>
      <c r="P60" s="21">
        <f t="shared" si="52"/>
        <v>2.1212958828441391</v>
      </c>
      <c r="Q60" s="21">
        <f t="shared" si="71"/>
        <v>-5.5149551852824255</v>
      </c>
      <c r="R60" s="9">
        <f t="shared" si="53"/>
        <v>9.8533806526569724E-4</v>
      </c>
      <c r="S60" s="9">
        <f t="shared" si="54"/>
        <v>1.2395497533771473E-3</v>
      </c>
      <c r="T60" s="22">
        <f>IFERROR(INDEX('US Food'!$S$11:$S$197,MATCH('Calculations - US Food'!$D60,'US Food'!$N$11:$N$197,0)),"")</f>
        <v>0.8</v>
      </c>
      <c r="U60" s="22">
        <f>IFERROR(INDEX('US Food'!$T$11:$T$197,MATCH('Calculations - US Food'!$D60,'US Food'!$N$11:$N$197,0)),"")</f>
        <v>0.3</v>
      </c>
      <c r="V60" s="16">
        <f t="shared" si="55"/>
        <v>1390984.2328000001</v>
      </c>
      <c r="W60" s="16">
        <f t="shared" si="72"/>
        <v>417295.26984000002</v>
      </c>
      <c r="X60" s="16">
        <f t="shared" si="73"/>
        <v>973688.96296000015</v>
      </c>
      <c r="Y60" s="10">
        <f t="shared" si="56"/>
        <v>1.5358622083851581</v>
      </c>
      <c r="Z60" s="10">
        <f t="shared" si="57"/>
        <v>2526919.0579912942</v>
      </c>
      <c r="AA60" s="13">
        <f t="shared" si="74"/>
        <v>9.0107826667888778E-4</v>
      </c>
      <c r="AB60" s="9">
        <f t="shared" si="58"/>
        <v>-8.4259798586809468E-5</v>
      </c>
      <c r="AC60" s="16">
        <f t="shared" si="75"/>
        <v>1590045.2160182071</v>
      </c>
      <c r="AD60" s="16">
        <f t="shared" si="59"/>
        <v>579755.99380520626</v>
      </c>
      <c r="AE60" s="16">
        <f t="shared" si="60"/>
        <v>1272036.1728145657</v>
      </c>
      <c r="AF60" s="16">
        <f t="shared" si="76"/>
        <v>381610.85184436955</v>
      </c>
      <c r="AG60" s="16"/>
      <c r="AH60" s="32">
        <f>IFERROR(INDEX('US Food'!$R$11:$R$197,MATCH('Calculations - US Food'!D60,'US Food'!$N$11:$N$197,0)),"")</f>
        <v>2.7426110864020674</v>
      </c>
      <c r="AI60" s="23">
        <f t="shared" si="77"/>
        <v>0.8</v>
      </c>
      <c r="AJ60" s="23">
        <f t="shared" si="78"/>
        <v>0.3</v>
      </c>
      <c r="AK60" s="9">
        <f t="shared" si="61"/>
        <v>0</v>
      </c>
      <c r="AL60" s="4">
        <f t="shared" si="62"/>
        <v>633968.95739999996</v>
      </c>
      <c r="AM60" s="4"/>
      <c r="AN60" s="4"/>
      <c r="AO60" s="4"/>
      <c r="AP60" s="4"/>
      <c r="AQ60" s="4"/>
      <c r="AR60" s="20">
        <f t="shared" si="63"/>
        <v>2526919.0579912942</v>
      </c>
      <c r="AS60" s="13">
        <f t="shared" si="79"/>
        <v>9.0107826667888778E-4</v>
      </c>
      <c r="AT60" s="13">
        <f t="shared" si="80"/>
        <v>9.0107826667888821E-4</v>
      </c>
      <c r="AU60" s="13">
        <f t="shared" si="64"/>
        <v>-8.4259798586809034E-5</v>
      </c>
      <c r="AV60" s="16">
        <f t="shared" si="81"/>
        <v>1590045.2160182081</v>
      </c>
      <c r="AW60" s="16">
        <f t="shared" si="65"/>
        <v>579755.99380520661</v>
      </c>
      <c r="AX60" s="16">
        <f t="shared" si="66"/>
        <v>1272036.1728145666</v>
      </c>
      <c r="AY60" s="16">
        <f t="shared" si="82"/>
        <v>381610.85184437002</v>
      </c>
      <c r="AZ60" s="13">
        <f t="shared" si="83"/>
        <v>1.2033558230501647E-2</v>
      </c>
      <c r="BA60" s="10">
        <f t="shared" si="84"/>
        <v>582595.97633410455</v>
      </c>
      <c r="BB60" s="9">
        <f t="shared" si="85"/>
        <v>1.1381327069956743E-3</v>
      </c>
      <c r="BC60" s="13">
        <f t="shared" si="86"/>
        <v>9.6880123207807329E-3</v>
      </c>
      <c r="BD60" s="10">
        <f t="shared" si="87"/>
        <v>1590045.2160182076</v>
      </c>
      <c r="BE60" s="13">
        <f t="shared" si="88"/>
        <v>9.0107826667888734E-4</v>
      </c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2:70" x14ac:dyDescent="0.3">
      <c r="B61" s="96" t="str">
        <f t="shared" si="67"/>
        <v>US FOODKRAFT</v>
      </c>
      <c r="C61" s="96" t="str">
        <f t="shared" si="68"/>
        <v>US FOODKRAFTMAYO</v>
      </c>
      <c r="D61" s="96" t="str">
        <f t="shared" si="69"/>
        <v>US FOODKRAFTMAYOSQUEEZY 12OZ</v>
      </c>
      <c r="E61" s="3" t="s">
        <v>104</v>
      </c>
      <c r="F61" s="3" t="s">
        <v>107</v>
      </c>
      <c r="G61" s="3" t="s">
        <v>113</v>
      </c>
      <c r="H61" s="3" t="s">
        <v>117</v>
      </c>
      <c r="I61" s="20">
        <f>IFERROR(INDEX('Input - US Food'!G$2:G$200,MATCH('Calculations - US Food'!$D61,'Input - US Food'!$B$2:$B$200,0)),"")</f>
        <v>23707294.3871</v>
      </c>
      <c r="J61" s="20">
        <f>IFERROR(INDEX('Input - US Food'!H$2:H$200,MATCH('Calculations - US Food'!$D61,'Input - US Food'!$B$2:$B$200,0)),"")</f>
        <v>3947735.8846</v>
      </c>
      <c r="K61" s="21">
        <f>IFERROR(INDEX('Input - US Food'!I$2:I$200,MATCH('Calculations - US Food'!$D61,'Input - US Food'!$B$2:$B$200,0)),"")</f>
        <v>2.16461804437778</v>
      </c>
      <c r="L61" s="21">
        <f>IFERROR(INDEX('Input - US Food'!J$2:J$200,MATCH('Calculations - US Food'!$D61,'Input - US Food'!$B$2:$B$200,0)),"")</f>
        <v>12.9991566593601</v>
      </c>
      <c r="M61" s="20">
        <f>IFERROR(INDEX('Input - US Food'!K$2:K$200,MATCH('Calculations - US Food'!$D61,'Input - US Food'!$B$2:$B$200,0)),"")</f>
        <v>93952528.655900002</v>
      </c>
      <c r="N61" s="20">
        <f>IFERROR(INDEX('Input - US Food'!L$2:L$200,MATCH('Calculations - US Food'!$D61,'Input - US Food'!$B$2:$B$200,0)),"")</f>
        <v>18317303.869100001</v>
      </c>
      <c r="O61" s="21">
        <f t="shared" si="70"/>
        <v>6.0052888744612956</v>
      </c>
      <c r="P61" s="21">
        <f t="shared" si="52"/>
        <v>5.1291679893126245</v>
      </c>
      <c r="Q61" s="21">
        <f t="shared" si="71"/>
        <v>-4.2932530748064375</v>
      </c>
      <c r="R61" s="9">
        <f t="shared" si="53"/>
        <v>1.3434918402804452E-2</v>
      </c>
      <c r="S61" s="9">
        <f t="shared" si="54"/>
        <v>7.7186981870889385E-3</v>
      </c>
      <c r="T61" s="22">
        <f>IFERROR(INDEX('US Food'!$S$11:$S$197,MATCH('Calculations - US Food'!$D61,'US Food'!$N$11:$N$197,0)),"")</f>
        <v>0.8</v>
      </c>
      <c r="U61" s="22">
        <f>IFERROR(INDEX('US Food'!$T$11:$T$197,MATCH('Calculations - US Food'!$D61,'US Food'!$N$11:$N$197,0)),"")</f>
        <v>0.3</v>
      </c>
      <c r="V61" s="16">
        <f t="shared" si="55"/>
        <v>18965835.509679999</v>
      </c>
      <c r="W61" s="16">
        <f t="shared" si="72"/>
        <v>5689750.6529039992</v>
      </c>
      <c r="X61" s="16">
        <f t="shared" si="73"/>
        <v>13276084.856775999</v>
      </c>
      <c r="Y61" s="10">
        <f t="shared" si="56"/>
        <v>3.3629617696983249</v>
      </c>
      <c r="Z61" s="10">
        <f t="shared" si="57"/>
        <v>37512265.800396465</v>
      </c>
      <c r="AA61" s="13">
        <f t="shared" si="74"/>
        <v>1.3376561207895809E-2</v>
      </c>
      <c r="AB61" s="9">
        <f t="shared" si="58"/>
        <v>-5.8357194908643245E-5</v>
      </c>
      <c r="AC61" s="16">
        <f t="shared" si="75"/>
        <v>23604317.118625052</v>
      </c>
      <c r="AD61" s="16">
        <f t="shared" si="59"/>
        <v>3930588.1219148641</v>
      </c>
      <c r="AE61" s="16">
        <f t="shared" si="60"/>
        <v>18883453.694900043</v>
      </c>
      <c r="AF61" s="16">
        <f t="shared" si="76"/>
        <v>5665036.1084700171</v>
      </c>
      <c r="AG61" s="16"/>
      <c r="AH61" s="32">
        <f>IFERROR(INDEX('US Food'!$R$11:$R$197,MATCH('Calculations - US Food'!D61,'US Food'!$N$11:$N$197,0)),"")</f>
        <v>6.0052888744612956</v>
      </c>
      <c r="AI61" s="23">
        <f t="shared" si="77"/>
        <v>0.8</v>
      </c>
      <c r="AJ61" s="23">
        <f t="shared" si="78"/>
        <v>0.3</v>
      </c>
      <c r="AK61" s="9">
        <f t="shared" si="61"/>
        <v>0</v>
      </c>
      <c r="AL61" s="4">
        <f t="shared" si="62"/>
        <v>3947735.8846</v>
      </c>
      <c r="AM61" s="4"/>
      <c r="AN61" s="4"/>
      <c r="AO61" s="4"/>
      <c r="AP61" s="4"/>
      <c r="AQ61" s="4"/>
      <c r="AR61" s="20">
        <f t="shared" si="63"/>
        <v>37512265.800396465</v>
      </c>
      <c r="AS61" s="13">
        <f t="shared" si="79"/>
        <v>1.3376561207895809E-2</v>
      </c>
      <c r="AT61" s="13">
        <f t="shared" si="80"/>
        <v>1.3376561207895814E-2</v>
      </c>
      <c r="AU61" s="13">
        <f t="shared" si="64"/>
        <v>-5.8357194908638041E-5</v>
      </c>
      <c r="AV61" s="16">
        <f t="shared" si="81"/>
        <v>23604317.118625063</v>
      </c>
      <c r="AW61" s="16">
        <f t="shared" si="65"/>
        <v>3930588.1219148659</v>
      </c>
      <c r="AX61" s="16">
        <f t="shared" si="66"/>
        <v>18883453.694900051</v>
      </c>
      <c r="AY61" s="16">
        <f t="shared" si="82"/>
        <v>5665036.1084700171</v>
      </c>
      <c r="AZ61" s="13">
        <f t="shared" si="83"/>
        <v>8.1584255360148489E-2</v>
      </c>
      <c r="BA61" s="10">
        <f t="shared" si="84"/>
        <v>3949842.4318552688</v>
      </c>
      <c r="BB61" s="9">
        <f t="shared" si="85"/>
        <v>7.7162305298788848E-3</v>
      </c>
      <c r="BC61" s="13">
        <f t="shared" si="86"/>
        <v>0.14381912713244283</v>
      </c>
      <c r="BD61" s="10">
        <f t="shared" si="87"/>
        <v>23604317.118625056</v>
      </c>
      <c r="BE61" s="13">
        <f t="shared" si="88"/>
        <v>1.33765612078958E-2</v>
      </c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</row>
    <row r="62" spans="2:70" x14ac:dyDescent="0.3">
      <c r="B62" s="96" t="str">
        <f t="shared" si="67"/>
        <v>US FOODKRAFT</v>
      </c>
      <c r="C62" s="96" t="str">
        <f t="shared" si="68"/>
        <v>US FOODKRAFTMAYO</v>
      </c>
      <c r="D62" s="96" t="str">
        <f t="shared" si="69"/>
        <v>US FOODKRAFTMAYOSQUEEZY 18 TO 22OZ</v>
      </c>
      <c r="E62" s="3" t="s">
        <v>104</v>
      </c>
      <c r="F62" s="3" t="s">
        <v>107</v>
      </c>
      <c r="G62" s="3" t="s">
        <v>113</v>
      </c>
      <c r="H62" s="3" t="s">
        <v>120</v>
      </c>
      <c r="I62" s="20">
        <f>IFERROR(INDEX('Input - US Food'!G$2:G$200,MATCH('Calculations - US Food'!$D62,'Input - US Food'!$B$2:$B$200,0)),"")</f>
        <v>37520649.321400002</v>
      </c>
      <c r="J62" s="20">
        <f>IFERROR(INDEX('Input - US Food'!H$2:H$200,MATCH('Calculations - US Food'!$D62,'Input - US Food'!$B$2:$B$200,0)),"")</f>
        <v>9351138.8929999992</v>
      </c>
      <c r="K62" s="21">
        <f>IFERROR(INDEX('Input - US Food'!I$2:I$200,MATCH('Calculations - US Food'!$D62,'Input - US Food'!$B$2:$B$200,0)),"")</f>
        <v>2.16790353134021</v>
      </c>
      <c r="L62" s="21">
        <f>IFERROR(INDEX('Input - US Food'!J$2:J$200,MATCH('Calculations - US Food'!$D62,'Input - US Food'!$B$2:$B$200,0)),"")</f>
        <v>8.6985284993393197</v>
      </c>
      <c r="M62" s="20">
        <f>IFERROR(INDEX('Input - US Food'!K$2:K$200,MATCH('Calculations - US Food'!$D62,'Input - US Food'!$B$2:$B$200,0)),"")</f>
        <v>155863367.79710001</v>
      </c>
      <c r="N62" s="20">
        <f>IFERROR(INDEX('Input - US Food'!L$2:L$200,MATCH('Calculations - US Food'!$D62,'Input - US Food'!$B$2:$B$200,0)),"")</f>
        <v>44828298.2073</v>
      </c>
      <c r="O62" s="21">
        <f t="shared" si="70"/>
        <v>4.0124149315637805</v>
      </c>
      <c r="P62" s="21">
        <f t="shared" si="52"/>
        <v>3.4768968270073359</v>
      </c>
      <c r="Q62" s="21">
        <f t="shared" si="71"/>
        <v>-4.2811755130685425</v>
      </c>
      <c r="R62" s="9">
        <f t="shared" si="53"/>
        <v>2.1262943540598257E-2</v>
      </c>
      <c r="S62" s="9">
        <f t="shared" si="54"/>
        <v>1.8283548071739701E-2</v>
      </c>
      <c r="T62" s="22">
        <f>IFERROR(INDEX('US Food'!$S$11:$S$197,MATCH('Calculations - US Food'!$D62,'US Food'!$N$11:$N$197,0)),"")</f>
        <v>0.8</v>
      </c>
      <c r="U62" s="22">
        <f>IFERROR(INDEX('US Food'!$T$11:$T$197,MATCH('Calculations - US Food'!$D62,'US Food'!$N$11:$N$197,0)),"")</f>
        <v>0.3</v>
      </c>
      <c r="V62" s="16">
        <f t="shared" si="55"/>
        <v>30016519.457120001</v>
      </c>
      <c r="W62" s="16">
        <f t="shared" si="72"/>
        <v>9004955.8371360004</v>
      </c>
      <c r="X62" s="16">
        <f t="shared" si="73"/>
        <v>21011563.619984001</v>
      </c>
      <c r="Y62" s="10">
        <f t="shared" si="56"/>
        <v>2.2469523616757172</v>
      </c>
      <c r="Z62" s="10">
        <f t="shared" si="57"/>
        <v>59430898.741720416</v>
      </c>
      <c r="AA62" s="13">
        <f t="shared" si="74"/>
        <v>2.1192562957646752E-2</v>
      </c>
      <c r="AB62" s="9">
        <f t="shared" si="58"/>
        <v>-7.0380582951504872E-5</v>
      </c>
      <c r="AC62" s="16">
        <f t="shared" si="75"/>
        <v>37396455.54893773</v>
      </c>
      <c r="AD62" s="16">
        <f t="shared" si="59"/>
        <v>9320186.5177894272</v>
      </c>
      <c r="AE62" s="16">
        <f t="shared" si="60"/>
        <v>29917164.439150184</v>
      </c>
      <c r="AF62" s="16">
        <f t="shared" si="76"/>
        <v>8975149.3317450508</v>
      </c>
      <c r="AG62" s="16"/>
      <c r="AH62" s="32">
        <f>IFERROR(INDEX('US Food'!$R$11:$R$197,MATCH('Calculations - US Food'!D62,'US Food'!$N$11:$N$197,0)),"")</f>
        <v>4.0124149315637805</v>
      </c>
      <c r="AI62" s="23">
        <f t="shared" si="77"/>
        <v>0.8</v>
      </c>
      <c r="AJ62" s="23">
        <f t="shared" si="78"/>
        <v>0.3</v>
      </c>
      <c r="AK62" s="9">
        <f t="shared" si="61"/>
        <v>0</v>
      </c>
      <c r="AL62" s="4">
        <f t="shared" si="62"/>
        <v>9351138.8929999992</v>
      </c>
      <c r="AM62" s="4"/>
      <c r="AN62" s="4"/>
      <c r="AO62" s="4"/>
      <c r="AP62" s="4"/>
      <c r="AQ62" s="4"/>
      <c r="AR62" s="20">
        <f t="shared" si="63"/>
        <v>59430898.741720416</v>
      </c>
      <c r="AS62" s="13">
        <f t="shared" si="79"/>
        <v>2.1192562957646752E-2</v>
      </c>
      <c r="AT62" s="13">
        <f t="shared" si="80"/>
        <v>2.1192562957646762E-2</v>
      </c>
      <c r="AU62" s="13">
        <f t="shared" si="64"/>
        <v>-7.0380582951494464E-5</v>
      </c>
      <c r="AV62" s="16">
        <f t="shared" si="81"/>
        <v>37396455.548937753</v>
      </c>
      <c r="AW62" s="16">
        <f t="shared" si="65"/>
        <v>9320186.5177894328</v>
      </c>
      <c r="AX62" s="16">
        <f t="shared" si="66"/>
        <v>29917164.439150203</v>
      </c>
      <c r="AY62" s="16">
        <f t="shared" si="82"/>
        <v>8975149.3317450583</v>
      </c>
      <c r="AZ62" s="13">
        <f t="shared" si="83"/>
        <v>0.19345208739426797</v>
      </c>
      <c r="BA62" s="10">
        <f t="shared" si="84"/>
        <v>9365842.2197734043</v>
      </c>
      <c r="BB62" s="9">
        <f t="shared" si="85"/>
        <v>1.8296678645051394E-2</v>
      </c>
      <c r="BC62" s="13">
        <f t="shared" si="86"/>
        <v>0.22785347137416825</v>
      </c>
      <c r="BD62" s="10">
        <f t="shared" si="87"/>
        <v>37396455.548937738</v>
      </c>
      <c r="BE62" s="13">
        <f t="shared" si="88"/>
        <v>2.1192562957646741E-2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</row>
    <row r="63" spans="2:70" x14ac:dyDescent="0.3">
      <c r="B63" s="96" t="str">
        <f t="shared" si="67"/>
        <v>US FOODKRAFT</v>
      </c>
      <c r="C63" s="96" t="str">
        <f t="shared" si="68"/>
        <v>US FOODKRAFTMAYO</v>
      </c>
      <c r="D63" s="96" t="str">
        <f t="shared" si="69"/>
        <v>US FOODKRAFTMAYOOTHER</v>
      </c>
      <c r="E63" s="3" t="s">
        <v>104</v>
      </c>
      <c r="F63" s="3" t="s">
        <v>107</v>
      </c>
      <c r="G63" s="3" t="s">
        <v>113</v>
      </c>
      <c r="H63" s="3" t="s">
        <v>115</v>
      </c>
      <c r="I63" s="20">
        <f>IFERROR(INDEX('Input - US Food'!G$2:G$200,MATCH('Calculations - US Food'!$D63,'Input - US Food'!$B$2:$B$200,0)),"")</f>
        <v>1139037.9663</v>
      </c>
      <c r="J63" s="20">
        <f>IFERROR(INDEX('Input - US Food'!H$2:H$200,MATCH('Calculations - US Food'!$D63,'Input - US Food'!$B$2:$B$200,0)),"")</f>
        <v>508137.52549999999</v>
      </c>
      <c r="K63" s="21">
        <f>IFERROR(INDEX('Input - US Food'!I$2:I$200,MATCH('Calculations - US Food'!$D63,'Input - US Food'!$B$2:$B$200,0)),"")</f>
        <v>4.4307665921521897</v>
      </c>
      <c r="L63" s="21">
        <f>IFERROR(INDEX('Input - US Food'!J$2:J$200,MATCH('Calculations - US Food'!$D63,'Input - US Food'!$B$2:$B$200,0)),"")</f>
        <v>9.93197926744147</v>
      </c>
      <c r="M63" s="20">
        <f>IFERROR(INDEX('Input - US Food'!K$2:K$200,MATCH('Calculations - US Food'!$D63,'Input - US Food'!$B$2:$B$200,0)),"")</f>
        <v>4402517.1094000004</v>
      </c>
      <c r="N63" s="20">
        <f>IFERROR(INDEX('Input - US Food'!L$2:L$200,MATCH('Calculations - US Food'!$D63,'Input - US Food'!$B$2:$B$200,0)),"")</f>
        <v>2615008.2593</v>
      </c>
      <c r="O63" s="21">
        <f t="shared" si="70"/>
        <v>2.2415938779156352</v>
      </c>
      <c r="P63" s="21">
        <f t="shared" si="52"/>
        <v>1.6835576307428148</v>
      </c>
      <c r="Q63" s="21">
        <f t="shared" si="71"/>
        <v>-1.4574002240308044</v>
      </c>
      <c r="R63" s="9">
        <f t="shared" si="53"/>
        <v>6.4549255959227812E-4</v>
      </c>
      <c r="S63" s="9">
        <f t="shared" si="54"/>
        <v>9.9352142886988451E-4</v>
      </c>
      <c r="T63" s="22">
        <f>IFERROR(INDEX('US Food'!$S$11:$S$197,MATCH('Calculations - US Food'!$D63,'US Food'!$N$11:$N$197,0)),"")</f>
        <v>0.8</v>
      </c>
      <c r="U63" s="22">
        <f>IFERROR(INDEX('US Food'!$T$11:$T$197,MATCH('Calculations - US Food'!$D63,'US Food'!$N$11:$N$197,0)),"")</f>
        <v>0.3</v>
      </c>
      <c r="V63" s="16">
        <f t="shared" si="55"/>
        <v>911230.37303999998</v>
      </c>
      <c r="W63" s="16">
        <f t="shared" si="72"/>
        <v>273369.11191199999</v>
      </c>
      <c r="X63" s="16">
        <f t="shared" si="73"/>
        <v>637861.26112799998</v>
      </c>
      <c r="Y63" s="10">
        <f t="shared" si="56"/>
        <v>1.2552925716327556</v>
      </c>
      <c r="Z63" s="10">
        <f t="shared" si="57"/>
        <v>3092924.6672875057</v>
      </c>
      <c r="AA63" s="13">
        <f t="shared" si="74"/>
        <v>1.1029111476104126E-3</v>
      </c>
      <c r="AB63" s="9">
        <f t="shared" si="58"/>
        <v>4.5741858801813453E-4</v>
      </c>
      <c r="AC63" s="16">
        <f t="shared" si="75"/>
        <v>1946200.0791725188</v>
      </c>
      <c r="AD63" s="16">
        <f t="shared" si="59"/>
        <v>868221.53573251597</v>
      </c>
      <c r="AE63" s="16">
        <f t="shared" si="60"/>
        <v>1556960.0633380152</v>
      </c>
      <c r="AF63" s="16">
        <f t="shared" si="76"/>
        <v>467088.01900140475</v>
      </c>
      <c r="AG63" s="16"/>
      <c r="AH63" s="32">
        <f>IFERROR(INDEX('US Food'!$R$11:$R$197,MATCH('Calculations - US Food'!D63,'US Food'!$N$11:$N$197,0)),"")</f>
        <v>2.2415938779156352</v>
      </c>
      <c r="AI63" s="23">
        <f t="shared" si="77"/>
        <v>0.8</v>
      </c>
      <c r="AJ63" s="23">
        <f t="shared" si="78"/>
        <v>0.3</v>
      </c>
      <c r="AK63" s="9">
        <f t="shared" si="61"/>
        <v>0</v>
      </c>
      <c r="AL63" s="4">
        <f t="shared" si="62"/>
        <v>508137.52549999999</v>
      </c>
      <c r="AM63" s="4"/>
      <c r="AN63" s="4"/>
      <c r="AO63" s="4"/>
      <c r="AP63" s="4"/>
      <c r="AQ63" s="4"/>
      <c r="AR63" s="20">
        <f t="shared" si="63"/>
        <v>3092924.6672875057</v>
      </c>
      <c r="AS63" s="13">
        <f t="shared" si="79"/>
        <v>1.1029111476104126E-3</v>
      </c>
      <c r="AT63" s="13">
        <f t="shared" si="80"/>
        <v>1.1029111476104131E-3</v>
      </c>
      <c r="AU63" s="13">
        <f t="shared" si="64"/>
        <v>4.5741858801813496E-4</v>
      </c>
      <c r="AV63" s="16">
        <f t="shared" si="81"/>
        <v>1946200.0791725195</v>
      </c>
      <c r="AW63" s="16">
        <f t="shared" si="65"/>
        <v>868221.53573251632</v>
      </c>
      <c r="AX63" s="16">
        <f t="shared" si="66"/>
        <v>1556960.0633380157</v>
      </c>
      <c r="AY63" s="16">
        <f t="shared" si="82"/>
        <v>467088.01900140475</v>
      </c>
      <c r="AZ63" s="13">
        <f t="shared" si="83"/>
        <v>1.8021020082326526E-2</v>
      </c>
      <c r="BA63" s="10">
        <f t="shared" si="84"/>
        <v>872474.59049872844</v>
      </c>
      <c r="BB63" s="9">
        <f t="shared" si="85"/>
        <v>1.7044262367164095E-3</v>
      </c>
      <c r="BC63" s="13">
        <f t="shared" si="86"/>
        <v>1.1858034070844873E-2</v>
      </c>
      <c r="BD63" s="10">
        <f t="shared" si="87"/>
        <v>1946200.0791725188</v>
      </c>
      <c r="BE63" s="13">
        <f t="shared" si="88"/>
        <v>1.1029111476104118E-3</v>
      </c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</row>
    <row r="64" spans="2:70" x14ac:dyDescent="0.3">
      <c r="B64" s="96" t="str">
        <f t="shared" si="67"/>
        <v>US FOODPRIVATE LABEL</v>
      </c>
      <c r="C64" s="96" t="str">
        <f t="shared" si="68"/>
        <v>US FOODPRIVATE LABELMAYO</v>
      </c>
      <c r="D64" s="96" t="str">
        <f t="shared" si="69"/>
        <v>US FOODPRIVATE LABELMAYOJAR 8OZ</v>
      </c>
      <c r="E64" s="3" t="s">
        <v>104</v>
      </c>
      <c r="F64" s="3" t="s">
        <v>110</v>
      </c>
      <c r="G64" s="3" t="s">
        <v>113</v>
      </c>
      <c r="H64" s="3" t="s">
        <v>119</v>
      </c>
      <c r="I64" s="20">
        <f>IFERROR(INDEX('Input - US Food'!G$2:G$200,MATCH('Calculations - US Food'!$D64,'Input - US Food'!$B$2:$B$200,0)),"")</f>
        <v>11042840.5174</v>
      </c>
      <c r="J64" s="20">
        <f>IFERROR(INDEX('Input - US Food'!H$2:H$200,MATCH('Calculations - US Food'!$D64,'Input - US Food'!$B$2:$B$200,0)),"")</f>
        <v>2259005.8536</v>
      </c>
      <c r="K64" s="21">
        <f>IFERROR(INDEX('Input - US Food'!I$2:I$200,MATCH('Calculations - US Food'!$D64,'Input - US Food'!$B$2:$B$200,0)),"")</f>
        <v>2.3203039582351099</v>
      </c>
      <c r="L64" s="21">
        <f>IFERROR(INDEX('Input - US Food'!J$2:J$200,MATCH('Calculations - US Food'!$D64,'Input - US Food'!$B$2:$B$200,0)),"")</f>
        <v>11.342487900971699</v>
      </c>
      <c r="M64" s="20">
        <f>IFERROR(INDEX('Input - US Food'!K$2:K$200,MATCH('Calculations - US Food'!$D64,'Input - US Food'!$B$2:$B$200,0)),"")</f>
        <v>38068077.897799999</v>
      </c>
      <c r="N64" s="20">
        <f>IFERROR(INDEX('Input - US Food'!L$2:L$200,MATCH('Calculations - US Food'!$D64,'Input - US Food'!$B$2:$B$200,0)),"")</f>
        <v>8991938.3512999993</v>
      </c>
      <c r="O64" s="21">
        <f t="shared" si="70"/>
        <v>4.8883629494814693</v>
      </c>
      <c r="P64" s="21">
        <f t="shared" ref="P64:P95" si="89">IFERROR(M64/N64,"")</f>
        <v>4.2335786134806348</v>
      </c>
      <c r="Q64" s="21">
        <f t="shared" si="71"/>
        <v>-3.7870067485699725</v>
      </c>
      <c r="R64" s="9">
        <f t="shared" ref="R64:R95" si="90">I64/SUM(I$32:I$229)</f>
        <v>6.2579752401935741E-3</v>
      </c>
      <c r="S64" s="9">
        <f t="shared" ref="S64:S95" si="91">J64/SUM(J$32:J$229)</f>
        <v>4.416856876070463E-3</v>
      </c>
      <c r="T64" s="22">
        <f>IFERROR(INDEX('US Food'!$S$11:$S$197,MATCH('Calculations - US Food'!$D64,'US Food'!$N$11:$N$197,0)),"")</f>
        <v>0</v>
      </c>
      <c r="U64" s="22">
        <f>IFERROR(INDEX('US Food'!$T$11:$T$197,MATCH('Calculations - US Food'!$D64,'US Food'!$N$11:$N$197,0)),"")</f>
        <v>0</v>
      </c>
      <c r="V64" s="16">
        <f t="shared" ref="V64:V95" si="92">T64*I64</f>
        <v>0</v>
      </c>
      <c r="W64" s="16">
        <f t="shared" si="72"/>
        <v>0</v>
      </c>
      <c r="X64" s="16">
        <f t="shared" si="73"/>
        <v>0</v>
      </c>
      <c r="Y64" s="10">
        <f t="shared" ref="Y64:Y95" si="93">IFERROR(X64/J64,"-")</f>
        <v>0</v>
      </c>
      <c r="Z64" s="10">
        <f t="shared" ref="Z64:Z95" si="94">IFERROR((L64+O64)*J64*0.5,"-")</f>
        <v>18332793.540041123</v>
      </c>
      <c r="AA64" s="13">
        <f t="shared" si="74"/>
        <v>6.5373213179110374E-3</v>
      </c>
      <c r="AB64" s="9">
        <f t="shared" ref="AB64:AB95" si="95">IFERROR(AA64-R64,"-")</f>
        <v>2.793460777174633E-4</v>
      </c>
      <c r="AC64" s="16">
        <f t="shared" si="75"/>
        <v>11535775.383230461</v>
      </c>
      <c r="AD64" s="16">
        <f t="shared" ref="AD64:AD95" si="96">IFERROR(AC64/O64,"-")</f>
        <v>2359844.2878416204</v>
      </c>
      <c r="AE64" s="16">
        <f t="shared" ref="AE64:AE95" si="97">IFERROR(T64*AC64,"-")</f>
        <v>0</v>
      </c>
      <c r="AF64" s="16">
        <f t="shared" si="76"/>
        <v>0</v>
      </c>
      <c r="AG64" s="16"/>
      <c r="AH64" s="32">
        <f>IFERROR(INDEX('US Food'!$R$11:$R$197,MATCH('Calculations - US Food'!D64,'US Food'!$N$11:$N$197,0)),"")</f>
        <v>4.8883629494814693</v>
      </c>
      <c r="AI64" s="23">
        <f t="shared" si="77"/>
        <v>0</v>
      </c>
      <c r="AJ64" s="23">
        <f t="shared" si="78"/>
        <v>0</v>
      </c>
      <c r="AK64" s="9">
        <f t="shared" ref="AK64:AK95" si="98">IFERROR((AH64-O64)/O64,"")</f>
        <v>0</v>
      </c>
      <c r="AL64" s="4">
        <f t="shared" ref="AL64:AL95" si="99">IFERROR(MAX((1+AK64*Q64/5)*J64,0),"")</f>
        <v>2259005.8536</v>
      </c>
      <c r="AM64" s="4"/>
      <c r="AN64" s="4"/>
      <c r="AO64" s="4"/>
      <c r="AP64" s="4"/>
      <c r="AQ64" s="4"/>
      <c r="AR64" s="20">
        <f t="shared" ref="AR64:AR95" si="100">IFERROR(0.5*(L64+AH64)*AL64,"-")</f>
        <v>18332793.540041123</v>
      </c>
      <c r="AS64" s="13">
        <f t="shared" si="79"/>
        <v>6.5373213179110374E-3</v>
      </c>
      <c r="AT64" s="13">
        <f t="shared" si="80"/>
        <v>6.53732131791104E-3</v>
      </c>
      <c r="AU64" s="13">
        <f t="shared" ref="AU64:AU95" si="101">IFERROR(AT64-R64,"-")</f>
        <v>2.793460777174659E-4</v>
      </c>
      <c r="AV64" s="16">
        <f t="shared" si="81"/>
        <v>11535775.383230466</v>
      </c>
      <c r="AW64" s="16">
        <f t="shared" ref="AW64:AW95" si="102">IFERROR(AV64/AH64,"-")</f>
        <v>2359844.2878416213</v>
      </c>
      <c r="AX64" s="16">
        <f t="shared" ref="AX64:AX95" si="103">IFERROR(AI64*AV64,"-")</f>
        <v>0</v>
      </c>
      <c r="AY64" s="16">
        <f t="shared" si="82"/>
        <v>0</v>
      </c>
      <c r="AZ64" s="13">
        <f t="shared" si="83"/>
        <v>3.0172997339398159E-2</v>
      </c>
      <c r="BA64" s="10">
        <f t="shared" si="84"/>
        <v>2366264.4251757436</v>
      </c>
      <c r="BB64" s="9">
        <f t="shared" si="85"/>
        <v>4.6226253614707283E-3</v>
      </c>
      <c r="BC64" s="13">
        <f t="shared" si="86"/>
        <v>6.3297042179228102E-2</v>
      </c>
      <c r="BD64" s="10">
        <f t="shared" si="87"/>
        <v>11535775.383230463</v>
      </c>
      <c r="BE64" s="13">
        <f t="shared" si="88"/>
        <v>6.5373213179110339E-3</v>
      </c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</row>
    <row r="65" spans="2:70" x14ac:dyDescent="0.3">
      <c r="B65" s="96" t="str">
        <f t="shared" si="67"/>
        <v>US FOODPRIVATE LABEL</v>
      </c>
      <c r="C65" s="96" t="str">
        <f t="shared" si="68"/>
        <v>US FOODPRIVATE LABELMAYO</v>
      </c>
      <c r="D65" s="96" t="str">
        <f t="shared" si="69"/>
        <v>US FOODPRIVATE LABELMAYOJAR 15OZ</v>
      </c>
      <c r="E65" s="3" t="s">
        <v>104</v>
      </c>
      <c r="F65" s="3" t="s">
        <v>110</v>
      </c>
      <c r="G65" s="3" t="s">
        <v>113</v>
      </c>
      <c r="H65" s="3" t="s">
        <v>116</v>
      </c>
      <c r="I65" s="20">
        <f>IFERROR(INDEX('Input - US Food'!G$2:G$200,MATCH('Calculations - US Food'!$D65,'Input - US Food'!$B$2:$B$200,0)),"")</f>
        <v>25946778.469500002</v>
      </c>
      <c r="J65" s="20">
        <f>IFERROR(INDEX('Input - US Food'!H$2:H$200,MATCH('Calculations - US Food'!$D65,'Input - US Food'!$B$2:$B$200,0)),"")</f>
        <v>7160179.0179000003</v>
      </c>
      <c r="K65" s="21">
        <f>IFERROR(INDEX('Input - US Food'!I$2:I$200,MATCH('Calculations - US Food'!$D65,'Input - US Food'!$B$2:$B$200,0)),"")</f>
        <v>2.2102918411777299</v>
      </c>
      <c r="L65" s="21">
        <f>IFERROR(INDEX('Input - US Food'!J$2:J$200,MATCH('Calculations - US Food'!$D65,'Input - US Food'!$B$2:$B$200,0)),"")</f>
        <v>8.0095696787204105</v>
      </c>
      <c r="M65" s="20">
        <f>IFERROR(INDEX('Input - US Food'!K$2:K$200,MATCH('Calculations - US Food'!$D65,'Input - US Food'!$B$2:$B$200,0)),"")</f>
        <v>78478082.619900003</v>
      </c>
      <c r="N65" s="20">
        <f>IFERROR(INDEX('Input - US Food'!L$2:L$200,MATCH('Calculations - US Food'!$D65,'Input - US Food'!$B$2:$B$200,0)),"")</f>
        <v>23481282.136</v>
      </c>
      <c r="O65" s="21">
        <f t="shared" si="70"/>
        <v>3.6237611384624149</v>
      </c>
      <c r="P65" s="21">
        <f t="shared" si="89"/>
        <v>3.3421549200493796</v>
      </c>
      <c r="Q65" s="21">
        <f t="shared" si="71"/>
        <v>-4.131234988029421</v>
      </c>
      <c r="R65" s="9">
        <f t="shared" si="90"/>
        <v>1.4704033529151178E-2</v>
      </c>
      <c r="S65" s="9">
        <f t="shared" si="91"/>
        <v>1.3999736157703186E-2</v>
      </c>
      <c r="T65" s="22">
        <f>IFERROR(INDEX('US Food'!$S$11:$S$197,MATCH('Calculations - US Food'!$D65,'US Food'!$N$11:$N$197,0)),"")</f>
        <v>0</v>
      </c>
      <c r="U65" s="22">
        <f>IFERROR(INDEX('US Food'!$T$11:$T$197,MATCH('Calculations - US Food'!$D65,'US Food'!$N$11:$N$197,0)),"")</f>
        <v>0</v>
      </c>
      <c r="V65" s="16">
        <f t="shared" si="92"/>
        <v>0</v>
      </c>
      <c r="W65" s="16">
        <f t="shared" si="72"/>
        <v>0</v>
      </c>
      <c r="X65" s="16">
        <f t="shared" si="73"/>
        <v>0</v>
      </c>
      <c r="Y65" s="10">
        <f t="shared" si="93"/>
        <v>0</v>
      </c>
      <c r="Z65" s="10">
        <f t="shared" si="94"/>
        <v>41648365.612740964</v>
      </c>
      <c r="AA65" s="13">
        <f t="shared" si="74"/>
        <v>1.485145991425995E-2</v>
      </c>
      <c r="AB65" s="9">
        <f t="shared" si="95"/>
        <v>1.4742638510877211E-4</v>
      </c>
      <c r="AC65" s="16">
        <f t="shared" si="75"/>
        <v>26206927.478776462</v>
      </c>
      <c r="AD65" s="16">
        <f t="shared" si="96"/>
        <v>7231968.7963473853</v>
      </c>
      <c r="AE65" s="16">
        <f t="shared" si="97"/>
        <v>0</v>
      </c>
      <c r="AF65" s="16">
        <f t="shared" si="76"/>
        <v>0</v>
      </c>
      <c r="AG65" s="16"/>
      <c r="AH65" s="32">
        <f>IFERROR(INDEX('US Food'!$R$11:$R$197,MATCH('Calculations - US Food'!D65,'US Food'!$N$11:$N$197,0)),"")</f>
        <v>3.6237611384624149</v>
      </c>
      <c r="AI65" s="23">
        <f t="shared" si="77"/>
        <v>0</v>
      </c>
      <c r="AJ65" s="23">
        <f t="shared" si="78"/>
        <v>0</v>
      </c>
      <c r="AK65" s="9">
        <f t="shared" si="98"/>
        <v>0</v>
      </c>
      <c r="AL65" s="4">
        <f t="shared" si="99"/>
        <v>7160179.0179000003</v>
      </c>
      <c r="AM65" s="4"/>
      <c r="AN65" s="4"/>
      <c r="AO65" s="4"/>
      <c r="AP65" s="4"/>
      <c r="AQ65" s="4"/>
      <c r="AR65" s="20">
        <f t="shared" si="100"/>
        <v>41648365.612740964</v>
      </c>
      <c r="AS65" s="13">
        <f t="shared" si="79"/>
        <v>1.485145991425995E-2</v>
      </c>
      <c r="AT65" s="13">
        <f t="shared" si="80"/>
        <v>1.4851459914259957E-2</v>
      </c>
      <c r="AU65" s="13">
        <f t="shared" si="101"/>
        <v>1.4742638510877905E-4</v>
      </c>
      <c r="AV65" s="16">
        <f t="shared" si="81"/>
        <v>26206927.478776474</v>
      </c>
      <c r="AW65" s="16">
        <f t="shared" si="102"/>
        <v>7231968.796347389</v>
      </c>
      <c r="AX65" s="16">
        <f t="shared" si="103"/>
        <v>0</v>
      </c>
      <c r="AY65" s="16">
        <f t="shared" si="82"/>
        <v>0</v>
      </c>
      <c r="AZ65" s="13">
        <f t="shared" si="83"/>
        <v>9.2468039681711925E-2</v>
      </c>
      <c r="BA65" s="10">
        <f t="shared" si="84"/>
        <v>7251643.9219935406</v>
      </c>
      <c r="BB65" s="9">
        <f t="shared" si="85"/>
        <v>1.4166478078067177E-2</v>
      </c>
      <c r="BC65" s="13">
        <f t="shared" si="86"/>
        <v>0.14379796233060424</v>
      </c>
      <c r="BD65" s="10">
        <f t="shared" si="87"/>
        <v>26206927.478776462</v>
      </c>
      <c r="BE65" s="13">
        <f t="shared" si="88"/>
        <v>1.4851459914259941E-2</v>
      </c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</row>
    <row r="66" spans="2:70" x14ac:dyDescent="0.3">
      <c r="B66" s="96" t="str">
        <f t="shared" si="67"/>
        <v>US FOODPRIVATE LABEL</v>
      </c>
      <c r="C66" s="96" t="str">
        <f t="shared" si="68"/>
        <v>US FOODPRIVATE LABELMAYO</v>
      </c>
      <c r="D66" s="96" t="str">
        <f t="shared" si="69"/>
        <v>US FOODPRIVATE LABELMAYOJAR 30OZ</v>
      </c>
      <c r="E66" s="3" t="s">
        <v>104</v>
      </c>
      <c r="F66" s="3" t="s">
        <v>110</v>
      </c>
      <c r="G66" s="3" t="s">
        <v>113</v>
      </c>
      <c r="H66" s="3" t="s">
        <v>118</v>
      </c>
      <c r="I66" s="20">
        <f>IFERROR(INDEX('Input - US Food'!G$2:G$200,MATCH('Calculations - US Food'!$D66,'Input - US Food'!$B$2:$B$200,0)),"")</f>
        <v>118741561.652</v>
      </c>
      <c r="J66" s="20">
        <f>IFERROR(INDEX('Input - US Food'!H$2:H$200,MATCH('Calculations - US Food'!$D66,'Input - US Food'!$B$2:$B$200,0)),"")</f>
        <v>60208711.739799999</v>
      </c>
      <c r="K66" s="21">
        <f>IFERROR(INDEX('Input - US Food'!I$2:I$200,MATCH('Calculations - US Food'!$D66,'Input - US Food'!$B$2:$B$200,0)),"")</f>
        <v>2.1956732485696699</v>
      </c>
      <c r="L66" s="21">
        <f>IFERROR(INDEX('Input - US Food'!J$2:J$200,MATCH('Calculations - US Food'!$D66,'Input - US Food'!$B$2:$B$200,0)),"")</f>
        <v>4.3302316704501003</v>
      </c>
      <c r="M66" s="20">
        <f>IFERROR(INDEX('Input - US Food'!K$2:K$200,MATCH('Calculations - US Food'!$D66,'Input - US Food'!$B$2:$B$200,0)),"")</f>
        <v>379751768.917</v>
      </c>
      <c r="N66" s="20">
        <f>IFERROR(INDEX('Input - US Food'!L$2:L$200,MATCH('Calculations - US Food'!$D66,'Input - US Food'!$B$2:$B$200,0)),"")</f>
        <v>221670729.06009999</v>
      </c>
      <c r="O66" s="21">
        <f t="shared" si="70"/>
        <v>1.9721657916408764</v>
      </c>
      <c r="P66" s="21">
        <f t="shared" si="89"/>
        <v>1.7131344789056053</v>
      </c>
      <c r="Q66" s="21">
        <f t="shared" si="71"/>
        <v>-4.1817444740703777</v>
      </c>
      <c r="R66" s="9">
        <f t="shared" si="90"/>
        <v>6.7290816310284898E-2</v>
      </c>
      <c r="S66" s="9">
        <f t="shared" si="91"/>
        <v>0.11772136934637999</v>
      </c>
      <c r="T66" s="22">
        <f>IFERROR(INDEX('US Food'!$S$11:$S$197,MATCH('Calculations - US Food'!$D66,'US Food'!$N$11:$N$197,0)),"")</f>
        <v>0</v>
      </c>
      <c r="U66" s="22">
        <f>IFERROR(INDEX('US Food'!$T$11:$T$197,MATCH('Calculations - US Food'!$D66,'US Food'!$N$11:$N$197,0)),"")</f>
        <v>0</v>
      </c>
      <c r="V66" s="16">
        <f t="shared" si="92"/>
        <v>0</v>
      </c>
      <c r="W66" s="16">
        <f t="shared" si="72"/>
        <v>0</v>
      </c>
      <c r="X66" s="16">
        <f t="shared" si="73"/>
        <v>0</v>
      </c>
      <c r="Y66" s="10">
        <f t="shared" si="93"/>
        <v>0</v>
      </c>
      <c r="Z66" s="10">
        <f t="shared" si="94"/>
        <v>189729616.03234133</v>
      </c>
      <c r="AA66" s="13">
        <f t="shared" si="74"/>
        <v>6.7655999115370971E-2</v>
      </c>
      <c r="AB66" s="9">
        <f t="shared" si="95"/>
        <v>3.6518280508607281E-4</v>
      </c>
      <c r="AC66" s="16">
        <f t="shared" si="75"/>
        <v>119385964.24572736</v>
      </c>
      <c r="AD66" s="16">
        <f t="shared" si="96"/>
        <v>60535460.432257146</v>
      </c>
      <c r="AE66" s="16">
        <f t="shared" si="97"/>
        <v>0</v>
      </c>
      <c r="AF66" s="16">
        <f t="shared" si="76"/>
        <v>0</v>
      </c>
      <c r="AG66" s="16"/>
      <c r="AH66" s="32">
        <f>IFERROR(INDEX('US Food'!$R$11:$R$197,MATCH('Calculations - US Food'!D66,'US Food'!$N$11:$N$197,0)),"")</f>
        <v>1.9721657916408764</v>
      </c>
      <c r="AI66" s="23">
        <f t="shared" si="77"/>
        <v>0</v>
      </c>
      <c r="AJ66" s="23">
        <f t="shared" si="78"/>
        <v>0</v>
      </c>
      <c r="AK66" s="9">
        <f t="shared" si="98"/>
        <v>0</v>
      </c>
      <c r="AL66" s="4">
        <f t="shared" si="99"/>
        <v>60208711.739799999</v>
      </c>
      <c r="AM66" s="4"/>
      <c r="AN66" s="4"/>
      <c r="AO66" s="4"/>
      <c r="AP66" s="4"/>
      <c r="AQ66" s="4"/>
      <c r="AR66" s="20">
        <f t="shared" si="100"/>
        <v>189729616.03234133</v>
      </c>
      <c r="AS66" s="13">
        <f t="shared" si="79"/>
        <v>6.7655999115370971E-2</v>
      </c>
      <c r="AT66" s="13">
        <f t="shared" si="80"/>
        <v>6.7655999115370999E-2</v>
      </c>
      <c r="AU66" s="13">
        <f t="shared" si="101"/>
        <v>3.6518280508610057E-4</v>
      </c>
      <c r="AV66" s="16">
        <f t="shared" si="81"/>
        <v>119385964.2457274</v>
      </c>
      <c r="AW66" s="16">
        <f t="shared" si="102"/>
        <v>60535460.432257168</v>
      </c>
      <c r="AX66" s="16">
        <f t="shared" si="103"/>
        <v>0</v>
      </c>
      <c r="AY66" s="16">
        <f t="shared" si="82"/>
        <v>0</v>
      </c>
      <c r="AZ66" s="13">
        <f t="shared" si="83"/>
        <v>0.77400712240735947</v>
      </c>
      <c r="BA66" s="10">
        <f t="shared" si="84"/>
        <v>60700151.794124469</v>
      </c>
      <c r="BB66" s="9">
        <f t="shared" si="85"/>
        <v>0.11858102507195613</v>
      </c>
      <c r="BC66" s="13">
        <f t="shared" si="86"/>
        <v>0.65507329706288309</v>
      </c>
      <c r="BD66" s="10">
        <f t="shared" si="87"/>
        <v>119385964.24572736</v>
      </c>
      <c r="BE66" s="13">
        <f t="shared" si="88"/>
        <v>6.7655999115370929E-2</v>
      </c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</row>
    <row r="67" spans="2:70" x14ac:dyDescent="0.3">
      <c r="B67" s="96" t="str">
        <f t="shared" si="67"/>
        <v>US FOODPRIVATE LABEL</v>
      </c>
      <c r="C67" s="96" t="str">
        <f t="shared" si="68"/>
        <v>US FOODPRIVATE LABELMAYO</v>
      </c>
      <c r="D67" s="96" t="str">
        <f t="shared" si="69"/>
        <v>US FOODPRIVATE LABELMAYOSQUEEZY 18 TO 22OZ</v>
      </c>
      <c r="E67" s="3" t="s">
        <v>104</v>
      </c>
      <c r="F67" s="3" t="s">
        <v>110</v>
      </c>
      <c r="G67" s="3" t="s">
        <v>113</v>
      </c>
      <c r="H67" s="3" t="s">
        <v>120</v>
      </c>
      <c r="I67" s="20">
        <f>IFERROR(INDEX('Input - US Food'!G$2:G$200,MATCH('Calculations - US Food'!$D67,'Input - US Food'!$B$2:$B$200,0)),"")</f>
        <v>15599593.755799999</v>
      </c>
      <c r="J67" s="20">
        <f>IFERROR(INDEX('Input - US Food'!H$2:H$200,MATCH('Calculations - US Food'!$D67,'Input - US Food'!$B$2:$B$200,0)),"")</f>
        <v>4875735.8169</v>
      </c>
      <c r="K67" s="21">
        <f>IFERROR(INDEX('Input - US Food'!I$2:I$200,MATCH('Calculations - US Food'!$D67,'Input - US Food'!$B$2:$B$200,0)),"")</f>
        <v>2.2123414993481401</v>
      </c>
      <c r="L67" s="21">
        <f>IFERROR(INDEX('Input - US Food'!J$2:J$200,MATCH('Calculations - US Food'!$D67,'Input - US Food'!$B$2:$B$200,0)),"")</f>
        <v>7.0782400718484899</v>
      </c>
      <c r="M67" s="20">
        <f>IFERROR(INDEX('Input - US Food'!K$2:K$200,MATCH('Calculations - US Food'!$D67,'Input - US Food'!$B$2:$B$200,0)),"")</f>
        <v>59314535.8543</v>
      </c>
      <c r="N67" s="20">
        <f>IFERROR(INDEX('Input - US Food'!L$2:L$200,MATCH('Calculations - US Food'!$D67,'Input - US Food'!$B$2:$B$200,0)),"")</f>
        <v>22086855.095600002</v>
      </c>
      <c r="O67" s="21">
        <f t="shared" si="70"/>
        <v>3.1994337555635335</v>
      </c>
      <c r="P67" s="21">
        <f t="shared" si="89"/>
        <v>2.6855129712928778</v>
      </c>
      <c r="Q67" s="21">
        <f t="shared" si="71"/>
        <v>-4.1242504712479269</v>
      </c>
      <c r="R67" s="9">
        <f t="shared" si="90"/>
        <v>8.8402862766200144E-3</v>
      </c>
      <c r="S67" s="9">
        <f t="shared" si="91"/>
        <v>9.5331436323896554E-3</v>
      </c>
      <c r="T67" s="22">
        <f>IFERROR(INDEX('US Food'!$S$11:$S$197,MATCH('Calculations - US Food'!$D67,'US Food'!$N$11:$N$197,0)),"")</f>
        <v>0</v>
      </c>
      <c r="U67" s="22">
        <f>IFERROR(INDEX('US Food'!$T$11:$T$197,MATCH('Calculations - US Food'!$D67,'US Food'!$N$11:$N$197,0)),"")</f>
        <v>0</v>
      </c>
      <c r="V67" s="16">
        <f t="shared" si="92"/>
        <v>0</v>
      </c>
      <c r="W67" s="16">
        <f t="shared" si="72"/>
        <v>0</v>
      </c>
      <c r="X67" s="16">
        <f t="shared" si="73"/>
        <v>0</v>
      </c>
      <c r="Y67" s="10">
        <f t="shared" si="93"/>
        <v>0</v>
      </c>
      <c r="Z67" s="10">
        <f t="shared" si="94"/>
        <v>25055611.197364256</v>
      </c>
      <c r="AA67" s="13">
        <f t="shared" si="74"/>
        <v>8.9346220397926567E-3</v>
      </c>
      <c r="AB67" s="9">
        <f t="shared" si="95"/>
        <v>9.4335763172642348E-5</v>
      </c>
      <c r="AC67" s="16">
        <f t="shared" si="75"/>
        <v>15766058.905919462</v>
      </c>
      <c r="AD67" s="16">
        <f t="shared" si="96"/>
        <v>4927765.3830161896</v>
      </c>
      <c r="AE67" s="16">
        <f t="shared" si="97"/>
        <v>0</v>
      </c>
      <c r="AF67" s="16">
        <f t="shared" si="76"/>
        <v>0</v>
      </c>
      <c r="AG67" s="16"/>
      <c r="AH67" s="32">
        <f>IFERROR(INDEX('US Food'!$R$11:$R$197,MATCH('Calculations - US Food'!D67,'US Food'!$N$11:$N$197,0)),"")</f>
        <v>3.1994337555635335</v>
      </c>
      <c r="AI67" s="23">
        <f t="shared" si="77"/>
        <v>0</v>
      </c>
      <c r="AJ67" s="23">
        <f t="shared" si="78"/>
        <v>0</v>
      </c>
      <c r="AK67" s="9">
        <f t="shared" si="98"/>
        <v>0</v>
      </c>
      <c r="AL67" s="4">
        <f t="shared" si="99"/>
        <v>4875735.8169</v>
      </c>
      <c r="AM67" s="4"/>
      <c r="AN67" s="4"/>
      <c r="AO67" s="4"/>
      <c r="AP67" s="4"/>
      <c r="AQ67" s="4"/>
      <c r="AR67" s="20">
        <f t="shared" si="100"/>
        <v>25055611.197364256</v>
      </c>
      <c r="AS67" s="13">
        <f t="shared" si="79"/>
        <v>8.9346220397926567E-3</v>
      </c>
      <c r="AT67" s="13">
        <f t="shared" si="80"/>
        <v>8.9346220397926602E-3</v>
      </c>
      <c r="AU67" s="13">
        <f t="shared" si="101"/>
        <v>9.4335763172645817E-5</v>
      </c>
      <c r="AV67" s="16">
        <f t="shared" si="81"/>
        <v>15766058.905919468</v>
      </c>
      <c r="AW67" s="16">
        <f t="shared" si="102"/>
        <v>4927765.3830161914</v>
      </c>
      <c r="AX67" s="16">
        <f t="shared" si="103"/>
        <v>0</v>
      </c>
      <c r="AY67" s="16">
        <f t="shared" si="82"/>
        <v>0</v>
      </c>
      <c r="AZ67" s="13">
        <f t="shared" si="83"/>
        <v>6.3006467230478883E-2</v>
      </c>
      <c r="BA67" s="10">
        <f t="shared" si="84"/>
        <v>4941171.746593779</v>
      </c>
      <c r="BB67" s="9">
        <f t="shared" si="85"/>
        <v>9.6528458899899118E-3</v>
      </c>
      <c r="BC67" s="13">
        <f t="shared" si="86"/>
        <v>8.6508696850919095E-2</v>
      </c>
      <c r="BD67" s="10">
        <f t="shared" si="87"/>
        <v>15766058.905919464</v>
      </c>
      <c r="BE67" s="13">
        <f t="shared" si="88"/>
        <v>8.9346220397926515E-3</v>
      </c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</row>
    <row r="68" spans="2:70" x14ac:dyDescent="0.3">
      <c r="B68" s="96" t="str">
        <f t="shared" si="67"/>
        <v>US FOODPRIVATE LABEL</v>
      </c>
      <c r="C68" s="96" t="str">
        <f t="shared" si="68"/>
        <v>US FOODPRIVATE LABELMAYO</v>
      </c>
      <c r="D68" s="96" t="str">
        <f t="shared" si="69"/>
        <v>US FOODPRIVATE LABELMAYOOTHER</v>
      </c>
      <c r="E68" s="3" t="s">
        <v>104</v>
      </c>
      <c r="F68" s="3" t="s">
        <v>110</v>
      </c>
      <c r="G68" s="3" t="s">
        <v>113</v>
      </c>
      <c r="H68" s="3" t="s">
        <v>115</v>
      </c>
      <c r="I68" s="20">
        <f>IFERROR(INDEX('Input - US Food'!G$2:G$200,MATCH('Calculations - US Food'!$D68,'Input - US Food'!$B$2:$B$200,0)),"")</f>
        <v>6369985.0237999996</v>
      </c>
      <c r="J68" s="20">
        <f>IFERROR(INDEX('Input - US Food'!H$2:H$200,MATCH('Calculations - US Food'!$D68,'Input - US Food'!$B$2:$B$200,0)),"")</f>
        <v>2302092.1743000001</v>
      </c>
      <c r="K68" s="21">
        <f>IFERROR(INDEX('Input - US Food'!I$2:I$200,MATCH('Calculations - US Food'!$D68,'Input - US Food'!$B$2:$B$200,0)),"")</f>
        <v>2.9207850654076402</v>
      </c>
      <c r="L68" s="21">
        <f>IFERROR(INDEX('Input - US Food'!J$2:J$200,MATCH('Calculations - US Food'!$D68,'Input - US Food'!$B$2:$B$200,0)),"")</f>
        <v>8.0819340476854507</v>
      </c>
      <c r="M68" s="20">
        <f>IFERROR(INDEX('Input - US Food'!K$2:K$200,MATCH('Calculations - US Food'!$D68,'Input - US Food'!$B$2:$B$200,0)),"")</f>
        <v>14994330.8763</v>
      </c>
      <c r="N68" s="20">
        <f>IFERROR(INDEX('Input - US Food'!L$2:L$200,MATCH('Calculations - US Food'!$D68,'Input - US Food'!$B$2:$B$200,0)),"")</f>
        <v>6008957.8937999997</v>
      </c>
      <c r="O68" s="21">
        <f t="shared" si="70"/>
        <v>2.767041691428767</v>
      </c>
      <c r="P68" s="21">
        <f t="shared" si="89"/>
        <v>2.4953296630304305</v>
      </c>
      <c r="Q68" s="21">
        <f t="shared" si="71"/>
        <v>-2.6031022887711068</v>
      </c>
      <c r="R68" s="9">
        <f t="shared" si="90"/>
        <v>3.6098690818302187E-3</v>
      </c>
      <c r="S68" s="9">
        <f t="shared" si="91"/>
        <v>4.5011001778507993E-3</v>
      </c>
      <c r="T68" s="22">
        <f>IFERROR(INDEX('US Food'!$S$11:$S$197,MATCH('Calculations - US Food'!$D68,'US Food'!$N$11:$N$197,0)),"")</f>
        <v>0</v>
      </c>
      <c r="U68" s="22">
        <f>IFERROR(INDEX('US Food'!$T$11:$T$197,MATCH('Calculations - US Food'!$D68,'US Food'!$N$11:$N$197,0)),"")</f>
        <v>0</v>
      </c>
      <c r="V68" s="16">
        <f t="shared" si="92"/>
        <v>0</v>
      </c>
      <c r="W68" s="16">
        <f t="shared" si="72"/>
        <v>0</v>
      </c>
      <c r="X68" s="16">
        <f t="shared" si="73"/>
        <v>0</v>
      </c>
      <c r="Y68" s="10">
        <f t="shared" si="93"/>
        <v>0</v>
      </c>
      <c r="Z68" s="10">
        <f t="shared" si="94"/>
        <v>12487671.074092701</v>
      </c>
      <c r="AA68" s="13">
        <f t="shared" si="74"/>
        <v>4.4529993830686055E-3</v>
      </c>
      <c r="AB68" s="9">
        <f t="shared" si="95"/>
        <v>8.4313030123838676E-4</v>
      </c>
      <c r="AC68" s="16">
        <f t="shared" si="75"/>
        <v>7857775.0988011481</v>
      </c>
      <c r="AD68" s="16">
        <f t="shared" si="96"/>
        <v>2839774.7396222902</v>
      </c>
      <c r="AE68" s="16">
        <f t="shared" si="97"/>
        <v>0</v>
      </c>
      <c r="AF68" s="16">
        <f t="shared" si="76"/>
        <v>0</v>
      </c>
      <c r="AG68" s="16"/>
      <c r="AH68" s="32">
        <f>IFERROR(INDEX('US Food'!$R$11:$R$197,MATCH('Calculations - US Food'!D68,'US Food'!$N$11:$N$197,0)),"")</f>
        <v>2.767041691428767</v>
      </c>
      <c r="AI68" s="23">
        <f t="shared" si="77"/>
        <v>0</v>
      </c>
      <c r="AJ68" s="23">
        <f t="shared" si="78"/>
        <v>0</v>
      </c>
      <c r="AK68" s="9">
        <f t="shared" si="98"/>
        <v>0</v>
      </c>
      <c r="AL68" s="4">
        <f t="shared" si="99"/>
        <v>2302092.1743000001</v>
      </c>
      <c r="AM68" s="4"/>
      <c r="AN68" s="4"/>
      <c r="AO68" s="4"/>
      <c r="AP68" s="4"/>
      <c r="AQ68" s="4"/>
      <c r="AR68" s="20">
        <f t="shared" si="100"/>
        <v>12487671.074092701</v>
      </c>
      <c r="AS68" s="13">
        <f t="shared" si="79"/>
        <v>4.4529993830686055E-3</v>
      </c>
      <c r="AT68" s="13">
        <f t="shared" si="80"/>
        <v>4.4529993830686072E-3</v>
      </c>
      <c r="AU68" s="13">
        <f t="shared" si="101"/>
        <v>8.431303012383885E-4</v>
      </c>
      <c r="AV68" s="16">
        <f t="shared" si="81"/>
        <v>7857775.0988011509</v>
      </c>
      <c r="AW68" s="16">
        <f t="shared" si="102"/>
        <v>2839774.7396222912</v>
      </c>
      <c r="AX68" s="16">
        <f t="shared" si="103"/>
        <v>0</v>
      </c>
      <c r="AY68" s="16">
        <f t="shared" si="82"/>
        <v>0</v>
      </c>
      <c r="AZ68" s="13">
        <f t="shared" si="83"/>
        <v>3.6309393846270639E-2</v>
      </c>
      <c r="BA68" s="10">
        <f t="shared" si="84"/>
        <v>2847500.5645507746</v>
      </c>
      <c r="BB68" s="9">
        <f t="shared" si="85"/>
        <v>5.5627461523100954E-3</v>
      </c>
      <c r="BC68" s="13">
        <f t="shared" si="86"/>
        <v>4.3115777252973927E-2</v>
      </c>
      <c r="BD68" s="10">
        <f t="shared" si="87"/>
        <v>7857775.0988011491</v>
      </c>
      <c r="BE68" s="13">
        <f t="shared" si="88"/>
        <v>4.4529993830686029E-3</v>
      </c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</row>
    <row r="69" spans="2:70" x14ac:dyDescent="0.3">
      <c r="B69" s="96" t="str">
        <f t="shared" si="67"/>
        <v>US FOODRESTOFCATEGORY</v>
      </c>
      <c r="C69" s="96" t="str">
        <f t="shared" si="68"/>
        <v>US FOODRESTOFCATEGORYRESTOFCATEGORY</v>
      </c>
      <c r="D69" s="96" t="str">
        <f t="shared" si="69"/>
        <v>US FOODRESTOFCATEGORYRESTOFCATEGORYJAR 8OZ</v>
      </c>
      <c r="E69" s="3" t="s">
        <v>104</v>
      </c>
      <c r="F69" s="3" t="s">
        <v>111</v>
      </c>
      <c r="G69" s="3" t="s">
        <v>111</v>
      </c>
      <c r="H69" s="3" t="s">
        <v>119</v>
      </c>
      <c r="I69" s="20">
        <f>IFERROR(INDEX('Input - US Food'!G$2:G$200,MATCH('Calculations - US Food'!$D69,'Input - US Food'!$B$2:$B$200,0)),"")</f>
        <v>2850941.3025000002</v>
      </c>
      <c r="J69" s="20">
        <f>IFERROR(INDEX('Input - US Food'!H$2:H$200,MATCH('Calculations - US Food'!$D69,'Input - US Food'!$B$2:$B$200,0)),"")</f>
        <v>472704.0699</v>
      </c>
      <c r="K69" s="21">
        <f>IFERROR(INDEX('Input - US Food'!I$2:I$200,MATCH('Calculations - US Food'!$D69,'Input - US Food'!$B$2:$B$200,0)),"")</f>
        <v>2.85535992923336</v>
      </c>
      <c r="L69" s="21">
        <f>IFERROR(INDEX('Input - US Food'!J$2:J$200,MATCH('Calculations - US Food'!$D69,'Input - US Food'!$B$2:$B$200,0)),"")</f>
        <v>17.221056627409599</v>
      </c>
      <c r="M69" s="20">
        <f>IFERROR(INDEX('Input - US Food'!K$2:K$200,MATCH('Calculations - US Food'!$D69,'Input - US Food'!$B$2:$B$200,0)),"")</f>
        <v>11984463.846899999</v>
      </c>
      <c r="N69" s="20">
        <f>IFERROR(INDEX('Input - US Food'!L$2:L$200,MATCH('Calculations - US Food'!$D69,'Input - US Food'!$B$2:$B$200,0)),"")</f>
        <v>2402671.9640000002</v>
      </c>
      <c r="O69" s="21">
        <f t="shared" si="70"/>
        <v>6.0311333962136473</v>
      </c>
      <c r="P69" s="21">
        <f t="shared" si="89"/>
        <v>4.9879734006418861</v>
      </c>
      <c r="Q69" s="21">
        <f t="shared" si="71"/>
        <v>-2.6948948940952899</v>
      </c>
      <c r="R69" s="9">
        <f t="shared" si="90"/>
        <v>1.6156277956000809E-3</v>
      </c>
      <c r="S69" s="9">
        <f t="shared" si="91"/>
        <v>9.2424117368135165E-4</v>
      </c>
      <c r="T69" s="22">
        <f>IFERROR(INDEX('US Food'!$S$11:$S$197,MATCH('Calculations - US Food'!$D69,'US Food'!$N$11:$N$197,0)),"")</f>
        <v>0</v>
      </c>
      <c r="U69" s="22">
        <f>IFERROR(INDEX('US Food'!$T$11:$T$197,MATCH('Calculations - US Food'!$D69,'US Food'!$N$11:$N$197,0)),"")</f>
        <v>0</v>
      </c>
      <c r="V69" s="16">
        <f t="shared" si="92"/>
        <v>0</v>
      </c>
      <c r="W69" s="16">
        <f t="shared" si="72"/>
        <v>0</v>
      </c>
      <c r="X69" s="16">
        <f t="shared" si="73"/>
        <v>0</v>
      </c>
      <c r="Y69" s="10">
        <f t="shared" si="93"/>
        <v>0</v>
      </c>
      <c r="Z69" s="10">
        <f t="shared" si="94"/>
        <v>5495702.4291274427</v>
      </c>
      <c r="AA69" s="13">
        <f t="shared" si="74"/>
        <v>1.9597216631693829E-3</v>
      </c>
      <c r="AB69" s="9">
        <f t="shared" si="95"/>
        <v>3.4409386756930195E-4</v>
      </c>
      <c r="AC69" s="16">
        <f t="shared" si="75"/>
        <v>3458130.2984196483</v>
      </c>
      <c r="AD69" s="16">
        <f t="shared" si="96"/>
        <v>573379.83944952476</v>
      </c>
      <c r="AE69" s="16">
        <f t="shared" si="97"/>
        <v>0</v>
      </c>
      <c r="AF69" s="16">
        <f t="shared" si="76"/>
        <v>0</v>
      </c>
      <c r="AG69" s="16"/>
      <c r="AH69" s="32">
        <f>IFERROR(INDEX('US Food'!$R$11:$R$197,MATCH('Calculations - US Food'!D69,'US Food'!$N$11:$N$197,0)),"")</f>
        <v>6.0311333962136473</v>
      </c>
      <c r="AI69" s="23">
        <f t="shared" si="77"/>
        <v>0</v>
      </c>
      <c r="AJ69" s="23">
        <f t="shared" si="78"/>
        <v>0</v>
      </c>
      <c r="AK69" s="9">
        <f t="shared" si="98"/>
        <v>0</v>
      </c>
      <c r="AL69" s="4">
        <f t="shared" si="99"/>
        <v>472704.0699</v>
      </c>
      <c r="AM69" s="4"/>
      <c r="AN69" s="4"/>
      <c r="AO69" s="4"/>
      <c r="AP69" s="4"/>
      <c r="AQ69" s="4"/>
      <c r="AR69" s="20">
        <f t="shared" si="100"/>
        <v>5495702.4291274427</v>
      </c>
      <c r="AS69" s="13">
        <f t="shared" si="79"/>
        <v>1.9597216631693829E-3</v>
      </c>
      <c r="AT69" s="13">
        <f t="shared" si="80"/>
        <v>1.9597216631693838E-3</v>
      </c>
      <c r="AU69" s="13">
        <f t="shared" si="101"/>
        <v>3.4409386756930282E-4</v>
      </c>
      <c r="AV69" s="16">
        <f t="shared" si="81"/>
        <v>3458130.2984196502</v>
      </c>
      <c r="AW69" s="16">
        <f t="shared" si="102"/>
        <v>573379.83944952511</v>
      </c>
      <c r="AX69" s="16">
        <f t="shared" si="103"/>
        <v>0</v>
      </c>
      <c r="AY69" s="16">
        <f t="shared" si="82"/>
        <v>0</v>
      </c>
      <c r="AZ69" s="13">
        <f t="shared" si="83"/>
        <v>1.2906177259575586E-2</v>
      </c>
      <c r="BA69" s="10">
        <f t="shared" si="84"/>
        <v>541274.44163797121</v>
      </c>
      <c r="BB69" s="9">
        <f t="shared" si="85"/>
        <v>1.0574088571042777E-3</v>
      </c>
      <c r="BC69" s="13">
        <f t="shared" si="86"/>
        <v>1.8427133657108997E-2</v>
      </c>
      <c r="BD69" s="10">
        <f t="shared" si="87"/>
        <v>3458130.2984196548</v>
      </c>
      <c r="BE69" s="13">
        <f t="shared" si="88"/>
        <v>1.9597216631693851E-3</v>
      </c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</row>
    <row r="70" spans="2:70" x14ac:dyDescent="0.3">
      <c r="B70" s="96" t="str">
        <f t="shared" si="67"/>
        <v>US FOODRESTOFCATEGORY</v>
      </c>
      <c r="C70" s="96" t="str">
        <f t="shared" si="68"/>
        <v>US FOODRESTOFCATEGORYRESTOFCATEGORY</v>
      </c>
      <c r="D70" s="96" t="str">
        <f t="shared" si="69"/>
        <v>US FOODRESTOFCATEGORYRESTOFCATEGORYJAR 15OZ</v>
      </c>
      <c r="E70" s="3" t="s">
        <v>104</v>
      </c>
      <c r="F70" s="3" t="s">
        <v>111</v>
      </c>
      <c r="G70" s="3" t="s">
        <v>111</v>
      </c>
      <c r="H70" s="3" t="s">
        <v>116</v>
      </c>
      <c r="I70" s="20">
        <f>IFERROR(INDEX('Input - US Food'!G$2:G$200,MATCH('Calculations - US Food'!$D70,'Input - US Food'!$B$2:$B$200,0)),"")</f>
        <v>25831122.733800001</v>
      </c>
      <c r="J70" s="20">
        <f>IFERROR(INDEX('Input - US Food'!H$2:H$200,MATCH('Calculations - US Food'!$D70,'Input - US Food'!$B$2:$B$200,0)),"")</f>
        <v>4169237.5756000001</v>
      </c>
      <c r="K70" s="21">
        <f>IFERROR(INDEX('Input - US Food'!I$2:I$200,MATCH('Calculations - US Food'!$D70,'Input - US Food'!$B$2:$B$200,0)),"")</f>
        <v>1.96279080274537</v>
      </c>
      <c r="L70" s="21">
        <f>IFERROR(INDEX('Input - US Food'!J$2:J$200,MATCH('Calculations - US Food'!$D70,'Input - US Food'!$B$2:$B$200,0)),"")</f>
        <v>12.1607582218898</v>
      </c>
      <c r="M70" s="20">
        <f>IFERROR(INDEX('Input - US Food'!K$2:K$200,MATCH('Calculations - US Food'!$D70,'Input - US Food'!$B$2:$B$200,0)),"")</f>
        <v>101556124.0424</v>
      </c>
      <c r="N70" s="20">
        <f>IFERROR(INDEX('Input - US Food'!L$2:L$200,MATCH('Calculations - US Food'!$D70,'Input - US Food'!$B$2:$B$200,0)),"")</f>
        <v>18143755.5898</v>
      </c>
      <c r="O70" s="21">
        <f t="shared" si="70"/>
        <v>6.195646629727646</v>
      </c>
      <c r="P70" s="21">
        <f t="shared" si="89"/>
        <v>5.5973044577106466</v>
      </c>
      <c r="Q70" s="21">
        <f t="shared" si="71"/>
        <v>-5.1932361482293166</v>
      </c>
      <c r="R70" s="9">
        <f t="shared" si="90"/>
        <v>1.4638491449714592E-2</v>
      </c>
      <c r="S70" s="9">
        <f t="shared" si="91"/>
        <v>8.1517830617454066E-3</v>
      </c>
      <c r="T70" s="22">
        <f>IFERROR(INDEX('US Food'!$S$11:$S$197,MATCH('Calculations - US Food'!$D70,'US Food'!$N$11:$N$197,0)),"")</f>
        <v>0</v>
      </c>
      <c r="U70" s="22">
        <f>IFERROR(INDEX('US Food'!$T$11:$T$197,MATCH('Calculations - US Food'!$D70,'US Food'!$N$11:$N$197,0)),"")</f>
        <v>0</v>
      </c>
      <c r="V70" s="16">
        <f t="shared" si="92"/>
        <v>0</v>
      </c>
      <c r="W70" s="16">
        <f t="shared" si="72"/>
        <v>0</v>
      </c>
      <c r="X70" s="16">
        <f t="shared" si="73"/>
        <v>0</v>
      </c>
      <c r="Y70" s="10">
        <f t="shared" si="93"/>
        <v>0</v>
      </c>
      <c r="Z70" s="10">
        <f t="shared" si="94"/>
        <v>38266106.430144802</v>
      </c>
      <c r="AA70" s="13">
        <f t="shared" si="74"/>
        <v>1.3645374490955901E-2</v>
      </c>
      <c r="AB70" s="9">
        <f t="shared" si="95"/>
        <v>-9.9311695875869098E-4</v>
      </c>
      <c r="AC70" s="16">
        <f t="shared" si="75"/>
        <v>24078665.785702791</v>
      </c>
      <c r="AD70" s="16">
        <f t="shared" si="96"/>
        <v>3886384.6220941208</v>
      </c>
      <c r="AE70" s="16">
        <f t="shared" si="97"/>
        <v>0</v>
      </c>
      <c r="AF70" s="16">
        <f t="shared" si="76"/>
        <v>0</v>
      </c>
      <c r="AG70" s="16"/>
      <c r="AH70" s="32">
        <f>IFERROR(INDEX('US Food'!$R$11:$R$197,MATCH('Calculations - US Food'!D70,'US Food'!$N$11:$N$197,0)),"")</f>
        <v>6.195646629727646</v>
      </c>
      <c r="AI70" s="23">
        <f t="shared" si="77"/>
        <v>0</v>
      </c>
      <c r="AJ70" s="23">
        <f t="shared" si="78"/>
        <v>0</v>
      </c>
      <c r="AK70" s="9">
        <f t="shared" si="98"/>
        <v>0</v>
      </c>
      <c r="AL70" s="4">
        <f t="shared" si="99"/>
        <v>4169237.5756000001</v>
      </c>
      <c r="AM70" s="4"/>
      <c r="AN70" s="4"/>
      <c r="AO70" s="4"/>
      <c r="AP70" s="4"/>
      <c r="AQ70" s="4"/>
      <c r="AR70" s="20">
        <f t="shared" si="100"/>
        <v>38266106.430144802</v>
      </c>
      <c r="AS70" s="13">
        <f t="shared" si="79"/>
        <v>1.3645374490955901E-2</v>
      </c>
      <c r="AT70" s="13">
        <f t="shared" si="80"/>
        <v>1.3645374490955906E-2</v>
      </c>
      <c r="AU70" s="13">
        <f t="shared" si="101"/>
        <v>-9.9311695875868577E-4</v>
      </c>
      <c r="AV70" s="16">
        <f t="shared" si="81"/>
        <v>24078665.785702799</v>
      </c>
      <c r="AW70" s="16">
        <f t="shared" si="102"/>
        <v>3886384.6220941222</v>
      </c>
      <c r="AX70" s="16">
        <f t="shared" si="103"/>
        <v>0</v>
      </c>
      <c r="AY70" s="16">
        <f t="shared" si="82"/>
        <v>0</v>
      </c>
      <c r="AZ70" s="13">
        <f t="shared" si="83"/>
        <v>8.7478431191075873E-2</v>
      </c>
      <c r="BA70" s="10">
        <f t="shared" si="84"/>
        <v>3668773.3358988715</v>
      </c>
      <c r="BB70" s="9">
        <f t="shared" si="85"/>
        <v>7.1671468697984209E-3</v>
      </c>
      <c r="BC70" s="13">
        <f t="shared" si="86"/>
        <v>0.12830655713602585</v>
      </c>
      <c r="BD70" s="10">
        <f t="shared" si="87"/>
        <v>24078665.785702836</v>
      </c>
      <c r="BE70" s="13">
        <f t="shared" si="88"/>
        <v>1.3645374490955917E-2</v>
      </c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</row>
    <row r="71" spans="2:70" x14ac:dyDescent="0.3">
      <c r="B71" s="96" t="str">
        <f t="shared" si="67"/>
        <v>US FOODRESTOFCATEGORY</v>
      </c>
      <c r="C71" s="96" t="str">
        <f t="shared" si="68"/>
        <v>US FOODRESTOFCATEGORYRESTOFCATEGORY</v>
      </c>
      <c r="D71" s="96" t="str">
        <f t="shared" si="69"/>
        <v>US FOODRESTOFCATEGORYRESTOFCATEGORYJAR 30OZ</v>
      </c>
      <c r="E71" s="3" t="s">
        <v>104</v>
      </c>
      <c r="F71" s="3" t="s">
        <v>111</v>
      </c>
      <c r="G71" s="3" t="s">
        <v>111</v>
      </c>
      <c r="H71" s="3" t="s">
        <v>118</v>
      </c>
      <c r="I71" s="20">
        <f>IFERROR(INDEX('Input - US Food'!G$2:G$200,MATCH('Calculations - US Food'!$D71,'Input - US Food'!$B$2:$B$200,0)),"")</f>
        <v>35832407.113799997</v>
      </c>
      <c r="J71" s="20">
        <f>IFERROR(INDEX('Input - US Food'!H$2:H$200,MATCH('Calculations - US Food'!$D71,'Input - US Food'!$B$2:$B$200,0)),"")</f>
        <v>16323550.615599999</v>
      </c>
      <c r="K71" s="21">
        <f>IFERROR(INDEX('Input - US Food'!I$2:I$200,MATCH('Calculations - US Food'!$D71,'Input - US Food'!$B$2:$B$200,0)),"")</f>
        <v>2.9950304947822799</v>
      </c>
      <c r="L71" s="21">
        <f>IFERROR(INDEX('Input - US Food'!J$2:J$200,MATCH('Calculations - US Food'!$D71,'Input - US Food'!$B$2:$B$200,0)),"")</f>
        <v>6.5744980693552399</v>
      </c>
      <c r="M71" s="20">
        <f>IFERROR(INDEX('Input - US Food'!K$2:K$200,MATCH('Calculations - US Food'!$D71,'Input - US Food'!$B$2:$B$200,0)),"")</f>
        <v>135757546.0763</v>
      </c>
      <c r="N71" s="20">
        <f>IFERROR(INDEX('Input - US Food'!L$2:L$200,MATCH('Calculations - US Food'!$D71,'Input - US Food'!$B$2:$B$200,0)),"")</f>
        <v>68106088.351699993</v>
      </c>
      <c r="O71" s="21">
        <f t="shared" si="70"/>
        <v>2.1951356023949766</v>
      </c>
      <c r="P71" s="21">
        <f t="shared" si="89"/>
        <v>1.9933246698187645</v>
      </c>
      <c r="Q71" s="21">
        <f t="shared" si="71"/>
        <v>-2.5062273549586216</v>
      </c>
      <c r="R71" s="9">
        <f t="shared" si="90"/>
        <v>2.0306217060852078E-2</v>
      </c>
      <c r="S71" s="9">
        <f t="shared" si="91"/>
        <v>3.1916157571481689E-2</v>
      </c>
      <c r="T71" s="22">
        <f>IFERROR(INDEX('US Food'!$S$11:$S$197,MATCH('Calculations - US Food'!$D71,'US Food'!$N$11:$N$197,0)),"")</f>
        <v>0</v>
      </c>
      <c r="U71" s="22">
        <f>IFERROR(INDEX('US Food'!$T$11:$T$197,MATCH('Calculations - US Food'!$D71,'US Food'!$N$11:$N$197,0)),"")</f>
        <v>0</v>
      </c>
      <c r="V71" s="16">
        <f t="shared" si="92"/>
        <v>0</v>
      </c>
      <c r="W71" s="16">
        <f t="shared" si="72"/>
        <v>0</v>
      </c>
      <c r="X71" s="16">
        <f t="shared" si="73"/>
        <v>0</v>
      </c>
      <c r="Y71" s="10">
        <f t="shared" si="93"/>
        <v>0</v>
      </c>
      <c r="Z71" s="10">
        <f t="shared" si="94"/>
        <v>71575779.560542375</v>
      </c>
      <c r="AA71" s="13">
        <f t="shared" si="74"/>
        <v>2.5523326193864136E-2</v>
      </c>
      <c r="AB71" s="9">
        <f t="shared" si="95"/>
        <v>5.2171091330120573E-3</v>
      </c>
      <c r="AC71" s="16">
        <f t="shared" si="75"/>
        <v>45038532.40296638</v>
      </c>
      <c r="AD71" s="16">
        <f t="shared" si="96"/>
        <v>20517426.055059023</v>
      </c>
      <c r="AE71" s="16">
        <f t="shared" si="97"/>
        <v>0</v>
      </c>
      <c r="AF71" s="16">
        <f t="shared" si="76"/>
        <v>0</v>
      </c>
      <c r="AG71" s="16"/>
      <c r="AH71" s="32">
        <f>IFERROR(INDEX('US Food'!$R$11:$R$197,MATCH('Calculations - US Food'!D71,'US Food'!$N$11:$N$197,0)),"")</f>
        <v>2.1951356023949766</v>
      </c>
      <c r="AI71" s="23">
        <f t="shared" si="77"/>
        <v>0</v>
      </c>
      <c r="AJ71" s="23">
        <f t="shared" si="78"/>
        <v>0</v>
      </c>
      <c r="AK71" s="9">
        <f t="shared" si="98"/>
        <v>0</v>
      </c>
      <c r="AL71" s="4">
        <f t="shared" si="99"/>
        <v>16323550.615599999</v>
      </c>
      <c r="AM71" s="4"/>
      <c r="AN71" s="4"/>
      <c r="AO71" s="4"/>
      <c r="AP71" s="4"/>
      <c r="AQ71" s="4"/>
      <c r="AR71" s="20">
        <f t="shared" si="100"/>
        <v>71575779.560542375</v>
      </c>
      <c r="AS71" s="13">
        <f t="shared" si="79"/>
        <v>2.5523326193864136E-2</v>
      </c>
      <c r="AT71" s="13">
        <f t="shared" si="80"/>
        <v>2.5523326193864146E-2</v>
      </c>
      <c r="AU71" s="13">
        <f t="shared" si="101"/>
        <v>5.2171091330120677E-3</v>
      </c>
      <c r="AV71" s="16">
        <f t="shared" si="81"/>
        <v>45038532.402966395</v>
      </c>
      <c r="AW71" s="16">
        <f t="shared" si="102"/>
        <v>20517426.055059031</v>
      </c>
      <c r="AX71" s="16">
        <f t="shared" si="103"/>
        <v>0</v>
      </c>
      <c r="AY71" s="16">
        <f t="shared" si="82"/>
        <v>0</v>
      </c>
      <c r="AZ71" s="13">
        <f t="shared" si="83"/>
        <v>0.4618256857985274</v>
      </c>
      <c r="BA71" s="10">
        <f t="shared" si="84"/>
        <v>19368588.791790031</v>
      </c>
      <c r="BB71" s="9">
        <f t="shared" si="85"/>
        <v>3.7837584342745881E-2</v>
      </c>
      <c r="BC71" s="13">
        <f t="shared" si="86"/>
        <v>0.23999415426560733</v>
      </c>
      <c r="BD71" s="10">
        <f t="shared" si="87"/>
        <v>45038532.402966455</v>
      </c>
      <c r="BE71" s="13">
        <f t="shared" si="88"/>
        <v>2.552332619386416E-2</v>
      </c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</row>
    <row r="72" spans="2:70" x14ac:dyDescent="0.3">
      <c r="B72" s="96" t="str">
        <f t="shared" si="67"/>
        <v>US FOODRESTOFCATEGORY</v>
      </c>
      <c r="C72" s="96" t="str">
        <f t="shared" si="68"/>
        <v>US FOODRESTOFCATEGORYRESTOFCATEGORY</v>
      </c>
      <c r="D72" s="96" t="str">
        <f t="shared" si="69"/>
        <v>US FOODRESTOFCATEGORYRESTOFCATEGORYSQUEEZY 12OZ</v>
      </c>
      <c r="E72" s="3" t="s">
        <v>104</v>
      </c>
      <c r="F72" s="3" t="s">
        <v>111</v>
      </c>
      <c r="G72" s="3" t="s">
        <v>111</v>
      </c>
      <c r="H72" s="3" t="s">
        <v>117</v>
      </c>
      <c r="I72" s="20">
        <f>IFERROR(INDEX('Input - US Food'!G$2:G$200,MATCH('Calculations - US Food'!$D72,'Input - US Food'!$B$2:$B$200,0)),"")</f>
        <v>564685.45620000002</v>
      </c>
      <c r="J72" s="20">
        <f>IFERROR(INDEX('Input - US Food'!H$2:H$200,MATCH('Calculations - US Food'!$D72,'Input - US Food'!$B$2:$B$200,0)),"")</f>
        <v>98669.902799999996</v>
      </c>
      <c r="K72" s="21">
        <f>IFERROR(INDEX('Input - US Food'!I$2:I$200,MATCH('Calculations - US Food'!$D72,'Input - US Food'!$B$2:$B$200,0)),"")</f>
        <v>2.80623633527137</v>
      </c>
      <c r="L72" s="21">
        <f>IFERROR(INDEX('Input - US Food'!J$2:J$200,MATCH('Calculations - US Food'!$D72,'Input - US Food'!$B$2:$B$200,0)),"")</f>
        <v>16.0600223596017</v>
      </c>
      <c r="M72" s="20">
        <f>IFERROR(INDEX('Input - US Food'!K$2:K$200,MATCH('Calculations - US Food'!$D72,'Input - US Food'!$B$2:$B$200,0)),"")</f>
        <v>2414935.0251000002</v>
      </c>
      <c r="N72" s="20">
        <f>IFERROR(INDEX('Input - US Food'!L$2:L$200,MATCH('Calculations - US Food'!$D72,'Input - US Food'!$B$2:$B$200,0)),"")</f>
        <v>429776.12709999998</v>
      </c>
      <c r="O72" s="21">
        <f t="shared" si="70"/>
        <v>5.7229757015631728</v>
      </c>
      <c r="P72" s="21">
        <f t="shared" si="89"/>
        <v>5.61905343927606</v>
      </c>
      <c r="Q72" s="21">
        <f t="shared" si="71"/>
        <v>-2.7681870319859412</v>
      </c>
      <c r="R72" s="9">
        <f t="shared" si="90"/>
        <v>3.200071211595322E-4</v>
      </c>
      <c r="S72" s="9">
        <f t="shared" si="91"/>
        <v>1.9292151808675783E-4</v>
      </c>
      <c r="T72" s="22">
        <f>IFERROR(INDEX('US Food'!$S$11:$S$197,MATCH('Calculations - US Food'!$D72,'US Food'!$N$11:$N$197,0)),"")</f>
        <v>0</v>
      </c>
      <c r="U72" s="22">
        <f>IFERROR(INDEX('US Food'!$T$11:$T$197,MATCH('Calculations - US Food'!$D72,'US Food'!$N$11:$N$197,0)),"")</f>
        <v>0</v>
      </c>
      <c r="V72" s="16">
        <f t="shared" si="92"/>
        <v>0</v>
      </c>
      <c r="W72" s="16">
        <f t="shared" si="72"/>
        <v>0</v>
      </c>
      <c r="X72" s="16">
        <f t="shared" si="73"/>
        <v>0</v>
      </c>
      <c r="Y72" s="10">
        <f t="shared" si="93"/>
        <v>0</v>
      </c>
      <c r="Z72" s="10">
        <f t="shared" si="94"/>
        <v>1074663.1506938632</v>
      </c>
      <c r="AA72" s="13">
        <f t="shared" si="74"/>
        <v>3.8321591901747205E-4</v>
      </c>
      <c r="AB72" s="9">
        <f t="shared" si="95"/>
        <v>6.3208797857939854E-5</v>
      </c>
      <c r="AC72" s="16">
        <f t="shared" si="75"/>
        <v>676223.87673555547</v>
      </c>
      <c r="AD72" s="16">
        <f t="shared" si="96"/>
        <v>118159.48765095259</v>
      </c>
      <c r="AE72" s="16">
        <f t="shared" si="97"/>
        <v>0</v>
      </c>
      <c r="AF72" s="16">
        <f t="shared" si="76"/>
        <v>0</v>
      </c>
      <c r="AG72" s="16"/>
      <c r="AH72" s="32">
        <f>IFERROR(INDEX('US Food'!$R$11:$R$197,MATCH('Calculations - US Food'!D72,'US Food'!$N$11:$N$197,0)),"")</f>
        <v>5.7229757015631728</v>
      </c>
      <c r="AI72" s="23">
        <f t="shared" si="77"/>
        <v>0</v>
      </c>
      <c r="AJ72" s="23">
        <f t="shared" si="78"/>
        <v>0</v>
      </c>
      <c r="AK72" s="9">
        <f t="shared" si="98"/>
        <v>0</v>
      </c>
      <c r="AL72" s="4">
        <f t="shared" si="99"/>
        <v>98669.902799999996</v>
      </c>
      <c r="AM72" s="4"/>
      <c r="AN72" s="4"/>
      <c r="AO72" s="4"/>
      <c r="AP72" s="4"/>
      <c r="AQ72" s="4"/>
      <c r="AR72" s="20">
        <f t="shared" si="100"/>
        <v>1074663.1506938632</v>
      </c>
      <c r="AS72" s="13">
        <f t="shared" si="79"/>
        <v>3.8321591901747205E-4</v>
      </c>
      <c r="AT72" s="13">
        <f t="shared" si="80"/>
        <v>3.8321591901747221E-4</v>
      </c>
      <c r="AU72" s="13">
        <f t="shared" si="101"/>
        <v>6.3208797857940016E-5</v>
      </c>
      <c r="AV72" s="16">
        <f t="shared" si="81"/>
        <v>676223.87673555571</v>
      </c>
      <c r="AW72" s="16">
        <f t="shared" si="102"/>
        <v>118159.48765095264</v>
      </c>
      <c r="AX72" s="16">
        <f t="shared" si="103"/>
        <v>0</v>
      </c>
      <c r="AY72" s="16">
        <f t="shared" si="82"/>
        <v>0</v>
      </c>
      <c r="AZ72" s="13">
        <f t="shared" si="83"/>
        <v>2.6596458187087557E-3</v>
      </c>
      <c r="BA72" s="10">
        <f t="shared" si="84"/>
        <v>111543.35451330127</v>
      </c>
      <c r="BB72" s="9">
        <f t="shared" si="85"/>
        <v>2.1790596773156969E-4</v>
      </c>
      <c r="BC72" s="13">
        <f t="shared" si="86"/>
        <v>3.6033540333714567E-3</v>
      </c>
      <c r="BD72" s="10">
        <f t="shared" si="87"/>
        <v>676223.87673555675</v>
      </c>
      <c r="BE72" s="13">
        <f t="shared" si="88"/>
        <v>3.8321591901747254E-4</v>
      </c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</row>
    <row r="73" spans="2:70" x14ac:dyDescent="0.3">
      <c r="B73" s="96" t="str">
        <f t="shared" si="67"/>
        <v>US FOODRESTOFCATEGORY</v>
      </c>
      <c r="C73" s="96" t="str">
        <f t="shared" si="68"/>
        <v>US FOODRESTOFCATEGORYRESTOFCATEGORY</v>
      </c>
      <c r="D73" s="96" t="str">
        <f t="shared" si="69"/>
        <v>US FOODRESTOFCATEGORYRESTOFCATEGORYSQUEEZY 18 TO 22OZ</v>
      </c>
      <c r="E73" s="3" t="s">
        <v>104</v>
      </c>
      <c r="F73" s="3" t="s">
        <v>111</v>
      </c>
      <c r="G73" s="3" t="s">
        <v>111</v>
      </c>
      <c r="H73" s="3" t="s">
        <v>120</v>
      </c>
      <c r="I73" s="20">
        <f>IFERROR(INDEX('Input - US Food'!G$2:G$200,MATCH('Calculations - US Food'!$D73,'Input - US Food'!$B$2:$B$200,0)),"")</f>
        <v>15881734.883199999</v>
      </c>
      <c r="J73" s="20">
        <f>IFERROR(INDEX('Input - US Food'!H$2:H$200,MATCH('Calculations - US Food'!$D73,'Input - US Food'!$B$2:$B$200,0)),"")</f>
        <v>2868054.1682000002</v>
      </c>
      <c r="K73" s="21">
        <f>IFERROR(INDEX('Input - US Food'!I$2:I$200,MATCH('Calculations - US Food'!$D73,'Input - US Food'!$B$2:$B$200,0)),"")</f>
        <v>1.9407346779372601</v>
      </c>
      <c r="L73" s="21">
        <f>IFERROR(INDEX('Input - US Food'!J$2:J$200,MATCH('Calculations - US Food'!$D73,'Input - US Food'!$B$2:$B$200,0)),"")</f>
        <v>10.7467404121507</v>
      </c>
      <c r="M73" s="20">
        <f>IFERROR(INDEX('Input - US Food'!K$2:K$200,MATCH('Calculations - US Food'!$D73,'Input - US Food'!$B$2:$B$200,0)),"")</f>
        <v>64343401.105999999</v>
      </c>
      <c r="N73" s="20">
        <f>IFERROR(INDEX('Input - US Food'!L$2:L$200,MATCH('Calculations - US Food'!$D73,'Input - US Food'!$B$2:$B$200,0)),"")</f>
        <v>14230327.591499999</v>
      </c>
      <c r="O73" s="21">
        <f t="shared" si="70"/>
        <v>5.5374598776031574</v>
      </c>
      <c r="P73" s="21">
        <f t="shared" si="89"/>
        <v>4.5215685086851645</v>
      </c>
      <c r="Q73" s="21">
        <f t="shared" si="71"/>
        <v>-5.3149948835344487</v>
      </c>
      <c r="R73" s="9">
        <f t="shared" si="90"/>
        <v>9.0001755901283845E-3</v>
      </c>
      <c r="S73" s="9">
        <f t="shared" si="91"/>
        <v>5.6076812521619057E-3</v>
      </c>
      <c r="T73" s="22">
        <f>IFERROR(INDEX('US Food'!$S$11:$S$197,MATCH('Calculations - US Food'!$D73,'US Food'!$N$11:$N$197,0)),"")</f>
        <v>0</v>
      </c>
      <c r="U73" s="22">
        <f>IFERROR(INDEX('US Food'!$T$11:$T$197,MATCH('Calculations - US Food'!$D73,'US Food'!$N$11:$N$197,0)),"")</f>
        <v>0</v>
      </c>
      <c r="V73" s="16">
        <f t="shared" si="92"/>
        <v>0</v>
      </c>
      <c r="W73" s="16">
        <f t="shared" si="72"/>
        <v>0</v>
      </c>
      <c r="X73" s="16">
        <f t="shared" si="73"/>
        <v>0</v>
      </c>
      <c r="Y73" s="10">
        <f t="shared" si="93"/>
        <v>0</v>
      </c>
      <c r="Z73" s="10">
        <f t="shared" si="94"/>
        <v>23351984.258416101</v>
      </c>
      <c r="AA73" s="13">
        <f t="shared" si="74"/>
        <v>8.327122878171252E-3</v>
      </c>
      <c r="AB73" s="9">
        <f t="shared" si="95"/>
        <v>-6.7305271195713251E-4</v>
      </c>
      <c r="AC73" s="16">
        <f t="shared" si="75"/>
        <v>14694064.195369622</v>
      </c>
      <c r="AD73" s="16">
        <f t="shared" si="96"/>
        <v>2653574.8375895815</v>
      </c>
      <c r="AE73" s="16">
        <f t="shared" si="97"/>
        <v>0</v>
      </c>
      <c r="AF73" s="16">
        <f t="shared" si="76"/>
        <v>0</v>
      </c>
      <c r="AG73" s="16"/>
      <c r="AH73" s="32">
        <f>IFERROR(INDEX('US Food'!$R$11:$R$197,MATCH('Calculations - US Food'!D73,'US Food'!$N$11:$N$197,0)),"")</f>
        <v>5.5374598776031574</v>
      </c>
      <c r="AI73" s="23">
        <f t="shared" si="77"/>
        <v>0</v>
      </c>
      <c r="AJ73" s="23">
        <f t="shared" si="78"/>
        <v>0</v>
      </c>
      <c r="AK73" s="9">
        <f t="shared" si="98"/>
        <v>0</v>
      </c>
      <c r="AL73" s="4">
        <f t="shared" si="99"/>
        <v>2868054.1682000002</v>
      </c>
      <c r="AM73" s="4"/>
      <c r="AN73" s="4"/>
      <c r="AO73" s="4"/>
      <c r="AP73" s="4"/>
      <c r="AQ73" s="4"/>
      <c r="AR73" s="20">
        <f t="shared" si="100"/>
        <v>23351984.258416101</v>
      </c>
      <c r="AS73" s="13">
        <f t="shared" si="79"/>
        <v>8.327122878171252E-3</v>
      </c>
      <c r="AT73" s="13">
        <f t="shared" si="80"/>
        <v>8.3271228781712555E-3</v>
      </c>
      <c r="AU73" s="13">
        <f t="shared" si="101"/>
        <v>-6.7305271195712904E-4</v>
      </c>
      <c r="AV73" s="16">
        <f t="shared" si="81"/>
        <v>14694064.195369627</v>
      </c>
      <c r="AW73" s="16">
        <f t="shared" si="102"/>
        <v>2653574.8375895824</v>
      </c>
      <c r="AX73" s="16">
        <f t="shared" si="103"/>
        <v>0</v>
      </c>
      <c r="AY73" s="16">
        <f t="shared" si="82"/>
        <v>0</v>
      </c>
      <c r="AZ73" s="13">
        <f t="shared" si="83"/>
        <v>5.9729179279062308E-2</v>
      </c>
      <c r="BA73" s="10">
        <f t="shared" si="84"/>
        <v>2504992.5716603622</v>
      </c>
      <c r="BB73" s="9">
        <f t="shared" si="85"/>
        <v>4.8936382886257297E-3</v>
      </c>
      <c r="BC73" s="13">
        <f t="shared" si="86"/>
        <v>7.8299387682978963E-2</v>
      </c>
      <c r="BD73" s="10">
        <f t="shared" si="87"/>
        <v>14694064.19536965</v>
      </c>
      <c r="BE73" s="13">
        <f t="shared" si="88"/>
        <v>8.3271228781712624E-3</v>
      </c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</row>
    <row r="74" spans="2:70" x14ac:dyDescent="0.3">
      <c r="B74" s="96" t="str">
        <f t="shared" si="67"/>
        <v>US FOODRESTOFCATEGORY</v>
      </c>
      <c r="C74" s="96" t="str">
        <f t="shared" si="68"/>
        <v>US FOODRESTOFCATEGORYRESTOFCATEGORY</v>
      </c>
      <c r="D74" s="96" t="str">
        <f t="shared" si="69"/>
        <v>US FOODRESTOFCATEGORYRESTOFCATEGORYOTHER</v>
      </c>
      <c r="E74" s="3" t="s">
        <v>104</v>
      </c>
      <c r="F74" s="3" t="s">
        <v>111</v>
      </c>
      <c r="G74" s="3" t="s">
        <v>111</v>
      </c>
      <c r="H74" s="3" t="s">
        <v>115</v>
      </c>
      <c r="I74" s="20">
        <f>IFERROR(INDEX('Input - US Food'!G$2:G$200,MATCH('Calculations - US Food'!$D74,'Input - US Food'!$B$2:$B$200,0)),"")</f>
        <v>103842286.5758</v>
      </c>
      <c r="J74" s="20">
        <f>IFERROR(INDEX('Input - US Food'!H$2:H$200,MATCH('Calculations - US Food'!$D74,'Input - US Food'!$B$2:$B$200,0)),"")</f>
        <v>17367375.883200001</v>
      </c>
      <c r="K74" s="21">
        <f>IFERROR(INDEX('Input - US Food'!I$2:I$200,MATCH('Calculations - US Food'!$D74,'Input - US Food'!$B$2:$B$200,0)),"")</f>
        <v>2.05223331503676</v>
      </c>
      <c r="L74" s="21">
        <f>IFERROR(INDEX('Input - US Food'!J$2:J$200,MATCH('Calculations - US Food'!$D74,'Input - US Food'!$B$2:$B$200,0)),"")</f>
        <v>12.2706274945426</v>
      </c>
      <c r="M74" s="20">
        <f>IFERROR(INDEX('Input - US Food'!K$2:K$200,MATCH('Calculations - US Food'!$D74,'Input - US Food'!$B$2:$B$200,0)),"")</f>
        <v>305458753.51999998</v>
      </c>
      <c r="N74" s="20">
        <f>IFERROR(INDEX('Input - US Food'!L$2:L$200,MATCH('Calculations - US Food'!$D74,'Input - US Food'!$B$2:$B$200,0)),"")</f>
        <v>54687287.124200001</v>
      </c>
      <c r="O74" s="21">
        <f t="shared" si="70"/>
        <v>5.979158122341893</v>
      </c>
      <c r="P74" s="21">
        <f t="shared" si="89"/>
        <v>5.5855532351837871</v>
      </c>
      <c r="Q74" s="21">
        <f t="shared" si="71"/>
        <v>-4.7517978461130381</v>
      </c>
      <c r="R74" s="9">
        <f t="shared" si="90"/>
        <v>5.8847400472052204E-2</v>
      </c>
      <c r="S74" s="9">
        <f t="shared" si="91"/>
        <v>3.3957067205809495E-2</v>
      </c>
      <c r="T74" s="22">
        <f>IFERROR(INDEX('US Food'!$S$11:$S$197,MATCH('Calculations - US Food'!$D74,'US Food'!$N$11:$N$197,0)),"")</f>
        <v>0</v>
      </c>
      <c r="U74" s="22">
        <f>IFERROR(INDEX('US Food'!$T$11:$T$197,MATCH('Calculations - US Food'!$D74,'US Food'!$N$11:$N$197,0)),"")</f>
        <v>0</v>
      </c>
      <c r="V74" s="16">
        <f t="shared" si="92"/>
        <v>0</v>
      </c>
      <c r="W74" s="16">
        <f t="shared" si="72"/>
        <v>0</v>
      </c>
      <c r="X74" s="16">
        <f t="shared" si="73"/>
        <v>0</v>
      </c>
      <c r="Y74" s="10">
        <f t="shared" si="93"/>
        <v>0</v>
      </c>
      <c r="Z74" s="10">
        <f t="shared" si="94"/>
        <v>158475443.298125</v>
      </c>
      <c r="AA74" s="13">
        <f t="shared" si="74"/>
        <v>5.6511021715019573E-2</v>
      </c>
      <c r="AB74" s="9">
        <f t="shared" si="95"/>
        <v>-2.3363787570326311E-3</v>
      </c>
      <c r="AC74" s="16">
        <f t="shared" si="75"/>
        <v>99719506.121757403</v>
      </c>
      <c r="AD74" s="16">
        <f t="shared" si="96"/>
        <v>16677850.640735298</v>
      </c>
      <c r="AE74" s="16">
        <f t="shared" si="97"/>
        <v>0</v>
      </c>
      <c r="AF74" s="16">
        <f t="shared" si="76"/>
        <v>0</v>
      </c>
      <c r="AG74" s="16"/>
      <c r="AH74" s="32">
        <f>IFERROR(INDEX('US Food'!$R$11:$R$197,MATCH('Calculations - US Food'!D74,'US Food'!$N$11:$N$197,0)),"")</f>
        <v>5.979158122341893</v>
      </c>
      <c r="AI74" s="23">
        <f t="shared" si="77"/>
        <v>0</v>
      </c>
      <c r="AJ74" s="23">
        <f t="shared" si="78"/>
        <v>0</v>
      </c>
      <c r="AK74" s="9">
        <f t="shared" si="98"/>
        <v>0</v>
      </c>
      <c r="AL74" s="4">
        <f t="shared" si="99"/>
        <v>17367375.883200001</v>
      </c>
      <c r="AM74" s="4"/>
      <c r="AN74" s="4"/>
      <c r="AO74" s="4"/>
      <c r="AP74" s="4"/>
      <c r="AQ74" s="4"/>
      <c r="AR74" s="20">
        <f t="shared" si="100"/>
        <v>158475443.298125</v>
      </c>
      <c r="AS74" s="13">
        <f t="shared" si="79"/>
        <v>5.6511021715019573E-2</v>
      </c>
      <c r="AT74" s="13">
        <f t="shared" si="80"/>
        <v>5.6511021715019601E-2</v>
      </c>
      <c r="AU74" s="13">
        <f t="shared" si="101"/>
        <v>-2.3363787570326033E-3</v>
      </c>
      <c r="AV74" s="16">
        <f t="shared" si="81"/>
        <v>99719506.121757448</v>
      </c>
      <c r="AW74" s="16">
        <f t="shared" si="102"/>
        <v>16677850.640735306</v>
      </c>
      <c r="AX74" s="16">
        <f t="shared" si="103"/>
        <v>0</v>
      </c>
      <c r="AY74" s="16">
        <f t="shared" si="82"/>
        <v>0</v>
      </c>
      <c r="AZ74" s="13">
        <f t="shared" si="83"/>
        <v>0.37540088065304994</v>
      </c>
      <c r="BA74" s="10">
        <f t="shared" si="84"/>
        <v>15744003.664223984</v>
      </c>
      <c r="BB74" s="9">
        <f t="shared" si="85"/>
        <v>3.0756761524623168E-2</v>
      </c>
      <c r="BC74" s="13">
        <f t="shared" si="86"/>
        <v>0.53136941322490738</v>
      </c>
      <c r="BD74" s="10">
        <f t="shared" si="87"/>
        <v>99719506.121757582</v>
      </c>
      <c r="BE74" s="13">
        <f t="shared" si="88"/>
        <v>5.6511021715019635E-2</v>
      </c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</row>
    <row r="75" spans="2:70" s="103" customFormat="1" x14ac:dyDescent="0.3">
      <c r="B75" s="103" t="str">
        <f t="shared" si="67"/>
        <v>US FOODMIRACLE WHIP</v>
      </c>
      <c r="C75" s="103" t="str">
        <f t="shared" si="68"/>
        <v>US FOODMIRACLE WHIPWHIPPED DRESSING</v>
      </c>
      <c r="D75" s="103" t="str">
        <f t="shared" si="69"/>
        <v>US FOODMIRACLE WHIPWHIPPED DRESSINGJAR 15OZ</v>
      </c>
      <c r="E75" s="191" t="s">
        <v>104</v>
      </c>
      <c r="F75" s="191" t="s">
        <v>109</v>
      </c>
      <c r="G75" s="191" t="s">
        <v>114</v>
      </c>
      <c r="H75" s="191" t="s">
        <v>116</v>
      </c>
      <c r="I75" s="25">
        <f>IFERROR(INDEX('Input - US Food'!G$2:G$200,MATCH('Calculations - US Food'!$D75,'Input - US Food'!$B$2:$B$200,0)),"")</f>
        <v>27881048.403200001</v>
      </c>
      <c r="J75" s="25">
        <f>IFERROR(INDEX('Input - US Food'!H$2:H$200,MATCH('Calculations - US Food'!$D75,'Input - US Food'!$B$2:$B$200,0)),"")</f>
        <v>4782561.5684000002</v>
      </c>
      <c r="K75" s="192">
        <f>IFERROR(INDEX('Input - US Food'!I$2:I$200,MATCH('Calculations - US Food'!$D75,'Input - US Food'!$B$2:$B$200,0)),"")</f>
        <v>1.94894688942163</v>
      </c>
      <c r="L75" s="192">
        <f>IFERROR(INDEX('Input - US Food'!J$2:J$200,MATCH('Calculations - US Food'!$D75,'Input - US Food'!$B$2:$B$200,0)),"")</f>
        <v>11.3618364932852</v>
      </c>
      <c r="M75" s="25">
        <f>IFERROR(INDEX('Input - US Food'!K$2:K$200,MATCH('Calculations - US Food'!$D75,'Input - US Food'!$B$2:$B$200,0)),"")</f>
        <v>98671926.878800005</v>
      </c>
      <c r="N75" s="25">
        <f>IFERROR(INDEX('Input - US Food'!L$2:L$200,MATCH('Calculations - US Food'!$D75,'Input - US Food'!$B$2:$B$200,0)),"")</f>
        <v>18861732.835299999</v>
      </c>
      <c r="O75" s="192">
        <f t="shared" si="70"/>
        <v>5.829731202504429</v>
      </c>
      <c r="P75" s="192">
        <f t="shared" si="89"/>
        <v>5.2313288360300652</v>
      </c>
      <c r="Q75" s="192">
        <f t="shared" si="71"/>
        <v>-5.2689987772102338</v>
      </c>
      <c r="R75" s="24">
        <f t="shared" si="90"/>
        <v>1.5800183866002682E-2</v>
      </c>
      <c r="S75" s="24">
        <f t="shared" si="91"/>
        <v>9.35096733589884E-3</v>
      </c>
      <c r="T75" s="193">
        <f>IFERROR(INDEX('US Food'!$S$11:$S$197,MATCH('Calculations - US Food'!$D75,'US Food'!$N$11:$N$197,0)),"")</f>
        <v>0.8</v>
      </c>
      <c r="U75" s="193">
        <f>IFERROR(INDEX('US Food'!$T$11:$T$197,MATCH('Calculations - US Food'!$D75,'US Food'!$N$11:$N$197,0)),"")</f>
        <v>0.3</v>
      </c>
      <c r="V75" s="194">
        <f t="shared" si="92"/>
        <v>22304838.722560003</v>
      </c>
      <c r="W75" s="194">
        <f t="shared" si="72"/>
        <v>6691451.6167680006</v>
      </c>
      <c r="X75" s="194">
        <f t="shared" si="73"/>
        <v>15613387.105792003</v>
      </c>
      <c r="Y75" s="195">
        <f t="shared" si="93"/>
        <v>3.2646494734024807</v>
      </c>
      <c r="Z75" s="195">
        <f t="shared" si="94"/>
        <v>41109865.481215216</v>
      </c>
      <c r="AA75" s="183">
        <f t="shared" si="74"/>
        <v>1.4659435257361247E-2</v>
      </c>
      <c r="AB75" s="24">
        <f t="shared" si="95"/>
        <v>-1.1407486086414346E-3</v>
      </c>
      <c r="AC75" s="194">
        <f t="shared" si="75"/>
        <v>25868080.23503517</v>
      </c>
      <c r="AD75" s="194">
        <f t="shared" si="96"/>
        <v>4437268.08946566</v>
      </c>
      <c r="AE75" s="194">
        <f t="shared" si="97"/>
        <v>20694464.188028138</v>
      </c>
      <c r="AF75" s="194">
        <f t="shared" si="76"/>
        <v>6208339.2564084399</v>
      </c>
      <c r="AG75" s="194"/>
      <c r="AH75" s="192">
        <f>IFERROR(INDEX('US Food'!$R$11:$R$197,MATCH('Calculations - US Food'!D75,'US Food'!$N$11:$N$197,0)),"")</f>
        <v>5.829731202504429</v>
      </c>
      <c r="AI75" s="193">
        <f t="shared" si="77"/>
        <v>0.8</v>
      </c>
      <c r="AJ75" s="193">
        <f t="shared" si="78"/>
        <v>0.3</v>
      </c>
      <c r="AK75" s="24">
        <f t="shared" si="98"/>
        <v>0</v>
      </c>
      <c r="AL75" s="18">
        <f t="shared" si="99"/>
        <v>4782561.5684000002</v>
      </c>
      <c r="AM75" s="18"/>
      <c r="AN75" s="18"/>
      <c r="AO75" s="18"/>
      <c r="AP75" s="18"/>
      <c r="AQ75" s="18"/>
      <c r="AR75" s="25">
        <f t="shared" si="100"/>
        <v>41109865.481215216</v>
      </c>
      <c r="AS75" s="183">
        <f t="shared" si="79"/>
        <v>1.4659435257361247E-2</v>
      </c>
      <c r="AT75" s="183">
        <f t="shared" si="80"/>
        <v>1.4659435257361254E-2</v>
      </c>
      <c r="AU75" s="183">
        <f t="shared" si="101"/>
        <v>-1.1407486086414276E-3</v>
      </c>
      <c r="AV75" s="194">
        <f t="shared" si="81"/>
        <v>25868080.235035185</v>
      </c>
      <c r="AW75" s="194">
        <f t="shared" si="102"/>
        <v>4437268.0894656619</v>
      </c>
      <c r="AX75" s="194">
        <f t="shared" si="103"/>
        <v>20694464.188028149</v>
      </c>
      <c r="AY75" s="194">
        <f t="shared" si="82"/>
        <v>6208339.2564084455</v>
      </c>
      <c r="AZ75" s="183">
        <f t="shared" si="83"/>
        <v>8.2982844646820916E-2</v>
      </c>
      <c r="BA75" s="195">
        <f t="shared" si="84"/>
        <v>4440587.3315465879</v>
      </c>
      <c r="BB75" s="24">
        <f t="shared" si="85"/>
        <v>8.6749271975841494E-3</v>
      </c>
      <c r="BC75" s="183">
        <f t="shared" si="86"/>
        <v>0.13271948226574892</v>
      </c>
      <c r="BD75" s="195">
        <f t="shared" si="87"/>
        <v>25868080.235035196</v>
      </c>
      <c r="BE75" s="183">
        <f t="shared" si="88"/>
        <v>1.4659435257361251E-2</v>
      </c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</row>
    <row r="76" spans="2:70" x14ac:dyDescent="0.3">
      <c r="B76" s="96" t="str">
        <f t="shared" si="67"/>
        <v>US FOODMIRACLE WHIP</v>
      </c>
      <c r="C76" s="96" t="str">
        <f t="shared" si="68"/>
        <v>US FOODMIRACLE WHIPWHIPPED DRESSING</v>
      </c>
      <c r="D76" s="96" t="str">
        <f t="shared" si="69"/>
        <v>US FOODMIRACLE WHIPWHIPPED DRESSINGJAR 30OZ</v>
      </c>
      <c r="E76" s="3" t="s">
        <v>104</v>
      </c>
      <c r="F76" s="3" t="s">
        <v>109</v>
      </c>
      <c r="G76" s="3" t="s">
        <v>114</v>
      </c>
      <c r="H76" s="3" t="s">
        <v>118</v>
      </c>
      <c r="I76" s="20">
        <f>IFERROR(INDEX('Input - US Food'!G$2:G$200,MATCH('Calculations - US Food'!$D76,'Input - US Food'!$B$2:$B$200,0)),"")</f>
        <v>131301971.226</v>
      </c>
      <c r="J76" s="20">
        <f>IFERROR(INDEX('Input - US Food'!H$2:H$200,MATCH('Calculations - US Food'!$D76,'Input - US Food'!$B$2:$B$200,0)),"")</f>
        <v>43304238.984499998</v>
      </c>
      <c r="K76" s="21">
        <f>IFERROR(INDEX('Input - US Food'!I$2:I$200,MATCH('Calculations - US Food'!$D76,'Input - US Food'!$B$2:$B$200,0)),"")</f>
        <v>2.0258610190656201</v>
      </c>
      <c r="L76" s="21">
        <f>IFERROR(INDEX('Input - US Food'!J$2:J$200,MATCH('Calculations - US Food'!$D76,'Input - US Food'!$B$2:$B$200,0)),"")</f>
        <v>6.1425752182930298</v>
      </c>
      <c r="M76" s="20">
        <f>IFERROR(INDEX('Input - US Food'!K$2:K$200,MATCH('Calculations - US Food'!$D76,'Input - US Food'!$B$2:$B$200,0)),"")</f>
        <v>497261281.32099998</v>
      </c>
      <c r="N76" s="20">
        <f>IFERROR(INDEX('Input - US Food'!L$2:L$200,MATCH('Calculations - US Food'!$D76,'Input - US Food'!$B$2:$B$200,0)),"")</f>
        <v>184650834.8985</v>
      </c>
      <c r="O76" s="21">
        <f t="shared" si="70"/>
        <v>3.0320812535926853</v>
      </c>
      <c r="P76" s="21">
        <f t="shared" si="89"/>
        <v>2.6929814944748971</v>
      </c>
      <c r="Q76" s="21">
        <f t="shared" si="71"/>
        <v>-4.8739545679922047</v>
      </c>
      <c r="R76" s="9">
        <f t="shared" si="90"/>
        <v>7.4408797593898415E-2</v>
      </c>
      <c r="S76" s="9">
        <f t="shared" si="91"/>
        <v>8.4669380301462094E-2</v>
      </c>
      <c r="T76" s="22">
        <f>IFERROR(INDEX('US Food'!$S$11:$S$197,MATCH('Calculations - US Food'!$D76,'US Food'!$N$11:$N$197,0)),"")</f>
        <v>0.8</v>
      </c>
      <c r="U76" s="22">
        <f>IFERROR(INDEX('US Food'!$T$11:$T$197,MATCH('Calculations - US Food'!$D76,'US Food'!$N$11:$N$197,0)),"")</f>
        <v>0.3</v>
      </c>
      <c r="V76" s="16">
        <f t="shared" si="92"/>
        <v>105041576.9808</v>
      </c>
      <c r="W76" s="16">
        <f t="shared" si="72"/>
        <v>31512473.094239999</v>
      </c>
      <c r="X76" s="16">
        <f t="shared" si="73"/>
        <v>73529103.886560008</v>
      </c>
      <c r="Y76" s="10">
        <f t="shared" si="93"/>
        <v>1.697965502011904</v>
      </c>
      <c r="Z76" s="10">
        <f t="shared" si="94"/>
        <v>198650758.22961429</v>
      </c>
      <c r="AA76" s="13">
        <f t="shared" si="74"/>
        <v>7.0837204038612434E-2</v>
      </c>
      <c r="AB76" s="9">
        <f t="shared" si="95"/>
        <v>-3.5715935552859818E-3</v>
      </c>
      <c r="AC76" s="16">
        <f t="shared" si="75"/>
        <v>124999527.30281554</v>
      </c>
      <c r="AD76" s="16">
        <f t="shared" si="96"/>
        <v>41225652.23300159</v>
      </c>
      <c r="AE76" s="16">
        <f t="shared" si="97"/>
        <v>99999621.842252433</v>
      </c>
      <c r="AF76" s="16">
        <f t="shared" si="76"/>
        <v>29999886.552675724</v>
      </c>
      <c r="AG76" s="16"/>
      <c r="AH76" s="32">
        <f>IFERROR(INDEX('US Food'!$R$11:$R$197,MATCH('Calculations - US Food'!D76,'US Food'!$N$11:$N$197,0)),"")</f>
        <v>3.0320812535926853</v>
      </c>
      <c r="AI76" s="23">
        <f t="shared" si="77"/>
        <v>0.8</v>
      </c>
      <c r="AJ76" s="23">
        <f t="shared" si="78"/>
        <v>0.3</v>
      </c>
      <c r="AK76" s="9">
        <f t="shared" si="98"/>
        <v>0</v>
      </c>
      <c r="AL76" s="4">
        <f t="shared" si="99"/>
        <v>43304238.984499998</v>
      </c>
      <c r="AM76" s="4"/>
      <c r="AN76" s="4"/>
      <c r="AO76" s="4"/>
      <c r="AP76" s="4"/>
      <c r="AQ76" s="4"/>
      <c r="AR76" s="20">
        <f t="shared" si="100"/>
        <v>198650758.22961429</v>
      </c>
      <c r="AS76" s="13">
        <f t="shared" si="79"/>
        <v>7.0837204038612434E-2</v>
      </c>
      <c r="AT76" s="13">
        <f t="shared" si="80"/>
        <v>7.0837204038612461E-2</v>
      </c>
      <c r="AU76" s="13">
        <f t="shared" si="101"/>
        <v>-3.571593555285954E-3</v>
      </c>
      <c r="AV76" s="16">
        <f t="shared" si="81"/>
        <v>124999527.30281559</v>
      </c>
      <c r="AW76" s="16">
        <f t="shared" si="102"/>
        <v>41225652.233001605</v>
      </c>
      <c r="AX76" s="16">
        <f t="shared" si="103"/>
        <v>99999621.842252478</v>
      </c>
      <c r="AY76" s="16">
        <f t="shared" si="82"/>
        <v>29999886.552675739</v>
      </c>
      <c r="AZ76" s="13">
        <f t="shared" si="83"/>
        <v>0.77097480380704231</v>
      </c>
      <c r="BA76" s="10">
        <f t="shared" si="84"/>
        <v>41256490.558959477</v>
      </c>
      <c r="BB76" s="9">
        <f t="shared" si="85"/>
        <v>8.059678265625761E-2</v>
      </c>
      <c r="BC76" s="13">
        <f t="shared" si="86"/>
        <v>0.64132600472701706</v>
      </c>
      <c r="BD76" s="10">
        <f t="shared" si="87"/>
        <v>124999527.30281563</v>
      </c>
      <c r="BE76" s="13">
        <f t="shared" si="88"/>
        <v>7.0837204038612434E-2</v>
      </c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</row>
    <row r="77" spans="2:70" x14ac:dyDescent="0.3">
      <c r="B77" s="96" t="str">
        <f t="shared" si="67"/>
        <v>US FOODMIRACLE WHIP</v>
      </c>
      <c r="C77" s="96" t="str">
        <f t="shared" si="68"/>
        <v>US FOODMIRACLE WHIPWHIPPED DRESSING</v>
      </c>
      <c r="D77" s="96" t="str">
        <f t="shared" si="69"/>
        <v>US FOODMIRACLE WHIPWHIPPED DRESSINGJAR 48OZ</v>
      </c>
      <c r="E77" s="3" t="s">
        <v>104</v>
      </c>
      <c r="F77" s="3" t="s">
        <v>109</v>
      </c>
      <c r="G77" s="3" t="s">
        <v>114</v>
      </c>
      <c r="H77" s="3" t="s">
        <v>121</v>
      </c>
      <c r="I77" s="20">
        <f>IFERROR(INDEX('Input - US Food'!G$2:G$200,MATCH('Calculations - US Food'!$D77,'Input - US Food'!$B$2:$B$200,0)),"")</f>
        <v>3687343.4633999998</v>
      </c>
      <c r="J77" s="20">
        <f>IFERROR(INDEX('Input - US Food'!H$2:H$200,MATCH('Calculations - US Food'!$D77,'Input - US Food'!$B$2:$B$200,0)),"")</f>
        <v>1141338.071</v>
      </c>
      <c r="K77" s="21">
        <f>IFERROR(INDEX('Input - US Food'!I$2:I$200,MATCH('Calculations - US Food'!$D77,'Input - US Food'!$B$2:$B$200,0)),"")</f>
        <v>1.8683112379634701</v>
      </c>
      <c r="L77" s="21">
        <f>IFERROR(INDEX('Input - US Food'!J$2:J$200,MATCH('Calculations - US Food'!$D77,'Input - US Food'!$B$2:$B$200,0)),"")</f>
        <v>6.0359900418158903</v>
      </c>
      <c r="M77" s="20">
        <f>IFERROR(INDEX('Input - US Food'!K$2:K$200,MATCH('Calculations - US Food'!$D77,'Input - US Food'!$B$2:$B$200,0)),"")</f>
        <v>16233542.104</v>
      </c>
      <c r="N77" s="20">
        <f>IFERROR(INDEX('Input - US Food'!L$2:L$200,MATCH('Calculations - US Food'!$D77,'Input - US Food'!$B$2:$B$200,0)),"")</f>
        <v>5766580.1656999998</v>
      </c>
      <c r="O77" s="21">
        <f t="shared" si="70"/>
        <v>3.2307197640128487</v>
      </c>
      <c r="P77" s="21">
        <f t="shared" si="89"/>
        <v>2.8151073318217583</v>
      </c>
      <c r="Q77" s="21">
        <f t="shared" si="71"/>
        <v>-5.7583039138442649</v>
      </c>
      <c r="R77" s="9">
        <f t="shared" si="90"/>
        <v>2.0896167122659692E-3</v>
      </c>
      <c r="S77" s="9">
        <f t="shared" si="91"/>
        <v>2.2315687667580409E-3</v>
      </c>
      <c r="T77" s="22">
        <f>IFERROR(INDEX('US Food'!$S$11:$S$197,MATCH('Calculations - US Food'!$D77,'US Food'!$N$11:$N$197,0)),"")</f>
        <v>0.8</v>
      </c>
      <c r="U77" s="22">
        <f>IFERROR(INDEX('US Food'!$T$11:$T$197,MATCH('Calculations - US Food'!$D77,'US Food'!$N$11:$N$197,0)),"")</f>
        <v>0.3</v>
      </c>
      <c r="V77" s="16">
        <f t="shared" si="92"/>
        <v>2949874.7707199999</v>
      </c>
      <c r="W77" s="16">
        <f t="shared" si="72"/>
        <v>884962.431216</v>
      </c>
      <c r="X77" s="16">
        <f t="shared" si="73"/>
        <v>2064912.3395039998</v>
      </c>
      <c r="Y77" s="10">
        <f t="shared" si="93"/>
        <v>1.8092030678471951</v>
      </c>
      <c r="Z77" s="10">
        <f t="shared" si="94"/>
        <v>5288224.3471506787</v>
      </c>
      <c r="AA77" s="13">
        <f t="shared" si="74"/>
        <v>1.8857367090845865E-3</v>
      </c>
      <c r="AB77" s="9">
        <f t="shared" si="95"/>
        <v>-2.0388000318138271E-4</v>
      </c>
      <c r="AC77" s="16">
        <f t="shared" si="75"/>
        <v>3327576.2426288659</v>
      </c>
      <c r="AD77" s="16">
        <f t="shared" si="96"/>
        <v>1029979.8452638654</v>
      </c>
      <c r="AE77" s="16">
        <f t="shared" si="97"/>
        <v>2662060.9941030927</v>
      </c>
      <c r="AF77" s="16">
        <f t="shared" si="76"/>
        <v>798618.29823092814</v>
      </c>
      <c r="AG77" s="16"/>
      <c r="AH77" s="32">
        <f>IFERROR(INDEX('US Food'!$R$11:$R$197,MATCH('Calculations - US Food'!D77,'US Food'!$N$11:$N$197,0)),"")</f>
        <v>3.2307197640128487</v>
      </c>
      <c r="AI77" s="23">
        <f t="shared" si="77"/>
        <v>0.8</v>
      </c>
      <c r="AJ77" s="23">
        <f t="shared" si="78"/>
        <v>0.3</v>
      </c>
      <c r="AK77" s="9">
        <f t="shared" si="98"/>
        <v>0</v>
      </c>
      <c r="AL77" s="4">
        <f t="shared" si="99"/>
        <v>1141338.071</v>
      </c>
      <c r="AM77" s="4"/>
      <c r="AN77" s="4"/>
      <c r="AO77" s="4"/>
      <c r="AP77" s="4"/>
      <c r="AQ77" s="4"/>
      <c r="AR77" s="20">
        <f t="shared" si="100"/>
        <v>5288224.3471506787</v>
      </c>
      <c r="AS77" s="13">
        <f t="shared" si="79"/>
        <v>1.8857367090845865E-3</v>
      </c>
      <c r="AT77" s="13">
        <f t="shared" si="80"/>
        <v>1.8857367090845873E-3</v>
      </c>
      <c r="AU77" s="13">
        <f t="shared" si="101"/>
        <v>-2.0388000318138184E-4</v>
      </c>
      <c r="AV77" s="16">
        <f t="shared" si="81"/>
        <v>3327576.2426288673</v>
      </c>
      <c r="AW77" s="16">
        <f t="shared" si="102"/>
        <v>1029979.8452638659</v>
      </c>
      <c r="AX77" s="16">
        <f t="shared" si="103"/>
        <v>2662060.9941030941</v>
      </c>
      <c r="AY77" s="16">
        <f t="shared" si="82"/>
        <v>798618.2982309286</v>
      </c>
      <c r="AZ77" s="13">
        <f t="shared" si="83"/>
        <v>1.9261999898496206E-2</v>
      </c>
      <c r="BA77" s="10">
        <f t="shared" si="84"/>
        <v>1030750.3086156346</v>
      </c>
      <c r="BB77" s="9">
        <f t="shared" si="85"/>
        <v>2.0136264008603056E-3</v>
      </c>
      <c r="BC77" s="13">
        <f t="shared" si="86"/>
        <v>1.7072553978063253E-2</v>
      </c>
      <c r="BD77" s="10">
        <f t="shared" si="87"/>
        <v>3327576.2426288682</v>
      </c>
      <c r="BE77" s="13">
        <f t="shared" si="88"/>
        <v>1.8857367090845865E-3</v>
      </c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</row>
    <row r="78" spans="2:70" x14ac:dyDescent="0.3">
      <c r="B78" s="96" t="str">
        <f t="shared" si="67"/>
        <v>US FOODMIRACLE WHIP</v>
      </c>
      <c r="C78" s="96" t="str">
        <f t="shared" si="68"/>
        <v>US FOODMIRACLE WHIPWHIPPED DRESSING</v>
      </c>
      <c r="D78" s="96" t="str">
        <f t="shared" si="69"/>
        <v>US FOODMIRACLE WHIPWHIPPED DRESSINGSQUEEZY 12OZ</v>
      </c>
      <c r="E78" s="3" t="s">
        <v>104</v>
      </c>
      <c r="F78" s="3" t="s">
        <v>109</v>
      </c>
      <c r="G78" s="3" t="s">
        <v>114</v>
      </c>
      <c r="H78" s="3" t="s">
        <v>117</v>
      </c>
      <c r="I78" s="20">
        <f>IFERROR(INDEX('Input - US Food'!G$2:G$200,MATCH('Calculations - US Food'!$D78,'Input - US Food'!$B$2:$B$200,0)),"")</f>
        <v>22421692.2071</v>
      </c>
      <c r="J78" s="20">
        <f>IFERROR(INDEX('Input - US Food'!H$2:H$200,MATCH('Calculations - US Food'!$D78,'Input - US Food'!$B$2:$B$200,0)),"")</f>
        <v>3328982.8048999999</v>
      </c>
      <c r="K78" s="21">
        <f>IFERROR(INDEX('Input - US Food'!I$2:I$200,MATCH('Calculations - US Food'!$D78,'Input - US Food'!$B$2:$B$200,0)),"")</f>
        <v>2.2278050912261498</v>
      </c>
      <c r="L78" s="21">
        <f>IFERROR(INDEX('Input - US Food'!J$2:J$200,MATCH('Calculations - US Food'!$D78,'Input - US Food'!$B$2:$B$200,0)),"")</f>
        <v>15.0049318306357</v>
      </c>
      <c r="M78" s="20">
        <f>IFERROR(INDEX('Input - US Food'!K$2:K$200,MATCH('Calculations - US Food'!$D78,'Input - US Food'!$B$2:$B$200,0)),"")</f>
        <v>86544336.174099997</v>
      </c>
      <c r="N78" s="20">
        <f>IFERROR(INDEX('Input - US Food'!L$2:L$200,MATCH('Calculations - US Food'!$D78,'Input - US Food'!$B$2:$B$200,0)),"")</f>
        <v>14691971.804400001</v>
      </c>
      <c r="O78" s="21">
        <f t="shared" si="70"/>
        <v>6.7352982941507058</v>
      </c>
      <c r="P78" s="21">
        <f t="shared" si="89"/>
        <v>5.8905868678689819</v>
      </c>
      <c r="Q78" s="21">
        <f t="shared" si="71"/>
        <v>-4.0723075964824087</v>
      </c>
      <c r="R78" s="9">
        <f t="shared" si="90"/>
        <v>1.2706367936237259E-2</v>
      </c>
      <c r="S78" s="9">
        <f t="shared" si="91"/>
        <v>6.5088988453530843E-3</v>
      </c>
      <c r="T78" s="22">
        <f>IFERROR(INDEX('US Food'!$S$11:$S$197,MATCH('Calculations - US Food'!$D78,'US Food'!$N$11:$N$197,0)),"")</f>
        <v>0.8</v>
      </c>
      <c r="U78" s="22">
        <f>IFERROR(INDEX('US Food'!$T$11:$T$197,MATCH('Calculations - US Food'!$D78,'US Food'!$N$11:$N$197,0)),"")</f>
        <v>0.3</v>
      </c>
      <c r="V78" s="16">
        <f t="shared" si="92"/>
        <v>17937353.76568</v>
      </c>
      <c r="W78" s="16">
        <f t="shared" si="72"/>
        <v>5381206.1297039995</v>
      </c>
      <c r="X78" s="16">
        <f t="shared" si="73"/>
        <v>12556147.635976002</v>
      </c>
      <c r="Y78" s="10">
        <f t="shared" si="93"/>
        <v>3.7717670447243954</v>
      </c>
      <c r="Z78" s="10">
        <f t="shared" si="94"/>
        <v>36186426.129991464</v>
      </c>
      <c r="AA78" s="13">
        <f t="shared" si="74"/>
        <v>1.2903777836254167E-2</v>
      </c>
      <c r="AB78" s="9">
        <f t="shared" si="95"/>
        <v>1.9740990001690731E-4</v>
      </c>
      <c r="AC78" s="16">
        <f t="shared" si="75"/>
        <v>22770042.265828446</v>
      </c>
      <c r="AD78" s="16">
        <f t="shared" si="96"/>
        <v>3380702.8688845411</v>
      </c>
      <c r="AE78" s="16">
        <f t="shared" si="97"/>
        <v>18216033.812662758</v>
      </c>
      <c r="AF78" s="16">
        <f t="shared" si="76"/>
        <v>5464810.1437988281</v>
      </c>
      <c r="AG78" s="16"/>
      <c r="AH78" s="32">
        <f>IFERROR(INDEX('US Food'!$R$11:$R$197,MATCH('Calculations - US Food'!D78,'US Food'!$N$11:$N$197,0)),"")</f>
        <v>6.7352982941507058</v>
      </c>
      <c r="AI78" s="23">
        <f t="shared" si="77"/>
        <v>0.8</v>
      </c>
      <c r="AJ78" s="23">
        <f t="shared" si="78"/>
        <v>0.3</v>
      </c>
      <c r="AK78" s="9">
        <f t="shared" si="98"/>
        <v>0</v>
      </c>
      <c r="AL78" s="4">
        <f t="shared" si="99"/>
        <v>3328982.8048999999</v>
      </c>
      <c r="AM78" s="4"/>
      <c r="AN78" s="4"/>
      <c r="AO78" s="4"/>
      <c r="AP78" s="4"/>
      <c r="AQ78" s="4"/>
      <c r="AR78" s="20">
        <f t="shared" si="100"/>
        <v>36186426.129991464</v>
      </c>
      <c r="AS78" s="13">
        <f t="shared" si="79"/>
        <v>1.2903777836254167E-2</v>
      </c>
      <c r="AT78" s="13">
        <f t="shared" si="80"/>
        <v>1.2903777836254172E-2</v>
      </c>
      <c r="AU78" s="13">
        <f t="shared" si="101"/>
        <v>1.9740990001691251E-4</v>
      </c>
      <c r="AV78" s="16">
        <f t="shared" si="81"/>
        <v>22770042.265828457</v>
      </c>
      <c r="AW78" s="16">
        <f t="shared" si="102"/>
        <v>3380702.8688845425</v>
      </c>
      <c r="AX78" s="16">
        <f t="shared" si="103"/>
        <v>18216033.812662765</v>
      </c>
      <c r="AY78" s="16">
        <f t="shared" si="82"/>
        <v>5464810.14379883</v>
      </c>
      <c r="AZ78" s="13">
        <f t="shared" si="83"/>
        <v>6.3223662692756213E-2</v>
      </c>
      <c r="BA78" s="10">
        <f t="shared" si="84"/>
        <v>3383231.7607610896</v>
      </c>
      <c r="BB78" s="9">
        <f t="shared" si="85"/>
        <v>6.6093259800691691E-3</v>
      </c>
      <c r="BC78" s="13">
        <f t="shared" si="86"/>
        <v>0.11682460365176235</v>
      </c>
      <c r="BD78" s="10">
        <f t="shared" si="87"/>
        <v>22770042.265828464</v>
      </c>
      <c r="BE78" s="13">
        <f t="shared" si="88"/>
        <v>1.2903777836254168E-2</v>
      </c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</row>
    <row r="79" spans="2:70" x14ac:dyDescent="0.3">
      <c r="B79" s="96" t="str">
        <f t="shared" si="67"/>
        <v>US FOODMIRACLE WHIP</v>
      </c>
      <c r="C79" s="96" t="str">
        <f t="shared" si="68"/>
        <v>US FOODMIRACLE WHIPWHIPPED DRESSING</v>
      </c>
      <c r="D79" s="96" t="str">
        <f t="shared" si="69"/>
        <v>US FOODMIRACLE WHIPWHIPPED DRESSINGSQUEEZY 18 TO 22OZ</v>
      </c>
      <c r="E79" s="3" t="s">
        <v>104</v>
      </c>
      <c r="F79" s="3" t="s">
        <v>109</v>
      </c>
      <c r="G79" s="3" t="s">
        <v>114</v>
      </c>
      <c r="H79" s="3" t="s">
        <v>120</v>
      </c>
      <c r="I79" s="20">
        <f>IFERROR(INDEX('Input - US Food'!G$2:G$200,MATCH('Calculations - US Food'!$D79,'Input - US Food'!$B$2:$B$200,0)),"")</f>
        <v>19428932.4529</v>
      </c>
      <c r="J79" s="20">
        <f>IFERROR(INDEX('Input - US Food'!H$2:H$200,MATCH('Calculations - US Food'!$D79,'Input - US Food'!$B$2:$B$200,0)),"")</f>
        <v>3646010.0389999999</v>
      </c>
      <c r="K79" s="21">
        <f>IFERROR(INDEX('Input - US Food'!I$2:I$200,MATCH('Calculations - US Food'!$D79,'Input - US Food'!$B$2:$B$200,0)),"")</f>
        <v>1.8842284695838001</v>
      </c>
      <c r="L79" s="21">
        <f>IFERROR(INDEX('Input - US Food'!J$2:J$200,MATCH('Calculations - US Food'!$D79,'Input - US Food'!$B$2:$B$200,0)),"")</f>
        <v>10.040714992495101</v>
      </c>
      <c r="M79" s="20">
        <f>IFERROR(INDEX('Input - US Food'!K$2:K$200,MATCH('Calculations - US Food'!$D79,'Input - US Food'!$B$2:$B$200,0)),"")</f>
        <v>75276634.370299995</v>
      </c>
      <c r="N79" s="20">
        <f>IFERROR(INDEX('Input - US Food'!L$2:L$200,MATCH('Calculations - US Food'!$D79,'Input - US Food'!$B$2:$B$200,0)),"")</f>
        <v>15601481.7632</v>
      </c>
      <c r="O79" s="21">
        <f t="shared" si="70"/>
        <v>5.3288203392409805</v>
      </c>
      <c r="P79" s="21">
        <f t="shared" si="89"/>
        <v>4.8249669815247156</v>
      </c>
      <c r="Q79" s="21">
        <f t="shared" si="71"/>
        <v>-5.6546471551107373</v>
      </c>
      <c r="R79" s="9">
        <f t="shared" si="90"/>
        <v>1.1010371655921421E-2</v>
      </c>
      <c r="S79" s="9">
        <f t="shared" si="91"/>
        <v>7.1287573183201622E-3</v>
      </c>
      <c r="T79" s="22">
        <f>IFERROR(INDEX('US Food'!$S$11:$S$197,MATCH('Calculations - US Food'!$D79,'US Food'!$N$11:$N$197,0)),"")</f>
        <v>0.8</v>
      </c>
      <c r="U79" s="22">
        <f>IFERROR(INDEX('US Food'!$T$11:$T$197,MATCH('Calculations - US Food'!$D79,'US Food'!$N$11:$N$197,0)),"")</f>
        <v>0.3</v>
      </c>
      <c r="V79" s="16">
        <f t="shared" si="92"/>
        <v>15543145.96232</v>
      </c>
      <c r="W79" s="16">
        <f t="shared" si="72"/>
        <v>4662943.7886959994</v>
      </c>
      <c r="X79" s="16">
        <f t="shared" si="73"/>
        <v>10880202.173624001</v>
      </c>
      <c r="Y79" s="10">
        <f t="shared" si="93"/>
        <v>2.9841393899749495</v>
      </c>
      <c r="Z79" s="10">
        <f t="shared" si="94"/>
        <v>28018740.057137474</v>
      </c>
      <c r="AA79" s="13">
        <f t="shared" si="74"/>
        <v>9.9912490846783344E-3</v>
      </c>
      <c r="AB79" s="9">
        <f t="shared" si="95"/>
        <v>-1.0191225712430866E-3</v>
      </c>
      <c r="AC79" s="16">
        <f t="shared" si="75"/>
        <v>17630585.928669918</v>
      </c>
      <c r="AD79" s="16">
        <f t="shared" si="96"/>
        <v>3308534.4984967462</v>
      </c>
      <c r="AE79" s="16">
        <f t="shared" si="97"/>
        <v>14104468.742935935</v>
      </c>
      <c r="AF79" s="16">
        <f t="shared" si="76"/>
        <v>4231340.6228807792</v>
      </c>
      <c r="AG79" s="16"/>
      <c r="AH79" s="32">
        <f>IFERROR(INDEX('US Food'!$R$11:$R$197,MATCH('Calculations - US Food'!D79,'US Food'!$N$11:$N$197,0)),"")</f>
        <v>5.3288203392409805</v>
      </c>
      <c r="AI79" s="23">
        <f t="shared" si="77"/>
        <v>0.8</v>
      </c>
      <c r="AJ79" s="23">
        <f t="shared" si="78"/>
        <v>0.3</v>
      </c>
      <c r="AK79" s="9">
        <f t="shared" si="98"/>
        <v>0</v>
      </c>
      <c r="AL79" s="4">
        <f t="shared" si="99"/>
        <v>3646010.0389999999</v>
      </c>
      <c r="AM79" s="4"/>
      <c r="AN79" s="4"/>
      <c r="AO79" s="4"/>
      <c r="AP79" s="4"/>
      <c r="AQ79" s="4"/>
      <c r="AR79" s="20">
        <f t="shared" si="100"/>
        <v>28018740.057137474</v>
      </c>
      <c r="AS79" s="13">
        <f t="shared" si="79"/>
        <v>9.9912490846783344E-3</v>
      </c>
      <c r="AT79" s="13">
        <f t="shared" si="80"/>
        <v>9.9912490846783397E-3</v>
      </c>
      <c r="AU79" s="13">
        <f t="shared" si="101"/>
        <v>-1.0191225712430814E-3</v>
      </c>
      <c r="AV79" s="16">
        <f t="shared" si="81"/>
        <v>17630585.928669926</v>
      </c>
      <c r="AW79" s="16">
        <f t="shared" si="102"/>
        <v>3308534.4984967476</v>
      </c>
      <c r="AX79" s="16">
        <f t="shared" si="103"/>
        <v>14104468.742935941</v>
      </c>
      <c r="AY79" s="16">
        <f t="shared" si="82"/>
        <v>4231340.6228807811</v>
      </c>
      <c r="AZ79" s="13">
        <f t="shared" si="83"/>
        <v>6.1874017697782335E-2</v>
      </c>
      <c r="BA79" s="10">
        <f t="shared" si="84"/>
        <v>3311009.4057397153</v>
      </c>
      <c r="BB79" s="9">
        <f t="shared" si="85"/>
        <v>6.4682357086544894E-3</v>
      </c>
      <c r="BC79" s="13">
        <f t="shared" si="86"/>
        <v>9.0455967943292873E-2</v>
      </c>
      <c r="BD79" s="10">
        <f t="shared" si="87"/>
        <v>17630585.928669933</v>
      </c>
      <c r="BE79" s="13">
        <f t="shared" si="88"/>
        <v>9.9912490846783362E-3</v>
      </c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</row>
    <row r="80" spans="2:70" x14ac:dyDescent="0.3">
      <c r="B80" s="96" t="str">
        <f t="shared" si="67"/>
        <v>US FOODMIRACLE WHIP</v>
      </c>
      <c r="C80" s="96" t="str">
        <f t="shared" si="68"/>
        <v>US FOODMIRACLE WHIPWHIPPED DRESSING</v>
      </c>
      <c r="D80" s="96" t="str">
        <f t="shared" si="69"/>
        <v>US FOODMIRACLE WHIPWHIPPED DRESSINGOTHER</v>
      </c>
      <c r="E80" s="3" t="s">
        <v>104</v>
      </c>
      <c r="F80" s="3" t="s">
        <v>109</v>
      </c>
      <c r="G80" s="3" t="s">
        <v>114</v>
      </c>
      <c r="H80" s="3" t="s">
        <v>115</v>
      </c>
      <c r="I80" s="20">
        <f>IFERROR(INDEX('Input - US Food'!G$2:G$200,MATCH('Calculations - US Food'!$D80,'Input - US Food'!$B$2:$B$200,0)),"")</f>
        <v>230450.1574</v>
      </c>
      <c r="J80" s="20">
        <f>IFERROR(INDEX('Input - US Food'!H$2:H$200,MATCH('Calculations - US Food'!$D80,'Input - US Food'!$B$2:$B$200,0)),"")</f>
        <v>66432.056800000006</v>
      </c>
      <c r="K80" s="21">
        <f>IFERROR(INDEX('Input - US Food'!I$2:I$200,MATCH('Calculations - US Food'!$D80,'Input - US Food'!$B$2:$B$200,0)),"")</f>
        <v>3.3048773226473398</v>
      </c>
      <c r="L80" s="21">
        <f>IFERROR(INDEX('Input - US Food'!J$2:J$200,MATCH('Calculations - US Food'!$D80,'Input - US Food'!$B$2:$B$200,0)),"")</f>
        <v>11.4644877168965</v>
      </c>
      <c r="M80" s="20">
        <f>IFERROR(INDEX('Input - US Food'!K$2:K$200,MATCH('Calculations - US Food'!$D80,'Input - US Food'!$B$2:$B$200,0)),"")</f>
        <v>1263956.1891999999</v>
      </c>
      <c r="N80" s="20">
        <f>IFERROR(INDEX('Input - US Food'!L$2:L$200,MATCH('Calculations - US Food'!$D80,'Input - US Food'!$B$2:$B$200,0)),"")</f>
        <v>541538.72400000005</v>
      </c>
      <c r="O80" s="21">
        <f t="shared" si="70"/>
        <v>3.4689601451569083</v>
      </c>
      <c r="P80" s="21">
        <f t="shared" si="89"/>
        <v>2.334008877267288</v>
      </c>
      <c r="Q80" s="21">
        <f t="shared" si="71"/>
        <v>-2.1693128527365984</v>
      </c>
      <c r="R80" s="9">
        <f t="shared" si="90"/>
        <v>1.3059605242288347E-4</v>
      </c>
      <c r="S80" s="9">
        <f t="shared" si="91"/>
        <v>1.298893875821445E-4</v>
      </c>
      <c r="T80" s="22">
        <f>IFERROR(INDEX('US Food'!$S$11:$S$197,MATCH('Calculations - US Food'!$D80,'US Food'!$N$11:$N$197,0)),"")</f>
        <v>0.8</v>
      </c>
      <c r="U80" s="22">
        <f>IFERROR(INDEX('US Food'!$T$11:$T$197,MATCH('Calculations - US Food'!$D80,'US Food'!$N$11:$N$197,0)),"")</f>
        <v>0.3</v>
      </c>
      <c r="V80" s="16">
        <f t="shared" si="92"/>
        <v>184360.12592000002</v>
      </c>
      <c r="W80" s="16">
        <f t="shared" si="72"/>
        <v>55308.037776000005</v>
      </c>
      <c r="X80" s="16">
        <f t="shared" si="73"/>
        <v>129052.08814400001</v>
      </c>
      <c r="Y80" s="10">
        <f t="shared" si="93"/>
        <v>1.9426176812878688</v>
      </c>
      <c r="Z80" s="10">
        <f t="shared" si="94"/>
        <v>496029.82829588529</v>
      </c>
      <c r="AA80" s="13">
        <f t="shared" si="74"/>
        <v>1.7688010088347773E-4</v>
      </c>
      <c r="AB80" s="9">
        <f t="shared" si="95"/>
        <v>4.6284048460594268E-5</v>
      </c>
      <c r="AC80" s="16">
        <f t="shared" si="75"/>
        <v>312123.11806741002</v>
      </c>
      <c r="AD80" s="16">
        <f t="shared" si="96"/>
        <v>89975.988482650049</v>
      </c>
      <c r="AE80" s="16">
        <f t="shared" si="97"/>
        <v>249698.49445392803</v>
      </c>
      <c r="AF80" s="16">
        <f t="shared" si="76"/>
        <v>74909.548336178384</v>
      </c>
      <c r="AG80" s="16"/>
      <c r="AH80" s="32">
        <f>IFERROR(INDEX('US Food'!$R$11:$R$197,MATCH('Calculations - US Food'!D80,'US Food'!$N$11:$N$197,0)),"")</f>
        <v>3.4689601451569083</v>
      </c>
      <c r="AI80" s="23">
        <f t="shared" si="77"/>
        <v>0.8</v>
      </c>
      <c r="AJ80" s="23">
        <f t="shared" si="78"/>
        <v>0.3</v>
      </c>
      <c r="AK80" s="9">
        <f t="shared" si="98"/>
        <v>0</v>
      </c>
      <c r="AL80" s="4">
        <f t="shared" si="99"/>
        <v>66432.056800000006</v>
      </c>
      <c r="AM80" s="4"/>
      <c r="AN80" s="4"/>
      <c r="AO80" s="4"/>
      <c r="AP80" s="4"/>
      <c r="AQ80" s="4"/>
      <c r="AR80" s="20">
        <f t="shared" si="100"/>
        <v>496029.82829588529</v>
      </c>
      <c r="AS80" s="13">
        <f t="shared" si="79"/>
        <v>1.7688010088347773E-4</v>
      </c>
      <c r="AT80" s="13">
        <f t="shared" si="80"/>
        <v>1.7688010088347781E-4</v>
      </c>
      <c r="AU80" s="13">
        <f t="shared" si="101"/>
        <v>4.6284048460594349E-5</v>
      </c>
      <c r="AV80" s="16">
        <f t="shared" si="81"/>
        <v>312123.11806741013</v>
      </c>
      <c r="AW80" s="16">
        <f>IFERROR(AV80/AH80,"-")</f>
        <v>89975.988482650078</v>
      </c>
      <c r="AX80" s="16">
        <f t="shared" si="103"/>
        <v>249698.49445392811</v>
      </c>
      <c r="AY80" s="16">
        <f t="shared" si="82"/>
        <v>74909.548336178414</v>
      </c>
      <c r="AZ80" s="13">
        <f t="shared" si="83"/>
        <v>1.6826712571020282E-3</v>
      </c>
      <c r="BA80" s="10">
        <f t="shared" si="84"/>
        <v>90043.293878948665</v>
      </c>
      <c r="BB80" s="9">
        <f t="shared" si="85"/>
        <v>1.7590443801912629E-4</v>
      </c>
      <c r="BC80" s="13">
        <f t="shared" si="86"/>
        <v>1.6013874341155394E-3</v>
      </c>
      <c r="BD80" s="10">
        <f t="shared" si="87"/>
        <v>312123.11806741025</v>
      </c>
      <c r="BE80" s="13">
        <f t="shared" si="88"/>
        <v>1.7688010088347776E-4</v>
      </c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</row>
    <row r="81" spans="2:70" x14ac:dyDescent="0.3">
      <c r="B81" s="96" t="str">
        <f t="shared" si="67"/>
        <v/>
      </c>
      <c r="C81" s="96" t="str">
        <f t="shared" si="68"/>
        <v/>
      </c>
      <c r="D81" s="96" t="str">
        <f t="shared" si="69"/>
        <v/>
      </c>
      <c r="E81" s="3"/>
      <c r="F81" s="3"/>
      <c r="G81" s="3"/>
      <c r="H81" s="3"/>
      <c r="I81" s="20">
        <f>IFERROR(INDEX('Input - US Food'!G$2:G$200,MATCH('Calculations - US Food'!$D81,'Input - US Food'!$B$2:$B$200,0)),"")</f>
        <v>0</v>
      </c>
      <c r="J81" s="20">
        <f>IFERROR(INDEX('Input - US Food'!H$2:H$200,MATCH('Calculations - US Food'!$D81,'Input - US Food'!$B$2:$B$200,0)),"")</f>
        <v>0</v>
      </c>
      <c r="K81" s="21">
        <f>IFERROR(INDEX('Input - US Food'!I$2:I$200,MATCH('Calculations - US Food'!$D81,'Input - US Food'!$B$2:$B$200,0)),"")</f>
        <v>0</v>
      </c>
      <c r="L81" s="21">
        <f>IFERROR(INDEX('Input - US Food'!J$2:J$200,MATCH('Calculations - US Food'!$D81,'Input - US Food'!$B$2:$B$200,0)),"")</f>
        <v>0</v>
      </c>
      <c r="M81" s="20">
        <f>IFERROR(INDEX('Input - US Food'!K$2:K$200,MATCH('Calculations - US Food'!$D81,'Input - US Food'!$B$2:$B$200,0)),"")</f>
        <v>6055363851.4215012</v>
      </c>
      <c r="N81" s="20">
        <f>IFERROR(INDEX('Input - US Food'!L$2:L$200,MATCH('Calculations - US Food'!$D81,'Input - US Food'!$B$2:$B$200,0)),"")</f>
        <v>1982155918.8720999</v>
      </c>
      <c r="O81" s="21" t="str">
        <f t="shared" si="70"/>
        <v/>
      </c>
      <c r="P81" s="21">
        <f t="shared" si="89"/>
        <v>3.0549382083257943</v>
      </c>
      <c r="Q81" s="21">
        <f t="shared" si="71"/>
        <v>0</v>
      </c>
      <c r="R81" s="9">
        <f t="shared" si="90"/>
        <v>0</v>
      </c>
      <c r="S81" s="9">
        <f t="shared" si="91"/>
        <v>0</v>
      </c>
      <c r="T81" s="22" t="str">
        <f>IFERROR(INDEX('US Food'!$S$11:$S$197,MATCH('Calculations - US Food'!$D81,'US Food'!$N$11:$N$197,0)),"")</f>
        <v/>
      </c>
      <c r="U81" s="22" t="str">
        <f>IFERROR(INDEX('US Food'!$T$11:$T$197,MATCH('Calculations - US Food'!$D81,'US Food'!$N$11:$N$197,0)),"")</f>
        <v/>
      </c>
      <c r="V81" s="16" t="e">
        <f t="shared" si="92"/>
        <v>#VALUE!</v>
      </c>
      <c r="W81" s="16" t="e">
        <f t="shared" si="72"/>
        <v>#VALUE!</v>
      </c>
      <c r="X81" s="16" t="e">
        <f t="shared" si="73"/>
        <v>#VALUE!</v>
      </c>
      <c r="Y81" s="10" t="str">
        <f t="shared" si="93"/>
        <v>-</v>
      </c>
      <c r="Z81" s="10" t="str">
        <f t="shared" si="94"/>
        <v>-</v>
      </c>
      <c r="AA81" s="13" t="str">
        <f t="shared" si="74"/>
        <v>-</v>
      </c>
      <c r="AB81" s="9" t="str">
        <f t="shared" si="95"/>
        <v>-</v>
      </c>
      <c r="AC81" s="16" t="str">
        <f t="shared" si="75"/>
        <v>-</v>
      </c>
      <c r="AD81" s="16" t="str">
        <f t="shared" si="96"/>
        <v>-</v>
      </c>
      <c r="AE81" s="16" t="str">
        <f t="shared" si="97"/>
        <v>-</v>
      </c>
      <c r="AF81" s="16" t="str">
        <f t="shared" si="76"/>
        <v>-</v>
      </c>
      <c r="AG81" s="16"/>
      <c r="AH81" s="32" t="str">
        <f>IFERROR(INDEX('US Food'!$R$11:$R$197,MATCH('Calculations - US Food'!D81,'US Food'!$N$11:$N$197,0)),"")</f>
        <v/>
      </c>
      <c r="AI81" s="23" t="str">
        <f t="shared" si="77"/>
        <v/>
      </c>
      <c r="AJ81" s="23" t="str">
        <f t="shared" si="78"/>
        <v/>
      </c>
      <c r="AK81" s="9" t="str">
        <f t="shared" si="98"/>
        <v/>
      </c>
      <c r="AL81" s="4" t="str">
        <f t="shared" si="99"/>
        <v/>
      </c>
      <c r="AM81" s="4"/>
      <c r="AN81" s="4"/>
      <c r="AO81" s="4"/>
      <c r="AP81" s="4"/>
      <c r="AQ81" s="4"/>
      <c r="AR81" s="20" t="str">
        <f t="shared" si="100"/>
        <v>-</v>
      </c>
      <c r="AS81" s="13" t="str">
        <f t="shared" si="79"/>
        <v>-</v>
      </c>
      <c r="AT81" s="13" t="str">
        <f t="shared" si="80"/>
        <v>-</v>
      </c>
      <c r="AU81" s="13" t="str">
        <f t="shared" si="101"/>
        <v>-</v>
      </c>
      <c r="AV81" s="16" t="str">
        <f t="shared" si="81"/>
        <v>-</v>
      </c>
      <c r="AW81" s="16" t="str">
        <f t="shared" si="102"/>
        <v>-</v>
      </c>
      <c r="AX81" s="16" t="str">
        <f t="shared" si="103"/>
        <v>-</v>
      </c>
      <c r="AY81" s="16" t="str">
        <f t="shared" si="82"/>
        <v>-</v>
      </c>
      <c r="AZ81" s="13" t="str">
        <f t="shared" si="83"/>
        <v>-</v>
      </c>
      <c r="BA81" s="10" t="str">
        <f t="shared" si="84"/>
        <v>-</v>
      </c>
      <c r="BB81" s="9" t="str">
        <f t="shared" si="85"/>
        <v>-</v>
      </c>
      <c r="BC81" s="13" t="str">
        <f t="shared" si="86"/>
        <v>-</v>
      </c>
      <c r="BD81" s="10" t="str">
        <f t="shared" si="87"/>
        <v>-</v>
      </c>
      <c r="BE81" s="13" t="str">
        <f t="shared" si="88"/>
        <v>-</v>
      </c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</row>
    <row r="82" spans="2:70" x14ac:dyDescent="0.3">
      <c r="B82" s="96" t="str">
        <f t="shared" si="67"/>
        <v/>
      </c>
      <c r="C82" s="96" t="str">
        <f t="shared" si="68"/>
        <v/>
      </c>
      <c r="D82" s="96" t="str">
        <f t="shared" si="69"/>
        <v/>
      </c>
      <c r="E82" s="3"/>
      <c r="F82" s="3"/>
      <c r="G82" s="3"/>
      <c r="H82" s="3"/>
      <c r="I82" s="20">
        <f>IFERROR(INDEX('Input - US Food'!G$2:G$200,MATCH('Calculations - US Food'!$D82,'Input - US Food'!$B$2:$B$200,0)),"")</f>
        <v>0</v>
      </c>
      <c r="J82" s="20">
        <f>IFERROR(INDEX('Input - US Food'!H$2:H$200,MATCH('Calculations - US Food'!$D82,'Input - US Food'!$B$2:$B$200,0)),"")</f>
        <v>0</v>
      </c>
      <c r="K82" s="21">
        <f>IFERROR(INDEX('Input - US Food'!I$2:I$200,MATCH('Calculations - US Food'!$D82,'Input - US Food'!$B$2:$B$200,0)),"")</f>
        <v>0</v>
      </c>
      <c r="L82" s="21">
        <f>IFERROR(INDEX('Input - US Food'!J$2:J$200,MATCH('Calculations - US Food'!$D82,'Input - US Food'!$B$2:$B$200,0)),"")</f>
        <v>0</v>
      </c>
      <c r="M82" s="20">
        <f>IFERROR(INDEX('Input - US Food'!K$2:K$200,MATCH('Calculations - US Food'!$D82,'Input - US Food'!$B$2:$B$200,0)),"")</f>
        <v>6055363851.4215012</v>
      </c>
      <c r="N82" s="20">
        <f>IFERROR(INDEX('Input - US Food'!L$2:L$200,MATCH('Calculations - US Food'!$D82,'Input - US Food'!$B$2:$B$200,0)),"")</f>
        <v>1982155918.8720999</v>
      </c>
      <c r="O82" s="21" t="str">
        <f t="shared" si="70"/>
        <v/>
      </c>
      <c r="P82" s="21">
        <f t="shared" si="89"/>
        <v>3.0549382083257943</v>
      </c>
      <c r="Q82" s="21">
        <f t="shared" si="71"/>
        <v>0</v>
      </c>
      <c r="R82" s="9">
        <f t="shared" si="90"/>
        <v>0</v>
      </c>
      <c r="S82" s="9">
        <f t="shared" si="91"/>
        <v>0</v>
      </c>
      <c r="T82" s="22" t="str">
        <f>IFERROR(INDEX('US Food'!$S$11:$S$197,MATCH('Calculations - US Food'!$D82,'US Food'!$N$11:$N$197,0)),"")</f>
        <v/>
      </c>
      <c r="U82" s="22" t="str">
        <f>IFERROR(INDEX('US Food'!$T$11:$T$197,MATCH('Calculations - US Food'!$D82,'US Food'!$N$11:$N$197,0)),"")</f>
        <v/>
      </c>
      <c r="V82" s="16" t="e">
        <f t="shared" si="92"/>
        <v>#VALUE!</v>
      </c>
      <c r="W82" s="16" t="e">
        <f t="shared" si="72"/>
        <v>#VALUE!</v>
      </c>
      <c r="X82" s="16" t="e">
        <f t="shared" si="73"/>
        <v>#VALUE!</v>
      </c>
      <c r="Y82" s="10" t="str">
        <f t="shared" si="93"/>
        <v>-</v>
      </c>
      <c r="Z82" s="10" t="str">
        <f t="shared" si="94"/>
        <v>-</v>
      </c>
      <c r="AA82" s="13" t="str">
        <f t="shared" si="74"/>
        <v>-</v>
      </c>
      <c r="AB82" s="9" t="str">
        <f t="shared" si="95"/>
        <v>-</v>
      </c>
      <c r="AC82" s="16" t="str">
        <f t="shared" si="75"/>
        <v>-</v>
      </c>
      <c r="AD82" s="16" t="str">
        <f t="shared" si="96"/>
        <v>-</v>
      </c>
      <c r="AE82" s="16" t="str">
        <f t="shared" si="97"/>
        <v>-</v>
      </c>
      <c r="AF82" s="16" t="str">
        <f t="shared" si="76"/>
        <v>-</v>
      </c>
      <c r="AG82" s="16"/>
      <c r="AH82" s="32" t="str">
        <f>IFERROR(INDEX('US Food'!$R$11:$R$197,MATCH('Calculations - US Food'!D82,'US Food'!$N$11:$N$197,0)),"")</f>
        <v/>
      </c>
      <c r="AI82" s="23" t="str">
        <f t="shared" si="77"/>
        <v/>
      </c>
      <c r="AJ82" s="23" t="str">
        <f t="shared" si="78"/>
        <v/>
      </c>
      <c r="AK82" s="9" t="str">
        <f t="shared" si="98"/>
        <v/>
      </c>
      <c r="AL82" s="4" t="str">
        <f t="shared" si="99"/>
        <v/>
      </c>
      <c r="AM82" s="4"/>
      <c r="AN82" s="4"/>
      <c r="AO82" s="4"/>
      <c r="AP82" s="4"/>
      <c r="AQ82" s="4"/>
      <c r="AR82" s="20" t="str">
        <f t="shared" si="100"/>
        <v>-</v>
      </c>
      <c r="AS82" s="13" t="str">
        <f t="shared" si="79"/>
        <v>-</v>
      </c>
      <c r="AT82" s="13" t="str">
        <f t="shared" si="80"/>
        <v>-</v>
      </c>
      <c r="AU82" s="13" t="str">
        <f t="shared" si="101"/>
        <v>-</v>
      </c>
      <c r="AV82" s="16" t="str">
        <f t="shared" si="81"/>
        <v>-</v>
      </c>
      <c r="AW82" s="16" t="str">
        <f t="shared" si="102"/>
        <v>-</v>
      </c>
      <c r="AX82" s="16" t="str">
        <f t="shared" si="103"/>
        <v>-</v>
      </c>
      <c r="AY82" s="16" t="str">
        <f t="shared" si="82"/>
        <v>-</v>
      </c>
      <c r="AZ82" s="13" t="str">
        <f t="shared" si="83"/>
        <v>-</v>
      </c>
      <c r="BA82" s="10" t="str">
        <f t="shared" si="84"/>
        <v>-</v>
      </c>
      <c r="BB82" s="9" t="str">
        <f t="shared" si="85"/>
        <v>-</v>
      </c>
      <c r="BC82" s="13" t="str">
        <f t="shared" si="86"/>
        <v>-</v>
      </c>
      <c r="BD82" s="10" t="str">
        <f t="shared" si="87"/>
        <v>-</v>
      </c>
      <c r="BE82" s="13" t="str">
        <f t="shared" si="88"/>
        <v>-</v>
      </c>
      <c r="BF82" s="4"/>
      <c r="BG82" s="4"/>
      <c r="BH82" s="4">
        <f>SUM(AW31:AW80)</f>
        <v>512958354.01437938</v>
      </c>
      <c r="BI82" s="9">
        <f>AW75/$BH$82</f>
        <v>8.650347644676969E-3</v>
      </c>
      <c r="BJ82" s="4"/>
      <c r="BK82" s="4"/>
      <c r="BL82" s="4"/>
      <c r="BM82" s="4"/>
      <c r="BN82" s="4"/>
      <c r="BO82" s="4"/>
      <c r="BP82" s="4"/>
      <c r="BQ82" s="4"/>
      <c r="BR82" s="4"/>
    </row>
    <row r="83" spans="2:70" x14ac:dyDescent="0.3">
      <c r="B83" s="96" t="str">
        <f t="shared" si="67"/>
        <v/>
      </c>
      <c r="C83" s="96" t="str">
        <f t="shared" si="68"/>
        <v/>
      </c>
      <c r="D83" s="96" t="str">
        <f t="shared" si="69"/>
        <v/>
      </c>
      <c r="E83" s="3"/>
      <c r="F83" s="3"/>
      <c r="G83" s="3"/>
      <c r="H83" s="3"/>
      <c r="I83" s="20">
        <f>IFERROR(INDEX('Input - US Food'!G$2:G$200,MATCH('Calculations - US Food'!$D83,'Input - US Food'!$B$2:$B$200,0)),"")</f>
        <v>0</v>
      </c>
      <c r="J83" s="20">
        <f>IFERROR(INDEX('Input - US Food'!H$2:H$200,MATCH('Calculations - US Food'!$D83,'Input - US Food'!$B$2:$B$200,0)),"")</f>
        <v>0</v>
      </c>
      <c r="K83" s="21">
        <f>IFERROR(INDEX('Input - US Food'!I$2:I$200,MATCH('Calculations - US Food'!$D83,'Input - US Food'!$B$2:$B$200,0)),"")</f>
        <v>0</v>
      </c>
      <c r="L83" s="21">
        <f>IFERROR(INDEX('Input - US Food'!J$2:J$200,MATCH('Calculations - US Food'!$D83,'Input - US Food'!$B$2:$B$200,0)),"")</f>
        <v>0</v>
      </c>
      <c r="M83" s="20">
        <f>IFERROR(INDEX('Input - US Food'!K$2:K$200,MATCH('Calculations - US Food'!$D83,'Input - US Food'!$B$2:$B$200,0)),"")</f>
        <v>6055363851.4215012</v>
      </c>
      <c r="N83" s="20">
        <f>IFERROR(INDEX('Input - US Food'!L$2:L$200,MATCH('Calculations - US Food'!$D83,'Input - US Food'!$B$2:$B$200,0)),"")</f>
        <v>1982155918.8720999</v>
      </c>
      <c r="O83" s="21" t="str">
        <f t="shared" si="70"/>
        <v/>
      </c>
      <c r="P83" s="21">
        <f t="shared" si="89"/>
        <v>3.0549382083257943</v>
      </c>
      <c r="Q83" s="21">
        <f t="shared" si="71"/>
        <v>0</v>
      </c>
      <c r="R83" s="9">
        <f t="shared" si="90"/>
        <v>0</v>
      </c>
      <c r="S83" s="9">
        <f t="shared" si="91"/>
        <v>0</v>
      </c>
      <c r="T83" s="22" t="str">
        <f>IFERROR(INDEX('US Food'!$S$11:$S$197,MATCH('Calculations - US Food'!$D83,'US Food'!$N$11:$N$197,0)),"")</f>
        <v/>
      </c>
      <c r="U83" s="22" t="str">
        <f>IFERROR(INDEX('US Food'!$T$11:$T$197,MATCH('Calculations - US Food'!$D83,'US Food'!$N$11:$N$197,0)),"")</f>
        <v/>
      </c>
      <c r="V83" s="16" t="e">
        <f t="shared" si="92"/>
        <v>#VALUE!</v>
      </c>
      <c r="W83" s="16" t="e">
        <f t="shared" si="72"/>
        <v>#VALUE!</v>
      </c>
      <c r="X83" s="16" t="e">
        <f t="shared" si="73"/>
        <v>#VALUE!</v>
      </c>
      <c r="Y83" s="10" t="str">
        <f t="shared" si="93"/>
        <v>-</v>
      </c>
      <c r="Z83" s="10" t="str">
        <f t="shared" si="94"/>
        <v>-</v>
      </c>
      <c r="AA83" s="13" t="str">
        <f t="shared" si="74"/>
        <v>-</v>
      </c>
      <c r="AB83" s="9" t="str">
        <f t="shared" si="95"/>
        <v>-</v>
      </c>
      <c r="AC83" s="16" t="str">
        <f t="shared" si="75"/>
        <v>-</v>
      </c>
      <c r="AD83" s="16" t="str">
        <f t="shared" si="96"/>
        <v>-</v>
      </c>
      <c r="AE83" s="16" t="str">
        <f t="shared" si="97"/>
        <v>-</v>
      </c>
      <c r="AF83" s="16" t="str">
        <f t="shared" si="76"/>
        <v>-</v>
      </c>
      <c r="AG83" s="16"/>
      <c r="AH83" s="32" t="str">
        <f>IFERROR(INDEX('US Food'!$R$11:$R$197,MATCH('Calculations - US Food'!D83,'US Food'!$N$11:$N$197,0)),"")</f>
        <v/>
      </c>
      <c r="AI83" s="23" t="str">
        <f t="shared" si="77"/>
        <v/>
      </c>
      <c r="AJ83" s="23" t="str">
        <f t="shared" si="78"/>
        <v/>
      </c>
      <c r="AK83" s="9" t="str">
        <f t="shared" si="98"/>
        <v/>
      </c>
      <c r="AL83" s="4" t="str">
        <f t="shared" si="99"/>
        <v/>
      </c>
      <c r="AM83" s="4"/>
      <c r="AN83" s="4"/>
      <c r="AO83" s="4"/>
      <c r="AP83" s="4"/>
      <c r="AQ83" s="4"/>
      <c r="AR83" s="20" t="str">
        <f t="shared" si="100"/>
        <v>-</v>
      </c>
      <c r="AS83" s="13" t="str">
        <f t="shared" si="79"/>
        <v>-</v>
      </c>
      <c r="AT83" s="13" t="str">
        <f t="shared" si="80"/>
        <v>-</v>
      </c>
      <c r="AU83" s="13" t="str">
        <f t="shared" si="101"/>
        <v>-</v>
      </c>
      <c r="AV83" s="16" t="str">
        <f t="shared" si="81"/>
        <v>-</v>
      </c>
      <c r="AW83" s="16" t="str">
        <f t="shared" si="102"/>
        <v>-</v>
      </c>
      <c r="AX83" s="16" t="str">
        <f t="shared" si="103"/>
        <v>-</v>
      </c>
      <c r="AY83" s="16" t="str">
        <f t="shared" si="82"/>
        <v>-</v>
      </c>
      <c r="AZ83" s="13" t="str">
        <f t="shared" si="83"/>
        <v>-</v>
      </c>
      <c r="BA83" s="10" t="str">
        <f t="shared" si="84"/>
        <v>-</v>
      </c>
      <c r="BB83" s="9" t="str">
        <f t="shared" si="85"/>
        <v>-</v>
      </c>
      <c r="BC83" s="13" t="str">
        <f t="shared" si="86"/>
        <v>-</v>
      </c>
      <c r="BD83" s="10" t="str">
        <f t="shared" si="87"/>
        <v>-</v>
      </c>
      <c r="BE83" s="13" t="str">
        <f t="shared" si="88"/>
        <v>-</v>
      </c>
      <c r="BF83" s="4"/>
      <c r="BG83" s="4"/>
      <c r="BH83" s="4"/>
      <c r="BI83" s="9">
        <f t="shared" ref="BI83:BI90" si="104">AW76/$BH$82</f>
        <v>8.0368419600484672E-2</v>
      </c>
      <c r="BJ83" s="4"/>
      <c r="BK83" s="4"/>
      <c r="BL83" s="4"/>
      <c r="BM83" s="4"/>
      <c r="BN83" s="4"/>
      <c r="BO83" s="4"/>
      <c r="BP83" s="4"/>
      <c r="BQ83" s="4"/>
      <c r="BR83" s="4"/>
    </row>
    <row r="84" spans="2:70" x14ac:dyDescent="0.3">
      <c r="B84" s="96" t="str">
        <f t="shared" si="67"/>
        <v/>
      </c>
      <c r="C84" s="96" t="str">
        <f t="shared" si="68"/>
        <v/>
      </c>
      <c r="D84" s="96" t="str">
        <f t="shared" si="69"/>
        <v/>
      </c>
      <c r="E84" s="3"/>
      <c r="F84" s="3"/>
      <c r="G84" s="3"/>
      <c r="H84" s="3"/>
      <c r="I84" s="20">
        <f>IFERROR(INDEX('Input - US Food'!G$2:G$200,MATCH('Calculations - US Food'!$D84,'Input - US Food'!$B$2:$B$200,0)),"")</f>
        <v>0</v>
      </c>
      <c r="J84" s="20">
        <f>IFERROR(INDEX('Input - US Food'!H$2:H$200,MATCH('Calculations - US Food'!$D84,'Input - US Food'!$B$2:$B$200,0)),"")</f>
        <v>0</v>
      </c>
      <c r="K84" s="21">
        <f>IFERROR(INDEX('Input - US Food'!I$2:I$200,MATCH('Calculations - US Food'!$D84,'Input - US Food'!$B$2:$B$200,0)),"")</f>
        <v>0</v>
      </c>
      <c r="L84" s="21">
        <f>IFERROR(INDEX('Input - US Food'!J$2:J$200,MATCH('Calculations - US Food'!$D84,'Input - US Food'!$B$2:$B$200,0)),"")</f>
        <v>0</v>
      </c>
      <c r="M84" s="20">
        <f>IFERROR(INDEX('Input - US Food'!K$2:K$200,MATCH('Calculations - US Food'!$D84,'Input - US Food'!$B$2:$B$200,0)),"")</f>
        <v>6055363851.4215012</v>
      </c>
      <c r="N84" s="20">
        <f>IFERROR(INDEX('Input - US Food'!L$2:L$200,MATCH('Calculations - US Food'!$D84,'Input - US Food'!$B$2:$B$200,0)),"")</f>
        <v>1982155918.8720999</v>
      </c>
      <c r="O84" s="21" t="str">
        <f t="shared" si="70"/>
        <v/>
      </c>
      <c r="P84" s="21">
        <f t="shared" si="89"/>
        <v>3.0549382083257943</v>
      </c>
      <c r="Q84" s="21">
        <f t="shared" si="71"/>
        <v>0</v>
      </c>
      <c r="R84" s="9">
        <f t="shared" si="90"/>
        <v>0</v>
      </c>
      <c r="S84" s="9">
        <f t="shared" si="91"/>
        <v>0</v>
      </c>
      <c r="T84" s="22" t="str">
        <f>IFERROR(INDEX('US Food'!$S$11:$S$197,MATCH('Calculations - US Food'!$D84,'US Food'!$N$11:$N$197,0)),"")</f>
        <v/>
      </c>
      <c r="U84" s="22" t="str">
        <f>IFERROR(INDEX('US Food'!$T$11:$T$197,MATCH('Calculations - US Food'!$D84,'US Food'!$N$11:$N$197,0)),"")</f>
        <v/>
      </c>
      <c r="V84" s="16" t="e">
        <f t="shared" si="92"/>
        <v>#VALUE!</v>
      </c>
      <c r="W84" s="16" t="e">
        <f t="shared" si="72"/>
        <v>#VALUE!</v>
      </c>
      <c r="X84" s="16" t="e">
        <f t="shared" si="73"/>
        <v>#VALUE!</v>
      </c>
      <c r="Y84" s="10" t="str">
        <f t="shared" si="93"/>
        <v>-</v>
      </c>
      <c r="Z84" s="10" t="str">
        <f t="shared" si="94"/>
        <v>-</v>
      </c>
      <c r="AA84" s="13" t="str">
        <f t="shared" si="74"/>
        <v>-</v>
      </c>
      <c r="AB84" s="9" t="str">
        <f t="shared" si="95"/>
        <v>-</v>
      </c>
      <c r="AC84" s="16" t="str">
        <f t="shared" si="75"/>
        <v>-</v>
      </c>
      <c r="AD84" s="16" t="str">
        <f t="shared" si="96"/>
        <v>-</v>
      </c>
      <c r="AE84" s="16" t="str">
        <f t="shared" si="97"/>
        <v>-</v>
      </c>
      <c r="AF84" s="16" t="str">
        <f t="shared" si="76"/>
        <v>-</v>
      </c>
      <c r="AG84" s="16"/>
      <c r="AH84" s="32" t="str">
        <f>IFERROR(INDEX('US Food'!$R$11:$R$197,MATCH('Calculations - US Food'!D84,'US Food'!$N$11:$N$197,0)),"")</f>
        <v/>
      </c>
      <c r="AI84" s="23" t="str">
        <f t="shared" si="77"/>
        <v/>
      </c>
      <c r="AJ84" s="23" t="str">
        <f t="shared" si="78"/>
        <v/>
      </c>
      <c r="AK84" s="9" t="str">
        <f t="shared" si="98"/>
        <v/>
      </c>
      <c r="AL84" s="4" t="str">
        <f t="shared" si="99"/>
        <v/>
      </c>
      <c r="AM84" s="4"/>
      <c r="AN84" s="4"/>
      <c r="AO84" s="4"/>
      <c r="AP84" s="4"/>
      <c r="AQ84" s="4"/>
      <c r="AR84" s="20" t="str">
        <f t="shared" si="100"/>
        <v>-</v>
      </c>
      <c r="AS84" s="13" t="str">
        <f t="shared" si="79"/>
        <v>-</v>
      </c>
      <c r="AT84" s="13" t="str">
        <f t="shared" si="80"/>
        <v>-</v>
      </c>
      <c r="AU84" s="13" t="str">
        <f t="shared" si="101"/>
        <v>-</v>
      </c>
      <c r="AV84" s="16" t="str">
        <f t="shared" si="81"/>
        <v>-</v>
      </c>
      <c r="AW84" s="16" t="str">
        <f t="shared" si="102"/>
        <v>-</v>
      </c>
      <c r="AX84" s="16" t="str">
        <f t="shared" si="103"/>
        <v>-</v>
      </c>
      <c r="AY84" s="16" t="str">
        <f t="shared" si="82"/>
        <v>-</v>
      </c>
      <c r="AZ84" s="13" t="str">
        <f t="shared" si="83"/>
        <v>-</v>
      </c>
      <c r="BA84" s="10" t="str">
        <f t="shared" si="84"/>
        <v>-</v>
      </c>
      <c r="BB84" s="9" t="str">
        <f t="shared" si="85"/>
        <v>-</v>
      </c>
      <c r="BC84" s="13" t="str">
        <f t="shared" si="86"/>
        <v>-</v>
      </c>
      <c r="BD84" s="10" t="str">
        <f t="shared" si="87"/>
        <v>-</v>
      </c>
      <c r="BE84" s="13" t="str">
        <f t="shared" si="88"/>
        <v>-</v>
      </c>
      <c r="BF84" s="4"/>
      <c r="BG84" s="4"/>
      <c r="BH84" s="4"/>
      <c r="BI84" s="9">
        <f t="shared" si="104"/>
        <v>2.0079209885233555E-3</v>
      </c>
      <c r="BJ84" s="4"/>
      <c r="BK84" s="4"/>
      <c r="BL84" s="4"/>
      <c r="BM84" s="4"/>
      <c r="BN84" s="4"/>
      <c r="BO84" s="4"/>
      <c r="BP84" s="4"/>
      <c r="BQ84" s="4"/>
      <c r="BR84" s="4"/>
    </row>
    <row r="85" spans="2:70" x14ac:dyDescent="0.3">
      <c r="B85" s="96" t="str">
        <f t="shared" si="67"/>
        <v/>
      </c>
      <c r="C85" s="96" t="str">
        <f t="shared" si="68"/>
        <v/>
      </c>
      <c r="D85" s="96" t="str">
        <f t="shared" si="69"/>
        <v/>
      </c>
      <c r="E85" s="3"/>
      <c r="F85" s="3"/>
      <c r="G85" s="3"/>
      <c r="H85" s="3"/>
      <c r="I85" s="20">
        <f>IFERROR(INDEX('Input - US Food'!G$2:G$200,MATCH('Calculations - US Food'!$D85,'Input - US Food'!$B$2:$B$200,0)),"")</f>
        <v>0</v>
      </c>
      <c r="J85" s="20">
        <f>IFERROR(INDEX('Input - US Food'!H$2:H$200,MATCH('Calculations - US Food'!$D85,'Input - US Food'!$B$2:$B$200,0)),"")</f>
        <v>0</v>
      </c>
      <c r="K85" s="21">
        <f>IFERROR(INDEX('Input - US Food'!I$2:I$200,MATCH('Calculations - US Food'!$D85,'Input - US Food'!$B$2:$B$200,0)),"")</f>
        <v>0</v>
      </c>
      <c r="L85" s="21">
        <f>IFERROR(INDEX('Input - US Food'!J$2:J$200,MATCH('Calculations - US Food'!$D85,'Input - US Food'!$B$2:$B$200,0)),"")</f>
        <v>0</v>
      </c>
      <c r="M85" s="20">
        <f>IFERROR(INDEX('Input - US Food'!K$2:K$200,MATCH('Calculations - US Food'!$D85,'Input - US Food'!$B$2:$B$200,0)),"")</f>
        <v>6055363851.4215012</v>
      </c>
      <c r="N85" s="20">
        <f>IFERROR(INDEX('Input - US Food'!L$2:L$200,MATCH('Calculations - US Food'!$D85,'Input - US Food'!$B$2:$B$200,0)),"")</f>
        <v>1982155918.8720999</v>
      </c>
      <c r="O85" s="21" t="str">
        <f t="shared" si="70"/>
        <v/>
      </c>
      <c r="P85" s="21">
        <f t="shared" si="89"/>
        <v>3.0549382083257943</v>
      </c>
      <c r="Q85" s="21">
        <f t="shared" si="71"/>
        <v>0</v>
      </c>
      <c r="R85" s="9">
        <f t="shared" si="90"/>
        <v>0</v>
      </c>
      <c r="S85" s="9">
        <f t="shared" si="91"/>
        <v>0</v>
      </c>
      <c r="T85" s="22" t="str">
        <f>IFERROR(INDEX('US Food'!$S$11:$S$197,MATCH('Calculations - US Food'!$D85,'US Food'!$N$11:$N$197,0)),"")</f>
        <v/>
      </c>
      <c r="U85" s="22" t="str">
        <f>IFERROR(INDEX('US Food'!$T$11:$T$197,MATCH('Calculations - US Food'!$D85,'US Food'!$N$11:$N$197,0)),"")</f>
        <v/>
      </c>
      <c r="V85" s="16" t="e">
        <f t="shared" si="92"/>
        <v>#VALUE!</v>
      </c>
      <c r="W85" s="16" t="e">
        <f t="shared" si="72"/>
        <v>#VALUE!</v>
      </c>
      <c r="X85" s="16" t="e">
        <f t="shared" si="73"/>
        <v>#VALUE!</v>
      </c>
      <c r="Y85" s="10" t="str">
        <f t="shared" si="93"/>
        <v>-</v>
      </c>
      <c r="Z85" s="10" t="str">
        <f t="shared" si="94"/>
        <v>-</v>
      </c>
      <c r="AA85" s="13" t="str">
        <f t="shared" si="74"/>
        <v>-</v>
      </c>
      <c r="AB85" s="9" t="str">
        <f t="shared" si="95"/>
        <v>-</v>
      </c>
      <c r="AC85" s="16" t="str">
        <f t="shared" si="75"/>
        <v>-</v>
      </c>
      <c r="AD85" s="16" t="str">
        <f t="shared" si="96"/>
        <v>-</v>
      </c>
      <c r="AE85" s="16" t="str">
        <f t="shared" si="97"/>
        <v>-</v>
      </c>
      <c r="AF85" s="16" t="str">
        <f t="shared" si="76"/>
        <v>-</v>
      </c>
      <c r="AG85" s="16"/>
      <c r="AH85" s="32" t="str">
        <f>IFERROR(INDEX('US Food'!$R$11:$R$197,MATCH('Calculations - US Food'!D85,'US Food'!$N$11:$N$197,0)),"")</f>
        <v/>
      </c>
      <c r="AI85" s="23" t="str">
        <f t="shared" si="77"/>
        <v/>
      </c>
      <c r="AJ85" s="23" t="str">
        <f t="shared" si="78"/>
        <v/>
      </c>
      <c r="AK85" s="9" t="str">
        <f t="shared" si="98"/>
        <v/>
      </c>
      <c r="AL85" s="4" t="str">
        <f t="shared" si="99"/>
        <v/>
      </c>
      <c r="AM85" s="4"/>
      <c r="AN85" s="4"/>
      <c r="AO85" s="4"/>
      <c r="AP85" s="4"/>
      <c r="AQ85" s="4"/>
      <c r="AR85" s="20" t="str">
        <f t="shared" si="100"/>
        <v>-</v>
      </c>
      <c r="AS85" s="13" t="str">
        <f t="shared" si="79"/>
        <v>-</v>
      </c>
      <c r="AT85" s="13" t="str">
        <f t="shared" si="80"/>
        <v>-</v>
      </c>
      <c r="AU85" s="13" t="str">
        <f t="shared" si="101"/>
        <v>-</v>
      </c>
      <c r="AV85" s="16" t="str">
        <f t="shared" si="81"/>
        <v>-</v>
      </c>
      <c r="AW85" s="16" t="str">
        <f t="shared" si="102"/>
        <v>-</v>
      </c>
      <c r="AX85" s="16" t="str">
        <f t="shared" si="103"/>
        <v>-</v>
      </c>
      <c r="AY85" s="16" t="str">
        <f t="shared" si="82"/>
        <v>-</v>
      </c>
      <c r="AZ85" s="13" t="str">
        <f t="shared" si="83"/>
        <v>-</v>
      </c>
      <c r="BA85" s="10" t="str">
        <f t="shared" si="84"/>
        <v>-</v>
      </c>
      <c r="BB85" s="9" t="str">
        <f t="shared" si="85"/>
        <v>-</v>
      </c>
      <c r="BC85" s="13" t="str">
        <f t="shared" si="86"/>
        <v>-</v>
      </c>
      <c r="BD85" s="10" t="str">
        <f t="shared" si="87"/>
        <v>-</v>
      </c>
      <c r="BE85" s="13" t="str">
        <f t="shared" si="88"/>
        <v>-</v>
      </c>
      <c r="BF85" s="4"/>
      <c r="BG85" s="4"/>
      <c r="BH85" s="4"/>
      <c r="BI85" s="9">
        <f t="shared" si="104"/>
        <v>6.5905991050294382E-3</v>
      </c>
      <c r="BJ85" s="4"/>
      <c r="BK85" s="4"/>
      <c r="BL85" s="4"/>
      <c r="BM85" s="4"/>
      <c r="BN85" s="4"/>
      <c r="BO85" s="4"/>
      <c r="BP85" s="4"/>
      <c r="BQ85" s="4"/>
      <c r="BR85" s="4"/>
    </row>
    <row r="86" spans="2:70" x14ac:dyDescent="0.3">
      <c r="B86" s="96" t="str">
        <f t="shared" si="67"/>
        <v/>
      </c>
      <c r="C86" s="96" t="str">
        <f t="shared" si="68"/>
        <v/>
      </c>
      <c r="D86" s="96" t="str">
        <f t="shared" si="69"/>
        <v/>
      </c>
      <c r="E86" s="3"/>
      <c r="F86" s="3"/>
      <c r="G86" s="3"/>
      <c r="H86" s="3"/>
      <c r="I86" s="20">
        <f>IFERROR(INDEX('Input - US Food'!G$2:G$200,MATCH('Calculations - US Food'!$D86,'Input - US Food'!$B$2:$B$200,0)),"")</f>
        <v>0</v>
      </c>
      <c r="J86" s="20">
        <f>IFERROR(INDEX('Input - US Food'!H$2:H$200,MATCH('Calculations - US Food'!$D86,'Input - US Food'!$B$2:$B$200,0)),"")</f>
        <v>0</v>
      </c>
      <c r="K86" s="21">
        <f>IFERROR(INDEX('Input - US Food'!I$2:I$200,MATCH('Calculations - US Food'!$D86,'Input - US Food'!$B$2:$B$200,0)),"")</f>
        <v>0</v>
      </c>
      <c r="L86" s="21">
        <f>IFERROR(INDEX('Input - US Food'!J$2:J$200,MATCH('Calculations - US Food'!$D86,'Input - US Food'!$B$2:$B$200,0)),"")</f>
        <v>0</v>
      </c>
      <c r="M86" s="20">
        <f>IFERROR(INDEX('Input - US Food'!K$2:K$200,MATCH('Calculations - US Food'!$D86,'Input - US Food'!$B$2:$B$200,0)),"")</f>
        <v>6055363851.4215012</v>
      </c>
      <c r="N86" s="20">
        <f>IFERROR(INDEX('Input - US Food'!L$2:L$200,MATCH('Calculations - US Food'!$D86,'Input - US Food'!$B$2:$B$200,0)),"")</f>
        <v>1982155918.8720999</v>
      </c>
      <c r="O86" s="21" t="str">
        <f t="shared" si="70"/>
        <v/>
      </c>
      <c r="P86" s="21">
        <f t="shared" si="89"/>
        <v>3.0549382083257943</v>
      </c>
      <c r="Q86" s="21">
        <f t="shared" si="71"/>
        <v>0</v>
      </c>
      <c r="R86" s="9">
        <f t="shared" si="90"/>
        <v>0</v>
      </c>
      <c r="S86" s="9">
        <f t="shared" si="91"/>
        <v>0</v>
      </c>
      <c r="T86" s="22" t="str">
        <f>IFERROR(INDEX('US Food'!$S$11:$S$197,MATCH('Calculations - US Food'!$D86,'US Food'!$N$11:$N$197,0)),"")</f>
        <v/>
      </c>
      <c r="U86" s="22" t="str">
        <f>IFERROR(INDEX('US Food'!$T$11:$T$197,MATCH('Calculations - US Food'!$D86,'US Food'!$N$11:$N$197,0)),"")</f>
        <v/>
      </c>
      <c r="V86" s="16" t="e">
        <f t="shared" si="92"/>
        <v>#VALUE!</v>
      </c>
      <c r="W86" s="16" t="e">
        <f t="shared" si="72"/>
        <v>#VALUE!</v>
      </c>
      <c r="X86" s="16" t="e">
        <f t="shared" si="73"/>
        <v>#VALUE!</v>
      </c>
      <c r="Y86" s="10" t="str">
        <f t="shared" si="93"/>
        <v>-</v>
      </c>
      <c r="Z86" s="10" t="str">
        <f t="shared" si="94"/>
        <v>-</v>
      </c>
      <c r="AA86" s="13" t="str">
        <f t="shared" si="74"/>
        <v>-</v>
      </c>
      <c r="AB86" s="9" t="str">
        <f t="shared" si="95"/>
        <v>-</v>
      </c>
      <c r="AC86" s="16" t="str">
        <f t="shared" si="75"/>
        <v>-</v>
      </c>
      <c r="AD86" s="16" t="str">
        <f t="shared" si="96"/>
        <v>-</v>
      </c>
      <c r="AE86" s="16" t="str">
        <f t="shared" si="97"/>
        <v>-</v>
      </c>
      <c r="AF86" s="16" t="str">
        <f t="shared" si="76"/>
        <v>-</v>
      </c>
      <c r="AG86" s="16"/>
      <c r="AH86" s="32" t="str">
        <f>IFERROR(INDEX('US Food'!$R$11:$R$197,MATCH('Calculations - US Food'!D86,'US Food'!$N$11:$N$197,0)),"")</f>
        <v/>
      </c>
      <c r="AI86" s="23" t="str">
        <f t="shared" si="77"/>
        <v/>
      </c>
      <c r="AJ86" s="23" t="str">
        <f t="shared" si="78"/>
        <v/>
      </c>
      <c r="AK86" s="9" t="str">
        <f t="shared" si="98"/>
        <v/>
      </c>
      <c r="AL86" s="4" t="str">
        <f t="shared" si="99"/>
        <v/>
      </c>
      <c r="AM86" s="4"/>
      <c r="AN86" s="4"/>
      <c r="AO86" s="4"/>
      <c r="AP86" s="4"/>
      <c r="AQ86" s="4"/>
      <c r="AR86" s="20" t="str">
        <f t="shared" si="100"/>
        <v>-</v>
      </c>
      <c r="AS86" s="13" t="str">
        <f t="shared" si="79"/>
        <v>-</v>
      </c>
      <c r="AT86" s="13" t="str">
        <f t="shared" si="80"/>
        <v>-</v>
      </c>
      <c r="AU86" s="13" t="str">
        <f t="shared" si="101"/>
        <v>-</v>
      </c>
      <c r="AV86" s="16" t="str">
        <f t="shared" si="81"/>
        <v>-</v>
      </c>
      <c r="AW86" s="16" t="str">
        <f t="shared" si="102"/>
        <v>-</v>
      </c>
      <c r="AX86" s="16" t="str">
        <f t="shared" si="103"/>
        <v>-</v>
      </c>
      <c r="AY86" s="16" t="str">
        <f t="shared" si="82"/>
        <v>-</v>
      </c>
      <c r="AZ86" s="13" t="str">
        <f t="shared" si="83"/>
        <v>-</v>
      </c>
      <c r="BA86" s="10" t="str">
        <f t="shared" si="84"/>
        <v>-</v>
      </c>
      <c r="BB86" s="9" t="str">
        <f t="shared" si="85"/>
        <v>-</v>
      </c>
      <c r="BC86" s="13" t="str">
        <f t="shared" si="86"/>
        <v>-</v>
      </c>
      <c r="BD86" s="10" t="str">
        <f t="shared" si="87"/>
        <v>-</v>
      </c>
      <c r="BE86" s="13" t="str">
        <f t="shared" si="88"/>
        <v>-</v>
      </c>
      <c r="BF86" s="4"/>
      <c r="BG86" s="4"/>
      <c r="BH86" s="4"/>
      <c r="BI86" s="9">
        <f t="shared" si="104"/>
        <v>6.4499085990205006E-3</v>
      </c>
      <c r="BJ86" s="4"/>
      <c r="BK86" s="4"/>
      <c r="BL86" s="4"/>
      <c r="BM86" s="4"/>
      <c r="BN86" s="4"/>
      <c r="BO86" s="4"/>
      <c r="BP86" s="4"/>
      <c r="BQ86" s="4"/>
      <c r="BR86" s="4"/>
    </row>
    <row r="87" spans="2:70" x14ac:dyDescent="0.3">
      <c r="B87" s="96" t="str">
        <f t="shared" si="67"/>
        <v/>
      </c>
      <c r="C87" s="96" t="str">
        <f t="shared" si="68"/>
        <v/>
      </c>
      <c r="D87" s="96" t="str">
        <f t="shared" si="69"/>
        <v/>
      </c>
      <c r="E87" s="3"/>
      <c r="F87" s="3"/>
      <c r="G87" s="3"/>
      <c r="H87" s="3"/>
      <c r="I87" s="20">
        <f>IFERROR(INDEX('Input - US Food'!G$2:G$200,MATCH('Calculations - US Food'!$D87,'Input - US Food'!$B$2:$B$200,0)),"")</f>
        <v>0</v>
      </c>
      <c r="J87" s="20">
        <f>IFERROR(INDEX('Input - US Food'!H$2:H$200,MATCH('Calculations - US Food'!$D87,'Input - US Food'!$B$2:$B$200,0)),"")</f>
        <v>0</v>
      </c>
      <c r="K87" s="21">
        <f>IFERROR(INDEX('Input - US Food'!I$2:I$200,MATCH('Calculations - US Food'!$D87,'Input - US Food'!$B$2:$B$200,0)),"")</f>
        <v>0</v>
      </c>
      <c r="L87" s="21">
        <f>IFERROR(INDEX('Input - US Food'!J$2:J$200,MATCH('Calculations - US Food'!$D87,'Input - US Food'!$B$2:$B$200,0)),"")</f>
        <v>0</v>
      </c>
      <c r="M87" s="20">
        <f>IFERROR(INDEX('Input - US Food'!K$2:K$200,MATCH('Calculations - US Food'!$D87,'Input - US Food'!$B$2:$B$200,0)),"")</f>
        <v>6055363851.4215012</v>
      </c>
      <c r="N87" s="20">
        <f>IFERROR(INDEX('Input - US Food'!L$2:L$200,MATCH('Calculations - US Food'!$D87,'Input - US Food'!$B$2:$B$200,0)),"")</f>
        <v>1982155918.8720999</v>
      </c>
      <c r="O87" s="21" t="str">
        <f t="shared" si="70"/>
        <v/>
      </c>
      <c r="P87" s="21">
        <f t="shared" si="89"/>
        <v>3.0549382083257943</v>
      </c>
      <c r="Q87" s="21">
        <f t="shared" si="71"/>
        <v>0</v>
      </c>
      <c r="R87" s="9">
        <f t="shared" si="90"/>
        <v>0</v>
      </c>
      <c r="S87" s="9">
        <f t="shared" si="91"/>
        <v>0</v>
      </c>
      <c r="T87" s="22" t="str">
        <f>IFERROR(INDEX('US Food'!$S$11:$S$197,MATCH('Calculations - US Food'!$D87,'US Food'!$N$11:$N$197,0)),"")</f>
        <v/>
      </c>
      <c r="U87" s="22" t="str">
        <f>IFERROR(INDEX('US Food'!$T$11:$T$197,MATCH('Calculations - US Food'!$D87,'US Food'!$N$11:$N$197,0)),"")</f>
        <v/>
      </c>
      <c r="V87" s="16" t="e">
        <f t="shared" si="92"/>
        <v>#VALUE!</v>
      </c>
      <c r="W87" s="16" t="e">
        <f t="shared" si="72"/>
        <v>#VALUE!</v>
      </c>
      <c r="X87" s="16" t="e">
        <f t="shared" si="73"/>
        <v>#VALUE!</v>
      </c>
      <c r="Y87" s="10" t="str">
        <f t="shared" si="93"/>
        <v>-</v>
      </c>
      <c r="Z87" s="10" t="str">
        <f t="shared" si="94"/>
        <v>-</v>
      </c>
      <c r="AA87" s="13" t="str">
        <f t="shared" si="74"/>
        <v>-</v>
      </c>
      <c r="AB87" s="9" t="str">
        <f t="shared" si="95"/>
        <v>-</v>
      </c>
      <c r="AC87" s="16" t="str">
        <f t="shared" si="75"/>
        <v>-</v>
      </c>
      <c r="AD87" s="16" t="str">
        <f t="shared" si="96"/>
        <v>-</v>
      </c>
      <c r="AE87" s="16" t="str">
        <f t="shared" si="97"/>
        <v>-</v>
      </c>
      <c r="AF87" s="16" t="str">
        <f t="shared" si="76"/>
        <v>-</v>
      </c>
      <c r="AG87" s="16"/>
      <c r="AH87" s="32" t="str">
        <f>IFERROR(INDEX('US Food'!$R$11:$R$197,MATCH('Calculations - US Food'!D87,'US Food'!$N$11:$N$197,0)),"")</f>
        <v/>
      </c>
      <c r="AI87" s="23" t="str">
        <f t="shared" si="77"/>
        <v/>
      </c>
      <c r="AJ87" s="23" t="str">
        <f t="shared" si="78"/>
        <v/>
      </c>
      <c r="AK87" s="9" t="str">
        <f t="shared" si="98"/>
        <v/>
      </c>
      <c r="AL87" s="4" t="str">
        <f t="shared" si="99"/>
        <v/>
      </c>
      <c r="AM87" s="4"/>
      <c r="AN87" s="4"/>
      <c r="AO87" s="4"/>
      <c r="AP87" s="4"/>
      <c r="AQ87" s="4"/>
      <c r="AR87" s="20" t="str">
        <f t="shared" si="100"/>
        <v>-</v>
      </c>
      <c r="AS87" s="13" t="str">
        <f t="shared" si="79"/>
        <v>-</v>
      </c>
      <c r="AT87" s="13" t="str">
        <f t="shared" si="80"/>
        <v>-</v>
      </c>
      <c r="AU87" s="13" t="str">
        <f t="shared" si="101"/>
        <v>-</v>
      </c>
      <c r="AV87" s="16" t="str">
        <f t="shared" si="81"/>
        <v>-</v>
      </c>
      <c r="AW87" s="16" t="str">
        <f t="shared" si="102"/>
        <v>-</v>
      </c>
      <c r="AX87" s="16" t="str">
        <f t="shared" si="103"/>
        <v>-</v>
      </c>
      <c r="AY87" s="16" t="str">
        <f t="shared" si="82"/>
        <v>-</v>
      </c>
      <c r="AZ87" s="13" t="str">
        <f t="shared" si="83"/>
        <v>-</v>
      </c>
      <c r="BA87" s="10" t="str">
        <f t="shared" si="84"/>
        <v>-</v>
      </c>
      <c r="BB87" s="9" t="str">
        <f t="shared" si="85"/>
        <v>-</v>
      </c>
      <c r="BC87" s="13" t="str">
        <f t="shared" si="86"/>
        <v>-</v>
      </c>
      <c r="BD87" s="10" t="str">
        <f t="shared" si="87"/>
        <v>-</v>
      </c>
      <c r="BE87" s="13" t="str">
        <f t="shared" si="88"/>
        <v>-</v>
      </c>
      <c r="BF87" s="4"/>
      <c r="BG87" s="4"/>
      <c r="BH87" s="4"/>
      <c r="BI87" s="9">
        <f>AW80/$BH$82</f>
        <v>1.7540603009679777E-4</v>
      </c>
      <c r="BJ87" s="4"/>
      <c r="BK87" s="4"/>
      <c r="BL87" s="4"/>
      <c r="BM87" s="4"/>
      <c r="BN87" s="4"/>
      <c r="BO87" s="4"/>
      <c r="BP87" s="4"/>
      <c r="BQ87" s="4"/>
      <c r="BR87" s="4"/>
    </row>
    <row r="88" spans="2:70" x14ac:dyDescent="0.3">
      <c r="B88" s="96" t="str">
        <f t="shared" si="67"/>
        <v/>
      </c>
      <c r="C88" s="96" t="str">
        <f t="shared" si="68"/>
        <v/>
      </c>
      <c r="D88" s="96" t="str">
        <f t="shared" si="69"/>
        <v/>
      </c>
      <c r="E88" s="3"/>
      <c r="F88" s="3"/>
      <c r="G88" s="3"/>
      <c r="H88" s="3"/>
      <c r="I88" s="20">
        <f>IFERROR(INDEX('Input - US Food'!G$2:G$200,MATCH('Calculations - US Food'!$D88,'Input - US Food'!$B$2:$B$200,0)),"")</f>
        <v>0</v>
      </c>
      <c r="J88" s="20">
        <f>IFERROR(INDEX('Input - US Food'!H$2:H$200,MATCH('Calculations - US Food'!$D88,'Input - US Food'!$B$2:$B$200,0)),"")</f>
        <v>0</v>
      </c>
      <c r="K88" s="21">
        <f>IFERROR(INDEX('Input - US Food'!I$2:I$200,MATCH('Calculations - US Food'!$D88,'Input - US Food'!$B$2:$B$200,0)),"")</f>
        <v>0</v>
      </c>
      <c r="L88" s="21">
        <f>IFERROR(INDEX('Input - US Food'!J$2:J$200,MATCH('Calculations - US Food'!$D88,'Input - US Food'!$B$2:$B$200,0)),"")</f>
        <v>0</v>
      </c>
      <c r="M88" s="20">
        <f>IFERROR(INDEX('Input - US Food'!K$2:K$200,MATCH('Calculations - US Food'!$D88,'Input - US Food'!$B$2:$B$200,0)),"")</f>
        <v>6055363851.4215012</v>
      </c>
      <c r="N88" s="20">
        <f>IFERROR(INDEX('Input - US Food'!L$2:L$200,MATCH('Calculations - US Food'!$D88,'Input - US Food'!$B$2:$B$200,0)),"")</f>
        <v>1982155918.8720999</v>
      </c>
      <c r="O88" s="21" t="str">
        <f t="shared" si="70"/>
        <v/>
      </c>
      <c r="P88" s="21">
        <f t="shared" si="89"/>
        <v>3.0549382083257943</v>
      </c>
      <c r="Q88" s="21">
        <f t="shared" si="71"/>
        <v>0</v>
      </c>
      <c r="R88" s="9">
        <f t="shared" si="90"/>
        <v>0</v>
      </c>
      <c r="S88" s="9">
        <f t="shared" si="91"/>
        <v>0</v>
      </c>
      <c r="T88" s="22" t="str">
        <f>IFERROR(INDEX('US Food'!$S$11:$S$197,MATCH('Calculations - US Food'!$D88,'US Food'!$N$11:$N$197,0)),"")</f>
        <v/>
      </c>
      <c r="U88" s="22" t="str">
        <f>IFERROR(INDEX('US Food'!$T$11:$T$197,MATCH('Calculations - US Food'!$D88,'US Food'!$N$11:$N$197,0)),"")</f>
        <v/>
      </c>
      <c r="V88" s="16" t="e">
        <f t="shared" si="92"/>
        <v>#VALUE!</v>
      </c>
      <c r="W88" s="16" t="e">
        <f t="shared" si="72"/>
        <v>#VALUE!</v>
      </c>
      <c r="X88" s="16" t="e">
        <f t="shared" si="73"/>
        <v>#VALUE!</v>
      </c>
      <c r="Y88" s="10" t="str">
        <f t="shared" si="93"/>
        <v>-</v>
      </c>
      <c r="Z88" s="10" t="str">
        <f t="shared" si="94"/>
        <v>-</v>
      </c>
      <c r="AA88" s="13" t="str">
        <f t="shared" si="74"/>
        <v>-</v>
      </c>
      <c r="AB88" s="9" t="str">
        <f t="shared" si="95"/>
        <v>-</v>
      </c>
      <c r="AC88" s="16" t="str">
        <f t="shared" si="75"/>
        <v>-</v>
      </c>
      <c r="AD88" s="16" t="str">
        <f t="shared" si="96"/>
        <v>-</v>
      </c>
      <c r="AE88" s="16" t="str">
        <f t="shared" si="97"/>
        <v>-</v>
      </c>
      <c r="AF88" s="16" t="str">
        <f t="shared" si="76"/>
        <v>-</v>
      </c>
      <c r="AG88" s="16"/>
      <c r="AH88" s="32" t="str">
        <f>IFERROR(INDEX('US Food'!$R$11:$R$197,MATCH('Calculations - US Food'!D88,'US Food'!$N$11:$N$197,0)),"")</f>
        <v/>
      </c>
      <c r="AI88" s="23" t="str">
        <f t="shared" si="77"/>
        <v/>
      </c>
      <c r="AJ88" s="23" t="str">
        <f t="shared" si="78"/>
        <v/>
      </c>
      <c r="AK88" s="9" t="str">
        <f t="shared" si="98"/>
        <v/>
      </c>
      <c r="AL88" s="4" t="str">
        <f t="shared" si="99"/>
        <v/>
      </c>
      <c r="AM88" s="4"/>
      <c r="AN88" s="4"/>
      <c r="AO88" s="4"/>
      <c r="AP88" s="4"/>
      <c r="AQ88" s="4"/>
      <c r="AR88" s="20" t="str">
        <f t="shared" si="100"/>
        <v>-</v>
      </c>
      <c r="AS88" s="13" t="str">
        <f t="shared" si="79"/>
        <v>-</v>
      </c>
      <c r="AT88" s="13" t="str">
        <f t="shared" si="80"/>
        <v>-</v>
      </c>
      <c r="AU88" s="13" t="str">
        <f t="shared" si="101"/>
        <v>-</v>
      </c>
      <c r="AV88" s="16" t="str">
        <f t="shared" si="81"/>
        <v>-</v>
      </c>
      <c r="AW88" s="16" t="str">
        <f t="shared" si="102"/>
        <v>-</v>
      </c>
      <c r="AX88" s="16" t="str">
        <f t="shared" si="103"/>
        <v>-</v>
      </c>
      <c r="AY88" s="16" t="str">
        <f t="shared" si="82"/>
        <v>-</v>
      </c>
      <c r="AZ88" s="13" t="str">
        <f t="shared" si="83"/>
        <v>-</v>
      </c>
      <c r="BA88" s="10" t="str">
        <f t="shared" si="84"/>
        <v>-</v>
      </c>
      <c r="BB88" s="9" t="str">
        <f t="shared" si="85"/>
        <v>-</v>
      </c>
      <c r="BC88" s="13" t="str">
        <f t="shared" si="86"/>
        <v>-</v>
      </c>
      <c r="BD88" s="10" t="str">
        <f t="shared" si="87"/>
        <v>-</v>
      </c>
      <c r="BE88" s="13" t="str">
        <f t="shared" si="88"/>
        <v>-</v>
      </c>
      <c r="BF88" s="4"/>
      <c r="BG88" s="4"/>
      <c r="BH88" s="4"/>
      <c r="BI88" s="4" t="e">
        <f t="shared" si="104"/>
        <v>#VALUE!</v>
      </c>
      <c r="BJ88" s="4"/>
      <c r="BK88" s="4"/>
      <c r="BL88" s="4"/>
      <c r="BM88" s="4"/>
      <c r="BN88" s="4"/>
      <c r="BO88" s="4"/>
      <c r="BP88" s="4"/>
      <c r="BQ88" s="4"/>
      <c r="BR88" s="4"/>
    </row>
    <row r="89" spans="2:70" x14ac:dyDescent="0.3">
      <c r="B89" s="96" t="str">
        <f t="shared" si="67"/>
        <v/>
      </c>
      <c r="C89" s="96" t="str">
        <f t="shared" si="68"/>
        <v/>
      </c>
      <c r="D89" s="96" t="str">
        <f t="shared" si="69"/>
        <v/>
      </c>
      <c r="E89" s="3"/>
      <c r="F89" s="3"/>
      <c r="G89" s="3"/>
      <c r="H89" s="3"/>
      <c r="I89" s="20">
        <f>IFERROR(INDEX('Input - US Food'!G$2:G$200,MATCH('Calculations - US Food'!$D89,'Input - US Food'!$B$2:$B$200,0)),"")</f>
        <v>0</v>
      </c>
      <c r="J89" s="20">
        <f>IFERROR(INDEX('Input - US Food'!H$2:H$200,MATCH('Calculations - US Food'!$D89,'Input - US Food'!$B$2:$B$200,0)),"")</f>
        <v>0</v>
      </c>
      <c r="K89" s="21">
        <f>IFERROR(INDEX('Input - US Food'!I$2:I$200,MATCH('Calculations - US Food'!$D89,'Input - US Food'!$B$2:$B$200,0)),"")</f>
        <v>0</v>
      </c>
      <c r="L89" s="21">
        <f>IFERROR(INDEX('Input - US Food'!J$2:J$200,MATCH('Calculations - US Food'!$D89,'Input - US Food'!$B$2:$B$200,0)),"")</f>
        <v>0</v>
      </c>
      <c r="M89" s="20">
        <f>IFERROR(INDEX('Input - US Food'!K$2:K$200,MATCH('Calculations - US Food'!$D89,'Input - US Food'!$B$2:$B$200,0)),"")</f>
        <v>6055363851.4215012</v>
      </c>
      <c r="N89" s="20">
        <f>IFERROR(INDEX('Input - US Food'!L$2:L$200,MATCH('Calculations - US Food'!$D89,'Input - US Food'!$B$2:$B$200,0)),"")</f>
        <v>1982155918.8720999</v>
      </c>
      <c r="O89" s="21" t="str">
        <f t="shared" si="70"/>
        <v/>
      </c>
      <c r="P89" s="21">
        <f t="shared" si="89"/>
        <v>3.0549382083257943</v>
      </c>
      <c r="Q89" s="21">
        <f t="shared" si="71"/>
        <v>0</v>
      </c>
      <c r="R89" s="9">
        <f t="shared" si="90"/>
        <v>0</v>
      </c>
      <c r="S89" s="9">
        <f t="shared" si="91"/>
        <v>0</v>
      </c>
      <c r="T89" s="22" t="str">
        <f>IFERROR(INDEX('US Food'!$S$11:$S$197,MATCH('Calculations - US Food'!$D89,'US Food'!$N$11:$N$197,0)),"")</f>
        <v/>
      </c>
      <c r="U89" s="22" t="str">
        <f>IFERROR(INDEX('US Food'!$T$11:$T$197,MATCH('Calculations - US Food'!$D89,'US Food'!$N$11:$N$197,0)),"")</f>
        <v/>
      </c>
      <c r="V89" s="16" t="e">
        <f t="shared" si="92"/>
        <v>#VALUE!</v>
      </c>
      <c r="W89" s="16" t="e">
        <f t="shared" si="72"/>
        <v>#VALUE!</v>
      </c>
      <c r="X89" s="16" t="e">
        <f t="shared" si="73"/>
        <v>#VALUE!</v>
      </c>
      <c r="Y89" s="10" t="str">
        <f t="shared" si="93"/>
        <v>-</v>
      </c>
      <c r="Z89" s="10" t="str">
        <f t="shared" si="94"/>
        <v>-</v>
      </c>
      <c r="AA89" s="13" t="str">
        <f t="shared" si="74"/>
        <v>-</v>
      </c>
      <c r="AB89" s="9" t="str">
        <f t="shared" si="95"/>
        <v>-</v>
      </c>
      <c r="AC89" s="16" t="str">
        <f t="shared" si="75"/>
        <v>-</v>
      </c>
      <c r="AD89" s="16" t="str">
        <f t="shared" si="96"/>
        <v>-</v>
      </c>
      <c r="AE89" s="16" t="str">
        <f t="shared" si="97"/>
        <v>-</v>
      </c>
      <c r="AF89" s="16" t="str">
        <f t="shared" si="76"/>
        <v>-</v>
      </c>
      <c r="AG89" s="16"/>
      <c r="AH89" s="32" t="str">
        <f>IFERROR(INDEX('US Food'!$R$11:$R$197,MATCH('Calculations - US Food'!D89,'US Food'!$N$11:$N$197,0)),"")</f>
        <v/>
      </c>
      <c r="AI89" s="23" t="str">
        <f t="shared" si="77"/>
        <v/>
      </c>
      <c r="AJ89" s="23" t="str">
        <f t="shared" si="78"/>
        <v/>
      </c>
      <c r="AK89" s="9" t="str">
        <f t="shared" si="98"/>
        <v/>
      </c>
      <c r="AL89" s="4" t="str">
        <f t="shared" si="99"/>
        <v/>
      </c>
      <c r="AM89" s="4"/>
      <c r="AN89" s="4"/>
      <c r="AO89" s="4"/>
      <c r="AP89" s="4"/>
      <c r="AQ89" s="4"/>
      <c r="AR89" s="20" t="str">
        <f t="shared" si="100"/>
        <v>-</v>
      </c>
      <c r="AS89" s="13" t="str">
        <f t="shared" si="79"/>
        <v>-</v>
      </c>
      <c r="AT89" s="13" t="str">
        <f t="shared" si="80"/>
        <v>-</v>
      </c>
      <c r="AU89" s="13" t="str">
        <f t="shared" si="101"/>
        <v>-</v>
      </c>
      <c r="AV89" s="16" t="str">
        <f t="shared" si="81"/>
        <v>-</v>
      </c>
      <c r="AW89" s="16" t="str">
        <f t="shared" si="102"/>
        <v>-</v>
      </c>
      <c r="AX89" s="16" t="str">
        <f t="shared" si="103"/>
        <v>-</v>
      </c>
      <c r="AY89" s="16" t="str">
        <f t="shared" si="82"/>
        <v>-</v>
      </c>
      <c r="AZ89" s="13" t="str">
        <f t="shared" si="83"/>
        <v>-</v>
      </c>
      <c r="BA89" s="10" t="str">
        <f t="shared" si="84"/>
        <v>-</v>
      </c>
      <c r="BB89" s="9" t="str">
        <f t="shared" si="85"/>
        <v>-</v>
      </c>
      <c r="BC89" s="13" t="str">
        <f t="shared" si="86"/>
        <v>-</v>
      </c>
      <c r="BD89" s="10" t="str">
        <f t="shared" si="87"/>
        <v>-</v>
      </c>
      <c r="BE89" s="13" t="str">
        <f t="shared" si="88"/>
        <v>-</v>
      </c>
      <c r="BF89" s="4"/>
      <c r="BG89" s="4"/>
      <c r="BH89" s="4"/>
      <c r="BI89" s="4" t="e">
        <f t="shared" si="104"/>
        <v>#VALUE!</v>
      </c>
      <c r="BJ89" s="4"/>
      <c r="BK89" s="4"/>
      <c r="BL89" s="4"/>
      <c r="BM89" s="4"/>
      <c r="BN89" s="4"/>
      <c r="BO89" s="4"/>
      <c r="BP89" s="4"/>
      <c r="BQ89" s="4"/>
      <c r="BR89" s="4"/>
    </row>
    <row r="90" spans="2:70" x14ac:dyDescent="0.3">
      <c r="B90" s="96" t="str">
        <f t="shared" si="67"/>
        <v/>
      </c>
      <c r="C90" s="96" t="str">
        <f t="shared" si="68"/>
        <v/>
      </c>
      <c r="D90" s="96" t="str">
        <f t="shared" si="69"/>
        <v/>
      </c>
      <c r="E90" s="3"/>
      <c r="F90" s="3"/>
      <c r="G90" s="3"/>
      <c r="H90" s="3"/>
      <c r="I90" s="20">
        <f>IFERROR(INDEX('Input - US Food'!G$2:G$200,MATCH('Calculations - US Food'!$D90,'Input - US Food'!$B$2:$B$200,0)),"")</f>
        <v>0</v>
      </c>
      <c r="J90" s="20">
        <f>IFERROR(INDEX('Input - US Food'!H$2:H$200,MATCH('Calculations - US Food'!$D90,'Input - US Food'!$B$2:$B$200,0)),"")</f>
        <v>0</v>
      </c>
      <c r="K90" s="21">
        <f>IFERROR(INDEX('Input - US Food'!I$2:I$200,MATCH('Calculations - US Food'!$D90,'Input - US Food'!$B$2:$B$200,0)),"")</f>
        <v>0</v>
      </c>
      <c r="L90" s="21">
        <f>IFERROR(INDEX('Input - US Food'!J$2:J$200,MATCH('Calculations - US Food'!$D90,'Input - US Food'!$B$2:$B$200,0)),"")</f>
        <v>0</v>
      </c>
      <c r="M90" s="20">
        <f>IFERROR(INDEX('Input - US Food'!K$2:K$200,MATCH('Calculations - US Food'!$D90,'Input - US Food'!$B$2:$B$200,0)),"")</f>
        <v>6055363851.4215012</v>
      </c>
      <c r="N90" s="20">
        <f>IFERROR(INDEX('Input - US Food'!L$2:L$200,MATCH('Calculations - US Food'!$D90,'Input - US Food'!$B$2:$B$200,0)),"")</f>
        <v>1982155918.8720999</v>
      </c>
      <c r="O90" s="21" t="str">
        <f t="shared" si="70"/>
        <v/>
      </c>
      <c r="P90" s="21">
        <f t="shared" si="89"/>
        <v>3.0549382083257943</v>
      </c>
      <c r="Q90" s="21">
        <f t="shared" si="71"/>
        <v>0</v>
      </c>
      <c r="R90" s="9">
        <f t="shared" si="90"/>
        <v>0</v>
      </c>
      <c r="S90" s="9">
        <f t="shared" si="91"/>
        <v>0</v>
      </c>
      <c r="T90" s="22" t="str">
        <f>IFERROR(INDEX('US Food'!$S$11:$S$197,MATCH('Calculations - US Food'!$D90,'US Food'!$N$11:$N$197,0)),"")</f>
        <v/>
      </c>
      <c r="U90" s="22" t="str">
        <f>IFERROR(INDEX('US Food'!$T$11:$T$197,MATCH('Calculations - US Food'!$D90,'US Food'!$N$11:$N$197,0)),"")</f>
        <v/>
      </c>
      <c r="V90" s="16" t="e">
        <f t="shared" si="92"/>
        <v>#VALUE!</v>
      </c>
      <c r="W90" s="16" t="e">
        <f t="shared" si="72"/>
        <v>#VALUE!</v>
      </c>
      <c r="X90" s="16" t="e">
        <f t="shared" si="73"/>
        <v>#VALUE!</v>
      </c>
      <c r="Y90" s="10" t="str">
        <f t="shared" si="93"/>
        <v>-</v>
      </c>
      <c r="Z90" s="10" t="str">
        <f t="shared" si="94"/>
        <v>-</v>
      </c>
      <c r="AA90" s="13" t="str">
        <f t="shared" si="74"/>
        <v>-</v>
      </c>
      <c r="AB90" s="9" t="str">
        <f t="shared" si="95"/>
        <v>-</v>
      </c>
      <c r="AC90" s="16" t="str">
        <f t="shared" si="75"/>
        <v>-</v>
      </c>
      <c r="AD90" s="16" t="str">
        <f t="shared" si="96"/>
        <v>-</v>
      </c>
      <c r="AE90" s="16" t="str">
        <f t="shared" si="97"/>
        <v>-</v>
      </c>
      <c r="AF90" s="16" t="str">
        <f t="shared" si="76"/>
        <v>-</v>
      </c>
      <c r="AG90" s="16"/>
      <c r="AH90" s="32" t="str">
        <f>IFERROR(INDEX('US Food'!$R$11:$R$197,MATCH('Calculations - US Food'!D90,'US Food'!$N$11:$N$197,0)),"")</f>
        <v/>
      </c>
      <c r="AI90" s="23" t="str">
        <f t="shared" si="77"/>
        <v/>
      </c>
      <c r="AJ90" s="23" t="str">
        <f t="shared" si="78"/>
        <v/>
      </c>
      <c r="AK90" s="9" t="str">
        <f t="shared" si="98"/>
        <v/>
      </c>
      <c r="AL90" s="4" t="str">
        <f t="shared" si="99"/>
        <v/>
      </c>
      <c r="AM90" s="4"/>
      <c r="AN90" s="4"/>
      <c r="AO90" s="4"/>
      <c r="AP90" s="4"/>
      <c r="AQ90" s="4"/>
      <c r="AR90" s="20" t="str">
        <f t="shared" si="100"/>
        <v>-</v>
      </c>
      <c r="AS90" s="13" t="str">
        <f t="shared" si="79"/>
        <v>-</v>
      </c>
      <c r="AT90" s="13" t="str">
        <f t="shared" si="80"/>
        <v>-</v>
      </c>
      <c r="AU90" s="13" t="str">
        <f t="shared" si="101"/>
        <v>-</v>
      </c>
      <c r="AV90" s="16" t="str">
        <f t="shared" si="81"/>
        <v>-</v>
      </c>
      <c r="AW90" s="16" t="str">
        <f t="shared" si="102"/>
        <v>-</v>
      </c>
      <c r="AX90" s="16" t="str">
        <f t="shared" si="103"/>
        <v>-</v>
      </c>
      <c r="AY90" s="16" t="str">
        <f t="shared" si="82"/>
        <v>-</v>
      </c>
      <c r="AZ90" s="13" t="str">
        <f t="shared" si="83"/>
        <v>-</v>
      </c>
      <c r="BA90" s="10" t="str">
        <f t="shared" si="84"/>
        <v>-</v>
      </c>
      <c r="BB90" s="9" t="str">
        <f t="shared" si="85"/>
        <v>-</v>
      </c>
      <c r="BC90" s="13" t="str">
        <f t="shared" si="86"/>
        <v>-</v>
      </c>
      <c r="BD90" s="10" t="str">
        <f t="shared" si="87"/>
        <v>-</v>
      </c>
      <c r="BE90" s="13" t="str">
        <f t="shared" si="88"/>
        <v>-</v>
      </c>
      <c r="BF90" s="4"/>
      <c r="BG90" s="4"/>
      <c r="BH90" s="4"/>
      <c r="BI90" s="4" t="e">
        <f t="shared" si="104"/>
        <v>#VALUE!</v>
      </c>
      <c r="BJ90" s="4"/>
      <c r="BK90" s="4"/>
      <c r="BL90" s="4"/>
      <c r="BM90" s="4"/>
      <c r="BN90" s="4"/>
      <c r="BO90" s="4"/>
      <c r="BP90" s="4"/>
      <c r="BQ90" s="4"/>
      <c r="BR90" s="4"/>
    </row>
    <row r="91" spans="2:70" x14ac:dyDescent="0.3">
      <c r="B91" s="96" t="str">
        <f t="shared" si="67"/>
        <v/>
      </c>
      <c r="C91" s="96" t="str">
        <f t="shared" si="68"/>
        <v/>
      </c>
      <c r="D91" s="96" t="str">
        <f t="shared" si="69"/>
        <v/>
      </c>
      <c r="E91" s="3"/>
      <c r="F91" s="3"/>
      <c r="G91" s="3"/>
      <c r="H91" s="3"/>
      <c r="I91" s="20">
        <f>IFERROR(INDEX('Input - US Food'!G$2:G$200,MATCH('Calculations - US Food'!$D91,'Input - US Food'!$B$2:$B$200,0)),"")</f>
        <v>0</v>
      </c>
      <c r="J91" s="20">
        <f>IFERROR(INDEX('Input - US Food'!H$2:H$200,MATCH('Calculations - US Food'!$D91,'Input - US Food'!$B$2:$B$200,0)),"")</f>
        <v>0</v>
      </c>
      <c r="K91" s="21">
        <f>IFERROR(INDEX('Input - US Food'!I$2:I$200,MATCH('Calculations - US Food'!$D91,'Input - US Food'!$B$2:$B$200,0)),"")</f>
        <v>0</v>
      </c>
      <c r="L91" s="21">
        <f>IFERROR(INDEX('Input - US Food'!J$2:J$200,MATCH('Calculations - US Food'!$D91,'Input - US Food'!$B$2:$B$200,0)),"")</f>
        <v>0</v>
      </c>
      <c r="M91" s="20">
        <f>IFERROR(INDEX('Input - US Food'!K$2:K$200,MATCH('Calculations - US Food'!$D91,'Input - US Food'!$B$2:$B$200,0)),"")</f>
        <v>6055363851.4215012</v>
      </c>
      <c r="N91" s="20">
        <f>IFERROR(INDEX('Input - US Food'!L$2:L$200,MATCH('Calculations - US Food'!$D91,'Input - US Food'!$B$2:$B$200,0)),"")</f>
        <v>1982155918.8720999</v>
      </c>
      <c r="O91" s="21" t="str">
        <f t="shared" si="70"/>
        <v/>
      </c>
      <c r="P91" s="21">
        <f t="shared" si="89"/>
        <v>3.0549382083257943</v>
      </c>
      <c r="Q91" s="21">
        <f t="shared" si="71"/>
        <v>0</v>
      </c>
      <c r="R91" s="9">
        <f t="shared" si="90"/>
        <v>0</v>
      </c>
      <c r="S91" s="9">
        <f t="shared" si="91"/>
        <v>0</v>
      </c>
      <c r="T91" s="22" t="str">
        <f>IFERROR(INDEX('US Food'!$S$11:$S$197,MATCH('Calculations - US Food'!$D91,'US Food'!$N$11:$N$197,0)),"")</f>
        <v/>
      </c>
      <c r="U91" s="22" t="str">
        <f>IFERROR(INDEX('US Food'!$T$11:$T$197,MATCH('Calculations - US Food'!$D91,'US Food'!$N$11:$N$197,0)),"")</f>
        <v/>
      </c>
      <c r="V91" s="16" t="e">
        <f t="shared" si="92"/>
        <v>#VALUE!</v>
      </c>
      <c r="W91" s="16" t="e">
        <f t="shared" si="72"/>
        <v>#VALUE!</v>
      </c>
      <c r="X91" s="16" t="e">
        <f t="shared" si="73"/>
        <v>#VALUE!</v>
      </c>
      <c r="Y91" s="10" t="str">
        <f t="shared" si="93"/>
        <v>-</v>
      </c>
      <c r="Z91" s="10" t="str">
        <f t="shared" si="94"/>
        <v>-</v>
      </c>
      <c r="AA91" s="13" t="str">
        <f t="shared" si="74"/>
        <v>-</v>
      </c>
      <c r="AB91" s="9" t="str">
        <f t="shared" si="95"/>
        <v>-</v>
      </c>
      <c r="AC91" s="16" t="str">
        <f t="shared" si="75"/>
        <v>-</v>
      </c>
      <c r="AD91" s="16" t="str">
        <f t="shared" si="96"/>
        <v>-</v>
      </c>
      <c r="AE91" s="16" t="str">
        <f t="shared" si="97"/>
        <v>-</v>
      </c>
      <c r="AF91" s="16" t="str">
        <f t="shared" si="76"/>
        <v>-</v>
      </c>
      <c r="AG91" s="16"/>
      <c r="AH91" s="32" t="str">
        <f>IFERROR(INDEX('US Food'!$R$11:$R$197,MATCH('Calculations - US Food'!D91,'US Food'!$N$11:$N$197,0)),"")</f>
        <v/>
      </c>
      <c r="AI91" s="23" t="str">
        <f t="shared" si="77"/>
        <v/>
      </c>
      <c r="AJ91" s="23" t="str">
        <f t="shared" si="78"/>
        <v/>
      </c>
      <c r="AK91" s="9" t="str">
        <f t="shared" si="98"/>
        <v/>
      </c>
      <c r="AL91" s="4" t="str">
        <f t="shared" si="99"/>
        <v/>
      </c>
      <c r="AM91" s="4"/>
      <c r="AN91" s="4"/>
      <c r="AO91" s="4"/>
      <c r="AP91" s="4"/>
      <c r="AQ91" s="4"/>
      <c r="AR91" s="20" t="str">
        <f t="shared" si="100"/>
        <v>-</v>
      </c>
      <c r="AS91" s="13" t="str">
        <f t="shared" si="79"/>
        <v>-</v>
      </c>
      <c r="AT91" s="13" t="str">
        <f t="shared" si="80"/>
        <v>-</v>
      </c>
      <c r="AU91" s="13" t="str">
        <f t="shared" si="101"/>
        <v>-</v>
      </c>
      <c r="AV91" s="16" t="str">
        <f t="shared" si="81"/>
        <v>-</v>
      </c>
      <c r="AW91" s="16" t="str">
        <f t="shared" si="102"/>
        <v>-</v>
      </c>
      <c r="AX91" s="16" t="str">
        <f t="shared" si="103"/>
        <v>-</v>
      </c>
      <c r="AY91" s="16" t="str">
        <f t="shared" si="82"/>
        <v>-</v>
      </c>
      <c r="AZ91" s="13" t="str">
        <f t="shared" si="83"/>
        <v>-</v>
      </c>
      <c r="BA91" s="10" t="str">
        <f t="shared" si="84"/>
        <v>-</v>
      </c>
      <c r="BB91" s="9" t="str">
        <f t="shared" si="85"/>
        <v>-</v>
      </c>
      <c r="BC91" s="13" t="str">
        <f t="shared" si="86"/>
        <v>-</v>
      </c>
      <c r="BD91" s="10" t="str">
        <f t="shared" si="87"/>
        <v>-</v>
      </c>
      <c r="BE91" s="13" t="str">
        <f t="shared" si="88"/>
        <v>-</v>
      </c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</row>
    <row r="92" spans="2:70" x14ac:dyDescent="0.3">
      <c r="B92" s="96" t="str">
        <f t="shared" si="67"/>
        <v/>
      </c>
      <c r="C92" s="96" t="str">
        <f t="shared" si="68"/>
        <v/>
      </c>
      <c r="D92" s="96" t="str">
        <f t="shared" si="69"/>
        <v/>
      </c>
      <c r="E92" s="3"/>
      <c r="F92" s="3"/>
      <c r="G92" s="3"/>
      <c r="H92" s="3"/>
      <c r="I92" s="20">
        <f>IFERROR(INDEX('Input - US Food'!G$2:G$200,MATCH('Calculations - US Food'!$D92,'Input - US Food'!$B$2:$B$200,0)),"")</f>
        <v>0</v>
      </c>
      <c r="J92" s="20">
        <f>IFERROR(INDEX('Input - US Food'!H$2:H$200,MATCH('Calculations - US Food'!$D92,'Input - US Food'!$B$2:$B$200,0)),"")</f>
        <v>0</v>
      </c>
      <c r="K92" s="21">
        <f>IFERROR(INDEX('Input - US Food'!I$2:I$200,MATCH('Calculations - US Food'!$D92,'Input - US Food'!$B$2:$B$200,0)),"")</f>
        <v>0</v>
      </c>
      <c r="L92" s="21">
        <f>IFERROR(INDEX('Input - US Food'!J$2:J$200,MATCH('Calculations - US Food'!$D92,'Input - US Food'!$B$2:$B$200,0)),"")</f>
        <v>0</v>
      </c>
      <c r="M92" s="20">
        <f>IFERROR(INDEX('Input - US Food'!K$2:K$200,MATCH('Calculations - US Food'!$D92,'Input - US Food'!$B$2:$B$200,0)),"")</f>
        <v>6055363851.4215012</v>
      </c>
      <c r="N92" s="20">
        <f>IFERROR(INDEX('Input - US Food'!L$2:L$200,MATCH('Calculations - US Food'!$D92,'Input - US Food'!$B$2:$B$200,0)),"")</f>
        <v>1982155918.8720999</v>
      </c>
      <c r="O92" s="21" t="str">
        <f t="shared" si="70"/>
        <v/>
      </c>
      <c r="P92" s="21">
        <f t="shared" si="89"/>
        <v>3.0549382083257943</v>
      </c>
      <c r="Q92" s="21">
        <f t="shared" si="71"/>
        <v>0</v>
      </c>
      <c r="R92" s="9">
        <f t="shared" si="90"/>
        <v>0</v>
      </c>
      <c r="S92" s="9">
        <f t="shared" si="91"/>
        <v>0</v>
      </c>
      <c r="T92" s="22" t="str">
        <f>IFERROR(INDEX('US Food'!$S$11:$S$197,MATCH('Calculations - US Food'!$D92,'US Food'!$N$11:$N$197,0)),"")</f>
        <v/>
      </c>
      <c r="U92" s="22" t="str">
        <f>IFERROR(INDEX('US Food'!$T$11:$T$197,MATCH('Calculations - US Food'!$D92,'US Food'!$N$11:$N$197,0)),"")</f>
        <v/>
      </c>
      <c r="V92" s="16" t="e">
        <f t="shared" si="92"/>
        <v>#VALUE!</v>
      </c>
      <c r="W92" s="16" t="e">
        <f t="shared" si="72"/>
        <v>#VALUE!</v>
      </c>
      <c r="X92" s="16" t="e">
        <f t="shared" si="73"/>
        <v>#VALUE!</v>
      </c>
      <c r="Y92" s="10" t="str">
        <f t="shared" si="93"/>
        <v>-</v>
      </c>
      <c r="Z92" s="10" t="str">
        <f t="shared" si="94"/>
        <v>-</v>
      </c>
      <c r="AA92" s="13" t="str">
        <f t="shared" si="74"/>
        <v>-</v>
      </c>
      <c r="AB92" s="9" t="str">
        <f t="shared" si="95"/>
        <v>-</v>
      </c>
      <c r="AC92" s="16" t="str">
        <f t="shared" si="75"/>
        <v>-</v>
      </c>
      <c r="AD92" s="16" t="str">
        <f t="shared" si="96"/>
        <v>-</v>
      </c>
      <c r="AE92" s="16" t="str">
        <f t="shared" si="97"/>
        <v>-</v>
      </c>
      <c r="AF92" s="16" t="str">
        <f t="shared" si="76"/>
        <v>-</v>
      </c>
      <c r="AG92" s="16"/>
      <c r="AH92" s="32" t="str">
        <f>IFERROR(INDEX('US Food'!$R$11:$R$197,MATCH('Calculations - US Food'!D92,'US Food'!$N$11:$N$197,0)),"")</f>
        <v/>
      </c>
      <c r="AI92" s="23" t="str">
        <f t="shared" si="77"/>
        <v/>
      </c>
      <c r="AJ92" s="23" t="str">
        <f t="shared" si="78"/>
        <v/>
      </c>
      <c r="AK92" s="9" t="str">
        <f t="shared" si="98"/>
        <v/>
      </c>
      <c r="AL92" s="4" t="str">
        <f t="shared" si="99"/>
        <v/>
      </c>
      <c r="AM92" s="4"/>
      <c r="AN92" s="4"/>
      <c r="AO92" s="4"/>
      <c r="AP92" s="4"/>
      <c r="AQ92" s="4"/>
      <c r="AR92" s="20" t="str">
        <f t="shared" si="100"/>
        <v>-</v>
      </c>
      <c r="AS92" s="13" t="str">
        <f t="shared" si="79"/>
        <v>-</v>
      </c>
      <c r="AT92" s="13" t="str">
        <f t="shared" si="80"/>
        <v>-</v>
      </c>
      <c r="AU92" s="13" t="str">
        <f t="shared" si="101"/>
        <v>-</v>
      </c>
      <c r="AV92" s="16" t="str">
        <f t="shared" si="81"/>
        <v>-</v>
      </c>
      <c r="AW92" s="16" t="str">
        <f t="shared" si="102"/>
        <v>-</v>
      </c>
      <c r="AX92" s="16" t="str">
        <f t="shared" si="103"/>
        <v>-</v>
      </c>
      <c r="AY92" s="16" t="str">
        <f t="shared" si="82"/>
        <v>-</v>
      </c>
      <c r="AZ92" s="13" t="str">
        <f t="shared" si="83"/>
        <v>-</v>
      </c>
      <c r="BA92" s="10" t="str">
        <f t="shared" si="84"/>
        <v>-</v>
      </c>
      <c r="BB92" s="9" t="str">
        <f t="shared" si="85"/>
        <v>-</v>
      </c>
      <c r="BC92" s="13" t="str">
        <f t="shared" si="86"/>
        <v>-</v>
      </c>
      <c r="BD92" s="10" t="str">
        <f t="shared" si="87"/>
        <v>-</v>
      </c>
      <c r="BE92" s="13" t="str">
        <f t="shared" si="88"/>
        <v>-</v>
      </c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</row>
    <row r="93" spans="2:70" x14ac:dyDescent="0.3">
      <c r="B93" s="96" t="str">
        <f t="shared" si="67"/>
        <v/>
      </c>
      <c r="C93" s="96" t="str">
        <f t="shared" si="68"/>
        <v/>
      </c>
      <c r="D93" s="96" t="str">
        <f t="shared" si="69"/>
        <v/>
      </c>
      <c r="E93" s="3"/>
      <c r="F93" s="3"/>
      <c r="G93" s="3"/>
      <c r="H93" s="3"/>
      <c r="I93" s="20">
        <f>IFERROR(INDEX('Input - US Food'!G$2:G$200,MATCH('Calculations - US Food'!$D93,'Input - US Food'!$B$2:$B$200,0)),"")</f>
        <v>0</v>
      </c>
      <c r="J93" s="20">
        <f>IFERROR(INDEX('Input - US Food'!H$2:H$200,MATCH('Calculations - US Food'!$D93,'Input - US Food'!$B$2:$B$200,0)),"")</f>
        <v>0</v>
      </c>
      <c r="K93" s="21">
        <f>IFERROR(INDEX('Input - US Food'!I$2:I$200,MATCH('Calculations - US Food'!$D93,'Input - US Food'!$B$2:$B$200,0)),"")</f>
        <v>0</v>
      </c>
      <c r="L93" s="21">
        <f>IFERROR(INDEX('Input - US Food'!J$2:J$200,MATCH('Calculations - US Food'!$D93,'Input - US Food'!$B$2:$B$200,0)),"")</f>
        <v>0</v>
      </c>
      <c r="M93" s="20">
        <f>IFERROR(INDEX('Input - US Food'!K$2:K$200,MATCH('Calculations - US Food'!$D93,'Input - US Food'!$B$2:$B$200,0)),"")</f>
        <v>6055363851.4215012</v>
      </c>
      <c r="N93" s="20">
        <f>IFERROR(INDEX('Input - US Food'!L$2:L$200,MATCH('Calculations - US Food'!$D93,'Input - US Food'!$B$2:$B$200,0)),"")</f>
        <v>1982155918.8720999</v>
      </c>
      <c r="O93" s="21" t="str">
        <f t="shared" si="70"/>
        <v/>
      </c>
      <c r="P93" s="21">
        <f t="shared" si="89"/>
        <v>3.0549382083257943</v>
      </c>
      <c r="Q93" s="21">
        <f t="shared" si="71"/>
        <v>0</v>
      </c>
      <c r="R93" s="9">
        <f t="shared" si="90"/>
        <v>0</v>
      </c>
      <c r="S93" s="9">
        <f t="shared" si="91"/>
        <v>0</v>
      </c>
      <c r="T93" s="22" t="str">
        <f>IFERROR(INDEX('US Food'!$S$11:$S$197,MATCH('Calculations - US Food'!$D93,'US Food'!$N$11:$N$197,0)),"")</f>
        <v/>
      </c>
      <c r="U93" s="22" t="str">
        <f>IFERROR(INDEX('US Food'!$T$11:$T$197,MATCH('Calculations - US Food'!$D93,'US Food'!$N$11:$N$197,0)),"")</f>
        <v/>
      </c>
      <c r="V93" s="16" t="e">
        <f t="shared" si="92"/>
        <v>#VALUE!</v>
      </c>
      <c r="W93" s="16" t="e">
        <f t="shared" si="72"/>
        <v>#VALUE!</v>
      </c>
      <c r="X93" s="16" t="e">
        <f t="shared" si="73"/>
        <v>#VALUE!</v>
      </c>
      <c r="Y93" s="10" t="str">
        <f t="shared" si="93"/>
        <v>-</v>
      </c>
      <c r="Z93" s="10" t="str">
        <f t="shared" si="94"/>
        <v>-</v>
      </c>
      <c r="AA93" s="13" t="str">
        <f t="shared" si="74"/>
        <v>-</v>
      </c>
      <c r="AB93" s="9" t="str">
        <f t="shared" si="95"/>
        <v>-</v>
      </c>
      <c r="AC93" s="16" t="str">
        <f t="shared" si="75"/>
        <v>-</v>
      </c>
      <c r="AD93" s="16" t="str">
        <f t="shared" si="96"/>
        <v>-</v>
      </c>
      <c r="AE93" s="16" t="str">
        <f t="shared" si="97"/>
        <v>-</v>
      </c>
      <c r="AF93" s="16" t="str">
        <f t="shared" si="76"/>
        <v>-</v>
      </c>
      <c r="AG93" s="16"/>
      <c r="AH93" s="32" t="str">
        <f>IFERROR(INDEX('US Food'!$R$11:$R$197,MATCH('Calculations - US Food'!D93,'US Food'!$N$11:$N$197,0)),"")</f>
        <v/>
      </c>
      <c r="AI93" s="23" t="str">
        <f t="shared" si="77"/>
        <v/>
      </c>
      <c r="AJ93" s="23" t="str">
        <f t="shared" si="78"/>
        <v/>
      </c>
      <c r="AK93" s="9" t="str">
        <f t="shared" si="98"/>
        <v/>
      </c>
      <c r="AL93" s="4" t="str">
        <f t="shared" si="99"/>
        <v/>
      </c>
      <c r="AM93" s="4"/>
      <c r="AN93" s="4"/>
      <c r="AO93" s="4"/>
      <c r="AP93" s="4"/>
      <c r="AQ93" s="4"/>
      <c r="AR93" s="20" t="str">
        <f t="shared" si="100"/>
        <v>-</v>
      </c>
      <c r="AS93" s="13" t="str">
        <f t="shared" si="79"/>
        <v>-</v>
      </c>
      <c r="AT93" s="13" t="str">
        <f t="shared" si="80"/>
        <v>-</v>
      </c>
      <c r="AU93" s="13" t="str">
        <f t="shared" si="101"/>
        <v>-</v>
      </c>
      <c r="AV93" s="16" t="str">
        <f t="shared" si="81"/>
        <v>-</v>
      </c>
      <c r="AW93" s="16" t="str">
        <f t="shared" si="102"/>
        <v>-</v>
      </c>
      <c r="AX93" s="16" t="str">
        <f t="shared" si="103"/>
        <v>-</v>
      </c>
      <c r="AY93" s="16" t="str">
        <f t="shared" si="82"/>
        <v>-</v>
      </c>
      <c r="AZ93" s="13" t="str">
        <f t="shared" si="83"/>
        <v>-</v>
      </c>
      <c r="BA93" s="10" t="str">
        <f t="shared" si="84"/>
        <v>-</v>
      </c>
      <c r="BB93" s="9" t="str">
        <f t="shared" si="85"/>
        <v>-</v>
      </c>
      <c r="BC93" s="13" t="str">
        <f t="shared" si="86"/>
        <v>-</v>
      </c>
      <c r="BD93" s="10" t="str">
        <f t="shared" si="87"/>
        <v>-</v>
      </c>
      <c r="BE93" s="13" t="str">
        <f t="shared" si="88"/>
        <v>-</v>
      </c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</row>
    <row r="94" spans="2:70" x14ac:dyDescent="0.3">
      <c r="B94" s="96" t="str">
        <f t="shared" si="67"/>
        <v/>
      </c>
      <c r="C94" s="96" t="str">
        <f t="shared" si="68"/>
        <v/>
      </c>
      <c r="D94" s="96" t="str">
        <f t="shared" si="69"/>
        <v/>
      </c>
      <c r="E94" s="3"/>
      <c r="F94" s="3"/>
      <c r="G94" s="3"/>
      <c r="H94" s="3"/>
      <c r="I94" s="20">
        <f>IFERROR(INDEX('Input - US Food'!G$2:G$200,MATCH('Calculations - US Food'!$D94,'Input - US Food'!$B$2:$B$200,0)),"")</f>
        <v>0</v>
      </c>
      <c r="J94" s="20">
        <f>IFERROR(INDEX('Input - US Food'!H$2:H$200,MATCH('Calculations - US Food'!$D94,'Input - US Food'!$B$2:$B$200,0)),"")</f>
        <v>0</v>
      </c>
      <c r="K94" s="21">
        <f>IFERROR(INDEX('Input - US Food'!I$2:I$200,MATCH('Calculations - US Food'!$D94,'Input - US Food'!$B$2:$B$200,0)),"")</f>
        <v>0</v>
      </c>
      <c r="L94" s="21">
        <f>IFERROR(INDEX('Input - US Food'!J$2:J$200,MATCH('Calculations - US Food'!$D94,'Input - US Food'!$B$2:$B$200,0)),"")</f>
        <v>0</v>
      </c>
      <c r="M94" s="20">
        <f>IFERROR(INDEX('Input - US Food'!K$2:K$200,MATCH('Calculations - US Food'!$D94,'Input - US Food'!$B$2:$B$200,0)),"")</f>
        <v>6055363851.4215012</v>
      </c>
      <c r="N94" s="20">
        <f>IFERROR(INDEX('Input - US Food'!L$2:L$200,MATCH('Calculations - US Food'!$D94,'Input - US Food'!$B$2:$B$200,0)),"")</f>
        <v>1982155918.8720999</v>
      </c>
      <c r="O94" s="21" t="str">
        <f t="shared" si="70"/>
        <v/>
      </c>
      <c r="P94" s="21">
        <f t="shared" si="89"/>
        <v>3.0549382083257943</v>
      </c>
      <c r="Q94" s="21">
        <f t="shared" si="71"/>
        <v>0</v>
      </c>
      <c r="R94" s="9">
        <f t="shared" si="90"/>
        <v>0</v>
      </c>
      <c r="S94" s="9">
        <f t="shared" si="91"/>
        <v>0</v>
      </c>
      <c r="T94" s="22" t="str">
        <f>IFERROR(INDEX('US Food'!$S$11:$S$197,MATCH('Calculations - US Food'!$D94,'US Food'!$N$11:$N$197,0)),"")</f>
        <v/>
      </c>
      <c r="U94" s="22" t="str">
        <f>IFERROR(INDEX('US Food'!$T$11:$T$197,MATCH('Calculations - US Food'!$D94,'US Food'!$N$11:$N$197,0)),"")</f>
        <v/>
      </c>
      <c r="V94" s="16" t="e">
        <f t="shared" si="92"/>
        <v>#VALUE!</v>
      </c>
      <c r="W94" s="16" t="e">
        <f t="shared" si="72"/>
        <v>#VALUE!</v>
      </c>
      <c r="X94" s="16" t="e">
        <f t="shared" si="73"/>
        <v>#VALUE!</v>
      </c>
      <c r="Y94" s="10" t="str">
        <f t="shared" si="93"/>
        <v>-</v>
      </c>
      <c r="Z94" s="10" t="str">
        <f t="shared" si="94"/>
        <v>-</v>
      </c>
      <c r="AA94" s="13" t="str">
        <f t="shared" si="74"/>
        <v>-</v>
      </c>
      <c r="AB94" s="9" t="str">
        <f t="shared" si="95"/>
        <v>-</v>
      </c>
      <c r="AC94" s="16" t="str">
        <f t="shared" si="75"/>
        <v>-</v>
      </c>
      <c r="AD94" s="16" t="str">
        <f t="shared" si="96"/>
        <v>-</v>
      </c>
      <c r="AE94" s="16" t="str">
        <f t="shared" si="97"/>
        <v>-</v>
      </c>
      <c r="AF94" s="16" t="str">
        <f t="shared" si="76"/>
        <v>-</v>
      </c>
      <c r="AG94" s="16"/>
      <c r="AH94" s="32" t="str">
        <f>IFERROR(INDEX('US Food'!$R$11:$R$197,MATCH('Calculations - US Food'!D94,'US Food'!$N$11:$N$197,0)),"")</f>
        <v/>
      </c>
      <c r="AI94" s="23" t="str">
        <f t="shared" si="77"/>
        <v/>
      </c>
      <c r="AJ94" s="23" t="str">
        <f t="shared" si="78"/>
        <v/>
      </c>
      <c r="AK94" s="9" t="str">
        <f t="shared" si="98"/>
        <v/>
      </c>
      <c r="AL94" s="4" t="str">
        <f t="shared" si="99"/>
        <v/>
      </c>
      <c r="AM94" s="4"/>
      <c r="AN94" s="4"/>
      <c r="AO94" s="4"/>
      <c r="AP94" s="4"/>
      <c r="AQ94" s="4"/>
      <c r="AR94" s="20" t="str">
        <f t="shared" si="100"/>
        <v>-</v>
      </c>
      <c r="AS94" s="13" t="str">
        <f t="shared" si="79"/>
        <v>-</v>
      </c>
      <c r="AT94" s="13" t="str">
        <f t="shared" si="80"/>
        <v>-</v>
      </c>
      <c r="AU94" s="13" t="str">
        <f t="shared" si="101"/>
        <v>-</v>
      </c>
      <c r="AV94" s="16" t="str">
        <f t="shared" si="81"/>
        <v>-</v>
      </c>
      <c r="AW94" s="16" t="str">
        <f t="shared" si="102"/>
        <v>-</v>
      </c>
      <c r="AX94" s="16" t="str">
        <f t="shared" si="103"/>
        <v>-</v>
      </c>
      <c r="AY94" s="16" t="str">
        <f t="shared" si="82"/>
        <v>-</v>
      </c>
      <c r="AZ94" s="13" t="str">
        <f t="shared" si="83"/>
        <v>-</v>
      </c>
      <c r="BA94" s="10" t="str">
        <f t="shared" si="84"/>
        <v>-</v>
      </c>
      <c r="BB94" s="9" t="str">
        <f t="shared" si="85"/>
        <v>-</v>
      </c>
      <c r="BC94" s="13" t="str">
        <f t="shared" si="86"/>
        <v>-</v>
      </c>
      <c r="BD94" s="10" t="str">
        <f t="shared" si="87"/>
        <v>-</v>
      </c>
      <c r="BE94" s="13" t="str">
        <f t="shared" si="88"/>
        <v>-</v>
      </c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</row>
    <row r="95" spans="2:70" x14ac:dyDescent="0.3">
      <c r="B95" s="96" t="str">
        <f t="shared" si="67"/>
        <v/>
      </c>
      <c r="C95" s="96" t="str">
        <f t="shared" si="68"/>
        <v/>
      </c>
      <c r="D95" s="96" t="str">
        <f t="shared" si="69"/>
        <v/>
      </c>
      <c r="E95" s="3"/>
      <c r="F95" s="3"/>
      <c r="G95" s="3"/>
      <c r="H95" s="3"/>
      <c r="I95" s="20">
        <f>IFERROR(INDEX('Input - US Food'!G$2:G$200,MATCH('Calculations - US Food'!$D95,'Input - US Food'!$B$2:$B$200,0)),"")</f>
        <v>0</v>
      </c>
      <c r="J95" s="20">
        <f>IFERROR(INDEX('Input - US Food'!H$2:H$200,MATCH('Calculations - US Food'!$D95,'Input - US Food'!$B$2:$B$200,0)),"")</f>
        <v>0</v>
      </c>
      <c r="K95" s="21">
        <f>IFERROR(INDEX('Input - US Food'!I$2:I$200,MATCH('Calculations - US Food'!$D95,'Input - US Food'!$B$2:$B$200,0)),"")</f>
        <v>0</v>
      </c>
      <c r="L95" s="21">
        <f>IFERROR(INDEX('Input - US Food'!J$2:J$200,MATCH('Calculations - US Food'!$D95,'Input - US Food'!$B$2:$B$200,0)),"")</f>
        <v>0</v>
      </c>
      <c r="M95" s="20">
        <f>IFERROR(INDEX('Input - US Food'!K$2:K$200,MATCH('Calculations - US Food'!$D95,'Input - US Food'!$B$2:$B$200,0)),"")</f>
        <v>6055363851.4215012</v>
      </c>
      <c r="N95" s="20">
        <f>IFERROR(INDEX('Input - US Food'!L$2:L$200,MATCH('Calculations - US Food'!$D95,'Input - US Food'!$B$2:$B$200,0)),"")</f>
        <v>1982155918.8720999</v>
      </c>
      <c r="O95" s="21" t="str">
        <f t="shared" si="70"/>
        <v/>
      </c>
      <c r="P95" s="21">
        <f t="shared" si="89"/>
        <v>3.0549382083257943</v>
      </c>
      <c r="Q95" s="21">
        <f t="shared" si="71"/>
        <v>0</v>
      </c>
      <c r="R95" s="9">
        <f t="shared" si="90"/>
        <v>0</v>
      </c>
      <c r="S95" s="9">
        <f t="shared" si="91"/>
        <v>0</v>
      </c>
      <c r="T95" s="22" t="str">
        <f>IFERROR(INDEX('US Food'!$S$11:$S$197,MATCH('Calculations - US Food'!$D95,'US Food'!$N$11:$N$197,0)),"")</f>
        <v/>
      </c>
      <c r="U95" s="22" t="str">
        <f>IFERROR(INDEX('US Food'!$T$11:$T$197,MATCH('Calculations - US Food'!$D95,'US Food'!$N$11:$N$197,0)),"")</f>
        <v/>
      </c>
      <c r="V95" s="16" t="e">
        <f t="shared" si="92"/>
        <v>#VALUE!</v>
      </c>
      <c r="W95" s="16" t="e">
        <f t="shared" si="72"/>
        <v>#VALUE!</v>
      </c>
      <c r="X95" s="16" t="e">
        <f t="shared" si="73"/>
        <v>#VALUE!</v>
      </c>
      <c r="Y95" s="10" t="str">
        <f t="shared" si="93"/>
        <v>-</v>
      </c>
      <c r="Z95" s="10" t="str">
        <f t="shared" si="94"/>
        <v>-</v>
      </c>
      <c r="AA95" s="13" t="str">
        <f t="shared" si="74"/>
        <v>-</v>
      </c>
      <c r="AB95" s="9" t="str">
        <f t="shared" si="95"/>
        <v>-</v>
      </c>
      <c r="AC95" s="16" t="str">
        <f t="shared" si="75"/>
        <v>-</v>
      </c>
      <c r="AD95" s="16" t="str">
        <f t="shared" si="96"/>
        <v>-</v>
      </c>
      <c r="AE95" s="16" t="str">
        <f t="shared" si="97"/>
        <v>-</v>
      </c>
      <c r="AF95" s="16" t="str">
        <f t="shared" si="76"/>
        <v>-</v>
      </c>
      <c r="AG95" s="16"/>
      <c r="AH95" s="32" t="str">
        <f>IFERROR(INDEX('US Food'!$R$11:$R$197,MATCH('Calculations - US Food'!D95,'US Food'!$N$11:$N$197,0)),"")</f>
        <v/>
      </c>
      <c r="AI95" s="23" t="str">
        <f t="shared" si="77"/>
        <v/>
      </c>
      <c r="AJ95" s="23" t="str">
        <f t="shared" si="78"/>
        <v/>
      </c>
      <c r="AK95" s="9" t="str">
        <f t="shared" si="98"/>
        <v/>
      </c>
      <c r="AL95" s="4" t="str">
        <f t="shared" si="99"/>
        <v/>
      </c>
      <c r="AM95" s="4"/>
      <c r="AN95" s="4"/>
      <c r="AO95" s="4"/>
      <c r="AP95" s="4"/>
      <c r="AQ95" s="4"/>
      <c r="AR95" s="20" t="str">
        <f t="shared" si="100"/>
        <v>-</v>
      </c>
      <c r="AS95" s="13" t="str">
        <f t="shared" si="79"/>
        <v>-</v>
      </c>
      <c r="AT95" s="13" t="str">
        <f t="shared" si="80"/>
        <v>-</v>
      </c>
      <c r="AU95" s="13" t="str">
        <f t="shared" si="101"/>
        <v>-</v>
      </c>
      <c r="AV95" s="16" t="str">
        <f t="shared" si="81"/>
        <v>-</v>
      </c>
      <c r="AW95" s="16" t="str">
        <f t="shared" si="102"/>
        <v>-</v>
      </c>
      <c r="AX95" s="16" t="str">
        <f t="shared" si="103"/>
        <v>-</v>
      </c>
      <c r="AY95" s="16" t="str">
        <f t="shared" si="82"/>
        <v>-</v>
      </c>
      <c r="AZ95" s="13" t="str">
        <f t="shared" si="83"/>
        <v>-</v>
      </c>
      <c r="BA95" s="10" t="str">
        <f t="shared" si="84"/>
        <v>-</v>
      </c>
      <c r="BB95" s="9" t="str">
        <f t="shared" si="85"/>
        <v>-</v>
      </c>
      <c r="BC95" s="13" t="str">
        <f t="shared" si="86"/>
        <v>-</v>
      </c>
      <c r="BD95" s="10" t="str">
        <f t="shared" si="87"/>
        <v>-</v>
      </c>
      <c r="BE95" s="13" t="str">
        <f t="shared" si="88"/>
        <v>-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</row>
    <row r="96" spans="2:70" x14ac:dyDescent="0.3">
      <c r="B96" s="96" t="str">
        <f t="shared" si="67"/>
        <v/>
      </c>
      <c r="C96" s="96" t="str">
        <f t="shared" si="68"/>
        <v/>
      </c>
      <c r="D96" s="96" t="str">
        <f t="shared" si="69"/>
        <v/>
      </c>
      <c r="E96" s="3"/>
      <c r="F96" s="3"/>
      <c r="G96" s="3"/>
      <c r="H96" s="3"/>
      <c r="I96" s="20">
        <f>IFERROR(INDEX('Input - US Food'!G$2:G$200,MATCH('Calculations - US Food'!$D96,'Input - US Food'!$B$2:$B$200,0)),"")</f>
        <v>0</v>
      </c>
      <c r="J96" s="20">
        <f>IFERROR(INDEX('Input - US Food'!H$2:H$200,MATCH('Calculations - US Food'!$D96,'Input - US Food'!$B$2:$B$200,0)),"")</f>
        <v>0</v>
      </c>
      <c r="K96" s="21">
        <f>IFERROR(INDEX('Input - US Food'!I$2:I$200,MATCH('Calculations - US Food'!$D96,'Input - US Food'!$B$2:$B$200,0)),"")</f>
        <v>0</v>
      </c>
      <c r="L96" s="21">
        <f>IFERROR(INDEX('Input - US Food'!J$2:J$200,MATCH('Calculations - US Food'!$D96,'Input - US Food'!$B$2:$B$200,0)),"")</f>
        <v>0</v>
      </c>
      <c r="M96" s="20">
        <f>IFERROR(INDEX('Input - US Food'!K$2:K$200,MATCH('Calculations - US Food'!$D96,'Input - US Food'!$B$2:$B$200,0)),"")</f>
        <v>6055363851.4215012</v>
      </c>
      <c r="N96" s="20">
        <f>IFERROR(INDEX('Input - US Food'!L$2:L$200,MATCH('Calculations - US Food'!$D96,'Input - US Food'!$B$2:$B$200,0)),"")</f>
        <v>1982155918.8720999</v>
      </c>
      <c r="O96" s="21" t="str">
        <f t="shared" si="70"/>
        <v/>
      </c>
      <c r="P96" s="21">
        <f t="shared" ref="P96:P127" si="105">IFERROR(M96/N96,"")</f>
        <v>3.0549382083257943</v>
      </c>
      <c r="Q96" s="21">
        <f t="shared" si="71"/>
        <v>0</v>
      </c>
      <c r="R96" s="9">
        <f t="shared" ref="R96:R127" si="106">I96/SUM(I$32:I$229)</f>
        <v>0</v>
      </c>
      <c r="S96" s="9">
        <f t="shared" ref="S96:S127" si="107">J96/SUM(J$32:J$229)</f>
        <v>0</v>
      </c>
      <c r="T96" s="22" t="str">
        <f>IFERROR(INDEX('US Food'!$S$11:$S$197,MATCH('Calculations - US Food'!$D96,'US Food'!$N$11:$N$197,0)),"")</f>
        <v/>
      </c>
      <c r="U96" s="22" t="str">
        <f>IFERROR(INDEX('US Food'!$T$11:$T$197,MATCH('Calculations - US Food'!$D96,'US Food'!$N$11:$N$197,0)),"")</f>
        <v/>
      </c>
      <c r="V96" s="16" t="e">
        <f t="shared" ref="V96:V127" si="108">T96*I96</f>
        <v>#VALUE!</v>
      </c>
      <c r="W96" s="16" t="e">
        <f t="shared" si="72"/>
        <v>#VALUE!</v>
      </c>
      <c r="X96" s="16" t="e">
        <f t="shared" si="73"/>
        <v>#VALUE!</v>
      </c>
      <c r="Y96" s="10" t="str">
        <f t="shared" ref="Y96:Y127" si="109">IFERROR(X96/J96,"-")</f>
        <v>-</v>
      </c>
      <c r="Z96" s="10" t="str">
        <f t="shared" ref="Z96:Z127" si="110">IFERROR((L96+O96)*J96*0.5,"-")</f>
        <v>-</v>
      </c>
      <c r="AA96" s="13" t="str">
        <f t="shared" si="74"/>
        <v>-</v>
      </c>
      <c r="AB96" s="9" t="str">
        <f t="shared" ref="AB96:AB127" si="111">IFERROR(AA96-R96,"-")</f>
        <v>-</v>
      </c>
      <c r="AC96" s="16" t="str">
        <f t="shared" si="75"/>
        <v>-</v>
      </c>
      <c r="AD96" s="16" t="str">
        <f t="shared" ref="AD96:AD127" si="112">IFERROR(AC96/O96,"-")</f>
        <v>-</v>
      </c>
      <c r="AE96" s="16" t="str">
        <f t="shared" ref="AE96:AE127" si="113">IFERROR(T96*AC96,"-")</f>
        <v>-</v>
      </c>
      <c r="AF96" s="16" t="str">
        <f t="shared" si="76"/>
        <v>-</v>
      </c>
      <c r="AG96" s="16"/>
      <c r="AH96" s="32" t="str">
        <f>IFERROR(INDEX('US Food'!$R$11:$R$197,MATCH('Calculations - US Food'!D96,'US Food'!$N$11:$N$197,0)),"")</f>
        <v/>
      </c>
      <c r="AI96" s="23" t="str">
        <f t="shared" si="77"/>
        <v/>
      </c>
      <c r="AJ96" s="23" t="str">
        <f t="shared" si="78"/>
        <v/>
      </c>
      <c r="AK96" s="9" t="str">
        <f t="shared" ref="AK96:AK127" si="114">IFERROR((AH96-O96)/O96,"")</f>
        <v/>
      </c>
      <c r="AL96" s="4" t="str">
        <f t="shared" ref="AL96:AL127" si="115">IFERROR(MAX((1+AK96*Q96/5)*J96,0),"")</f>
        <v/>
      </c>
      <c r="AM96" s="4"/>
      <c r="AN96" s="4"/>
      <c r="AO96" s="4"/>
      <c r="AP96" s="4"/>
      <c r="AQ96" s="4"/>
      <c r="AR96" s="20" t="str">
        <f t="shared" ref="AR96:AR127" si="116">IFERROR(0.5*(L96+AH96)*AL96,"-")</f>
        <v>-</v>
      </c>
      <c r="AS96" s="13" t="str">
        <f t="shared" si="79"/>
        <v>-</v>
      </c>
      <c r="AT96" s="13" t="str">
        <f t="shared" si="80"/>
        <v>-</v>
      </c>
      <c r="AU96" s="13" t="str">
        <f t="shared" ref="AU96:AU127" si="117">IFERROR(AT96-R96,"-")</f>
        <v>-</v>
      </c>
      <c r="AV96" s="16" t="str">
        <f t="shared" si="81"/>
        <v>-</v>
      </c>
      <c r="AW96" s="16" t="str">
        <f t="shared" ref="AW96:AW127" si="118">IFERROR(AV96/AH96,"-")</f>
        <v>-</v>
      </c>
      <c r="AX96" s="16" t="str">
        <f t="shared" ref="AX96:AX127" si="119">IFERROR(AI96*AV96,"-")</f>
        <v>-</v>
      </c>
      <c r="AY96" s="16" t="str">
        <f t="shared" si="82"/>
        <v>-</v>
      </c>
      <c r="AZ96" s="13" t="str">
        <f t="shared" si="83"/>
        <v>-</v>
      </c>
      <c r="BA96" s="10" t="str">
        <f t="shared" si="84"/>
        <v>-</v>
      </c>
      <c r="BB96" s="9" t="str">
        <f t="shared" si="85"/>
        <v>-</v>
      </c>
      <c r="BC96" s="13" t="str">
        <f t="shared" si="86"/>
        <v>-</v>
      </c>
      <c r="BD96" s="10" t="str">
        <f t="shared" si="87"/>
        <v>-</v>
      </c>
      <c r="BE96" s="13" t="str">
        <f t="shared" si="88"/>
        <v>-</v>
      </c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</row>
    <row r="97" spans="2:70" x14ac:dyDescent="0.3">
      <c r="B97" s="96" t="str">
        <f t="shared" ref="B97:B160" si="120">IFERROR(E97&amp;F97,"")</f>
        <v/>
      </c>
      <c r="C97" s="96" t="str">
        <f t="shared" ref="C97:C160" si="121">E97&amp;F97&amp;G97</f>
        <v/>
      </c>
      <c r="D97" s="96" t="str">
        <f t="shared" ref="D97:D160" si="122">IFERROR(E97&amp;F97&amp;G97&amp;H97,"")</f>
        <v/>
      </c>
      <c r="E97" s="3"/>
      <c r="F97" s="3"/>
      <c r="G97" s="3"/>
      <c r="H97" s="3"/>
      <c r="I97" s="20">
        <f>IFERROR(INDEX('Input - US Food'!G$2:G$200,MATCH('Calculations - US Food'!$D97,'Input - US Food'!$B$2:$B$200,0)),"")</f>
        <v>0</v>
      </c>
      <c r="J97" s="20">
        <f>IFERROR(INDEX('Input - US Food'!H$2:H$200,MATCH('Calculations - US Food'!$D97,'Input - US Food'!$B$2:$B$200,0)),"")</f>
        <v>0</v>
      </c>
      <c r="K97" s="21">
        <f>IFERROR(INDEX('Input - US Food'!I$2:I$200,MATCH('Calculations - US Food'!$D97,'Input - US Food'!$B$2:$B$200,0)),"")</f>
        <v>0</v>
      </c>
      <c r="L97" s="21">
        <f>IFERROR(INDEX('Input - US Food'!J$2:J$200,MATCH('Calculations - US Food'!$D97,'Input - US Food'!$B$2:$B$200,0)),"")</f>
        <v>0</v>
      </c>
      <c r="M97" s="20">
        <f>IFERROR(INDEX('Input - US Food'!K$2:K$200,MATCH('Calculations - US Food'!$D97,'Input - US Food'!$B$2:$B$200,0)),"")</f>
        <v>6055363851.4215012</v>
      </c>
      <c r="N97" s="20">
        <f>IFERROR(INDEX('Input - US Food'!L$2:L$200,MATCH('Calculations - US Food'!$D97,'Input - US Food'!$B$2:$B$200,0)),"")</f>
        <v>1982155918.8720999</v>
      </c>
      <c r="O97" s="21" t="str">
        <f t="shared" ref="O97:O160" si="123">IFERROR(I97/J97,"")</f>
        <v/>
      </c>
      <c r="P97" s="21">
        <f t="shared" si="105"/>
        <v>3.0549382083257943</v>
      </c>
      <c r="Q97" s="21">
        <f t="shared" ref="Q97:Q160" si="124">IFERROR((O97/(O97-L97)*5),0)</f>
        <v>0</v>
      </c>
      <c r="R97" s="9">
        <f t="shared" si="106"/>
        <v>0</v>
      </c>
      <c r="S97" s="9">
        <f t="shared" si="107"/>
        <v>0</v>
      </c>
      <c r="T97" s="22" t="str">
        <f>IFERROR(INDEX('US Food'!$S$11:$S$197,MATCH('Calculations - US Food'!$D97,'US Food'!$N$11:$N$197,0)),"")</f>
        <v/>
      </c>
      <c r="U97" s="22" t="str">
        <f>IFERROR(INDEX('US Food'!$T$11:$T$197,MATCH('Calculations - US Food'!$D97,'US Food'!$N$11:$N$197,0)),"")</f>
        <v/>
      </c>
      <c r="V97" s="16" t="e">
        <f t="shared" si="108"/>
        <v>#VALUE!</v>
      </c>
      <c r="W97" s="16" t="e">
        <f t="shared" ref="W97:W160" si="125">U97*V97</f>
        <v>#VALUE!</v>
      </c>
      <c r="X97" s="16" t="e">
        <f t="shared" ref="X97:X160" si="126">V97-W97</f>
        <v>#VALUE!</v>
      </c>
      <c r="Y97" s="10" t="str">
        <f t="shared" si="109"/>
        <v>-</v>
      </c>
      <c r="Z97" s="10" t="str">
        <f t="shared" si="110"/>
        <v>-</v>
      </c>
      <c r="AA97" s="13" t="str">
        <f t="shared" ref="AA97:AA160" si="127">IFERROR(Z97/$Z$30,"-")</f>
        <v>-</v>
      </c>
      <c r="AB97" s="9" t="str">
        <f t="shared" si="111"/>
        <v>-</v>
      </c>
      <c r="AC97" s="16" t="str">
        <f t="shared" ref="AC97:AC160" si="128">IFERROR(AA97*$I$30,"-")</f>
        <v>-</v>
      </c>
      <c r="AD97" s="16" t="str">
        <f t="shared" si="112"/>
        <v>-</v>
      </c>
      <c r="AE97" s="16" t="str">
        <f t="shared" si="113"/>
        <v>-</v>
      </c>
      <c r="AF97" s="16" t="str">
        <f t="shared" ref="AF97:AF160" si="129">IFERROR(AE97-(Y97)*AD97,"-")</f>
        <v>-</v>
      </c>
      <c r="AG97" s="16"/>
      <c r="AH97" s="32" t="str">
        <f>IFERROR(INDEX('US Food'!$R$11:$R$197,MATCH('Calculations - US Food'!D97,'US Food'!$N$11:$N$197,0)),"")</f>
        <v/>
      </c>
      <c r="AI97" s="23" t="str">
        <f t="shared" ref="AI97:AI160" si="130">T97</f>
        <v/>
      </c>
      <c r="AJ97" s="23" t="str">
        <f t="shared" ref="AJ97:AJ160" si="131">U97</f>
        <v/>
      </c>
      <c r="AK97" s="9" t="str">
        <f t="shared" si="114"/>
        <v/>
      </c>
      <c r="AL97" s="4" t="str">
        <f t="shared" si="115"/>
        <v/>
      </c>
      <c r="AM97" s="4"/>
      <c r="AN97" s="4"/>
      <c r="AO97" s="4"/>
      <c r="AP97" s="4"/>
      <c r="AQ97" s="4"/>
      <c r="AR97" s="20" t="str">
        <f t="shared" si="116"/>
        <v>-</v>
      </c>
      <c r="AS97" s="13" t="str">
        <f t="shared" ref="AS97:AS160" si="132">IFERROR(AR97/AR$30,"-")</f>
        <v>-</v>
      </c>
      <c r="AT97" s="13" t="str">
        <f t="shared" ref="AT97:AT160" si="133">IFERROR(AS97*$R$30,"-")</f>
        <v>-</v>
      </c>
      <c r="AU97" s="13" t="str">
        <f t="shared" si="117"/>
        <v>-</v>
      </c>
      <c r="AV97" s="16" t="str">
        <f t="shared" ref="AV97:AV160" si="134">IFERROR(AT97*AQ$32,"-")</f>
        <v>-</v>
      </c>
      <c r="AW97" s="16" t="str">
        <f t="shared" si="118"/>
        <v>-</v>
      </c>
      <c r="AX97" s="16" t="str">
        <f t="shared" si="119"/>
        <v>-</v>
      </c>
      <c r="AY97" s="16" t="str">
        <f t="shared" ref="AY97:AY160" si="135">IFERROR(AX97-(Y97*AW97),"-")</f>
        <v>-</v>
      </c>
      <c r="AZ97" s="13" t="str">
        <f t="shared" ref="AZ97:AZ160" si="136">IFERROR(AW97/SUMIFS($AW$32:$AW$229,$B$32:$B$229,B97),"-")</f>
        <v>-</v>
      </c>
      <c r="BA97" s="10" t="str">
        <f t="shared" ref="BA97:BA160" si="137">IFERROR(AZ97*INDEX($AU$4:$AU$24,MATCH($B97,$D$4:$D$24,0)),"-")</f>
        <v>-</v>
      </c>
      <c r="BB97" s="9" t="str">
        <f t="shared" ref="BB97:BB160" si="138">IFERROR(BA97/SUM($BA$32:$BA$229),"-")</f>
        <v>-</v>
      </c>
      <c r="BC97" s="13" t="str">
        <f t="shared" ref="BC97:BC160" si="139">IFERROR(AV97/SUMIFS($AV$32:$AV$229,$B$32:$B$229,B97),"-")</f>
        <v>-</v>
      </c>
      <c r="BD97" s="10" t="str">
        <f t="shared" ref="BD97:BD160" si="140">IFERROR(BC97*INDEX($AT$4:$AT$24,MATCH($B97,$D$4:$D$24,0)),"-")</f>
        <v>-</v>
      </c>
      <c r="BE97" s="13" t="str">
        <f t="shared" ref="BE97:BE160" si="141">IFERROR(BD97/SUM($BD$32:$BD$229),"-")</f>
        <v>-</v>
      </c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</row>
    <row r="98" spans="2:70" x14ac:dyDescent="0.3">
      <c r="B98" s="96" t="str">
        <f t="shared" si="120"/>
        <v/>
      </c>
      <c r="C98" s="96" t="str">
        <f t="shared" si="121"/>
        <v/>
      </c>
      <c r="D98" s="96" t="str">
        <f t="shared" si="122"/>
        <v/>
      </c>
      <c r="E98" s="3"/>
      <c r="F98" s="3"/>
      <c r="G98" s="3"/>
      <c r="H98" s="3"/>
      <c r="I98" s="20">
        <f>IFERROR(INDEX('Input - US Food'!G$2:G$200,MATCH('Calculations - US Food'!$D98,'Input - US Food'!$B$2:$B$200,0)),"")</f>
        <v>0</v>
      </c>
      <c r="J98" s="20">
        <f>IFERROR(INDEX('Input - US Food'!H$2:H$200,MATCH('Calculations - US Food'!$D98,'Input - US Food'!$B$2:$B$200,0)),"")</f>
        <v>0</v>
      </c>
      <c r="K98" s="21">
        <f>IFERROR(INDEX('Input - US Food'!I$2:I$200,MATCH('Calculations - US Food'!$D98,'Input - US Food'!$B$2:$B$200,0)),"")</f>
        <v>0</v>
      </c>
      <c r="L98" s="21">
        <f>IFERROR(INDEX('Input - US Food'!J$2:J$200,MATCH('Calculations - US Food'!$D98,'Input - US Food'!$B$2:$B$200,0)),"")</f>
        <v>0</v>
      </c>
      <c r="M98" s="20">
        <f>IFERROR(INDEX('Input - US Food'!K$2:K$200,MATCH('Calculations - US Food'!$D98,'Input - US Food'!$B$2:$B$200,0)),"")</f>
        <v>6055363851.4215012</v>
      </c>
      <c r="N98" s="20">
        <f>IFERROR(INDEX('Input - US Food'!L$2:L$200,MATCH('Calculations - US Food'!$D98,'Input - US Food'!$B$2:$B$200,0)),"")</f>
        <v>1982155918.8720999</v>
      </c>
      <c r="O98" s="21" t="str">
        <f t="shared" si="123"/>
        <v/>
      </c>
      <c r="P98" s="21">
        <f t="shared" si="105"/>
        <v>3.0549382083257943</v>
      </c>
      <c r="Q98" s="21">
        <f t="shared" si="124"/>
        <v>0</v>
      </c>
      <c r="R98" s="9">
        <f t="shared" si="106"/>
        <v>0</v>
      </c>
      <c r="S98" s="9">
        <f t="shared" si="107"/>
        <v>0</v>
      </c>
      <c r="T98" s="22" t="str">
        <f>IFERROR(INDEX('US Food'!$S$11:$S$197,MATCH('Calculations - US Food'!$D98,'US Food'!$N$11:$N$197,0)),"")</f>
        <v/>
      </c>
      <c r="U98" s="22" t="str">
        <f>IFERROR(INDEX('US Food'!$T$11:$T$197,MATCH('Calculations - US Food'!$D98,'US Food'!$N$11:$N$197,0)),"")</f>
        <v/>
      </c>
      <c r="V98" s="16" t="e">
        <f t="shared" si="108"/>
        <v>#VALUE!</v>
      </c>
      <c r="W98" s="16" t="e">
        <f t="shared" si="125"/>
        <v>#VALUE!</v>
      </c>
      <c r="X98" s="16" t="e">
        <f t="shared" si="126"/>
        <v>#VALUE!</v>
      </c>
      <c r="Y98" s="10" t="str">
        <f t="shared" si="109"/>
        <v>-</v>
      </c>
      <c r="Z98" s="10" t="str">
        <f t="shared" si="110"/>
        <v>-</v>
      </c>
      <c r="AA98" s="13" t="str">
        <f t="shared" si="127"/>
        <v>-</v>
      </c>
      <c r="AB98" s="9" t="str">
        <f t="shared" si="111"/>
        <v>-</v>
      </c>
      <c r="AC98" s="16" t="str">
        <f t="shared" si="128"/>
        <v>-</v>
      </c>
      <c r="AD98" s="16" t="str">
        <f t="shared" si="112"/>
        <v>-</v>
      </c>
      <c r="AE98" s="16" t="str">
        <f t="shared" si="113"/>
        <v>-</v>
      </c>
      <c r="AF98" s="16" t="str">
        <f t="shared" si="129"/>
        <v>-</v>
      </c>
      <c r="AG98" s="16"/>
      <c r="AH98" s="32" t="str">
        <f>IFERROR(INDEX('US Food'!$R$11:$R$197,MATCH('Calculations - US Food'!D98,'US Food'!$N$11:$N$197,0)),"")</f>
        <v/>
      </c>
      <c r="AI98" s="23" t="str">
        <f t="shared" si="130"/>
        <v/>
      </c>
      <c r="AJ98" s="23" t="str">
        <f t="shared" si="131"/>
        <v/>
      </c>
      <c r="AK98" s="9" t="str">
        <f t="shared" si="114"/>
        <v/>
      </c>
      <c r="AL98" s="4" t="str">
        <f t="shared" si="115"/>
        <v/>
      </c>
      <c r="AM98" s="4"/>
      <c r="AN98" s="4"/>
      <c r="AO98" s="4"/>
      <c r="AP98" s="4"/>
      <c r="AQ98" s="4"/>
      <c r="AR98" s="20" t="str">
        <f t="shared" si="116"/>
        <v>-</v>
      </c>
      <c r="AS98" s="13" t="str">
        <f t="shared" si="132"/>
        <v>-</v>
      </c>
      <c r="AT98" s="13" t="str">
        <f t="shared" si="133"/>
        <v>-</v>
      </c>
      <c r="AU98" s="13" t="str">
        <f t="shared" si="117"/>
        <v>-</v>
      </c>
      <c r="AV98" s="16" t="str">
        <f t="shared" si="134"/>
        <v>-</v>
      </c>
      <c r="AW98" s="16" t="str">
        <f t="shared" si="118"/>
        <v>-</v>
      </c>
      <c r="AX98" s="16" t="str">
        <f t="shared" si="119"/>
        <v>-</v>
      </c>
      <c r="AY98" s="16" t="str">
        <f t="shared" si="135"/>
        <v>-</v>
      </c>
      <c r="AZ98" s="13" t="str">
        <f t="shared" si="136"/>
        <v>-</v>
      </c>
      <c r="BA98" s="10" t="str">
        <f t="shared" si="137"/>
        <v>-</v>
      </c>
      <c r="BB98" s="9" t="str">
        <f t="shared" si="138"/>
        <v>-</v>
      </c>
      <c r="BC98" s="13" t="str">
        <f t="shared" si="139"/>
        <v>-</v>
      </c>
      <c r="BD98" s="10" t="str">
        <f t="shared" si="140"/>
        <v>-</v>
      </c>
      <c r="BE98" s="13" t="str">
        <f t="shared" si="141"/>
        <v>-</v>
      </c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</row>
    <row r="99" spans="2:70" x14ac:dyDescent="0.3">
      <c r="B99" s="96" t="str">
        <f t="shared" si="120"/>
        <v/>
      </c>
      <c r="C99" s="96" t="str">
        <f t="shared" si="121"/>
        <v/>
      </c>
      <c r="D99" s="96" t="str">
        <f t="shared" si="122"/>
        <v/>
      </c>
      <c r="E99" s="3"/>
      <c r="F99" s="3"/>
      <c r="G99" s="3"/>
      <c r="H99" s="3"/>
      <c r="I99" s="20">
        <f>IFERROR(INDEX('Input - US Food'!G$2:G$200,MATCH('Calculations - US Food'!$D99,'Input - US Food'!$B$2:$B$200,0)),"")</f>
        <v>0</v>
      </c>
      <c r="J99" s="20">
        <f>IFERROR(INDEX('Input - US Food'!H$2:H$200,MATCH('Calculations - US Food'!$D99,'Input - US Food'!$B$2:$B$200,0)),"")</f>
        <v>0</v>
      </c>
      <c r="K99" s="21">
        <f>IFERROR(INDEX('Input - US Food'!I$2:I$200,MATCH('Calculations - US Food'!$D99,'Input - US Food'!$B$2:$B$200,0)),"")</f>
        <v>0</v>
      </c>
      <c r="L99" s="21">
        <f>IFERROR(INDEX('Input - US Food'!J$2:J$200,MATCH('Calculations - US Food'!$D99,'Input - US Food'!$B$2:$B$200,0)),"")</f>
        <v>0</v>
      </c>
      <c r="M99" s="20">
        <f>IFERROR(INDEX('Input - US Food'!K$2:K$200,MATCH('Calculations - US Food'!$D99,'Input - US Food'!$B$2:$B$200,0)),"")</f>
        <v>6055363851.4215012</v>
      </c>
      <c r="N99" s="20">
        <f>IFERROR(INDEX('Input - US Food'!L$2:L$200,MATCH('Calculations - US Food'!$D99,'Input - US Food'!$B$2:$B$200,0)),"")</f>
        <v>1982155918.8720999</v>
      </c>
      <c r="O99" s="21" t="str">
        <f t="shared" si="123"/>
        <v/>
      </c>
      <c r="P99" s="21">
        <f t="shared" si="105"/>
        <v>3.0549382083257943</v>
      </c>
      <c r="Q99" s="21">
        <f t="shared" si="124"/>
        <v>0</v>
      </c>
      <c r="R99" s="9">
        <f t="shared" si="106"/>
        <v>0</v>
      </c>
      <c r="S99" s="9">
        <f t="shared" si="107"/>
        <v>0</v>
      </c>
      <c r="T99" s="22" t="str">
        <f>IFERROR(INDEX('US Food'!$S$11:$S$197,MATCH('Calculations - US Food'!$D99,'US Food'!$N$11:$N$197,0)),"")</f>
        <v/>
      </c>
      <c r="U99" s="22" t="str">
        <f>IFERROR(INDEX('US Food'!$T$11:$T$197,MATCH('Calculations - US Food'!$D99,'US Food'!$N$11:$N$197,0)),"")</f>
        <v/>
      </c>
      <c r="V99" s="16" t="e">
        <f t="shared" si="108"/>
        <v>#VALUE!</v>
      </c>
      <c r="W99" s="16" t="e">
        <f t="shared" si="125"/>
        <v>#VALUE!</v>
      </c>
      <c r="X99" s="16" t="e">
        <f t="shared" si="126"/>
        <v>#VALUE!</v>
      </c>
      <c r="Y99" s="10" t="str">
        <f t="shared" si="109"/>
        <v>-</v>
      </c>
      <c r="Z99" s="10" t="str">
        <f t="shared" si="110"/>
        <v>-</v>
      </c>
      <c r="AA99" s="13" t="str">
        <f t="shared" si="127"/>
        <v>-</v>
      </c>
      <c r="AB99" s="9" t="str">
        <f t="shared" si="111"/>
        <v>-</v>
      </c>
      <c r="AC99" s="16" t="str">
        <f t="shared" si="128"/>
        <v>-</v>
      </c>
      <c r="AD99" s="16" t="str">
        <f t="shared" si="112"/>
        <v>-</v>
      </c>
      <c r="AE99" s="16" t="str">
        <f t="shared" si="113"/>
        <v>-</v>
      </c>
      <c r="AF99" s="16" t="str">
        <f t="shared" si="129"/>
        <v>-</v>
      </c>
      <c r="AG99" s="16"/>
      <c r="AH99" s="32" t="str">
        <f>IFERROR(INDEX('US Food'!$R$11:$R$197,MATCH('Calculations - US Food'!D99,'US Food'!$N$11:$N$197,0)),"")</f>
        <v/>
      </c>
      <c r="AI99" s="23" t="str">
        <f t="shared" si="130"/>
        <v/>
      </c>
      <c r="AJ99" s="23" t="str">
        <f t="shared" si="131"/>
        <v/>
      </c>
      <c r="AK99" s="9" t="str">
        <f t="shared" si="114"/>
        <v/>
      </c>
      <c r="AL99" s="4" t="str">
        <f t="shared" si="115"/>
        <v/>
      </c>
      <c r="AM99" s="4"/>
      <c r="AN99" s="4"/>
      <c r="AO99" s="4"/>
      <c r="AP99" s="4"/>
      <c r="AQ99" s="4"/>
      <c r="AR99" s="20" t="str">
        <f t="shared" si="116"/>
        <v>-</v>
      </c>
      <c r="AS99" s="13" t="str">
        <f t="shared" si="132"/>
        <v>-</v>
      </c>
      <c r="AT99" s="13" t="str">
        <f t="shared" si="133"/>
        <v>-</v>
      </c>
      <c r="AU99" s="13" t="str">
        <f t="shared" si="117"/>
        <v>-</v>
      </c>
      <c r="AV99" s="16" t="str">
        <f t="shared" si="134"/>
        <v>-</v>
      </c>
      <c r="AW99" s="16" t="str">
        <f t="shared" si="118"/>
        <v>-</v>
      </c>
      <c r="AX99" s="16" t="str">
        <f t="shared" si="119"/>
        <v>-</v>
      </c>
      <c r="AY99" s="16" t="str">
        <f t="shared" si="135"/>
        <v>-</v>
      </c>
      <c r="AZ99" s="13" t="str">
        <f t="shared" si="136"/>
        <v>-</v>
      </c>
      <c r="BA99" s="10" t="str">
        <f t="shared" si="137"/>
        <v>-</v>
      </c>
      <c r="BB99" s="9" t="str">
        <f t="shared" si="138"/>
        <v>-</v>
      </c>
      <c r="BC99" s="13" t="str">
        <f t="shared" si="139"/>
        <v>-</v>
      </c>
      <c r="BD99" s="10" t="str">
        <f t="shared" si="140"/>
        <v>-</v>
      </c>
      <c r="BE99" s="13" t="str">
        <f t="shared" si="141"/>
        <v>-</v>
      </c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</row>
    <row r="100" spans="2:70" x14ac:dyDescent="0.3">
      <c r="B100" s="96" t="str">
        <f t="shared" si="120"/>
        <v/>
      </c>
      <c r="C100" s="96" t="str">
        <f t="shared" si="121"/>
        <v/>
      </c>
      <c r="D100" s="96" t="str">
        <f t="shared" si="122"/>
        <v/>
      </c>
      <c r="E100" s="3"/>
      <c r="F100" s="3"/>
      <c r="G100" s="3"/>
      <c r="H100" s="3"/>
      <c r="I100" s="20">
        <f>IFERROR(INDEX('Input - US Food'!G$2:G$200,MATCH('Calculations - US Food'!$D100,'Input - US Food'!$B$2:$B$200,0)),"")</f>
        <v>0</v>
      </c>
      <c r="J100" s="20">
        <f>IFERROR(INDEX('Input - US Food'!H$2:H$200,MATCH('Calculations - US Food'!$D100,'Input - US Food'!$B$2:$B$200,0)),"")</f>
        <v>0</v>
      </c>
      <c r="K100" s="21">
        <f>IFERROR(INDEX('Input - US Food'!I$2:I$200,MATCH('Calculations - US Food'!$D100,'Input - US Food'!$B$2:$B$200,0)),"")</f>
        <v>0</v>
      </c>
      <c r="L100" s="21">
        <f>IFERROR(INDEX('Input - US Food'!J$2:J$200,MATCH('Calculations - US Food'!$D100,'Input - US Food'!$B$2:$B$200,0)),"")</f>
        <v>0</v>
      </c>
      <c r="M100" s="20">
        <f>IFERROR(INDEX('Input - US Food'!K$2:K$200,MATCH('Calculations - US Food'!$D100,'Input - US Food'!$B$2:$B$200,0)),"")</f>
        <v>6055363851.4215012</v>
      </c>
      <c r="N100" s="20">
        <f>IFERROR(INDEX('Input - US Food'!L$2:L$200,MATCH('Calculations - US Food'!$D100,'Input - US Food'!$B$2:$B$200,0)),"")</f>
        <v>1982155918.8720999</v>
      </c>
      <c r="O100" s="21" t="str">
        <f t="shared" si="123"/>
        <v/>
      </c>
      <c r="P100" s="21">
        <f t="shared" si="105"/>
        <v>3.0549382083257943</v>
      </c>
      <c r="Q100" s="21">
        <f t="shared" si="124"/>
        <v>0</v>
      </c>
      <c r="R100" s="9">
        <f t="shared" si="106"/>
        <v>0</v>
      </c>
      <c r="S100" s="9">
        <f t="shared" si="107"/>
        <v>0</v>
      </c>
      <c r="T100" s="22" t="str">
        <f>IFERROR(INDEX('US Food'!$S$11:$S$197,MATCH('Calculations - US Food'!$D100,'US Food'!$N$11:$N$197,0)),"")</f>
        <v/>
      </c>
      <c r="U100" s="22" t="str">
        <f>IFERROR(INDEX('US Food'!$T$11:$T$197,MATCH('Calculations - US Food'!$D100,'US Food'!$N$11:$N$197,0)),"")</f>
        <v/>
      </c>
      <c r="V100" s="16" t="e">
        <f t="shared" si="108"/>
        <v>#VALUE!</v>
      </c>
      <c r="W100" s="16" t="e">
        <f t="shared" si="125"/>
        <v>#VALUE!</v>
      </c>
      <c r="X100" s="16" t="e">
        <f t="shared" si="126"/>
        <v>#VALUE!</v>
      </c>
      <c r="Y100" s="10" t="str">
        <f t="shared" si="109"/>
        <v>-</v>
      </c>
      <c r="Z100" s="10" t="str">
        <f t="shared" si="110"/>
        <v>-</v>
      </c>
      <c r="AA100" s="13" t="str">
        <f t="shared" si="127"/>
        <v>-</v>
      </c>
      <c r="AB100" s="9" t="str">
        <f t="shared" si="111"/>
        <v>-</v>
      </c>
      <c r="AC100" s="16" t="str">
        <f t="shared" si="128"/>
        <v>-</v>
      </c>
      <c r="AD100" s="16" t="str">
        <f t="shared" si="112"/>
        <v>-</v>
      </c>
      <c r="AE100" s="16" t="str">
        <f t="shared" si="113"/>
        <v>-</v>
      </c>
      <c r="AF100" s="16" t="str">
        <f t="shared" si="129"/>
        <v>-</v>
      </c>
      <c r="AG100" s="16"/>
      <c r="AH100" s="32" t="str">
        <f>IFERROR(INDEX('US Food'!$R$11:$R$197,MATCH('Calculations - US Food'!D100,'US Food'!$N$11:$N$197,0)),"")</f>
        <v/>
      </c>
      <c r="AI100" s="23" t="str">
        <f t="shared" si="130"/>
        <v/>
      </c>
      <c r="AJ100" s="23" t="str">
        <f t="shared" si="131"/>
        <v/>
      </c>
      <c r="AK100" s="9" t="str">
        <f t="shared" si="114"/>
        <v/>
      </c>
      <c r="AL100" s="4" t="str">
        <f t="shared" si="115"/>
        <v/>
      </c>
      <c r="AM100" s="4"/>
      <c r="AN100" s="4"/>
      <c r="AO100" s="4"/>
      <c r="AP100" s="4"/>
      <c r="AQ100" s="4"/>
      <c r="AR100" s="20" t="str">
        <f t="shared" si="116"/>
        <v>-</v>
      </c>
      <c r="AS100" s="13" t="str">
        <f t="shared" si="132"/>
        <v>-</v>
      </c>
      <c r="AT100" s="13" t="str">
        <f t="shared" si="133"/>
        <v>-</v>
      </c>
      <c r="AU100" s="13" t="str">
        <f t="shared" si="117"/>
        <v>-</v>
      </c>
      <c r="AV100" s="16" t="str">
        <f t="shared" si="134"/>
        <v>-</v>
      </c>
      <c r="AW100" s="16" t="str">
        <f t="shared" si="118"/>
        <v>-</v>
      </c>
      <c r="AX100" s="16" t="str">
        <f t="shared" si="119"/>
        <v>-</v>
      </c>
      <c r="AY100" s="16" t="str">
        <f t="shared" si="135"/>
        <v>-</v>
      </c>
      <c r="AZ100" s="13" t="str">
        <f t="shared" si="136"/>
        <v>-</v>
      </c>
      <c r="BA100" s="10" t="str">
        <f t="shared" si="137"/>
        <v>-</v>
      </c>
      <c r="BB100" s="9" t="str">
        <f t="shared" si="138"/>
        <v>-</v>
      </c>
      <c r="BC100" s="13" t="str">
        <f t="shared" si="139"/>
        <v>-</v>
      </c>
      <c r="BD100" s="10" t="str">
        <f t="shared" si="140"/>
        <v>-</v>
      </c>
      <c r="BE100" s="13" t="str">
        <f t="shared" si="141"/>
        <v>-</v>
      </c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</row>
    <row r="101" spans="2:70" x14ac:dyDescent="0.3">
      <c r="B101" s="96" t="str">
        <f t="shared" si="120"/>
        <v/>
      </c>
      <c r="C101" s="96" t="str">
        <f t="shared" si="121"/>
        <v/>
      </c>
      <c r="D101" s="96" t="str">
        <f t="shared" si="122"/>
        <v/>
      </c>
      <c r="E101" s="3"/>
      <c r="F101" s="3"/>
      <c r="G101" s="3"/>
      <c r="H101" s="3"/>
      <c r="I101" s="20">
        <f>IFERROR(INDEX('Input - US Food'!G$2:G$200,MATCH('Calculations - US Food'!$D101,'Input - US Food'!$B$2:$B$200,0)),"")</f>
        <v>0</v>
      </c>
      <c r="J101" s="20">
        <f>IFERROR(INDEX('Input - US Food'!H$2:H$200,MATCH('Calculations - US Food'!$D101,'Input - US Food'!$B$2:$B$200,0)),"")</f>
        <v>0</v>
      </c>
      <c r="K101" s="21">
        <f>IFERROR(INDEX('Input - US Food'!I$2:I$200,MATCH('Calculations - US Food'!$D101,'Input - US Food'!$B$2:$B$200,0)),"")</f>
        <v>0</v>
      </c>
      <c r="L101" s="21">
        <f>IFERROR(INDEX('Input - US Food'!J$2:J$200,MATCH('Calculations - US Food'!$D101,'Input - US Food'!$B$2:$B$200,0)),"")</f>
        <v>0</v>
      </c>
      <c r="M101" s="20">
        <f>IFERROR(INDEX('Input - US Food'!K$2:K$200,MATCH('Calculations - US Food'!$D101,'Input - US Food'!$B$2:$B$200,0)),"")</f>
        <v>6055363851.4215012</v>
      </c>
      <c r="N101" s="20">
        <f>IFERROR(INDEX('Input - US Food'!L$2:L$200,MATCH('Calculations - US Food'!$D101,'Input - US Food'!$B$2:$B$200,0)),"")</f>
        <v>1982155918.8720999</v>
      </c>
      <c r="O101" s="21" t="str">
        <f t="shared" si="123"/>
        <v/>
      </c>
      <c r="P101" s="21">
        <f t="shared" si="105"/>
        <v>3.0549382083257943</v>
      </c>
      <c r="Q101" s="21">
        <f t="shared" si="124"/>
        <v>0</v>
      </c>
      <c r="R101" s="9">
        <f t="shared" si="106"/>
        <v>0</v>
      </c>
      <c r="S101" s="9">
        <f t="shared" si="107"/>
        <v>0</v>
      </c>
      <c r="T101" s="22" t="str">
        <f>IFERROR(INDEX('US Food'!$S$11:$S$197,MATCH('Calculations - US Food'!$D101,'US Food'!$N$11:$N$197,0)),"")</f>
        <v/>
      </c>
      <c r="U101" s="22" t="str">
        <f>IFERROR(INDEX('US Food'!$T$11:$T$197,MATCH('Calculations - US Food'!$D101,'US Food'!$N$11:$N$197,0)),"")</f>
        <v/>
      </c>
      <c r="V101" s="16" t="e">
        <f t="shared" si="108"/>
        <v>#VALUE!</v>
      </c>
      <c r="W101" s="16" t="e">
        <f t="shared" si="125"/>
        <v>#VALUE!</v>
      </c>
      <c r="X101" s="16" t="e">
        <f t="shared" si="126"/>
        <v>#VALUE!</v>
      </c>
      <c r="Y101" s="10" t="str">
        <f t="shared" si="109"/>
        <v>-</v>
      </c>
      <c r="Z101" s="10" t="str">
        <f t="shared" si="110"/>
        <v>-</v>
      </c>
      <c r="AA101" s="13" t="str">
        <f t="shared" si="127"/>
        <v>-</v>
      </c>
      <c r="AB101" s="9" t="str">
        <f t="shared" si="111"/>
        <v>-</v>
      </c>
      <c r="AC101" s="16" t="str">
        <f t="shared" si="128"/>
        <v>-</v>
      </c>
      <c r="AD101" s="16" t="str">
        <f t="shared" si="112"/>
        <v>-</v>
      </c>
      <c r="AE101" s="16" t="str">
        <f t="shared" si="113"/>
        <v>-</v>
      </c>
      <c r="AF101" s="16" t="str">
        <f t="shared" si="129"/>
        <v>-</v>
      </c>
      <c r="AG101" s="16"/>
      <c r="AH101" s="32" t="str">
        <f>IFERROR(INDEX('US Food'!$R$11:$R$197,MATCH('Calculations - US Food'!D101,'US Food'!$N$11:$N$197,0)),"")</f>
        <v/>
      </c>
      <c r="AI101" s="23" t="str">
        <f t="shared" si="130"/>
        <v/>
      </c>
      <c r="AJ101" s="23" t="str">
        <f t="shared" si="131"/>
        <v/>
      </c>
      <c r="AK101" s="9" t="str">
        <f t="shared" si="114"/>
        <v/>
      </c>
      <c r="AL101" s="4" t="str">
        <f t="shared" si="115"/>
        <v/>
      </c>
      <c r="AM101" s="4"/>
      <c r="AN101" s="4"/>
      <c r="AO101" s="4"/>
      <c r="AP101" s="4"/>
      <c r="AQ101" s="4"/>
      <c r="AR101" s="20" t="str">
        <f t="shared" si="116"/>
        <v>-</v>
      </c>
      <c r="AS101" s="13" t="str">
        <f t="shared" si="132"/>
        <v>-</v>
      </c>
      <c r="AT101" s="13" t="str">
        <f t="shared" si="133"/>
        <v>-</v>
      </c>
      <c r="AU101" s="13" t="str">
        <f t="shared" si="117"/>
        <v>-</v>
      </c>
      <c r="AV101" s="16" t="str">
        <f t="shared" si="134"/>
        <v>-</v>
      </c>
      <c r="AW101" s="16" t="str">
        <f t="shared" si="118"/>
        <v>-</v>
      </c>
      <c r="AX101" s="16" t="str">
        <f t="shared" si="119"/>
        <v>-</v>
      </c>
      <c r="AY101" s="16" t="str">
        <f t="shared" si="135"/>
        <v>-</v>
      </c>
      <c r="AZ101" s="13" t="str">
        <f t="shared" si="136"/>
        <v>-</v>
      </c>
      <c r="BA101" s="10" t="str">
        <f t="shared" si="137"/>
        <v>-</v>
      </c>
      <c r="BB101" s="9" t="str">
        <f t="shared" si="138"/>
        <v>-</v>
      </c>
      <c r="BC101" s="13" t="str">
        <f t="shared" si="139"/>
        <v>-</v>
      </c>
      <c r="BD101" s="10" t="str">
        <f t="shared" si="140"/>
        <v>-</v>
      </c>
      <c r="BE101" s="13" t="str">
        <f t="shared" si="141"/>
        <v>-</v>
      </c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</row>
    <row r="102" spans="2:70" x14ac:dyDescent="0.3">
      <c r="B102" s="96" t="str">
        <f t="shared" si="120"/>
        <v/>
      </c>
      <c r="C102" s="96" t="str">
        <f t="shared" si="121"/>
        <v/>
      </c>
      <c r="D102" s="96" t="str">
        <f t="shared" si="122"/>
        <v/>
      </c>
      <c r="E102" s="3"/>
      <c r="F102" s="3"/>
      <c r="G102" s="3"/>
      <c r="H102" s="3"/>
      <c r="I102" s="20">
        <f>IFERROR(INDEX('Input - US Food'!G$2:G$200,MATCH('Calculations - US Food'!$D102,'Input - US Food'!$B$2:$B$200,0)),"")</f>
        <v>0</v>
      </c>
      <c r="J102" s="20">
        <f>IFERROR(INDEX('Input - US Food'!H$2:H$200,MATCH('Calculations - US Food'!$D102,'Input - US Food'!$B$2:$B$200,0)),"")</f>
        <v>0</v>
      </c>
      <c r="K102" s="21">
        <f>IFERROR(INDEX('Input - US Food'!I$2:I$200,MATCH('Calculations - US Food'!$D102,'Input - US Food'!$B$2:$B$200,0)),"")</f>
        <v>0</v>
      </c>
      <c r="L102" s="21">
        <f>IFERROR(INDEX('Input - US Food'!J$2:J$200,MATCH('Calculations - US Food'!$D102,'Input - US Food'!$B$2:$B$200,0)),"")</f>
        <v>0</v>
      </c>
      <c r="M102" s="20">
        <f>IFERROR(INDEX('Input - US Food'!K$2:K$200,MATCH('Calculations - US Food'!$D102,'Input - US Food'!$B$2:$B$200,0)),"")</f>
        <v>6055363851.4215012</v>
      </c>
      <c r="N102" s="20">
        <f>IFERROR(INDEX('Input - US Food'!L$2:L$200,MATCH('Calculations - US Food'!$D102,'Input - US Food'!$B$2:$B$200,0)),"")</f>
        <v>1982155918.8720999</v>
      </c>
      <c r="O102" s="21" t="str">
        <f t="shared" si="123"/>
        <v/>
      </c>
      <c r="P102" s="21">
        <f t="shared" si="105"/>
        <v>3.0549382083257943</v>
      </c>
      <c r="Q102" s="21">
        <f t="shared" si="124"/>
        <v>0</v>
      </c>
      <c r="R102" s="9">
        <f t="shared" si="106"/>
        <v>0</v>
      </c>
      <c r="S102" s="9">
        <f t="shared" si="107"/>
        <v>0</v>
      </c>
      <c r="T102" s="22" t="str">
        <f>IFERROR(INDEX('US Food'!$S$11:$S$197,MATCH('Calculations - US Food'!$D102,'US Food'!$N$11:$N$197,0)),"")</f>
        <v/>
      </c>
      <c r="U102" s="22" t="str">
        <f>IFERROR(INDEX('US Food'!$T$11:$T$197,MATCH('Calculations - US Food'!$D102,'US Food'!$N$11:$N$197,0)),"")</f>
        <v/>
      </c>
      <c r="V102" s="16" t="e">
        <f t="shared" si="108"/>
        <v>#VALUE!</v>
      </c>
      <c r="W102" s="16" t="e">
        <f t="shared" si="125"/>
        <v>#VALUE!</v>
      </c>
      <c r="X102" s="16" t="e">
        <f t="shared" si="126"/>
        <v>#VALUE!</v>
      </c>
      <c r="Y102" s="10" t="str">
        <f t="shared" si="109"/>
        <v>-</v>
      </c>
      <c r="Z102" s="10" t="str">
        <f t="shared" si="110"/>
        <v>-</v>
      </c>
      <c r="AA102" s="13" t="str">
        <f t="shared" si="127"/>
        <v>-</v>
      </c>
      <c r="AB102" s="9" t="str">
        <f t="shared" si="111"/>
        <v>-</v>
      </c>
      <c r="AC102" s="16" t="str">
        <f t="shared" si="128"/>
        <v>-</v>
      </c>
      <c r="AD102" s="16" t="str">
        <f t="shared" si="112"/>
        <v>-</v>
      </c>
      <c r="AE102" s="16" t="str">
        <f t="shared" si="113"/>
        <v>-</v>
      </c>
      <c r="AF102" s="16" t="str">
        <f t="shared" si="129"/>
        <v>-</v>
      </c>
      <c r="AG102" s="16"/>
      <c r="AH102" s="32" t="str">
        <f>IFERROR(INDEX('US Food'!$R$11:$R$197,MATCH('Calculations - US Food'!D102,'US Food'!$N$11:$N$197,0)),"")</f>
        <v/>
      </c>
      <c r="AI102" s="23" t="str">
        <f t="shared" si="130"/>
        <v/>
      </c>
      <c r="AJ102" s="23" t="str">
        <f t="shared" si="131"/>
        <v/>
      </c>
      <c r="AK102" s="9" t="str">
        <f t="shared" si="114"/>
        <v/>
      </c>
      <c r="AL102" s="4" t="str">
        <f t="shared" si="115"/>
        <v/>
      </c>
      <c r="AM102" s="4"/>
      <c r="AN102" s="4"/>
      <c r="AO102" s="4"/>
      <c r="AP102" s="4"/>
      <c r="AQ102" s="4"/>
      <c r="AR102" s="20" t="str">
        <f t="shared" si="116"/>
        <v>-</v>
      </c>
      <c r="AS102" s="13" t="str">
        <f t="shared" si="132"/>
        <v>-</v>
      </c>
      <c r="AT102" s="13" t="str">
        <f t="shared" si="133"/>
        <v>-</v>
      </c>
      <c r="AU102" s="13" t="str">
        <f t="shared" si="117"/>
        <v>-</v>
      </c>
      <c r="AV102" s="16" t="str">
        <f t="shared" si="134"/>
        <v>-</v>
      </c>
      <c r="AW102" s="16" t="str">
        <f t="shared" si="118"/>
        <v>-</v>
      </c>
      <c r="AX102" s="16" t="str">
        <f t="shared" si="119"/>
        <v>-</v>
      </c>
      <c r="AY102" s="16" t="str">
        <f t="shared" si="135"/>
        <v>-</v>
      </c>
      <c r="AZ102" s="13" t="str">
        <f t="shared" si="136"/>
        <v>-</v>
      </c>
      <c r="BA102" s="10" t="str">
        <f t="shared" si="137"/>
        <v>-</v>
      </c>
      <c r="BB102" s="9" t="str">
        <f t="shared" si="138"/>
        <v>-</v>
      </c>
      <c r="BC102" s="13" t="str">
        <f t="shared" si="139"/>
        <v>-</v>
      </c>
      <c r="BD102" s="10" t="str">
        <f t="shared" si="140"/>
        <v>-</v>
      </c>
      <c r="BE102" s="13" t="str">
        <f t="shared" si="141"/>
        <v>-</v>
      </c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</row>
    <row r="103" spans="2:70" x14ac:dyDescent="0.3">
      <c r="B103" s="96" t="str">
        <f t="shared" si="120"/>
        <v/>
      </c>
      <c r="C103" s="96" t="str">
        <f t="shared" si="121"/>
        <v/>
      </c>
      <c r="D103" s="96" t="str">
        <f t="shared" si="122"/>
        <v/>
      </c>
      <c r="E103" s="3"/>
      <c r="F103" s="3"/>
      <c r="G103" s="3"/>
      <c r="H103" s="3"/>
      <c r="I103" s="20">
        <f>IFERROR(INDEX('Input - US Food'!G$2:G$200,MATCH('Calculations - US Food'!$D103,'Input - US Food'!$B$2:$B$200,0)),"")</f>
        <v>0</v>
      </c>
      <c r="J103" s="20">
        <f>IFERROR(INDEX('Input - US Food'!H$2:H$200,MATCH('Calculations - US Food'!$D103,'Input - US Food'!$B$2:$B$200,0)),"")</f>
        <v>0</v>
      </c>
      <c r="K103" s="21">
        <f>IFERROR(INDEX('Input - US Food'!I$2:I$200,MATCH('Calculations - US Food'!$D103,'Input - US Food'!$B$2:$B$200,0)),"")</f>
        <v>0</v>
      </c>
      <c r="L103" s="21">
        <f>IFERROR(INDEX('Input - US Food'!J$2:J$200,MATCH('Calculations - US Food'!$D103,'Input - US Food'!$B$2:$B$200,0)),"")</f>
        <v>0</v>
      </c>
      <c r="M103" s="20">
        <f>IFERROR(INDEX('Input - US Food'!K$2:K$200,MATCH('Calculations - US Food'!$D103,'Input - US Food'!$B$2:$B$200,0)),"")</f>
        <v>6055363851.4215012</v>
      </c>
      <c r="N103" s="20">
        <f>IFERROR(INDEX('Input - US Food'!L$2:L$200,MATCH('Calculations - US Food'!$D103,'Input - US Food'!$B$2:$B$200,0)),"")</f>
        <v>1982155918.8720999</v>
      </c>
      <c r="O103" s="21" t="str">
        <f t="shared" si="123"/>
        <v/>
      </c>
      <c r="P103" s="21">
        <f t="shared" si="105"/>
        <v>3.0549382083257943</v>
      </c>
      <c r="Q103" s="21">
        <f t="shared" si="124"/>
        <v>0</v>
      </c>
      <c r="R103" s="9">
        <f t="shared" si="106"/>
        <v>0</v>
      </c>
      <c r="S103" s="9">
        <f t="shared" si="107"/>
        <v>0</v>
      </c>
      <c r="T103" s="22" t="str">
        <f>IFERROR(INDEX('US Food'!$S$11:$S$197,MATCH('Calculations - US Food'!$D103,'US Food'!$N$11:$N$197,0)),"")</f>
        <v/>
      </c>
      <c r="U103" s="22" t="str">
        <f>IFERROR(INDEX('US Food'!$T$11:$T$197,MATCH('Calculations - US Food'!$D103,'US Food'!$N$11:$N$197,0)),"")</f>
        <v/>
      </c>
      <c r="V103" s="16" t="e">
        <f t="shared" si="108"/>
        <v>#VALUE!</v>
      </c>
      <c r="W103" s="16" t="e">
        <f t="shared" si="125"/>
        <v>#VALUE!</v>
      </c>
      <c r="X103" s="16" t="e">
        <f t="shared" si="126"/>
        <v>#VALUE!</v>
      </c>
      <c r="Y103" s="10" t="str">
        <f t="shared" si="109"/>
        <v>-</v>
      </c>
      <c r="Z103" s="10" t="str">
        <f t="shared" si="110"/>
        <v>-</v>
      </c>
      <c r="AA103" s="13" t="str">
        <f t="shared" si="127"/>
        <v>-</v>
      </c>
      <c r="AB103" s="9" t="str">
        <f t="shared" si="111"/>
        <v>-</v>
      </c>
      <c r="AC103" s="16" t="str">
        <f t="shared" si="128"/>
        <v>-</v>
      </c>
      <c r="AD103" s="16" t="str">
        <f t="shared" si="112"/>
        <v>-</v>
      </c>
      <c r="AE103" s="16" t="str">
        <f t="shared" si="113"/>
        <v>-</v>
      </c>
      <c r="AF103" s="16" t="str">
        <f t="shared" si="129"/>
        <v>-</v>
      </c>
      <c r="AG103" s="16"/>
      <c r="AH103" s="32" t="str">
        <f>IFERROR(INDEX('US Food'!$R$11:$R$197,MATCH('Calculations - US Food'!D103,'US Food'!$N$11:$N$197,0)),"")</f>
        <v/>
      </c>
      <c r="AI103" s="23" t="str">
        <f t="shared" si="130"/>
        <v/>
      </c>
      <c r="AJ103" s="23" t="str">
        <f t="shared" si="131"/>
        <v/>
      </c>
      <c r="AK103" s="9" t="str">
        <f t="shared" si="114"/>
        <v/>
      </c>
      <c r="AL103" s="4" t="str">
        <f t="shared" si="115"/>
        <v/>
      </c>
      <c r="AM103" s="4"/>
      <c r="AN103" s="4"/>
      <c r="AO103" s="4"/>
      <c r="AP103" s="4"/>
      <c r="AQ103" s="4"/>
      <c r="AR103" s="20" t="str">
        <f t="shared" si="116"/>
        <v>-</v>
      </c>
      <c r="AS103" s="13" t="str">
        <f t="shared" si="132"/>
        <v>-</v>
      </c>
      <c r="AT103" s="13" t="str">
        <f t="shared" si="133"/>
        <v>-</v>
      </c>
      <c r="AU103" s="13" t="str">
        <f t="shared" si="117"/>
        <v>-</v>
      </c>
      <c r="AV103" s="16" t="str">
        <f t="shared" si="134"/>
        <v>-</v>
      </c>
      <c r="AW103" s="16" t="str">
        <f t="shared" si="118"/>
        <v>-</v>
      </c>
      <c r="AX103" s="16" t="str">
        <f t="shared" si="119"/>
        <v>-</v>
      </c>
      <c r="AY103" s="16" t="str">
        <f t="shared" si="135"/>
        <v>-</v>
      </c>
      <c r="AZ103" s="13" t="str">
        <f t="shared" si="136"/>
        <v>-</v>
      </c>
      <c r="BA103" s="10" t="str">
        <f t="shared" si="137"/>
        <v>-</v>
      </c>
      <c r="BB103" s="9" t="str">
        <f t="shared" si="138"/>
        <v>-</v>
      </c>
      <c r="BC103" s="13" t="str">
        <f t="shared" si="139"/>
        <v>-</v>
      </c>
      <c r="BD103" s="10" t="str">
        <f t="shared" si="140"/>
        <v>-</v>
      </c>
      <c r="BE103" s="13" t="str">
        <f t="shared" si="141"/>
        <v>-</v>
      </c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</row>
    <row r="104" spans="2:70" x14ac:dyDescent="0.3">
      <c r="B104" s="96" t="str">
        <f t="shared" si="120"/>
        <v/>
      </c>
      <c r="C104" s="96" t="str">
        <f t="shared" si="121"/>
        <v/>
      </c>
      <c r="D104" s="96" t="str">
        <f t="shared" si="122"/>
        <v/>
      </c>
      <c r="E104" s="3"/>
      <c r="F104" s="3"/>
      <c r="G104" s="3"/>
      <c r="H104" s="3"/>
      <c r="I104" s="20">
        <f>IFERROR(INDEX('Input - US Food'!G$2:G$200,MATCH('Calculations - US Food'!$D104,'Input - US Food'!$B$2:$B$200,0)),"")</f>
        <v>0</v>
      </c>
      <c r="J104" s="20">
        <f>IFERROR(INDEX('Input - US Food'!H$2:H$200,MATCH('Calculations - US Food'!$D104,'Input - US Food'!$B$2:$B$200,0)),"")</f>
        <v>0</v>
      </c>
      <c r="K104" s="21">
        <f>IFERROR(INDEX('Input - US Food'!I$2:I$200,MATCH('Calculations - US Food'!$D104,'Input - US Food'!$B$2:$B$200,0)),"")</f>
        <v>0</v>
      </c>
      <c r="L104" s="21">
        <f>IFERROR(INDEX('Input - US Food'!J$2:J$200,MATCH('Calculations - US Food'!$D104,'Input - US Food'!$B$2:$B$200,0)),"")</f>
        <v>0</v>
      </c>
      <c r="M104" s="20">
        <f>IFERROR(INDEX('Input - US Food'!K$2:K$200,MATCH('Calculations - US Food'!$D104,'Input - US Food'!$B$2:$B$200,0)),"")</f>
        <v>6055363851.4215012</v>
      </c>
      <c r="N104" s="20">
        <f>IFERROR(INDEX('Input - US Food'!L$2:L$200,MATCH('Calculations - US Food'!$D104,'Input - US Food'!$B$2:$B$200,0)),"")</f>
        <v>1982155918.8720999</v>
      </c>
      <c r="O104" s="21" t="str">
        <f t="shared" si="123"/>
        <v/>
      </c>
      <c r="P104" s="21">
        <f t="shared" si="105"/>
        <v>3.0549382083257943</v>
      </c>
      <c r="Q104" s="21">
        <f t="shared" si="124"/>
        <v>0</v>
      </c>
      <c r="R104" s="9">
        <f t="shared" si="106"/>
        <v>0</v>
      </c>
      <c r="S104" s="9">
        <f t="shared" si="107"/>
        <v>0</v>
      </c>
      <c r="T104" s="22" t="str">
        <f>IFERROR(INDEX('US Food'!$S$11:$S$197,MATCH('Calculations - US Food'!$D104,'US Food'!$N$11:$N$197,0)),"")</f>
        <v/>
      </c>
      <c r="U104" s="22" t="str">
        <f>IFERROR(INDEX('US Food'!$T$11:$T$197,MATCH('Calculations - US Food'!$D104,'US Food'!$N$11:$N$197,0)),"")</f>
        <v/>
      </c>
      <c r="V104" s="16" t="e">
        <f t="shared" si="108"/>
        <v>#VALUE!</v>
      </c>
      <c r="W104" s="16" t="e">
        <f t="shared" si="125"/>
        <v>#VALUE!</v>
      </c>
      <c r="X104" s="16" t="e">
        <f t="shared" si="126"/>
        <v>#VALUE!</v>
      </c>
      <c r="Y104" s="10" t="str">
        <f t="shared" si="109"/>
        <v>-</v>
      </c>
      <c r="Z104" s="10" t="str">
        <f t="shared" si="110"/>
        <v>-</v>
      </c>
      <c r="AA104" s="13" t="str">
        <f t="shared" si="127"/>
        <v>-</v>
      </c>
      <c r="AB104" s="9" t="str">
        <f t="shared" si="111"/>
        <v>-</v>
      </c>
      <c r="AC104" s="16" t="str">
        <f t="shared" si="128"/>
        <v>-</v>
      </c>
      <c r="AD104" s="16" t="str">
        <f t="shared" si="112"/>
        <v>-</v>
      </c>
      <c r="AE104" s="16" t="str">
        <f t="shared" si="113"/>
        <v>-</v>
      </c>
      <c r="AF104" s="16" t="str">
        <f t="shared" si="129"/>
        <v>-</v>
      </c>
      <c r="AG104" s="16"/>
      <c r="AH104" s="32" t="str">
        <f>IFERROR(INDEX('US Food'!$R$11:$R$197,MATCH('Calculations - US Food'!D104,'US Food'!$N$11:$N$197,0)),"")</f>
        <v/>
      </c>
      <c r="AI104" s="23" t="str">
        <f t="shared" si="130"/>
        <v/>
      </c>
      <c r="AJ104" s="23" t="str">
        <f t="shared" si="131"/>
        <v/>
      </c>
      <c r="AK104" s="9" t="str">
        <f t="shared" si="114"/>
        <v/>
      </c>
      <c r="AL104" s="4" t="str">
        <f t="shared" si="115"/>
        <v/>
      </c>
      <c r="AM104" s="4"/>
      <c r="AN104" s="4"/>
      <c r="AO104" s="4"/>
      <c r="AP104" s="4"/>
      <c r="AQ104" s="4"/>
      <c r="AR104" s="20" t="str">
        <f t="shared" si="116"/>
        <v>-</v>
      </c>
      <c r="AS104" s="13" t="str">
        <f t="shared" si="132"/>
        <v>-</v>
      </c>
      <c r="AT104" s="13" t="str">
        <f t="shared" si="133"/>
        <v>-</v>
      </c>
      <c r="AU104" s="13" t="str">
        <f t="shared" si="117"/>
        <v>-</v>
      </c>
      <c r="AV104" s="16" t="str">
        <f t="shared" si="134"/>
        <v>-</v>
      </c>
      <c r="AW104" s="16" t="str">
        <f t="shared" si="118"/>
        <v>-</v>
      </c>
      <c r="AX104" s="16" t="str">
        <f t="shared" si="119"/>
        <v>-</v>
      </c>
      <c r="AY104" s="16" t="str">
        <f t="shared" si="135"/>
        <v>-</v>
      </c>
      <c r="AZ104" s="13" t="str">
        <f t="shared" si="136"/>
        <v>-</v>
      </c>
      <c r="BA104" s="10" t="str">
        <f t="shared" si="137"/>
        <v>-</v>
      </c>
      <c r="BB104" s="9" t="str">
        <f t="shared" si="138"/>
        <v>-</v>
      </c>
      <c r="BC104" s="13" t="str">
        <f t="shared" si="139"/>
        <v>-</v>
      </c>
      <c r="BD104" s="10" t="str">
        <f t="shared" si="140"/>
        <v>-</v>
      </c>
      <c r="BE104" s="13" t="str">
        <f t="shared" si="141"/>
        <v>-</v>
      </c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</row>
    <row r="105" spans="2:70" x14ac:dyDescent="0.3">
      <c r="B105" s="96" t="str">
        <f t="shared" si="120"/>
        <v/>
      </c>
      <c r="C105" s="96" t="str">
        <f t="shared" si="121"/>
        <v/>
      </c>
      <c r="D105" s="96" t="str">
        <f t="shared" si="122"/>
        <v/>
      </c>
      <c r="E105" s="3"/>
      <c r="F105" s="3"/>
      <c r="G105" s="3"/>
      <c r="H105" s="3"/>
      <c r="I105" s="20">
        <f>IFERROR(INDEX('Input - US Food'!G$2:G$200,MATCH('Calculations - US Food'!$D105,'Input - US Food'!$B$2:$B$200,0)),"")</f>
        <v>0</v>
      </c>
      <c r="J105" s="20">
        <f>IFERROR(INDEX('Input - US Food'!H$2:H$200,MATCH('Calculations - US Food'!$D105,'Input - US Food'!$B$2:$B$200,0)),"")</f>
        <v>0</v>
      </c>
      <c r="K105" s="21">
        <f>IFERROR(INDEX('Input - US Food'!I$2:I$200,MATCH('Calculations - US Food'!$D105,'Input - US Food'!$B$2:$B$200,0)),"")</f>
        <v>0</v>
      </c>
      <c r="L105" s="21">
        <f>IFERROR(INDEX('Input - US Food'!J$2:J$200,MATCH('Calculations - US Food'!$D105,'Input - US Food'!$B$2:$B$200,0)),"")</f>
        <v>0</v>
      </c>
      <c r="M105" s="20">
        <f>IFERROR(INDEX('Input - US Food'!K$2:K$200,MATCH('Calculations - US Food'!$D105,'Input - US Food'!$B$2:$B$200,0)),"")</f>
        <v>6055363851.4215012</v>
      </c>
      <c r="N105" s="20">
        <f>IFERROR(INDEX('Input - US Food'!L$2:L$200,MATCH('Calculations - US Food'!$D105,'Input - US Food'!$B$2:$B$200,0)),"")</f>
        <v>1982155918.8720999</v>
      </c>
      <c r="O105" s="21" t="str">
        <f t="shared" si="123"/>
        <v/>
      </c>
      <c r="P105" s="21">
        <f t="shared" si="105"/>
        <v>3.0549382083257943</v>
      </c>
      <c r="Q105" s="21">
        <f t="shared" si="124"/>
        <v>0</v>
      </c>
      <c r="R105" s="9">
        <f t="shared" si="106"/>
        <v>0</v>
      </c>
      <c r="S105" s="9">
        <f t="shared" si="107"/>
        <v>0</v>
      </c>
      <c r="T105" s="22" t="str">
        <f>IFERROR(INDEX('US Food'!$S$11:$S$197,MATCH('Calculations - US Food'!$D105,'US Food'!$N$11:$N$197,0)),"")</f>
        <v/>
      </c>
      <c r="U105" s="22" t="str">
        <f>IFERROR(INDEX('US Food'!$T$11:$T$197,MATCH('Calculations - US Food'!$D105,'US Food'!$N$11:$N$197,0)),"")</f>
        <v/>
      </c>
      <c r="V105" s="16" t="e">
        <f t="shared" si="108"/>
        <v>#VALUE!</v>
      </c>
      <c r="W105" s="16" t="e">
        <f t="shared" si="125"/>
        <v>#VALUE!</v>
      </c>
      <c r="X105" s="16" t="e">
        <f t="shared" si="126"/>
        <v>#VALUE!</v>
      </c>
      <c r="Y105" s="10" t="str">
        <f t="shared" si="109"/>
        <v>-</v>
      </c>
      <c r="Z105" s="10" t="str">
        <f t="shared" si="110"/>
        <v>-</v>
      </c>
      <c r="AA105" s="13" t="str">
        <f t="shared" si="127"/>
        <v>-</v>
      </c>
      <c r="AB105" s="9" t="str">
        <f t="shared" si="111"/>
        <v>-</v>
      </c>
      <c r="AC105" s="16" t="str">
        <f t="shared" si="128"/>
        <v>-</v>
      </c>
      <c r="AD105" s="16" t="str">
        <f t="shared" si="112"/>
        <v>-</v>
      </c>
      <c r="AE105" s="16" t="str">
        <f t="shared" si="113"/>
        <v>-</v>
      </c>
      <c r="AF105" s="16" t="str">
        <f t="shared" si="129"/>
        <v>-</v>
      </c>
      <c r="AG105" s="16"/>
      <c r="AH105" s="32" t="str">
        <f>IFERROR(INDEX('US Food'!$R$11:$R$197,MATCH('Calculations - US Food'!D105,'US Food'!$N$11:$N$197,0)),"")</f>
        <v/>
      </c>
      <c r="AI105" s="23" t="str">
        <f t="shared" si="130"/>
        <v/>
      </c>
      <c r="AJ105" s="23" t="str">
        <f t="shared" si="131"/>
        <v/>
      </c>
      <c r="AK105" s="9" t="str">
        <f t="shared" si="114"/>
        <v/>
      </c>
      <c r="AL105" s="4" t="str">
        <f t="shared" si="115"/>
        <v/>
      </c>
      <c r="AM105" s="4"/>
      <c r="AN105" s="4"/>
      <c r="AO105" s="4"/>
      <c r="AP105" s="4"/>
      <c r="AQ105" s="4"/>
      <c r="AR105" s="20" t="str">
        <f t="shared" si="116"/>
        <v>-</v>
      </c>
      <c r="AS105" s="13" t="str">
        <f t="shared" si="132"/>
        <v>-</v>
      </c>
      <c r="AT105" s="13" t="str">
        <f t="shared" si="133"/>
        <v>-</v>
      </c>
      <c r="AU105" s="13" t="str">
        <f t="shared" si="117"/>
        <v>-</v>
      </c>
      <c r="AV105" s="16" t="str">
        <f t="shared" si="134"/>
        <v>-</v>
      </c>
      <c r="AW105" s="16" t="str">
        <f t="shared" si="118"/>
        <v>-</v>
      </c>
      <c r="AX105" s="16" t="str">
        <f t="shared" si="119"/>
        <v>-</v>
      </c>
      <c r="AY105" s="16" t="str">
        <f t="shared" si="135"/>
        <v>-</v>
      </c>
      <c r="AZ105" s="13" t="str">
        <f t="shared" si="136"/>
        <v>-</v>
      </c>
      <c r="BA105" s="10" t="str">
        <f t="shared" si="137"/>
        <v>-</v>
      </c>
      <c r="BB105" s="9" t="str">
        <f t="shared" si="138"/>
        <v>-</v>
      </c>
      <c r="BC105" s="13" t="str">
        <f t="shared" si="139"/>
        <v>-</v>
      </c>
      <c r="BD105" s="10" t="str">
        <f t="shared" si="140"/>
        <v>-</v>
      </c>
      <c r="BE105" s="13" t="str">
        <f t="shared" si="141"/>
        <v>-</v>
      </c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</row>
    <row r="106" spans="2:70" x14ac:dyDescent="0.3">
      <c r="B106" s="96" t="str">
        <f t="shared" si="120"/>
        <v/>
      </c>
      <c r="C106" s="96" t="str">
        <f t="shared" si="121"/>
        <v/>
      </c>
      <c r="D106" s="96" t="str">
        <f t="shared" si="122"/>
        <v/>
      </c>
      <c r="E106" s="3"/>
      <c r="F106" s="3"/>
      <c r="G106" s="3"/>
      <c r="H106" s="3"/>
      <c r="I106" s="20">
        <f>IFERROR(INDEX('Input - US Food'!G$2:G$200,MATCH('Calculations - US Food'!$D106,'Input - US Food'!$B$2:$B$200,0)),"")</f>
        <v>0</v>
      </c>
      <c r="J106" s="20">
        <f>IFERROR(INDEX('Input - US Food'!H$2:H$200,MATCH('Calculations - US Food'!$D106,'Input - US Food'!$B$2:$B$200,0)),"")</f>
        <v>0</v>
      </c>
      <c r="K106" s="21">
        <f>IFERROR(INDEX('Input - US Food'!I$2:I$200,MATCH('Calculations - US Food'!$D106,'Input - US Food'!$B$2:$B$200,0)),"")</f>
        <v>0</v>
      </c>
      <c r="L106" s="21">
        <f>IFERROR(INDEX('Input - US Food'!J$2:J$200,MATCH('Calculations - US Food'!$D106,'Input - US Food'!$B$2:$B$200,0)),"")</f>
        <v>0</v>
      </c>
      <c r="M106" s="20">
        <f>IFERROR(INDEX('Input - US Food'!K$2:K$200,MATCH('Calculations - US Food'!$D106,'Input - US Food'!$B$2:$B$200,0)),"")</f>
        <v>6055363851.4215012</v>
      </c>
      <c r="N106" s="20">
        <f>IFERROR(INDEX('Input - US Food'!L$2:L$200,MATCH('Calculations - US Food'!$D106,'Input - US Food'!$B$2:$B$200,0)),"")</f>
        <v>1982155918.8720999</v>
      </c>
      <c r="O106" s="21" t="str">
        <f t="shared" si="123"/>
        <v/>
      </c>
      <c r="P106" s="21">
        <f t="shared" si="105"/>
        <v>3.0549382083257943</v>
      </c>
      <c r="Q106" s="21">
        <f t="shared" si="124"/>
        <v>0</v>
      </c>
      <c r="R106" s="9">
        <f t="shared" si="106"/>
        <v>0</v>
      </c>
      <c r="S106" s="9">
        <f t="shared" si="107"/>
        <v>0</v>
      </c>
      <c r="T106" s="22" t="str">
        <f>IFERROR(INDEX('US Food'!$S$11:$S$197,MATCH('Calculations - US Food'!$D106,'US Food'!$N$11:$N$197,0)),"")</f>
        <v/>
      </c>
      <c r="U106" s="22" t="str">
        <f>IFERROR(INDEX('US Food'!$T$11:$T$197,MATCH('Calculations - US Food'!$D106,'US Food'!$N$11:$N$197,0)),"")</f>
        <v/>
      </c>
      <c r="V106" s="16" t="e">
        <f t="shared" si="108"/>
        <v>#VALUE!</v>
      </c>
      <c r="W106" s="16" t="e">
        <f t="shared" si="125"/>
        <v>#VALUE!</v>
      </c>
      <c r="X106" s="16" t="e">
        <f t="shared" si="126"/>
        <v>#VALUE!</v>
      </c>
      <c r="Y106" s="10" t="str">
        <f t="shared" si="109"/>
        <v>-</v>
      </c>
      <c r="Z106" s="10" t="str">
        <f t="shared" si="110"/>
        <v>-</v>
      </c>
      <c r="AA106" s="13" t="str">
        <f t="shared" si="127"/>
        <v>-</v>
      </c>
      <c r="AB106" s="9" t="str">
        <f t="shared" si="111"/>
        <v>-</v>
      </c>
      <c r="AC106" s="16" t="str">
        <f t="shared" si="128"/>
        <v>-</v>
      </c>
      <c r="AD106" s="16" t="str">
        <f t="shared" si="112"/>
        <v>-</v>
      </c>
      <c r="AE106" s="16" t="str">
        <f t="shared" si="113"/>
        <v>-</v>
      </c>
      <c r="AF106" s="16" t="str">
        <f t="shared" si="129"/>
        <v>-</v>
      </c>
      <c r="AG106" s="16"/>
      <c r="AH106" s="32" t="str">
        <f>IFERROR(INDEX('US Food'!$R$11:$R$197,MATCH('Calculations - US Food'!D106,'US Food'!$N$11:$N$197,0)),"")</f>
        <v/>
      </c>
      <c r="AI106" s="23" t="str">
        <f t="shared" si="130"/>
        <v/>
      </c>
      <c r="AJ106" s="23" t="str">
        <f t="shared" si="131"/>
        <v/>
      </c>
      <c r="AK106" s="9" t="str">
        <f t="shared" si="114"/>
        <v/>
      </c>
      <c r="AL106" s="4" t="str">
        <f t="shared" si="115"/>
        <v/>
      </c>
      <c r="AM106" s="4"/>
      <c r="AN106" s="4"/>
      <c r="AO106" s="4"/>
      <c r="AP106" s="4"/>
      <c r="AQ106" s="4"/>
      <c r="AR106" s="20" t="str">
        <f t="shared" si="116"/>
        <v>-</v>
      </c>
      <c r="AS106" s="13" t="str">
        <f t="shared" si="132"/>
        <v>-</v>
      </c>
      <c r="AT106" s="13" t="str">
        <f t="shared" si="133"/>
        <v>-</v>
      </c>
      <c r="AU106" s="13" t="str">
        <f t="shared" si="117"/>
        <v>-</v>
      </c>
      <c r="AV106" s="16" t="str">
        <f t="shared" si="134"/>
        <v>-</v>
      </c>
      <c r="AW106" s="16" t="str">
        <f t="shared" si="118"/>
        <v>-</v>
      </c>
      <c r="AX106" s="16" t="str">
        <f t="shared" si="119"/>
        <v>-</v>
      </c>
      <c r="AY106" s="16" t="str">
        <f t="shared" si="135"/>
        <v>-</v>
      </c>
      <c r="AZ106" s="13" t="str">
        <f t="shared" si="136"/>
        <v>-</v>
      </c>
      <c r="BA106" s="10" t="str">
        <f t="shared" si="137"/>
        <v>-</v>
      </c>
      <c r="BB106" s="9" t="str">
        <f t="shared" si="138"/>
        <v>-</v>
      </c>
      <c r="BC106" s="13" t="str">
        <f t="shared" si="139"/>
        <v>-</v>
      </c>
      <c r="BD106" s="10" t="str">
        <f t="shared" si="140"/>
        <v>-</v>
      </c>
      <c r="BE106" s="13" t="str">
        <f t="shared" si="141"/>
        <v>-</v>
      </c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</row>
    <row r="107" spans="2:70" x14ac:dyDescent="0.3">
      <c r="B107" s="96" t="str">
        <f t="shared" si="120"/>
        <v/>
      </c>
      <c r="C107" s="96" t="str">
        <f t="shared" si="121"/>
        <v/>
      </c>
      <c r="D107" s="96" t="str">
        <f t="shared" si="122"/>
        <v/>
      </c>
      <c r="E107" s="3"/>
      <c r="F107" s="3"/>
      <c r="G107" s="3"/>
      <c r="H107" s="3"/>
      <c r="I107" s="20">
        <f>IFERROR(INDEX('Input - US Food'!G$2:G$200,MATCH('Calculations - US Food'!$D107,'Input - US Food'!$B$2:$B$200,0)),"")</f>
        <v>0</v>
      </c>
      <c r="J107" s="20">
        <f>IFERROR(INDEX('Input - US Food'!H$2:H$200,MATCH('Calculations - US Food'!$D107,'Input - US Food'!$B$2:$B$200,0)),"")</f>
        <v>0</v>
      </c>
      <c r="K107" s="21">
        <f>IFERROR(INDEX('Input - US Food'!I$2:I$200,MATCH('Calculations - US Food'!$D107,'Input - US Food'!$B$2:$B$200,0)),"")</f>
        <v>0</v>
      </c>
      <c r="L107" s="21">
        <f>IFERROR(INDEX('Input - US Food'!J$2:J$200,MATCH('Calculations - US Food'!$D107,'Input - US Food'!$B$2:$B$200,0)),"")</f>
        <v>0</v>
      </c>
      <c r="M107" s="20">
        <f>IFERROR(INDEX('Input - US Food'!K$2:K$200,MATCH('Calculations - US Food'!$D107,'Input - US Food'!$B$2:$B$200,0)),"")</f>
        <v>6055363851.4215012</v>
      </c>
      <c r="N107" s="20">
        <f>IFERROR(INDEX('Input - US Food'!L$2:L$200,MATCH('Calculations - US Food'!$D107,'Input - US Food'!$B$2:$B$200,0)),"")</f>
        <v>1982155918.8720999</v>
      </c>
      <c r="O107" s="21" t="str">
        <f t="shared" si="123"/>
        <v/>
      </c>
      <c r="P107" s="21">
        <f t="shared" si="105"/>
        <v>3.0549382083257943</v>
      </c>
      <c r="Q107" s="21">
        <f t="shared" si="124"/>
        <v>0</v>
      </c>
      <c r="R107" s="9">
        <f t="shared" si="106"/>
        <v>0</v>
      </c>
      <c r="S107" s="9">
        <f t="shared" si="107"/>
        <v>0</v>
      </c>
      <c r="T107" s="22" t="str">
        <f>IFERROR(INDEX('US Food'!$S$11:$S$197,MATCH('Calculations - US Food'!$D107,'US Food'!$N$11:$N$197,0)),"")</f>
        <v/>
      </c>
      <c r="U107" s="22" t="str">
        <f>IFERROR(INDEX('US Food'!$T$11:$T$197,MATCH('Calculations - US Food'!$D107,'US Food'!$N$11:$N$197,0)),"")</f>
        <v/>
      </c>
      <c r="V107" s="16" t="e">
        <f t="shared" si="108"/>
        <v>#VALUE!</v>
      </c>
      <c r="W107" s="16" t="e">
        <f t="shared" si="125"/>
        <v>#VALUE!</v>
      </c>
      <c r="X107" s="16" t="e">
        <f t="shared" si="126"/>
        <v>#VALUE!</v>
      </c>
      <c r="Y107" s="10" t="str">
        <f t="shared" si="109"/>
        <v>-</v>
      </c>
      <c r="Z107" s="10" t="str">
        <f t="shared" si="110"/>
        <v>-</v>
      </c>
      <c r="AA107" s="13" t="str">
        <f t="shared" si="127"/>
        <v>-</v>
      </c>
      <c r="AB107" s="9" t="str">
        <f t="shared" si="111"/>
        <v>-</v>
      </c>
      <c r="AC107" s="16" t="str">
        <f t="shared" si="128"/>
        <v>-</v>
      </c>
      <c r="AD107" s="16" t="str">
        <f t="shared" si="112"/>
        <v>-</v>
      </c>
      <c r="AE107" s="16" t="str">
        <f t="shared" si="113"/>
        <v>-</v>
      </c>
      <c r="AF107" s="16" t="str">
        <f t="shared" si="129"/>
        <v>-</v>
      </c>
      <c r="AG107" s="16"/>
      <c r="AH107" s="32" t="str">
        <f>IFERROR(INDEX('US Food'!$R$11:$R$197,MATCH('Calculations - US Food'!D107,'US Food'!$N$11:$N$197,0)),"")</f>
        <v/>
      </c>
      <c r="AI107" s="23" t="str">
        <f t="shared" si="130"/>
        <v/>
      </c>
      <c r="AJ107" s="23" t="str">
        <f t="shared" si="131"/>
        <v/>
      </c>
      <c r="AK107" s="9" t="str">
        <f t="shared" si="114"/>
        <v/>
      </c>
      <c r="AL107" s="4" t="str">
        <f t="shared" si="115"/>
        <v/>
      </c>
      <c r="AM107" s="4"/>
      <c r="AN107" s="4"/>
      <c r="AO107" s="4"/>
      <c r="AP107" s="4"/>
      <c r="AQ107" s="4"/>
      <c r="AR107" s="20" t="str">
        <f t="shared" si="116"/>
        <v>-</v>
      </c>
      <c r="AS107" s="13" t="str">
        <f t="shared" si="132"/>
        <v>-</v>
      </c>
      <c r="AT107" s="13" t="str">
        <f t="shared" si="133"/>
        <v>-</v>
      </c>
      <c r="AU107" s="13" t="str">
        <f t="shared" si="117"/>
        <v>-</v>
      </c>
      <c r="AV107" s="16" t="str">
        <f t="shared" si="134"/>
        <v>-</v>
      </c>
      <c r="AW107" s="16" t="str">
        <f t="shared" si="118"/>
        <v>-</v>
      </c>
      <c r="AX107" s="16" t="str">
        <f t="shared" si="119"/>
        <v>-</v>
      </c>
      <c r="AY107" s="16" t="str">
        <f t="shared" si="135"/>
        <v>-</v>
      </c>
      <c r="AZ107" s="13" t="str">
        <f t="shared" si="136"/>
        <v>-</v>
      </c>
      <c r="BA107" s="10" t="str">
        <f t="shared" si="137"/>
        <v>-</v>
      </c>
      <c r="BB107" s="9" t="str">
        <f t="shared" si="138"/>
        <v>-</v>
      </c>
      <c r="BC107" s="13" t="str">
        <f t="shared" si="139"/>
        <v>-</v>
      </c>
      <c r="BD107" s="10" t="str">
        <f t="shared" si="140"/>
        <v>-</v>
      </c>
      <c r="BE107" s="13" t="str">
        <f t="shared" si="141"/>
        <v>-</v>
      </c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</row>
    <row r="108" spans="2:70" x14ac:dyDescent="0.3">
      <c r="B108" s="96" t="str">
        <f t="shared" si="120"/>
        <v/>
      </c>
      <c r="C108" s="96" t="str">
        <f t="shared" si="121"/>
        <v/>
      </c>
      <c r="D108" s="96" t="str">
        <f t="shared" si="122"/>
        <v/>
      </c>
      <c r="E108" s="3"/>
      <c r="F108" s="3"/>
      <c r="G108" s="3"/>
      <c r="H108" s="3"/>
      <c r="I108" s="20">
        <f>IFERROR(INDEX('Input - US Food'!G$2:G$200,MATCH('Calculations - US Food'!$D108,'Input - US Food'!$B$2:$B$200,0)),"")</f>
        <v>0</v>
      </c>
      <c r="J108" s="20">
        <f>IFERROR(INDEX('Input - US Food'!H$2:H$200,MATCH('Calculations - US Food'!$D108,'Input - US Food'!$B$2:$B$200,0)),"")</f>
        <v>0</v>
      </c>
      <c r="K108" s="21">
        <f>IFERROR(INDEX('Input - US Food'!I$2:I$200,MATCH('Calculations - US Food'!$D108,'Input - US Food'!$B$2:$B$200,0)),"")</f>
        <v>0</v>
      </c>
      <c r="L108" s="21">
        <f>IFERROR(INDEX('Input - US Food'!J$2:J$200,MATCH('Calculations - US Food'!$D108,'Input - US Food'!$B$2:$B$200,0)),"")</f>
        <v>0</v>
      </c>
      <c r="M108" s="20">
        <f>IFERROR(INDEX('Input - US Food'!K$2:K$200,MATCH('Calculations - US Food'!$D108,'Input - US Food'!$B$2:$B$200,0)),"")</f>
        <v>6055363851.4215012</v>
      </c>
      <c r="N108" s="20">
        <f>IFERROR(INDEX('Input - US Food'!L$2:L$200,MATCH('Calculations - US Food'!$D108,'Input - US Food'!$B$2:$B$200,0)),"")</f>
        <v>1982155918.8720999</v>
      </c>
      <c r="O108" s="21" t="str">
        <f t="shared" si="123"/>
        <v/>
      </c>
      <c r="P108" s="21">
        <f t="shared" si="105"/>
        <v>3.0549382083257943</v>
      </c>
      <c r="Q108" s="21">
        <f t="shared" si="124"/>
        <v>0</v>
      </c>
      <c r="R108" s="9">
        <f t="shared" si="106"/>
        <v>0</v>
      </c>
      <c r="S108" s="9">
        <f t="shared" si="107"/>
        <v>0</v>
      </c>
      <c r="T108" s="22" t="str">
        <f>IFERROR(INDEX('US Food'!$S$11:$S$197,MATCH('Calculations - US Food'!$D108,'US Food'!$N$11:$N$197,0)),"")</f>
        <v/>
      </c>
      <c r="U108" s="22" t="str">
        <f>IFERROR(INDEX('US Food'!$T$11:$T$197,MATCH('Calculations - US Food'!$D108,'US Food'!$N$11:$N$197,0)),"")</f>
        <v/>
      </c>
      <c r="V108" s="16" t="e">
        <f t="shared" si="108"/>
        <v>#VALUE!</v>
      </c>
      <c r="W108" s="16" t="e">
        <f t="shared" si="125"/>
        <v>#VALUE!</v>
      </c>
      <c r="X108" s="16" t="e">
        <f t="shared" si="126"/>
        <v>#VALUE!</v>
      </c>
      <c r="Y108" s="10" t="str">
        <f t="shared" si="109"/>
        <v>-</v>
      </c>
      <c r="Z108" s="10" t="str">
        <f t="shared" si="110"/>
        <v>-</v>
      </c>
      <c r="AA108" s="13" t="str">
        <f t="shared" si="127"/>
        <v>-</v>
      </c>
      <c r="AB108" s="9" t="str">
        <f t="shared" si="111"/>
        <v>-</v>
      </c>
      <c r="AC108" s="16" t="str">
        <f t="shared" si="128"/>
        <v>-</v>
      </c>
      <c r="AD108" s="16" t="str">
        <f t="shared" si="112"/>
        <v>-</v>
      </c>
      <c r="AE108" s="16" t="str">
        <f t="shared" si="113"/>
        <v>-</v>
      </c>
      <c r="AF108" s="16" t="str">
        <f t="shared" si="129"/>
        <v>-</v>
      </c>
      <c r="AG108" s="16"/>
      <c r="AH108" s="32" t="str">
        <f>IFERROR(INDEX('US Food'!$R$11:$R$197,MATCH('Calculations - US Food'!D108,'US Food'!$N$11:$N$197,0)),"")</f>
        <v/>
      </c>
      <c r="AI108" s="23" t="str">
        <f t="shared" si="130"/>
        <v/>
      </c>
      <c r="AJ108" s="23" t="str">
        <f t="shared" si="131"/>
        <v/>
      </c>
      <c r="AK108" s="9" t="str">
        <f t="shared" si="114"/>
        <v/>
      </c>
      <c r="AL108" s="4" t="str">
        <f t="shared" si="115"/>
        <v/>
      </c>
      <c r="AM108" s="4"/>
      <c r="AN108" s="4"/>
      <c r="AO108" s="4"/>
      <c r="AP108" s="4"/>
      <c r="AQ108" s="4"/>
      <c r="AR108" s="20" t="str">
        <f t="shared" si="116"/>
        <v>-</v>
      </c>
      <c r="AS108" s="13" t="str">
        <f t="shared" si="132"/>
        <v>-</v>
      </c>
      <c r="AT108" s="13" t="str">
        <f t="shared" si="133"/>
        <v>-</v>
      </c>
      <c r="AU108" s="13" t="str">
        <f t="shared" si="117"/>
        <v>-</v>
      </c>
      <c r="AV108" s="16" t="str">
        <f t="shared" si="134"/>
        <v>-</v>
      </c>
      <c r="AW108" s="16" t="str">
        <f t="shared" si="118"/>
        <v>-</v>
      </c>
      <c r="AX108" s="16" t="str">
        <f t="shared" si="119"/>
        <v>-</v>
      </c>
      <c r="AY108" s="16" t="str">
        <f t="shared" si="135"/>
        <v>-</v>
      </c>
      <c r="AZ108" s="13" t="str">
        <f t="shared" si="136"/>
        <v>-</v>
      </c>
      <c r="BA108" s="10" t="str">
        <f t="shared" si="137"/>
        <v>-</v>
      </c>
      <c r="BB108" s="9" t="str">
        <f t="shared" si="138"/>
        <v>-</v>
      </c>
      <c r="BC108" s="13" t="str">
        <f t="shared" si="139"/>
        <v>-</v>
      </c>
      <c r="BD108" s="10" t="str">
        <f t="shared" si="140"/>
        <v>-</v>
      </c>
      <c r="BE108" s="13" t="str">
        <f t="shared" si="141"/>
        <v>-</v>
      </c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</row>
    <row r="109" spans="2:70" x14ac:dyDescent="0.3">
      <c r="B109" s="96" t="str">
        <f t="shared" si="120"/>
        <v/>
      </c>
      <c r="C109" s="96" t="str">
        <f t="shared" si="121"/>
        <v/>
      </c>
      <c r="D109" s="96" t="str">
        <f t="shared" si="122"/>
        <v/>
      </c>
      <c r="E109" s="3"/>
      <c r="F109" s="3"/>
      <c r="G109" s="3"/>
      <c r="H109" s="3"/>
      <c r="I109" s="20">
        <f>IFERROR(INDEX('Input - US Food'!G$2:G$200,MATCH('Calculations - US Food'!$D109,'Input - US Food'!$B$2:$B$200,0)),"")</f>
        <v>0</v>
      </c>
      <c r="J109" s="20">
        <f>IFERROR(INDEX('Input - US Food'!H$2:H$200,MATCH('Calculations - US Food'!$D109,'Input - US Food'!$B$2:$B$200,0)),"")</f>
        <v>0</v>
      </c>
      <c r="K109" s="21">
        <f>IFERROR(INDEX('Input - US Food'!I$2:I$200,MATCH('Calculations - US Food'!$D109,'Input - US Food'!$B$2:$B$200,0)),"")</f>
        <v>0</v>
      </c>
      <c r="L109" s="21">
        <f>IFERROR(INDEX('Input - US Food'!J$2:J$200,MATCH('Calculations - US Food'!$D109,'Input - US Food'!$B$2:$B$200,0)),"")</f>
        <v>0</v>
      </c>
      <c r="M109" s="20">
        <f>IFERROR(INDEX('Input - US Food'!K$2:K$200,MATCH('Calculations - US Food'!$D109,'Input - US Food'!$B$2:$B$200,0)),"")</f>
        <v>6055363851.4215012</v>
      </c>
      <c r="N109" s="20">
        <f>IFERROR(INDEX('Input - US Food'!L$2:L$200,MATCH('Calculations - US Food'!$D109,'Input - US Food'!$B$2:$B$200,0)),"")</f>
        <v>1982155918.8720999</v>
      </c>
      <c r="O109" s="21" t="str">
        <f t="shared" si="123"/>
        <v/>
      </c>
      <c r="P109" s="21">
        <f t="shared" si="105"/>
        <v>3.0549382083257943</v>
      </c>
      <c r="Q109" s="21">
        <f t="shared" si="124"/>
        <v>0</v>
      </c>
      <c r="R109" s="9">
        <f t="shared" si="106"/>
        <v>0</v>
      </c>
      <c r="S109" s="9">
        <f t="shared" si="107"/>
        <v>0</v>
      </c>
      <c r="T109" s="22" t="str">
        <f>IFERROR(INDEX('US Food'!$S$11:$S$197,MATCH('Calculations - US Food'!$D109,'US Food'!$N$11:$N$197,0)),"")</f>
        <v/>
      </c>
      <c r="U109" s="22" t="str">
        <f>IFERROR(INDEX('US Food'!$T$11:$T$197,MATCH('Calculations - US Food'!$D109,'US Food'!$N$11:$N$197,0)),"")</f>
        <v/>
      </c>
      <c r="V109" s="16" t="e">
        <f t="shared" si="108"/>
        <v>#VALUE!</v>
      </c>
      <c r="W109" s="16" t="e">
        <f t="shared" si="125"/>
        <v>#VALUE!</v>
      </c>
      <c r="X109" s="16" t="e">
        <f t="shared" si="126"/>
        <v>#VALUE!</v>
      </c>
      <c r="Y109" s="10" t="str">
        <f t="shared" si="109"/>
        <v>-</v>
      </c>
      <c r="Z109" s="10" t="str">
        <f t="shared" si="110"/>
        <v>-</v>
      </c>
      <c r="AA109" s="13" t="str">
        <f t="shared" si="127"/>
        <v>-</v>
      </c>
      <c r="AB109" s="9" t="str">
        <f t="shared" si="111"/>
        <v>-</v>
      </c>
      <c r="AC109" s="16" t="str">
        <f t="shared" si="128"/>
        <v>-</v>
      </c>
      <c r="AD109" s="16" t="str">
        <f t="shared" si="112"/>
        <v>-</v>
      </c>
      <c r="AE109" s="16" t="str">
        <f t="shared" si="113"/>
        <v>-</v>
      </c>
      <c r="AF109" s="16" t="str">
        <f t="shared" si="129"/>
        <v>-</v>
      </c>
      <c r="AG109" s="16"/>
      <c r="AH109" s="32" t="str">
        <f>IFERROR(INDEX('US Food'!$R$11:$R$197,MATCH('Calculations - US Food'!D109,'US Food'!$N$11:$N$197,0)),"")</f>
        <v/>
      </c>
      <c r="AI109" s="23" t="str">
        <f t="shared" si="130"/>
        <v/>
      </c>
      <c r="AJ109" s="23" t="str">
        <f t="shared" si="131"/>
        <v/>
      </c>
      <c r="AK109" s="9" t="str">
        <f t="shared" si="114"/>
        <v/>
      </c>
      <c r="AL109" s="4" t="str">
        <f t="shared" si="115"/>
        <v/>
      </c>
      <c r="AM109" s="4"/>
      <c r="AN109" s="4"/>
      <c r="AO109" s="4"/>
      <c r="AP109" s="4"/>
      <c r="AQ109" s="4"/>
      <c r="AR109" s="20" t="str">
        <f t="shared" si="116"/>
        <v>-</v>
      </c>
      <c r="AS109" s="13" t="str">
        <f t="shared" si="132"/>
        <v>-</v>
      </c>
      <c r="AT109" s="13" t="str">
        <f t="shared" si="133"/>
        <v>-</v>
      </c>
      <c r="AU109" s="13" t="str">
        <f t="shared" si="117"/>
        <v>-</v>
      </c>
      <c r="AV109" s="16" t="str">
        <f t="shared" si="134"/>
        <v>-</v>
      </c>
      <c r="AW109" s="16" t="str">
        <f t="shared" si="118"/>
        <v>-</v>
      </c>
      <c r="AX109" s="16" t="str">
        <f t="shared" si="119"/>
        <v>-</v>
      </c>
      <c r="AY109" s="16" t="str">
        <f t="shared" si="135"/>
        <v>-</v>
      </c>
      <c r="AZ109" s="13" t="str">
        <f t="shared" si="136"/>
        <v>-</v>
      </c>
      <c r="BA109" s="10" t="str">
        <f t="shared" si="137"/>
        <v>-</v>
      </c>
      <c r="BB109" s="9" t="str">
        <f t="shared" si="138"/>
        <v>-</v>
      </c>
      <c r="BC109" s="13" t="str">
        <f t="shared" si="139"/>
        <v>-</v>
      </c>
      <c r="BD109" s="10" t="str">
        <f t="shared" si="140"/>
        <v>-</v>
      </c>
      <c r="BE109" s="13" t="str">
        <f t="shared" si="141"/>
        <v>-</v>
      </c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</row>
    <row r="110" spans="2:70" x14ac:dyDescent="0.3">
      <c r="B110" s="96" t="str">
        <f t="shared" si="120"/>
        <v/>
      </c>
      <c r="C110" s="96" t="str">
        <f t="shared" si="121"/>
        <v/>
      </c>
      <c r="D110" s="96" t="str">
        <f t="shared" si="122"/>
        <v/>
      </c>
      <c r="E110" s="3"/>
      <c r="F110" s="3"/>
      <c r="G110" s="3"/>
      <c r="H110" s="3"/>
      <c r="I110" s="20">
        <f>IFERROR(INDEX('Input - US Food'!G$2:G$200,MATCH('Calculations - US Food'!$D110,'Input - US Food'!$B$2:$B$200,0)),"")</f>
        <v>0</v>
      </c>
      <c r="J110" s="20">
        <f>IFERROR(INDEX('Input - US Food'!H$2:H$200,MATCH('Calculations - US Food'!$D110,'Input - US Food'!$B$2:$B$200,0)),"")</f>
        <v>0</v>
      </c>
      <c r="K110" s="21">
        <f>IFERROR(INDEX('Input - US Food'!I$2:I$200,MATCH('Calculations - US Food'!$D110,'Input - US Food'!$B$2:$B$200,0)),"")</f>
        <v>0</v>
      </c>
      <c r="L110" s="21">
        <f>IFERROR(INDEX('Input - US Food'!J$2:J$200,MATCH('Calculations - US Food'!$D110,'Input - US Food'!$B$2:$B$200,0)),"")</f>
        <v>0</v>
      </c>
      <c r="M110" s="20">
        <f>IFERROR(INDEX('Input - US Food'!K$2:K$200,MATCH('Calculations - US Food'!$D110,'Input - US Food'!$B$2:$B$200,0)),"")</f>
        <v>6055363851.4215012</v>
      </c>
      <c r="N110" s="20">
        <f>IFERROR(INDEX('Input - US Food'!L$2:L$200,MATCH('Calculations - US Food'!$D110,'Input - US Food'!$B$2:$B$200,0)),"")</f>
        <v>1982155918.8720999</v>
      </c>
      <c r="O110" s="21" t="str">
        <f t="shared" si="123"/>
        <v/>
      </c>
      <c r="P110" s="21">
        <f t="shared" si="105"/>
        <v>3.0549382083257943</v>
      </c>
      <c r="Q110" s="21">
        <f t="shared" si="124"/>
        <v>0</v>
      </c>
      <c r="R110" s="9">
        <f t="shared" si="106"/>
        <v>0</v>
      </c>
      <c r="S110" s="9">
        <f t="shared" si="107"/>
        <v>0</v>
      </c>
      <c r="T110" s="22" t="str">
        <f>IFERROR(INDEX('US Food'!$S$11:$S$197,MATCH('Calculations - US Food'!$D110,'US Food'!$N$11:$N$197,0)),"")</f>
        <v/>
      </c>
      <c r="U110" s="22" t="str">
        <f>IFERROR(INDEX('US Food'!$T$11:$T$197,MATCH('Calculations - US Food'!$D110,'US Food'!$N$11:$N$197,0)),"")</f>
        <v/>
      </c>
      <c r="V110" s="16" t="e">
        <f t="shared" si="108"/>
        <v>#VALUE!</v>
      </c>
      <c r="W110" s="16" t="e">
        <f t="shared" si="125"/>
        <v>#VALUE!</v>
      </c>
      <c r="X110" s="16" t="e">
        <f t="shared" si="126"/>
        <v>#VALUE!</v>
      </c>
      <c r="Y110" s="10" t="str">
        <f t="shared" si="109"/>
        <v>-</v>
      </c>
      <c r="Z110" s="10" t="str">
        <f t="shared" si="110"/>
        <v>-</v>
      </c>
      <c r="AA110" s="13" t="str">
        <f t="shared" si="127"/>
        <v>-</v>
      </c>
      <c r="AB110" s="9" t="str">
        <f t="shared" si="111"/>
        <v>-</v>
      </c>
      <c r="AC110" s="16" t="str">
        <f t="shared" si="128"/>
        <v>-</v>
      </c>
      <c r="AD110" s="16" t="str">
        <f t="shared" si="112"/>
        <v>-</v>
      </c>
      <c r="AE110" s="16" t="str">
        <f t="shared" si="113"/>
        <v>-</v>
      </c>
      <c r="AF110" s="16" t="str">
        <f t="shared" si="129"/>
        <v>-</v>
      </c>
      <c r="AG110" s="16"/>
      <c r="AH110" s="32" t="str">
        <f>IFERROR(INDEX('US Food'!$R$11:$R$197,MATCH('Calculations - US Food'!D110,'US Food'!$N$11:$N$197,0)),"")</f>
        <v/>
      </c>
      <c r="AI110" s="23" t="str">
        <f t="shared" si="130"/>
        <v/>
      </c>
      <c r="AJ110" s="23" t="str">
        <f t="shared" si="131"/>
        <v/>
      </c>
      <c r="AK110" s="9" t="str">
        <f t="shared" si="114"/>
        <v/>
      </c>
      <c r="AL110" s="4" t="str">
        <f t="shared" si="115"/>
        <v/>
      </c>
      <c r="AM110" s="4"/>
      <c r="AN110" s="4"/>
      <c r="AO110" s="4"/>
      <c r="AP110" s="4"/>
      <c r="AQ110" s="4"/>
      <c r="AR110" s="20" t="str">
        <f t="shared" si="116"/>
        <v>-</v>
      </c>
      <c r="AS110" s="13" t="str">
        <f t="shared" si="132"/>
        <v>-</v>
      </c>
      <c r="AT110" s="13" t="str">
        <f t="shared" si="133"/>
        <v>-</v>
      </c>
      <c r="AU110" s="13" t="str">
        <f t="shared" si="117"/>
        <v>-</v>
      </c>
      <c r="AV110" s="16" t="str">
        <f t="shared" si="134"/>
        <v>-</v>
      </c>
      <c r="AW110" s="16" t="str">
        <f t="shared" si="118"/>
        <v>-</v>
      </c>
      <c r="AX110" s="16" t="str">
        <f t="shared" si="119"/>
        <v>-</v>
      </c>
      <c r="AY110" s="16" t="str">
        <f t="shared" si="135"/>
        <v>-</v>
      </c>
      <c r="AZ110" s="13" t="str">
        <f t="shared" si="136"/>
        <v>-</v>
      </c>
      <c r="BA110" s="10" t="str">
        <f t="shared" si="137"/>
        <v>-</v>
      </c>
      <c r="BB110" s="9" t="str">
        <f t="shared" si="138"/>
        <v>-</v>
      </c>
      <c r="BC110" s="13" t="str">
        <f t="shared" si="139"/>
        <v>-</v>
      </c>
      <c r="BD110" s="10" t="str">
        <f t="shared" si="140"/>
        <v>-</v>
      </c>
      <c r="BE110" s="13" t="str">
        <f t="shared" si="141"/>
        <v>-</v>
      </c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</row>
    <row r="111" spans="2:70" x14ac:dyDescent="0.3">
      <c r="B111" s="96" t="str">
        <f t="shared" si="120"/>
        <v/>
      </c>
      <c r="C111" s="96" t="str">
        <f t="shared" si="121"/>
        <v/>
      </c>
      <c r="D111" s="96" t="str">
        <f t="shared" si="122"/>
        <v/>
      </c>
      <c r="E111" s="3"/>
      <c r="F111" s="3"/>
      <c r="G111" s="3"/>
      <c r="H111" s="3"/>
      <c r="I111" s="20">
        <f>IFERROR(INDEX('Input - US Food'!G$2:G$200,MATCH('Calculations - US Food'!$D111,'Input - US Food'!$B$2:$B$200,0)),"")</f>
        <v>0</v>
      </c>
      <c r="J111" s="20">
        <f>IFERROR(INDEX('Input - US Food'!H$2:H$200,MATCH('Calculations - US Food'!$D111,'Input - US Food'!$B$2:$B$200,0)),"")</f>
        <v>0</v>
      </c>
      <c r="K111" s="21">
        <f>IFERROR(INDEX('Input - US Food'!I$2:I$200,MATCH('Calculations - US Food'!$D111,'Input - US Food'!$B$2:$B$200,0)),"")</f>
        <v>0</v>
      </c>
      <c r="L111" s="21">
        <f>IFERROR(INDEX('Input - US Food'!J$2:J$200,MATCH('Calculations - US Food'!$D111,'Input - US Food'!$B$2:$B$200,0)),"")</f>
        <v>0</v>
      </c>
      <c r="M111" s="20">
        <f>IFERROR(INDEX('Input - US Food'!K$2:K$200,MATCH('Calculations - US Food'!$D111,'Input - US Food'!$B$2:$B$200,0)),"")</f>
        <v>6055363851.4215012</v>
      </c>
      <c r="N111" s="20">
        <f>IFERROR(INDEX('Input - US Food'!L$2:L$200,MATCH('Calculations - US Food'!$D111,'Input - US Food'!$B$2:$B$200,0)),"")</f>
        <v>1982155918.8720999</v>
      </c>
      <c r="O111" s="21" t="str">
        <f t="shared" si="123"/>
        <v/>
      </c>
      <c r="P111" s="21">
        <f t="shared" si="105"/>
        <v>3.0549382083257943</v>
      </c>
      <c r="Q111" s="21">
        <f t="shared" si="124"/>
        <v>0</v>
      </c>
      <c r="R111" s="9">
        <f t="shared" si="106"/>
        <v>0</v>
      </c>
      <c r="S111" s="9">
        <f t="shared" si="107"/>
        <v>0</v>
      </c>
      <c r="T111" s="22" t="str">
        <f>IFERROR(INDEX('US Food'!$S$11:$S$197,MATCH('Calculations - US Food'!$D111,'US Food'!$N$11:$N$197,0)),"")</f>
        <v/>
      </c>
      <c r="U111" s="22" t="str">
        <f>IFERROR(INDEX('US Food'!$T$11:$T$197,MATCH('Calculations - US Food'!$D111,'US Food'!$N$11:$N$197,0)),"")</f>
        <v/>
      </c>
      <c r="V111" s="16" t="e">
        <f t="shared" si="108"/>
        <v>#VALUE!</v>
      </c>
      <c r="W111" s="16" t="e">
        <f t="shared" si="125"/>
        <v>#VALUE!</v>
      </c>
      <c r="X111" s="16" t="e">
        <f t="shared" si="126"/>
        <v>#VALUE!</v>
      </c>
      <c r="Y111" s="10" t="str">
        <f t="shared" si="109"/>
        <v>-</v>
      </c>
      <c r="Z111" s="10" t="str">
        <f t="shared" si="110"/>
        <v>-</v>
      </c>
      <c r="AA111" s="13" t="str">
        <f t="shared" si="127"/>
        <v>-</v>
      </c>
      <c r="AB111" s="9" t="str">
        <f t="shared" si="111"/>
        <v>-</v>
      </c>
      <c r="AC111" s="16" t="str">
        <f t="shared" si="128"/>
        <v>-</v>
      </c>
      <c r="AD111" s="16" t="str">
        <f t="shared" si="112"/>
        <v>-</v>
      </c>
      <c r="AE111" s="16" t="str">
        <f t="shared" si="113"/>
        <v>-</v>
      </c>
      <c r="AF111" s="16" t="str">
        <f t="shared" si="129"/>
        <v>-</v>
      </c>
      <c r="AG111" s="16"/>
      <c r="AH111" s="32" t="str">
        <f>IFERROR(INDEX('US Food'!$R$11:$R$197,MATCH('Calculations - US Food'!D111,'US Food'!$N$11:$N$197,0)),"")</f>
        <v/>
      </c>
      <c r="AI111" s="23" t="str">
        <f t="shared" si="130"/>
        <v/>
      </c>
      <c r="AJ111" s="23" t="str">
        <f t="shared" si="131"/>
        <v/>
      </c>
      <c r="AK111" s="9" t="str">
        <f t="shared" si="114"/>
        <v/>
      </c>
      <c r="AL111" s="4" t="str">
        <f t="shared" si="115"/>
        <v/>
      </c>
      <c r="AM111" s="4"/>
      <c r="AN111" s="4"/>
      <c r="AO111" s="4"/>
      <c r="AP111" s="4"/>
      <c r="AQ111" s="4"/>
      <c r="AR111" s="20" t="str">
        <f t="shared" si="116"/>
        <v>-</v>
      </c>
      <c r="AS111" s="13" t="str">
        <f t="shared" si="132"/>
        <v>-</v>
      </c>
      <c r="AT111" s="13" t="str">
        <f t="shared" si="133"/>
        <v>-</v>
      </c>
      <c r="AU111" s="13" t="str">
        <f t="shared" si="117"/>
        <v>-</v>
      </c>
      <c r="AV111" s="16" t="str">
        <f t="shared" si="134"/>
        <v>-</v>
      </c>
      <c r="AW111" s="16" t="str">
        <f t="shared" si="118"/>
        <v>-</v>
      </c>
      <c r="AX111" s="16" t="str">
        <f t="shared" si="119"/>
        <v>-</v>
      </c>
      <c r="AY111" s="16" t="str">
        <f t="shared" si="135"/>
        <v>-</v>
      </c>
      <c r="AZ111" s="13" t="str">
        <f t="shared" si="136"/>
        <v>-</v>
      </c>
      <c r="BA111" s="10" t="str">
        <f t="shared" si="137"/>
        <v>-</v>
      </c>
      <c r="BB111" s="9" t="str">
        <f t="shared" si="138"/>
        <v>-</v>
      </c>
      <c r="BC111" s="13" t="str">
        <f t="shared" si="139"/>
        <v>-</v>
      </c>
      <c r="BD111" s="10" t="str">
        <f t="shared" si="140"/>
        <v>-</v>
      </c>
      <c r="BE111" s="13" t="str">
        <f t="shared" si="141"/>
        <v>-</v>
      </c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</row>
    <row r="112" spans="2:70" x14ac:dyDescent="0.3">
      <c r="B112" s="96" t="str">
        <f t="shared" si="120"/>
        <v/>
      </c>
      <c r="C112" s="96" t="str">
        <f t="shared" si="121"/>
        <v/>
      </c>
      <c r="D112" s="96" t="str">
        <f t="shared" si="122"/>
        <v/>
      </c>
      <c r="E112" s="3"/>
      <c r="F112" s="3"/>
      <c r="G112" s="3"/>
      <c r="H112" s="3"/>
      <c r="I112" s="20">
        <f>IFERROR(INDEX('Input - US Food'!G$2:G$200,MATCH('Calculations - US Food'!$D112,'Input - US Food'!$B$2:$B$200,0)),"")</f>
        <v>0</v>
      </c>
      <c r="J112" s="20">
        <f>IFERROR(INDEX('Input - US Food'!H$2:H$200,MATCH('Calculations - US Food'!$D112,'Input - US Food'!$B$2:$B$200,0)),"")</f>
        <v>0</v>
      </c>
      <c r="K112" s="21">
        <f>IFERROR(INDEX('Input - US Food'!I$2:I$200,MATCH('Calculations - US Food'!$D112,'Input - US Food'!$B$2:$B$200,0)),"")</f>
        <v>0</v>
      </c>
      <c r="L112" s="21">
        <f>IFERROR(INDEX('Input - US Food'!J$2:J$200,MATCH('Calculations - US Food'!$D112,'Input - US Food'!$B$2:$B$200,0)),"")</f>
        <v>0</v>
      </c>
      <c r="M112" s="20">
        <f>IFERROR(INDEX('Input - US Food'!K$2:K$200,MATCH('Calculations - US Food'!$D112,'Input - US Food'!$B$2:$B$200,0)),"")</f>
        <v>6055363851.4215012</v>
      </c>
      <c r="N112" s="20">
        <f>IFERROR(INDEX('Input - US Food'!L$2:L$200,MATCH('Calculations - US Food'!$D112,'Input - US Food'!$B$2:$B$200,0)),"")</f>
        <v>1982155918.8720999</v>
      </c>
      <c r="O112" s="21" t="str">
        <f t="shared" si="123"/>
        <v/>
      </c>
      <c r="P112" s="21">
        <f t="shared" si="105"/>
        <v>3.0549382083257943</v>
      </c>
      <c r="Q112" s="21">
        <f t="shared" si="124"/>
        <v>0</v>
      </c>
      <c r="R112" s="9">
        <f t="shared" si="106"/>
        <v>0</v>
      </c>
      <c r="S112" s="9">
        <f t="shared" si="107"/>
        <v>0</v>
      </c>
      <c r="T112" s="22" t="str">
        <f>IFERROR(INDEX('US Food'!$S$11:$S$197,MATCH('Calculations - US Food'!$D112,'US Food'!$N$11:$N$197,0)),"")</f>
        <v/>
      </c>
      <c r="U112" s="22" t="str">
        <f>IFERROR(INDEX('US Food'!$T$11:$T$197,MATCH('Calculations - US Food'!$D112,'US Food'!$N$11:$N$197,0)),"")</f>
        <v/>
      </c>
      <c r="V112" s="16" t="e">
        <f t="shared" si="108"/>
        <v>#VALUE!</v>
      </c>
      <c r="W112" s="16" t="e">
        <f t="shared" si="125"/>
        <v>#VALUE!</v>
      </c>
      <c r="X112" s="16" t="e">
        <f t="shared" si="126"/>
        <v>#VALUE!</v>
      </c>
      <c r="Y112" s="10" t="str">
        <f t="shared" si="109"/>
        <v>-</v>
      </c>
      <c r="Z112" s="10" t="str">
        <f t="shared" si="110"/>
        <v>-</v>
      </c>
      <c r="AA112" s="13" t="str">
        <f t="shared" si="127"/>
        <v>-</v>
      </c>
      <c r="AB112" s="9" t="str">
        <f t="shared" si="111"/>
        <v>-</v>
      </c>
      <c r="AC112" s="16" t="str">
        <f t="shared" si="128"/>
        <v>-</v>
      </c>
      <c r="AD112" s="16" t="str">
        <f t="shared" si="112"/>
        <v>-</v>
      </c>
      <c r="AE112" s="16" t="str">
        <f t="shared" si="113"/>
        <v>-</v>
      </c>
      <c r="AF112" s="16" t="str">
        <f t="shared" si="129"/>
        <v>-</v>
      </c>
      <c r="AG112" s="16"/>
      <c r="AH112" s="32" t="str">
        <f>IFERROR(INDEX('US Food'!$R$11:$R$197,MATCH('Calculations - US Food'!D112,'US Food'!$N$11:$N$197,0)),"")</f>
        <v/>
      </c>
      <c r="AI112" s="23" t="str">
        <f t="shared" si="130"/>
        <v/>
      </c>
      <c r="AJ112" s="23" t="str">
        <f t="shared" si="131"/>
        <v/>
      </c>
      <c r="AK112" s="9" t="str">
        <f t="shared" si="114"/>
        <v/>
      </c>
      <c r="AL112" s="4" t="str">
        <f t="shared" si="115"/>
        <v/>
      </c>
      <c r="AM112" s="4"/>
      <c r="AN112" s="4"/>
      <c r="AO112" s="4"/>
      <c r="AP112" s="4"/>
      <c r="AQ112" s="4"/>
      <c r="AR112" s="20" t="str">
        <f t="shared" si="116"/>
        <v>-</v>
      </c>
      <c r="AS112" s="13" t="str">
        <f t="shared" si="132"/>
        <v>-</v>
      </c>
      <c r="AT112" s="13" t="str">
        <f t="shared" si="133"/>
        <v>-</v>
      </c>
      <c r="AU112" s="13" t="str">
        <f t="shared" si="117"/>
        <v>-</v>
      </c>
      <c r="AV112" s="16" t="str">
        <f t="shared" si="134"/>
        <v>-</v>
      </c>
      <c r="AW112" s="16" t="str">
        <f t="shared" si="118"/>
        <v>-</v>
      </c>
      <c r="AX112" s="16" t="str">
        <f t="shared" si="119"/>
        <v>-</v>
      </c>
      <c r="AY112" s="16" t="str">
        <f t="shared" si="135"/>
        <v>-</v>
      </c>
      <c r="AZ112" s="13" t="str">
        <f t="shared" si="136"/>
        <v>-</v>
      </c>
      <c r="BA112" s="10" t="str">
        <f t="shared" si="137"/>
        <v>-</v>
      </c>
      <c r="BB112" s="9" t="str">
        <f t="shared" si="138"/>
        <v>-</v>
      </c>
      <c r="BC112" s="13" t="str">
        <f t="shared" si="139"/>
        <v>-</v>
      </c>
      <c r="BD112" s="10" t="str">
        <f t="shared" si="140"/>
        <v>-</v>
      </c>
      <c r="BE112" s="13" t="str">
        <f t="shared" si="141"/>
        <v>-</v>
      </c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</row>
    <row r="113" spans="2:70" x14ac:dyDescent="0.3">
      <c r="B113" s="96" t="str">
        <f t="shared" si="120"/>
        <v/>
      </c>
      <c r="C113" s="96" t="str">
        <f t="shared" si="121"/>
        <v/>
      </c>
      <c r="D113" s="96" t="str">
        <f t="shared" si="122"/>
        <v/>
      </c>
      <c r="E113" s="3"/>
      <c r="F113" s="3"/>
      <c r="G113" s="3"/>
      <c r="H113" s="3"/>
      <c r="I113" s="20">
        <f>IFERROR(INDEX('Input - US Food'!G$2:G$200,MATCH('Calculations - US Food'!$D113,'Input - US Food'!$B$2:$B$200,0)),"")</f>
        <v>0</v>
      </c>
      <c r="J113" s="20">
        <f>IFERROR(INDEX('Input - US Food'!H$2:H$200,MATCH('Calculations - US Food'!$D113,'Input - US Food'!$B$2:$B$200,0)),"")</f>
        <v>0</v>
      </c>
      <c r="K113" s="21">
        <f>IFERROR(INDEX('Input - US Food'!I$2:I$200,MATCH('Calculations - US Food'!$D113,'Input - US Food'!$B$2:$B$200,0)),"")</f>
        <v>0</v>
      </c>
      <c r="L113" s="21">
        <f>IFERROR(INDEX('Input - US Food'!J$2:J$200,MATCH('Calculations - US Food'!$D113,'Input - US Food'!$B$2:$B$200,0)),"")</f>
        <v>0</v>
      </c>
      <c r="M113" s="20">
        <f>IFERROR(INDEX('Input - US Food'!K$2:K$200,MATCH('Calculations - US Food'!$D113,'Input - US Food'!$B$2:$B$200,0)),"")</f>
        <v>6055363851.4215012</v>
      </c>
      <c r="N113" s="20">
        <f>IFERROR(INDEX('Input - US Food'!L$2:L$200,MATCH('Calculations - US Food'!$D113,'Input - US Food'!$B$2:$B$200,0)),"")</f>
        <v>1982155918.8720999</v>
      </c>
      <c r="O113" s="21" t="str">
        <f t="shared" si="123"/>
        <v/>
      </c>
      <c r="P113" s="21">
        <f t="shared" si="105"/>
        <v>3.0549382083257943</v>
      </c>
      <c r="Q113" s="21">
        <f t="shared" si="124"/>
        <v>0</v>
      </c>
      <c r="R113" s="9">
        <f t="shared" si="106"/>
        <v>0</v>
      </c>
      <c r="S113" s="9">
        <f t="shared" si="107"/>
        <v>0</v>
      </c>
      <c r="T113" s="22" t="str">
        <f>IFERROR(INDEX('US Food'!$S$11:$S$197,MATCH('Calculations - US Food'!$D113,'US Food'!$N$11:$N$197,0)),"")</f>
        <v/>
      </c>
      <c r="U113" s="22" t="str">
        <f>IFERROR(INDEX('US Food'!$T$11:$T$197,MATCH('Calculations - US Food'!$D113,'US Food'!$N$11:$N$197,0)),"")</f>
        <v/>
      </c>
      <c r="V113" s="16" t="e">
        <f t="shared" si="108"/>
        <v>#VALUE!</v>
      </c>
      <c r="W113" s="16" t="e">
        <f t="shared" si="125"/>
        <v>#VALUE!</v>
      </c>
      <c r="X113" s="16" t="e">
        <f t="shared" si="126"/>
        <v>#VALUE!</v>
      </c>
      <c r="Y113" s="10" t="str">
        <f t="shared" si="109"/>
        <v>-</v>
      </c>
      <c r="Z113" s="10" t="str">
        <f t="shared" si="110"/>
        <v>-</v>
      </c>
      <c r="AA113" s="13" t="str">
        <f t="shared" si="127"/>
        <v>-</v>
      </c>
      <c r="AB113" s="9" t="str">
        <f t="shared" si="111"/>
        <v>-</v>
      </c>
      <c r="AC113" s="16" t="str">
        <f t="shared" si="128"/>
        <v>-</v>
      </c>
      <c r="AD113" s="16" t="str">
        <f t="shared" si="112"/>
        <v>-</v>
      </c>
      <c r="AE113" s="16" t="str">
        <f t="shared" si="113"/>
        <v>-</v>
      </c>
      <c r="AF113" s="16" t="str">
        <f t="shared" si="129"/>
        <v>-</v>
      </c>
      <c r="AG113" s="16"/>
      <c r="AH113" s="32" t="str">
        <f>IFERROR(INDEX('US Food'!$R$11:$R$197,MATCH('Calculations - US Food'!D113,'US Food'!$N$11:$N$197,0)),"")</f>
        <v/>
      </c>
      <c r="AI113" s="23" t="str">
        <f t="shared" si="130"/>
        <v/>
      </c>
      <c r="AJ113" s="23" t="str">
        <f t="shared" si="131"/>
        <v/>
      </c>
      <c r="AK113" s="9" t="str">
        <f t="shared" si="114"/>
        <v/>
      </c>
      <c r="AL113" s="4" t="str">
        <f t="shared" si="115"/>
        <v/>
      </c>
      <c r="AM113" s="4"/>
      <c r="AN113" s="4"/>
      <c r="AO113" s="4"/>
      <c r="AP113" s="4"/>
      <c r="AQ113" s="4"/>
      <c r="AR113" s="20" t="str">
        <f t="shared" si="116"/>
        <v>-</v>
      </c>
      <c r="AS113" s="13" t="str">
        <f t="shared" si="132"/>
        <v>-</v>
      </c>
      <c r="AT113" s="13" t="str">
        <f t="shared" si="133"/>
        <v>-</v>
      </c>
      <c r="AU113" s="13" t="str">
        <f t="shared" si="117"/>
        <v>-</v>
      </c>
      <c r="AV113" s="16" t="str">
        <f t="shared" si="134"/>
        <v>-</v>
      </c>
      <c r="AW113" s="16" t="str">
        <f t="shared" si="118"/>
        <v>-</v>
      </c>
      <c r="AX113" s="16" t="str">
        <f t="shared" si="119"/>
        <v>-</v>
      </c>
      <c r="AY113" s="16" t="str">
        <f t="shared" si="135"/>
        <v>-</v>
      </c>
      <c r="AZ113" s="13" t="str">
        <f t="shared" si="136"/>
        <v>-</v>
      </c>
      <c r="BA113" s="10" t="str">
        <f t="shared" si="137"/>
        <v>-</v>
      </c>
      <c r="BB113" s="9" t="str">
        <f t="shared" si="138"/>
        <v>-</v>
      </c>
      <c r="BC113" s="13" t="str">
        <f t="shared" si="139"/>
        <v>-</v>
      </c>
      <c r="BD113" s="10" t="str">
        <f t="shared" si="140"/>
        <v>-</v>
      </c>
      <c r="BE113" s="13" t="str">
        <f t="shared" si="141"/>
        <v>-</v>
      </c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</row>
    <row r="114" spans="2:70" x14ac:dyDescent="0.3">
      <c r="B114" s="96" t="str">
        <f t="shared" si="120"/>
        <v/>
      </c>
      <c r="C114" s="96" t="str">
        <f t="shared" si="121"/>
        <v/>
      </c>
      <c r="D114" s="96" t="str">
        <f t="shared" si="122"/>
        <v/>
      </c>
      <c r="E114" s="3"/>
      <c r="F114" s="3"/>
      <c r="G114" s="3"/>
      <c r="H114" s="3"/>
      <c r="I114" s="20">
        <f>IFERROR(INDEX('Input - US Food'!G$2:G$200,MATCH('Calculations - US Food'!$D114,'Input - US Food'!$B$2:$B$200,0)),"")</f>
        <v>0</v>
      </c>
      <c r="J114" s="20">
        <f>IFERROR(INDEX('Input - US Food'!H$2:H$200,MATCH('Calculations - US Food'!$D114,'Input - US Food'!$B$2:$B$200,0)),"")</f>
        <v>0</v>
      </c>
      <c r="K114" s="21">
        <f>IFERROR(INDEX('Input - US Food'!I$2:I$200,MATCH('Calculations - US Food'!$D114,'Input - US Food'!$B$2:$B$200,0)),"")</f>
        <v>0</v>
      </c>
      <c r="L114" s="21">
        <f>IFERROR(INDEX('Input - US Food'!J$2:J$200,MATCH('Calculations - US Food'!$D114,'Input - US Food'!$B$2:$B$200,0)),"")</f>
        <v>0</v>
      </c>
      <c r="M114" s="20">
        <f>IFERROR(INDEX('Input - US Food'!K$2:K$200,MATCH('Calculations - US Food'!$D114,'Input - US Food'!$B$2:$B$200,0)),"")</f>
        <v>6055363851.4215012</v>
      </c>
      <c r="N114" s="20">
        <f>IFERROR(INDEX('Input - US Food'!L$2:L$200,MATCH('Calculations - US Food'!$D114,'Input - US Food'!$B$2:$B$200,0)),"")</f>
        <v>1982155918.8720999</v>
      </c>
      <c r="O114" s="21" t="str">
        <f t="shared" si="123"/>
        <v/>
      </c>
      <c r="P114" s="21">
        <f t="shared" si="105"/>
        <v>3.0549382083257943</v>
      </c>
      <c r="Q114" s="21">
        <f t="shared" si="124"/>
        <v>0</v>
      </c>
      <c r="R114" s="9">
        <f t="shared" si="106"/>
        <v>0</v>
      </c>
      <c r="S114" s="9">
        <f t="shared" si="107"/>
        <v>0</v>
      </c>
      <c r="T114" s="22" t="str">
        <f>IFERROR(INDEX('US Food'!$S$11:$S$197,MATCH('Calculations - US Food'!$D114,'US Food'!$N$11:$N$197,0)),"")</f>
        <v/>
      </c>
      <c r="U114" s="22" t="str">
        <f>IFERROR(INDEX('US Food'!$T$11:$T$197,MATCH('Calculations - US Food'!$D114,'US Food'!$N$11:$N$197,0)),"")</f>
        <v/>
      </c>
      <c r="V114" s="16" t="e">
        <f t="shared" si="108"/>
        <v>#VALUE!</v>
      </c>
      <c r="W114" s="16" t="e">
        <f t="shared" si="125"/>
        <v>#VALUE!</v>
      </c>
      <c r="X114" s="16" t="e">
        <f t="shared" si="126"/>
        <v>#VALUE!</v>
      </c>
      <c r="Y114" s="10" t="str">
        <f t="shared" si="109"/>
        <v>-</v>
      </c>
      <c r="Z114" s="10" t="str">
        <f t="shared" si="110"/>
        <v>-</v>
      </c>
      <c r="AA114" s="13" t="str">
        <f t="shared" si="127"/>
        <v>-</v>
      </c>
      <c r="AB114" s="9" t="str">
        <f t="shared" si="111"/>
        <v>-</v>
      </c>
      <c r="AC114" s="16" t="str">
        <f t="shared" si="128"/>
        <v>-</v>
      </c>
      <c r="AD114" s="16" t="str">
        <f t="shared" si="112"/>
        <v>-</v>
      </c>
      <c r="AE114" s="16" t="str">
        <f t="shared" si="113"/>
        <v>-</v>
      </c>
      <c r="AF114" s="16" t="str">
        <f t="shared" si="129"/>
        <v>-</v>
      </c>
      <c r="AG114" s="16"/>
      <c r="AH114" s="32" t="str">
        <f>IFERROR(INDEX('US Food'!$R$11:$R$197,MATCH('Calculations - US Food'!D114,'US Food'!$N$11:$N$197,0)),"")</f>
        <v/>
      </c>
      <c r="AI114" s="23" t="str">
        <f t="shared" si="130"/>
        <v/>
      </c>
      <c r="AJ114" s="23" t="str">
        <f t="shared" si="131"/>
        <v/>
      </c>
      <c r="AK114" s="9" t="str">
        <f t="shared" si="114"/>
        <v/>
      </c>
      <c r="AL114" s="4" t="str">
        <f t="shared" si="115"/>
        <v/>
      </c>
      <c r="AM114" s="4"/>
      <c r="AN114" s="4"/>
      <c r="AO114" s="4"/>
      <c r="AP114" s="4"/>
      <c r="AQ114" s="4"/>
      <c r="AR114" s="20" t="str">
        <f t="shared" si="116"/>
        <v>-</v>
      </c>
      <c r="AS114" s="13" t="str">
        <f t="shared" si="132"/>
        <v>-</v>
      </c>
      <c r="AT114" s="13" t="str">
        <f t="shared" si="133"/>
        <v>-</v>
      </c>
      <c r="AU114" s="13" t="str">
        <f t="shared" si="117"/>
        <v>-</v>
      </c>
      <c r="AV114" s="16" t="str">
        <f t="shared" si="134"/>
        <v>-</v>
      </c>
      <c r="AW114" s="16" t="str">
        <f t="shared" si="118"/>
        <v>-</v>
      </c>
      <c r="AX114" s="16" t="str">
        <f t="shared" si="119"/>
        <v>-</v>
      </c>
      <c r="AY114" s="16" t="str">
        <f t="shared" si="135"/>
        <v>-</v>
      </c>
      <c r="AZ114" s="13" t="str">
        <f t="shared" si="136"/>
        <v>-</v>
      </c>
      <c r="BA114" s="10" t="str">
        <f t="shared" si="137"/>
        <v>-</v>
      </c>
      <c r="BB114" s="9" t="str">
        <f t="shared" si="138"/>
        <v>-</v>
      </c>
      <c r="BC114" s="13" t="str">
        <f t="shared" si="139"/>
        <v>-</v>
      </c>
      <c r="BD114" s="10" t="str">
        <f t="shared" si="140"/>
        <v>-</v>
      </c>
      <c r="BE114" s="13" t="str">
        <f t="shared" si="141"/>
        <v>-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</row>
    <row r="115" spans="2:70" x14ac:dyDescent="0.3">
      <c r="B115" s="96" t="str">
        <f t="shared" si="120"/>
        <v/>
      </c>
      <c r="C115" s="96" t="str">
        <f t="shared" si="121"/>
        <v/>
      </c>
      <c r="D115" s="96" t="str">
        <f t="shared" si="122"/>
        <v/>
      </c>
      <c r="E115" s="3"/>
      <c r="F115" s="3"/>
      <c r="G115" s="3"/>
      <c r="H115" s="3"/>
      <c r="I115" s="20">
        <f>IFERROR(INDEX('Input - US Food'!G$2:G$200,MATCH('Calculations - US Food'!$D115,'Input - US Food'!$B$2:$B$200,0)),"")</f>
        <v>0</v>
      </c>
      <c r="J115" s="20">
        <f>IFERROR(INDEX('Input - US Food'!H$2:H$200,MATCH('Calculations - US Food'!$D115,'Input - US Food'!$B$2:$B$200,0)),"")</f>
        <v>0</v>
      </c>
      <c r="K115" s="21">
        <f>IFERROR(INDEX('Input - US Food'!I$2:I$200,MATCH('Calculations - US Food'!$D115,'Input - US Food'!$B$2:$B$200,0)),"")</f>
        <v>0</v>
      </c>
      <c r="L115" s="21">
        <f>IFERROR(INDEX('Input - US Food'!J$2:J$200,MATCH('Calculations - US Food'!$D115,'Input - US Food'!$B$2:$B$200,0)),"")</f>
        <v>0</v>
      </c>
      <c r="M115" s="20">
        <f>IFERROR(INDEX('Input - US Food'!K$2:K$200,MATCH('Calculations - US Food'!$D115,'Input - US Food'!$B$2:$B$200,0)),"")</f>
        <v>6055363851.4215012</v>
      </c>
      <c r="N115" s="20">
        <f>IFERROR(INDEX('Input - US Food'!L$2:L$200,MATCH('Calculations - US Food'!$D115,'Input - US Food'!$B$2:$B$200,0)),"")</f>
        <v>1982155918.8720999</v>
      </c>
      <c r="O115" s="21" t="str">
        <f t="shared" si="123"/>
        <v/>
      </c>
      <c r="P115" s="21">
        <f t="shared" si="105"/>
        <v>3.0549382083257943</v>
      </c>
      <c r="Q115" s="21">
        <f t="shared" si="124"/>
        <v>0</v>
      </c>
      <c r="R115" s="9">
        <f t="shared" si="106"/>
        <v>0</v>
      </c>
      <c r="S115" s="9">
        <f t="shared" si="107"/>
        <v>0</v>
      </c>
      <c r="T115" s="22" t="str">
        <f>IFERROR(INDEX('US Food'!$S$11:$S$197,MATCH('Calculations - US Food'!$D115,'US Food'!$N$11:$N$197,0)),"")</f>
        <v/>
      </c>
      <c r="U115" s="22" t="str">
        <f>IFERROR(INDEX('US Food'!$T$11:$T$197,MATCH('Calculations - US Food'!$D115,'US Food'!$N$11:$N$197,0)),"")</f>
        <v/>
      </c>
      <c r="V115" s="16" t="e">
        <f t="shared" si="108"/>
        <v>#VALUE!</v>
      </c>
      <c r="W115" s="16" t="e">
        <f t="shared" si="125"/>
        <v>#VALUE!</v>
      </c>
      <c r="X115" s="16" t="e">
        <f t="shared" si="126"/>
        <v>#VALUE!</v>
      </c>
      <c r="Y115" s="10" t="str">
        <f t="shared" si="109"/>
        <v>-</v>
      </c>
      <c r="Z115" s="10" t="str">
        <f t="shared" si="110"/>
        <v>-</v>
      </c>
      <c r="AA115" s="13" t="str">
        <f t="shared" si="127"/>
        <v>-</v>
      </c>
      <c r="AB115" s="9" t="str">
        <f t="shared" si="111"/>
        <v>-</v>
      </c>
      <c r="AC115" s="16" t="str">
        <f t="shared" si="128"/>
        <v>-</v>
      </c>
      <c r="AD115" s="16" t="str">
        <f t="shared" si="112"/>
        <v>-</v>
      </c>
      <c r="AE115" s="16" t="str">
        <f t="shared" si="113"/>
        <v>-</v>
      </c>
      <c r="AF115" s="16" t="str">
        <f t="shared" si="129"/>
        <v>-</v>
      </c>
      <c r="AG115" s="16"/>
      <c r="AH115" s="32" t="str">
        <f>IFERROR(INDEX('US Food'!$R$11:$R$197,MATCH('Calculations - US Food'!D115,'US Food'!$N$11:$N$197,0)),"")</f>
        <v/>
      </c>
      <c r="AI115" s="23" t="str">
        <f t="shared" si="130"/>
        <v/>
      </c>
      <c r="AJ115" s="23" t="str">
        <f t="shared" si="131"/>
        <v/>
      </c>
      <c r="AK115" s="9" t="str">
        <f t="shared" si="114"/>
        <v/>
      </c>
      <c r="AL115" s="4" t="str">
        <f t="shared" si="115"/>
        <v/>
      </c>
      <c r="AM115" s="4"/>
      <c r="AN115" s="4"/>
      <c r="AO115" s="4"/>
      <c r="AP115" s="4"/>
      <c r="AQ115" s="4"/>
      <c r="AR115" s="20" t="str">
        <f t="shared" si="116"/>
        <v>-</v>
      </c>
      <c r="AS115" s="13" t="str">
        <f t="shared" si="132"/>
        <v>-</v>
      </c>
      <c r="AT115" s="13" t="str">
        <f t="shared" si="133"/>
        <v>-</v>
      </c>
      <c r="AU115" s="13" t="str">
        <f t="shared" si="117"/>
        <v>-</v>
      </c>
      <c r="AV115" s="16" t="str">
        <f t="shared" si="134"/>
        <v>-</v>
      </c>
      <c r="AW115" s="16" t="str">
        <f t="shared" si="118"/>
        <v>-</v>
      </c>
      <c r="AX115" s="16" t="str">
        <f t="shared" si="119"/>
        <v>-</v>
      </c>
      <c r="AY115" s="16" t="str">
        <f t="shared" si="135"/>
        <v>-</v>
      </c>
      <c r="AZ115" s="13" t="str">
        <f t="shared" si="136"/>
        <v>-</v>
      </c>
      <c r="BA115" s="10" t="str">
        <f t="shared" si="137"/>
        <v>-</v>
      </c>
      <c r="BB115" s="9" t="str">
        <f t="shared" si="138"/>
        <v>-</v>
      </c>
      <c r="BC115" s="13" t="str">
        <f t="shared" si="139"/>
        <v>-</v>
      </c>
      <c r="BD115" s="10" t="str">
        <f t="shared" si="140"/>
        <v>-</v>
      </c>
      <c r="BE115" s="13" t="str">
        <f t="shared" si="141"/>
        <v>-</v>
      </c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</row>
    <row r="116" spans="2:70" x14ac:dyDescent="0.3">
      <c r="B116" s="96" t="str">
        <f t="shared" si="120"/>
        <v/>
      </c>
      <c r="C116" s="96" t="str">
        <f t="shared" si="121"/>
        <v/>
      </c>
      <c r="D116" s="96" t="str">
        <f t="shared" si="122"/>
        <v/>
      </c>
      <c r="E116" s="3"/>
      <c r="F116" s="3"/>
      <c r="G116" s="3"/>
      <c r="H116" s="3"/>
      <c r="I116" s="20">
        <f>IFERROR(INDEX('Input - US Food'!G$2:G$200,MATCH('Calculations - US Food'!$D116,'Input - US Food'!$B$2:$B$200,0)),"")</f>
        <v>0</v>
      </c>
      <c r="J116" s="20">
        <f>IFERROR(INDEX('Input - US Food'!H$2:H$200,MATCH('Calculations - US Food'!$D116,'Input - US Food'!$B$2:$B$200,0)),"")</f>
        <v>0</v>
      </c>
      <c r="K116" s="21">
        <f>IFERROR(INDEX('Input - US Food'!I$2:I$200,MATCH('Calculations - US Food'!$D116,'Input - US Food'!$B$2:$B$200,0)),"")</f>
        <v>0</v>
      </c>
      <c r="L116" s="21">
        <f>IFERROR(INDEX('Input - US Food'!J$2:J$200,MATCH('Calculations - US Food'!$D116,'Input - US Food'!$B$2:$B$200,0)),"")</f>
        <v>0</v>
      </c>
      <c r="M116" s="20">
        <f>IFERROR(INDEX('Input - US Food'!K$2:K$200,MATCH('Calculations - US Food'!$D116,'Input - US Food'!$B$2:$B$200,0)),"")</f>
        <v>6055363851.4215012</v>
      </c>
      <c r="N116" s="20">
        <f>IFERROR(INDEX('Input - US Food'!L$2:L$200,MATCH('Calculations - US Food'!$D116,'Input - US Food'!$B$2:$B$200,0)),"")</f>
        <v>1982155918.8720999</v>
      </c>
      <c r="O116" s="21" t="str">
        <f t="shared" si="123"/>
        <v/>
      </c>
      <c r="P116" s="21">
        <f t="shared" si="105"/>
        <v>3.0549382083257943</v>
      </c>
      <c r="Q116" s="21">
        <f t="shared" si="124"/>
        <v>0</v>
      </c>
      <c r="R116" s="9">
        <f t="shared" si="106"/>
        <v>0</v>
      </c>
      <c r="S116" s="9">
        <f t="shared" si="107"/>
        <v>0</v>
      </c>
      <c r="T116" s="22" t="str">
        <f>IFERROR(INDEX('US Food'!$S$11:$S$197,MATCH('Calculations - US Food'!$D116,'US Food'!$N$11:$N$197,0)),"")</f>
        <v/>
      </c>
      <c r="U116" s="22" t="str">
        <f>IFERROR(INDEX('US Food'!$T$11:$T$197,MATCH('Calculations - US Food'!$D116,'US Food'!$N$11:$N$197,0)),"")</f>
        <v/>
      </c>
      <c r="V116" s="16" t="e">
        <f t="shared" si="108"/>
        <v>#VALUE!</v>
      </c>
      <c r="W116" s="16" t="e">
        <f t="shared" si="125"/>
        <v>#VALUE!</v>
      </c>
      <c r="X116" s="16" t="e">
        <f t="shared" si="126"/>
        <v>#VALUE!</v>
      </c>
      <c r="Y116" s="10" t="str">
        <f t="shared" si="109"/>
        <v>-</v>
      </c>
      <c r="Z116" s="10" t="str">
        <f t="shared" si="110"/>
        <v>-</v>
      </c>
      <c r="AA116" s="13" t="str">
        <f t="shared" si="127"/>
        <v>-</v>
      </c>
      <c r="AB116" s="9" t="str">
        <f t="shared" si="111"/>
        <v>-</v>
      </c>
      <c r="AC116" s="16" t="str">
        <f t="shared" si="128"/>
        <v>-</v>
      </c>
      <c r="AD116" s="16" t="str">
        <f t="shared" si="112"/>
        <v>-</v>
      </c>
      <c r="AE116" s="16" t="str">
        <f t="shared" si="113"/>
        <v>-</v>
      </c>
      <c r="AF116" s="16" t="str">
        <f t="shared" si="129"/>
        <v>-</v>
      </c>
      <c r="AG116" s="16"/>
      <c r="AH116" s="32" t="str">
        <f>IFERROR(INDEX('US Food'!$R$11:$R$197,MATCH('Calculations - US Food'!D116,'US Food'!$N$11:$N$197,0)),"")</f>
        <v/>
      </c>
      <c r="AI116" s="23" t="str">
        <f t="shared" si="130"/>
        <v/>
      </c>
      <c r="AJ116" s="23" t="str">
        <f t="shared" si="131"/>
        <v/>
      </c>
      <c r="AK116" s="9" t="str">
        <f t="shared" si="114"/>
        <v/>
      </c>
      <c r="AL116" s="4" t="str">
        <f t="shared" si="115"/>
        <v/>
      </c>
      <c r="AM116" s="4"/>
      <c r="AN116" s="4"/>
      <c r="AO116" s="4"/>
      <c r="AP116" s="4"/>
      <c r="AQ116" s="4"/>
      <c r="AR116" s="20" t="str">
        <f t="shared" si="116"/>
        <v>-</v>
      </c>
      <c r="AS116" s="13" t="str">
        <f t="shared" si="132"/>
        <v>-</v>
      </c>
      <c r="AT116" s="13" t="str">
        <f t="shared" si="133"/>
        <v>-</v>
      </c>
      <c r="AU116" s="13" t="str">
        <f t="shared" si="117"/>
        <v>-</v>
      </c>
      <c r="AV116" s="16" t="str">
        <f t="shared" si="134"/>
        <v>-</v>
      </c>
      <c r="AW116" s="16" t="str">
        <f t="shared" si="118"/>
        <v>-</v>
      </c>
      <c r="AX116" s="16" t="str">
        <f t="shared" si="119"/>
        <v>-</v>
      </c>
      <c r="AY116" s="16" t="str">
        <f t="shared" si="135"/>
        <v>-</v>
      </c>
      <c r="AZ116" s="13" t="str">
        <f t="shared" si="136"/>
        <v>-</v>
      </c>
      <c r="BA116" s="10" t="str">
        <f t="shared" si="137"/>
        <v>-</v>
      </c>
      <c r="BB116" s="9" t="str">
        <f t="shared" si="138"/>
        <v>-</v>
      </c>
      <c r="BC116" s="13" t="str">
        <f t="shared" si="139"/>
        <v>-</v>
      </c>
      <c r="BD116" s="10" t="str">
        <f t="shared" si="140"/>
        <v>-</v>
      </c>
      <c r="BE116" s="13" t="str">
        <f t="shared" si="141"/>
        <v>-</v>
      </c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</row>
    <row r="117" spans="2:70" x14ac:dyDescent="0.3">
      <c r="B117" s="96" t="str">
        <f t="shared" si="120"/>
        <v/>
      </c>
      <c r="C117" s="96" t="str">
        <f t="shared" si="121"/>
        <v/>
      </c>
      <c r="D117" s="96" t="str">
        <f t="shared" si="122"/>
        <v/>
      </c>
      <c r="E117" s="3"/>
      <c r="F117" s="3"/>
      <c r="G117" s="3"/>
      <c r="H117" s="3"/>
      <c r="I117" s="20">
        <f>IFERROR(INDEX('Input - US Food'!G$2:G$200,MATCH('Calculations - US Food'!$D117,'Input - US Food'!$B$2:$B$200,0)),"")</f>
        <v>0</v>
      </c>
      <c r="J117" s="20">
        <f>IFERROR(INDEX('Input - US Food'!H$2:H$200,MATCH('Calculations - US Food'!$D117,'Input - US Food'!$B$2:$B$200,0)),"")</f>
        <v>0</v>
      </c>
      <c r="K117" s="21">
        <f>IFERROR(INDEX('Input - US Food'!I$2:I$200,MATCH('Calculations - US Food'!$D117,'Input - US Food'!$B$2:$B$200,0)),"")</f>
        <v>0</v>
      </c>
      <c r="L117" s="21">
        <f>IFERROR(INDEX('Input - US Food'!J$2:J$200,MATCH('Calculations - US Food'!$D117,'Input - US Food'!$B$2:$B$200,0)),"")</f>
        <v>0</v>
      </c>
      <c r="M117" s="20">
        <f>IFERROR(INDEX('Input - US Food'!K$2:K$200,MATCH('Calculations - US Food'!$D117,'Input - US Food'!$B$2:$B$200,0)),"")</f>
        <v>6055363851.4215012</v>
      </c>
      <c r="N117" s="20">
        <f>IFERROR(INDEX('Input - US Food'!L$2:L$200,MATCH('Calculations - US Food'!$D117,'Input - US Food'!$B$2:$B$200,0)),"")</f>
        <v>1982155918.8720999</v>
      </c>
      <c r="O117" s="21" t="str">
        <f t="shared" si="123"/>
        <v/>
      </c>
      <c r="P117" s="21">
        <f t="shared" si="105"/>
        <v>3.0549382083257943</v>
      </c>
      <c r="Q117" s="21">
        <f t="shared" si="124"/>
        <v>0</v>
      </c>
      <c r="R117" s="9">
        <f t="shared" si="106"/>
        <v>0</v>
      </c>
      <c r="S117" s="9">
        <f t="shared" si="107"/>
        <v>0</v>
      </c>
      <c r="T117" s="22" t="str">
        <f>IFERROR(INDEX('US Food'!$S$11:$S$197,MATCH('Calculations - US Food'!$D117,'US Food'!$N$11:$N$197,0)),"")</f>
        <v/>
      </c>
      <c r="U117" s="22" t="str">
        <f>IFERROR(INDEX('US Food'!$T$11:$T$197,MATCH('Calculations - US Food'!$D117,'US Food'!$N$11:$N$197,0)),"")</f>
        <v/>
      </c>
      <c r="V117" s="16" t="e">
        <f t="shared" si="108"/>
        <v>#VALUE!</v>
      </c>
      <c r="W117" s="16" t="e">
        <f t="shared" si="125"/>
        <v>#VALUE!</v>
      </c>
      <c r="X117" s="16" t="e">
        <f t="shared" si="126"/>
        <v>#VALUE!</v>
      </c>
      <c r="Y117" s="10" t="str">
        <f t="shared" si="109"/>
        <v>-</v>
      </c>
      <c r="Z117" s="10" t="str">
        <f t="shared" si="110"/>
        <v>-</v>
      </c>
      <c r="AA117" s="13" t="str">
        <f t="shared" si="127"/>
        <v>-</v>
      </c>
      <c r="AB117" s="9" t="str">
        <f t="shared" si="111"/>
        <v>-</v>
      </c>
      <c r="AC117" s="16" t="str">
        <f t="shared" si="128"/>
        <v>-</v>
      </c>
      <c r="AD117" s="16" t="str">
        <f t="shared" si="112"/>
        <v>-</v>
      </c>
      <c r="AE117" s="16" t="str">
        <f t="shared" si="113"/>
        <v>-</v>
      </c>
      <c r="AF117" s="16" t="str">
        <f t="shared" si="129"/>
        <v>-</v>
      </c>
      <c r="AG117" s="16"/>
      <c r="AH117" s="32" t="str">
        <f>IFERROR(INDEX('US Food'!$R$11:$R$197,MATCH('Calculations - US Food'!D117,'US Food'!$N$11:$N$197,0)),"")</f>
        <v/>
      </c>
      <c r="AI117" s="23" t="str">
        <f t="shared" si="130"/>
        <v/>
      </c>
      <c r="AJ117" s="23" t="str">
        <f t="shared" si="131"/>
        <v/>
      </c>
      <c r="AK117" s="9" t="str">
        <f t="shared" si="114"/>
        <v/>
      </c>
      <c r="AL117" s="4" t="str">
        <f t="shared" si="115"/>
        <v/>
      </c>
      <c r="AM117" s="4"/>
      <c r="AN117" s="4"/>
      <c r="AO117" s="4"/>
      <c r="AP117" s="4"/>
      <c r="AQ117" s="4"/>
      <c r="AR117" s="20" t="str">
        <f t="shared" si="116"/>
        <v>-</v>
      </c>
      <c r="AS117" s="13" t="str">
        <f t="shared" si="132"/>
        <v>-</v>
      </c>
      <c r="AT117" s="13" t="str">
        <f t="shared" si="133"/>
        <v>-</v>
      </c>
      <c r="AU117" s="13" t="str">
        <f t="shared" si="117"/>
        <v>-</v>
      </c>
      <c r="AV117" s="16" t="str">
        <f t="shared" si="134"/>
        <v>-</v>
      </c>
      <c r="AW117" s="16" t="str">
        <f t="shared" si="118"/>
        <v>-</v>
      </c>
      <c r="AX117" s="16" t="str">
        <f t="shared" si="119"/>
        <v>-</v>
      </c>
      <c r="AY117" s="16" t="str">
        <f t="shared" si="135"/>
        <v>-</v>
      </c>
      <c r="AZ117" s="13" t="str">
        <f t="shared" si="136"/>
        <v>-</v>
      </c>
      <c r="BA117" s="10" t="str">
        <f t="shared" si="137"/>
        <v>-</v>
      </c>
      <c r="BB117" s="9" t="str">
        <f t="shared" si="138"/>
        <v>-</v>
      </c>
      <c r="BC117" s="13" t="str">
        <f t="shared" si="139"/>
        <v>-</v>
      </c>
      <c r="BD117" s="10" t="str">
        <f t="shared" si="140"/>
        <v>-</v>
      </c>
      <c r="BE117" s="13" t="str">
        <f t="shared" si="141"/>
        <v>-</v>
      </c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</row>
    <row r="118" spans="2:70" x14ac:dyDescent="0.3">
      <c r="B118" s="96" t="str">
        <f t="shared" si="120"/>
        <v/>
      </c>
      <c r="C118" s="96" t="str">
        <f t="shared" si="121"/>
        <v/>
      </c>
      <c r="D118" s="96" t="str">
        <f t="shared" si="122"/>
        <v/>
      </c>
      <c r="E118" s="3"/>
      <c r="F118" s="3"/>
      <c r="G118" s="3"/>
      <c r="H118" s="3"/>
      <c r="I118" s="20">
        <f>IFERROR(INDEX('Input - US Food'!G$2:G$200,MATCH('Calculations - US Food'!$D118,'Input - US Food'!$B$2:$B$200,0)),"")</f>
        <v>0</v>
      </c>
      <c r="J118" s="20">
        <f>IFERROR(INDEX('Input - US Food'!H$2:H$200,MATCH('Calculations - US Food'!$D118,'Input - US Food'!$B$2:$B$200,0)),"")</f>
        <v>0</v>
      </c>
      <c r="K118" s="21">
        <f>IFERROR(INDEX('Input - US Food'!I$2:I$200,MATCH('Calculations - US Food'!$D118,'Input - US Food'!$B$2:$B$200,0)),"")</f>
        <v>0</v>
      </c>
      <c r="L118" s="21">
        <f>IFERROR(INDEX('Input - US Food'!J$2:J$200,MATCH('Calculations - US Food'!$D118,'Input - US Food'!$B$2:$B$200,0)),"")</f>
        <v>0</v>
      </c>
      <c r="M118" s="20">
        <f>IFERROR(INDEX('Input - US Food'!K$2:K$200,MATCH('Calculations - US Food'!$D118,'Input - US Food'!$B$2:$B$200,0)),"")</f>
        <v>6055363851.4215012</v>
      </c>
      <c r="N118" s="20">
        <f>IFERROR(INDEX('Input - US Food'!L$2:L$200,MATCH('Calculations - US Food'!$D118,'Input - US Food'!$B$2:$B$200,0)),"")</f>
        <v>1982155918.8720999</v>
      </c>
      <c r="O118" s="21" t="str">
        <f t="shared" si="123"/>
        <v/>
      </c>
      <c r="P118" s="21">
        <f t="shared" si="105"/>
        <v>3.0549382083257943</v>
      </c>
      <c r="Q118" s="21">
        <f t="shared" si="124"/>
        <v>0</v>
      </c>
      <c r="R118" s="9">
        <f t="shared" si="106"/>
        <v>0</v>
      </c>
      <c r="S118" s="9">
        <f t="shared" si="107"/>
        <v>0</v>
      </c>
      <c r="T118" s="22" t="str">
        <f>IFERROR(INDEX('US Food'!$S$11:$S$197,MATCH('Calculations - US Food'!$D118,'US Food'!$N$11:$N$197,0)),"")</f>
        <v/>
      </c>
      <c r="U118" s="22" t="str">
        <f>IFERROR(INDEX('US Food'!$T$11:$T$197,MATCH('Calculations - US Food'!$D118,'US Food'!$N$11:$N$197,0)),"")</f>
        <v/>
      </c>
      <c r="V118" s="16" t="e">
        <f t="shared" si="108"/>
        <v>#VALUE!</v>
      </c>
      <c r="W118" s="16" t="e">
        <f t="shared" si="125"/>
        <v>#VALUE!</v>
      </c>
      <c r="X118" s="16" t="e">
        <f t="shared" si="126"/>
        <v>#VALUE!</v>
      </c>
      <c r="Y118" s="10" t="str">
        <f t="shared" si="109"/>
        <v>-</v>
      </c>
      <c r="Z118" s="10" t="str">
        <f t="shared" si="110"/>
        <v>-</v>
      </c>
      <c r="AA118" s="13" t="str">
        <f t="shared" si="127"/>
        <v>-</v>
      </c>
      <c r="AB118" s="9" t="str">
        <f t="shared" si="111"/>
        <v>-</v>
      </c>
      <c r="AC118" s="16" t="str">
        <f t="shared" si="128"/>
        <v>-</v>
      </c>
      <c r="AD118" s="16" t="str">
        <f t="shared" si="112"/>
        <v>-</v>
      </c>
      <c r="AE118" s="16" t="str">
        <f t="shared" si="113"/>
        <v>-</v>
      </c>
      <c r="AF118" s="16" t="str">
        <f t="shared" si="129"/>
        <v>-</v>
      </c>
      <c r="AG118" s="16"/>
      <c r="AH118" s="32" t="str">
        <f>IFERROR(INDEX('US Food'!$R$11:$R$197,MATCH('Calculations - US Food'!D118,'US Food'!$N$11:$N$197,0)),"")</f>
        <v/>
      </c>
      <c r="AI118" s="23" t="str">
        <f t="shared" si="130"/>
        <v/>
      </c>
      <c r="AJ118" s="23" t="str">
        <f t="shared" si="131"/>
        <v/>
      </c>
      <c r="AK118" s="9" t="str">
        <f t="shared" si="114"/>
        <v/>
      </c>
      <c r="AL118" s="4" t="str">
        <f t="shared" si="115"/>
        <v/>
      </c>
      <c r="AM118" s="4"/>
      <c r="AN118" s="4"/>
      <c r="AO118" s="4"/>
      <c r="AP118" s="4"/>
      <c r="AQ118" s="4"/>
      <c r="AR118" s="20" t="str">
        <f t="shared" si="116"/>
        <v>-</v>
      </c>
      <c r="AS118" s="13" t="str">
        <f t="shared" si="132"/>
        <v>-</v>
      </c>
      <c r="AT118" s="13" t="str">
        <f t="shared" si="133"/>
        <v>-</v>
      </c>
      <c r="AU118" s="13" t="str">
        <f t="shared" si="117"/>
        <v>-</v>
      </c>
      <c r="AV118" s="16" t="str">
        <f t="shared" si="134"/>
        <v>-</v>
      </c>
      <c r="AW118" s="16" t="str">
        <f t="shared" si="118"/>
        <v>-</v>
      </c>
      <c r="AX118" s="16" t="str">
        <f t="shared" si="119"/>
        <v>-</v>
      </c>
      <c r="AY118" s="16" t="str">
        <f t="shared" si="135"/>
        <v>-</v>
      </c>
      <c r="AZ118" s="13" t="str">
        <f t="shared" si="136"/>
        <v>-</v>
      </c>
      <c r="BA118" s="10" t="str">
        <f t="shared" si="137"/>
        <v>-</v>
      </c>
      <c r="BB118" s="9" t="str">
        <f t="shared" si="138"/>
        <v>-</v>
      </c>
      <c r="BC118" s="13" t="str">
        <f t="shared" si="139"/>
        <v>-</v>
      </c>
      <c r="BD118" s="10" t="str">
        <f t="shared" si="140"/>
        <v>-</v>
      </c>
      <c r="BE118" s="13" t="str">
        <f t="shared" si="141"/>
        <v>-</v>
      </c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</row>
    <row r="119" spans="2:70" x14ac:dyDescent="0.3">
      <c r="B119" s="96" t="str">
        <f t="shared" si="120"/>
        <v/>
      </c>
      <c r="C119" s="96" t="str">
        <f t="shared" si="121"/>
        <v/>
      </c>
      <c r="D119" s="96" t="str">
        <f t="shared" si="122"/>
        <v/>
      </c>
      <c r="E119" s="3"/>
      <c r="F119" s="3"/>
      <c r="G119" s="3"/>
      <c r="H119" s="3"/>
      <c r="I119" s="20">
        <f>IFERROR(INDEX('Input - US Food'!G$2:G$200,MATCH('Calculations - US Food'!$D119,'Input - US Food'!$B$2:$B$200,0)),"")</f>
        <v>0</v>
      </c>
      <c r="J119" s="20">
        <f>IFERROR(INDEX('Input - US Food'!H$2:H$200,MATCH('Calculations - US Food'!$D119,'Input - US Food'!$B$2:$B$200,0)),"")</f>
        <v>0</v>
      </c>
      <c r="K119" s="21">
        <f>IFERROR(INDEX('Input - US Food'!I$2:I$200,MATCH('Calculations - US Food'!$D119,'Input - US Food'!$B$2:$B$200,0)),"")</f>
        <v>0</v>
      </c>
      <c r="L119" s="21">
        <f>IFERROR(INDEX('Input - US Food'!J$2:J$200,MATCH('Calculations - US Food'!$D119,'Input - US Food'!$B$2:$B$200,0)),"")</f>
        <v>0</v>
      </c>
      <c r="M119" s="20">
        <f>IFERROR(INDEX('Input - US Food'!K$2:K$200,MATCH('Calculations - US Food'!$D119,'Input - US Food'!$B$2:$B$200,0)),"")</f>
        <v>6055363851.4215012</v>
      </c>
      <c r="N119" s="20">
        <f>IFERROR(INDEX('Input - US Food'!L$2:L$200,MATCH('Calculations - US Food'!$D119,'Input - US Food'!$B$2:$B$200,0)),"")</f>
        <v>1982155918.8720999</v>
      </c>
      <c r="O119" s="21" t="str">
        <f t="shared" si="123"/>
        <v/>
      </c>
      <c r="P119" s="21">
        <f t="shared" si="105"/>
        <v>3.0549382083257943</v>
      </c>
      <c r="Q119" s="21">
        <f t="shared" si="124"/>
        <v>0</v>
      </c>
      <c r="R119" s="9">
        <f t="shared" si="106"/>
        <v>0</v>
      </c>
      <c r="S119" s="9">
        <f t="shared" si="107"/>
        <v>0</v>
      </c>
      <c r="T119" s="22" t="str">
        <f>IFERROR(INDEX('US Food'!$S$11:$S$197,MATCH('Calculations - US Food'!$D119,'US Food'!$N$11:$N$197,0)),"")</f>
        <v/>
      </c>
      <c r="U119" s="22" t="str">
        <f>IFERROR(INDEX('US Food'!$T$11:$T$197,MATCH('Calculations - US Food'!$D119,'US Food'!$N$11:$N$197,0)),"")</f>
        <v/>
      </c>
      <c r="V119" s="16" t="e">
        <f t="shared" si="108"/>
        <v>#VALUE!</v>
      </c>
      <c r="W119" s="16" t="e">
        <f t="shared" si="125"/>
        <v>#VALUE!</v>
      </c>
      <c r="X119" s="16" t="e">
        <f t="shared" si="126"/>
        <v>#VALUE!</v>
      </c>
      <c r="Y119" s="10" t="str">
        <f t="shared" si="109"/>
        <v>-</v>
      </c>
      <c r="Z119" s="10" t="str">
        <f t="shared" si="110"/>
        <v>-</v>
      </c>
      <c r="AA119" s="13" t="str">
        <f t="shared" si="127"/>
        <v>-</v>
      </c>
      <c r="AB119" s="9" t="str">
        <f t="shared" si="111"/>
        <v>-</v>
      </c>
      <c r="AC119" s="16" t="str">
        <f t="shared" si="128"/>
        <v>-</v>
      </c>
      <c r="AD119" s="16" t="str">
        <f t="shared" si="112"/>
        <v>-</v>
      </c>
      <c r="AE119" s="16" t="str">
        <f t="shared" si="113"/>
        <v>-</v>
      </c>
      <c r="AF119" s="16" t="str">
        <f t="shared" si="129"/>
        <v>-</v>
      </c>
      <c r="AG119" s="16"/>
      <c r="AH119" s="32" t="str">
        <f>IFERROR(INDEX('US Food'!$R$11:$R$197,MATCH('Calculations - US Food'!D119,'US Food'!$N$11:$N$197,0)),"")</f>
        <v/>
      </c>
      <c r="AI119" s="23" t="str">
        <f t="shared" si="130"/>
        <v/>
      </c>
      <c r="AJ119" s="23" t="str">
        <f t="shared" si="131"/>
        <v/>
      </c>
      <c r="AK119" s="9" t="str">
        <f t="shared" si="114"/>
        <v/>
      </c>
      <c r="AL119" s="4" t="str">
        <f t="shared" si="115"/>
        <v/>
      </c>
      <c r="AM119" s="4"/>
      <c r="AN119" s="4"/>
      <c r="AO119" s="4"/>
      <c r="AP119" s="4"/>
      <c r="AQ119" s="4"/>
      <c r="AR119" s="20" t="str">
        <f t="shared" si="116"/>
        <v>-</v>
      </c>
      <c r="AS119" s="13" t="str">
        <f t="shared" si="132"/>
        <v>-</v>
      </c>
      <c r="AT119" s="13" t="str">
        <f t="shared" si="133"/>
        <v>-</v>
      </c>
      <c r="AU119" s="13" t="str">
        <f t="shared" si="117"/>
        <v>-</v>
      </c>
      <c r="AV119" s="16" t="str">
        <f t="shared" si="134"/>
        <v>-</v>
      </c>
      <c r="AW119" s="16" t="str">
        <f t="shared" si="118"/>
        <v>-</v>
      </c>
      <c r="AX119" s="16" t="str">
        <f t="shared" si="119"/>
        <v>-</v>
      </c>
      <c r="AY119" s="16" t="str">
        <f t="shared" si="135"/>
        <v>-</v>
      </c>
      <c r="AZ119" s="13" t="str">
        <f t="shared" si="136"/>
        <v>-</v>
      </c>
      <c r="BA119" s="10" t="str">
        <f t="shared" si="137"/>
        <v>-</v>
      </c>
      <c r="BB119" s="9" t="str">
        <f t="shared" si="138"/>
        <v>-</v>
      </c>
      <c r="BC119" s="13" t="str">
        <f t="shared" si="139"/>
        <v>-</v>
      </c>
      <c r="BD119" s="10" t="str">
        <f t="shared" si="140"/>
        <v>-</v>
      </c>
      <c r="BE119" s="13" t="str">
        <f t="shared" si="141"/>
        <v>-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</row>
    <row r="120" spans="2:70" x14ac:dyDescent="0.3">
      <c r="B120" s="96" t="str">
        <f t="shared" si="120"/>
        <v/>
      </c>
      <c r="C120" s="96" t="str">
        <f t="shared" si="121"/>
        <v/>
      </c>
      <c r="D120" s="96" t="str">
        <f t="shared" si="122"/>
        <v/>
      </c>
      <c r="E120" s="3"/>
      <c r="F120" s="3"/>
      <c r="G120" s="3"/>
      <c r="H120" s="3"/>
      <c r="I120" s="20">
        <f>IFERROR(INDEX('Input - US Food'!G$2:G$200,MATCH('Calculations - US Food'!$D120,'Input - US Food'!$B$2:$B$200,0)),"")</f>
        <v>0</v>
      </c>
      <c r="J120" s="20">
        <f>IFERROR(INDEX('Input - US Food'!H$2:H$200,MATCH('Calculations - US Food'!$D120,'Input - US Food'!$B$2:$B$200,0)),"")</f>
        <v>0</v>
      </c>
      <c r="K120" s="21">
        <f>IFERROR(INDEX('Input - US Food'!I$2:I$200,MATCH('Calculations - US Food'!$D120,'Input - US Food'!$B$2:$B$200,0)),"")</f>
        <v>0</v>
      </c>
      <c r="L120" s="21">
        <f>IFERROR(INDEX('Input - US Food'!J$2:J$200,MATCH('Calculations - US Food'!$D120,'Input - US Food'!$B$2:$B$200,0)),"")</f>
        <v>0</v>
      </c>
      <c r="M120" s="20">
        <f>IFERROR(INDEX('Input - US Food'!K$2:K$200,MATCH('Calculations - US Food'!$D120,'Input - US Food'!$B$2:$B$200,0)),"")</f>
        <v>6055363851.4215012</v>
      </c>
      <c r="N120" s="20">
        <f>IFERROR(INDEX('Input - US Food'!L$2:L$200,MATCH('Calculations - US Food'!$D120,'Input - US Food'!$B$2:$B$200,0)),"")</f>
        <v>1982155918.8720999</v>
      </c>
      <c r="O120" s="21" t="str">
        <f t="shared" si="123"/>
        <v/>
      </c>
      <c r="P120" s="21">
        <f t="shared" si="105"/>
        <v>3.0549382083257943</v>
      </c>
      <c r="Q120" s="21">
        <f t="shared" si="124"/>
        <v>0</v>
      </c>
      <c r="R120" s="9">
        <f t="shared" si="106"/>
        <v>0</v>
      </c>
      <c r="S120" s="9">
        <f t="shared" si="107"/>
        <v>0</v>
      </c>
      <c r="T120" s="22" t="str">
        <f>IFERROR(INDEX('US Food'!$S$11:$S$197,MATCH('Calculations - US Food'!$D120,'US Food'!$N$11:$N$197,0)),"")</f>
        <v/>
      </c>
      <c r="U120" s="22" t="str">
        <f>IFERROR(INDEX('US Food'!$T$11:$T$197,MATCH('Calculations - US Food'!$D120,'US Food'!$N$11:$N$197,0)),"")</f>
        <v/>
      </c>
      <c r="V120" s="16" t="e">
        <f t="shared" si="108"/>
        <v>#VALUE!</v>
      </c>
      <c r="W120" s="16" t="e">
        <f t="shared" si="125"/>
        <v>#VALUE!</v>
      </c>
      <c r="X120" s="16" t="e">
        <f t="shared" si="126"/>
        <v>#VALUE!</v>
      </c>
      <c r="Y120" s="10" t="str">
        <f t="shared" si="109"/>
        <v>-</v>
      </c>
      <c r="Z120" s="10" t="str">
        <f t="shared" si="110"/>
        <v>-</v>
      </c>
      <c r="AA120" s="13" t="str">
        <f t="shared" si="127"/>
        <v>-</v>
      </c>
      <c r="AB120" s="9" t="str">
        <f t="shared" si="111"/>
        <v>-</v>
      </c>
      <c r="AC120" s="16" t="str">
        <f t="shared" si="128"/>
        <v>-</v>
      </c>
      <c r="AD120" s="16" t="str">
        <f t="shared" si="112"/>
        <v>-</v>
      </c>
      <c r="AE120" s="16" t="str">
        <f t="shared" si="113"/>
        <v>-</v>
      </c>
      <c r="AF120" s="16" t="str">
        <f t="shared" si="129"/>
        <v>-</v>
      </c>
      <c r="AG120" s="16"/>
      <c r="AH120" s="32" t="str">
        <f>IFERROR(INDEX('US Food'!$R$11:$R$197,MATCH('Calculations - US Food'!D120,'US Food'!$N$11:$N$197,0)),"")</f>
        <v/>
      </c>
      <c r="AI120" s="23" t="str">
        <f t="shared" si="130"/>
        <v/>
      </c>
      <c r="AJ120" s="23" t="str">
        <f t="shared" si="131"/>
        <v/>
      </c>
      <c r="AK120" s="9" t="str">
        <f t="shared" si="114"/>
        <v/>
      </c>
      <c r="AL120" s="4" t="str">
        <f t="shared" si="115"/>
        <v/>
      </c>
      <c r="AM120" s="4"/>
      <c r="AN120" s="4"/>
      <c r="AO120" s="4"/>
      <c r="AP120" s="4"/>
      <c r="AQ120" s="4"/>
      <c r="AR120" s="20" t="str">
        <f t="shared" si="116"/>
        <v>-</v>
      </c>
      <c r="AS120" s="13" t="str">
        <f t="shared" si="132"/>
        <v>-</v>
      </c>
      <c r="AT120" s="13" t="str">
        <f t="shared" si="133"/>
        <v>-</v>
      </c>
      <c r="AU120" s="13" t="str">
        <f t="shared" si="117"/>
        <v>-</v>
      </c>
      <c r="AV120" s="16" t="str">
        <f t="shared" si="134"/>
        <v>-</v>
      </c>
      <c r="AW120" s="16" t="str">
        <f t="shared" si="118"/>
        <v>-</v>
      </c>
      <c r="AX120" s="16" t="str">
        <f t="shared" si="119"/>
        <v>-</v>
      </c>
      <c r="AY120" s="16" t="str">
        <f t="shared" si="135"/>
        <v>-</v>
      </c>
      <c r="AZ120" s="13" t="str">
        <f t="shared" si="136"/>
        <v>-</v>
      </c>
      <c r="BA120" s="10" t="str">
        <f t="shared" si="137"/>
        <v>-</v>
      </c>
      <c r="BB120" s="9" t="str">
        <f t="shared" si="138"/>
        <v>-</v>
      </c>
      <c r="BC120" s="13" t="str">
        <f t="shared" si="139"/>
        <v>-</v>
      </c>
      <c r="BD120" s="10" t="str">
        <f t="shared" si="140"/>
        <v>-</v>
      </c>
      <c r="BE120" s="13" t="str">
        <f t="shared" si="141"/>
        <v>-</v>
      </c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</row>
    <row r="121" spans="2:70" x14ac:dyDescent="0.3">
      <c r="B121" s="96" t="str">
        <f t="shared" si="120"/>
        <v/>
      </c>
      <c r="C121" s="96" t="str">
        <f t="shared" si="121"/>
        <v/>
      </c>
      <c r="D121" s="96" t="str">
        <f t="shared" si="122"/>
        <v/>
      </c>
      <c r="E121" s="3"/>
      <c r="F121" s="3"/>
      <c r="G121" s="3"/>
      <c r="H121" s="3"/>
      <c r="I121" s="20">
        <f>IFERROR(INDEX('Input - US Food'!G$2:G$200,MATCH('Calculations - US Food'!$D121,'Input - US Food'!$B$2:$B$200,0)),"")</f>
        <v>0</v>
      </c>
      <c r="J121" s="20">
        <f>IFERROR(INDEX('Input - US Food'!H$2:H$200,MATCH('Calculations - US Food'!$D121,'Input - US Food'!$B$2:$B$200,0)),"")</f>
        <v>0</v>
      </c>
      <c r="K121" s="21">
        <f>IFERROR(INDEX('Input - US Food'!I$2:I$200,MATCH('Calculations - US Food'!$D121,'Input - US Food'!$B$2:$B$200,0)),"")</f>
        <v>0</v>
      </c>
      <c r="L121" s="21">
        <f>IFERROR(INDEX('Input - US Food'!J$2:J$200,MATCH('Calculations - US Food'!$D121,'Input - US Food'!$B$2:$B$200,0)),"")</f>
        <v>0</v>
      </c>
      <c r="M121" s="20">
        <f>IFERROR(INDEX('Input - US Food'!K$2:K$200,MATCH('Calculations - US Food'!$D121,'Input - US Food'!$B$2:$B$200,0)),"")</f>
        <v>6055363851.4215012</v>
      </c>
      <c r="N121" s="20">
        <f>IFERROR(INDEX('Input - US Food'!L$2:L$200,MATCH('Calculations - US Food'!$D121,'Input - US Food'!$B$2:$B$200,0)),"")</f>
        <v>1982155918.8720999</v>
      </c>
      <c r="O121" s="21" t="str">
        <f t="shared" si="123"/>
        <v/>
      </c>
      <c r="P121" s="21">
        <f t="shared" si="105"/>
        <v>3.0549382083257943</v>
      </c>
      <c r="Q121" s="21">
        <f t="shared" si="124"/>
        <v>0</v>
      </c>
      <c r="R121" s="9">
        <f t="shared" si="106"/>
        <v>0</v>
      </c>
      <c r="S121" s="9">
        <f t="shared" si="107"/>
        <v>0</v>
      </c>
      <c r="T121" s="22" t="str">
        <f>IFERROR(INDEX('US Food'!$S$11:$S$197,MATCH('Calculations - US Food'!$D121,'US Food'!$N$11:$N$197,0)),"")</f>
        <v/>
      </c>
      <c r="U121" s="22" t="str">
        <f>IFERROR(INDEX('US Food'!$T$11:$T$197,MATCH('Calculations - US Food'!$D121,'US Food'!$N$11:$N$197,0)),"")</f>
        <v/>
      </c>
      <c r="V121" s="16" t="e">
        <f t="shared" si="108"/>
        <v>#VALUE!</v>
      </c>
      <c r="W121" s="16" t="e">
        <f t="shared" si="125"/>
        <v>#VALUE!</v>
      </c>
      <c r="X121" s="16" t="e">
        <f t="shared" si="126"/>
        <v>#VALUE!</v>
      </c>
      <c r="Y121" s="10" t="str">
        <f t="shared" si="109"/>
        <v>-</v>
      </c>
      <c r="Z121" s="10" t="str">
        <f t="shared" si="110"/>
        <v>-</v>
      </c>
      <c r="AA121" s="13" t="str">
        <f t="shared" si="127"/>
        <v>-</v>
      </c>
      <c r="AB121" s="9" t="str">
        <f t="shared" si="111"/>
        <v>-</v>
      </c>
      <c r="AC121" s="16" t="str">
        <f t="shared" si="128"/>
        <v>-</v>
      </c>
      <c r="AD121" s="16" t="str">
        <f t="shared" si="112"/>
        <v>-</v>
      </c>
      <c r="AE121" s="16" t="str">
        <f t="shared" si="113"/>
        <v>-</v>
      </c>
      <c r="AF121" s="16" t="str">
        <f t="shared" si="129"/>
        <v>-</v>
      </c>
      <c r="AG121" s="16"/>
      <c r="AH121" s="32" t="str">
        <f>IFERROR(INDEX('US Food'!$R$11:$R$197,MATCH('Calculations - US Food'!D121,'US Food'!$N$11:$N$197,0)),"")</f>
        <v/>
      </c>
      <c r="AI121" s="23" t="str">
        <f t="shared" si="130"/>
        <v/>
      </c>
      <c r="AJ121" s="23" t="str">
        <f t="shared" si="131"/>
        <v/>
      </c>
      <c r="AK121" s="9" t="str">
        <f t="shared" si="114"/>
        <v/>
      </c>
      <c r="AL121" s="4" t="str">
        <f t="shared" si="115"/>
        <v/>
      </c>
      <c r="AM121" s="4"/>
      <c r="AN121" s="4"/>
      <c r="AO121" s="4"/>
      <c r="AP121" s="4"/>
      <c r="AQ121" s="4"/>
      <c r="AR121" s="20" t="str">
        <f t="shared" si="116"/>
        <v>-</v>
      </c>
      <c r="AS121" s="13" t="str">
        <f t="shared" si="132"/>
        <v>-</v>
      </c>
      <c r="AT121" s="13" t="str">
        <f t="shared" si="133"/>
        <v>-</v>
      </c>
      <c r="AU121" s="13" t="str">
        <f t="shared" si="117"/>
        <v>-</v>
      </c>
      <c r="AV121" s="16" t="str">
        <f t="shared" si="134"/>
        <v>-</v>
      </c>
      <c r="AW121" s="16" t="str">
        <f t="shared" si="118"/>
        <v>-</v>
      </c>
      <c r="AX121" s="16" t="str">
        <f t="shared" si="119"/>
        <v>-</v>
      </c>
      <c r="AY121" s="16" t="str">
        <f t="shared" si="135"/>
        <v>-</v>
      </c>
      <c r="AZ121" s="13" t="str">
        <f t="shared" si="136"/>
        <v>-</v>
      </c>
      <c r="BA121" s="10" t="str">
        <f t="shared" si="137"/>
        <v>-</v>
      </c>
      <c r="BB121" s="9" t="str">
        <f t="shared" si="138"/>
        <v>-</v>
      </c>
      <c r="BC121" s="13" t="str">
        <f t="shared" si="139"/>
        <v>-</v>
      </c>
      <c r="BD121" s="10" t="str">
        <f t="shared" si="140"/>
        <v>-</v>
      </c>
      <c r="BE121" s="13" t="str">
        <f t="shared" si="141"/>
        <v>-</v>
      </c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</row>
    <row r="122" spans="2:70" x14ac:dyDescent="0.3">
      <c r="B122" s="96" t="str">
        <f t="shared" si="120"/>
        <v/>
      </c>
      <c r="C122" s="96" t="str">
        <f t="shared" si="121"/>
        <v/>
      </c>
      <c r="D122" s="96" t="str">
        <f t="shared" si="122"/>
        <v/>
      </c>
      <c r="E122" s="3"/>
      <c r="F122" s="3"/>
      <c r="G122" s="3"/>
      <c r="H122" s="3"/>
      <c r="I122" s="20">
        <f>IFERROR(INDEX('Input - US Food'!G$2:G$200,MATCH('Calculations - US Food'!$D122,'Input - US Food'!$B$2:$B$200,0)),"")</f>
        <v>0</v>
      </c>
      <c r="J122" s="20">
        <f>IFERROR(INDEX('Input - US Food'!H$2:H$200,MATCH('Calculations - US Food'!$D122,'Input - US Food'!$B$2:$B$200,0)),"")</f>
        <v>0</v>
      </c>
      <c r="K122" s="21">
        <f>IFERROR(INDEX('Input - US Food'!I$2:I$200,MATCH('Calculations - US Food'!$D122,'Input - US Food'!$B$2:$B$200,0)),"")</f>
        <v>0</v>
      </c>
      <c r="L122" s="21">
        <f>IFERROR(INDEX('Input - US Food'!J$2:J$200,MATCH('Calculations - US Food'!$D122,'Input - US Food'!$B$2:$B$200,0)),"")</f>
        <v>0</v>
      </c>
      <c r="M122" s="20">
        <f>IFERROR(INDEX('Input - US Food'!K$2:K$200,MATCH('Calculations - US Food'!$D122,'Input - US Food'!$B$2:$B$200,0)),"")</f>
        <v>6055363851.4215012</v>
      </c>
      <c r="N122" s="20">
        <f>IFERROR(INDEX('Input - US Food'!L$2:L$200,MATCH('Calculations - US Food'!$D122,'Input - US Food'!$B$2:$B$200,0)),"")</f>
        <v>1982155918.8720999</v>
      </c>
      <c r="O122" s="21" t="str">
        <f t="shared" si="123"/>
        <v/>
      </c>
      <c r="P122" s="21">
        <f t="shared" si="105"/>
        <v>3.0549382083257943</v>
      </c>
      <c r="Q122" s="21">
        <f t="shared" si="124"/>
        <v>0</v>
      </c>
      <c r="R122" s="9">
        <f t="shared" si="106"/>
        <v>0</v>
      </c>
      <c r="S122" s="9">
        <f t="shared" si="107"/>
        <v>0</v>
      </c>
      <c r="T122" s="22" t="str">
        <f>IFERROR(INDEX('US Food'!$S$11:$S$197,MATCH('Calculations - US Food'!$D122,'US Food'!$N$11:$N$197,0)),"")</f>
        <v/>
      </c>
      <c r="U122" s="22" t="str">
        <f>IFERROR(INDEX('US Food'!$T$11:$T$197,MATCH('Calculations - US Food'!$D122,'US Food'!$N$11:$N$197,0)),"")</f>
        <v/>
      </c>
      <c r="V122" s="16" t="e">
        <f t="shared" si="108"/>
        <v>#VALUE!</v>
      </c>
      <c r="W122" s="16" t="e">
        <f t="shared" si="125"/>
        <v>#VALUE!</v>
      </c>
      <c r="X122" s="16" t="e">
        <f t="shared" si="126"/>
        <v>#VALUE!</v>
      </c>
      <c r="Y122" s="10" t="str">
        <f t="shared" si="109"/>
        <v>-</v>
      </c>
      <c r="Z122" s="10" t="str">
        <f t="shared" si="110"/>
        <v>-</v>
      </c>
      <c r="AA122" s="13" t="str">
        <f t="shared" si="127"/>
        <v>-</v>
      </c>
      <c r="AB122" s="9" t="str">
        <f t="shared" si="111"/>
        <v>-</v>
      </c>
      <c r="AC122" s="16" t="str">
        <f t="shared" si="128"/>
        <v>-</v>
      </c>
      <c r="AD122" s="16" t="str">
        <f t="shared" si="112"/>
        <v>-</v>
      </c>
      <c r="AE122" s="16" t="str">
        <f t="shared" si="113"/>
        <v>-</v>
      </c>
      <c r="AF122" s="16" t="str">
        <f t="shared" si="129"/>
        <v>-</v>
      </c>
      <c r="AG122" s="16"/>
      <c r="AH122" s="32" t="str">
        <f>IFERROR(INDEX('US Food'!$R$11:$R$197,MATCH('Calculations - US Food'!D122,'US Food'!$N$11:$N$197,0)),"")</f>
        <v/>
      </c>
      <c r="AI122" s="23" t="str">
        <f t="shared" si="130"/>
        <v/>
      </c>
      <c r="AJ122" s="23" t="str">
        <f t="shared" si="131"/>
        <v/>
      </c>
      <c r="AK122" s="9" t="str">
        <f t="shared" si="114"/>
        <v/>
      </c>
      <c r="AL122" s="4" t="str">
        <f t="shared" si="115"/>
        <v/>
      </c>
      <c r="AM122" s="4"/>
      <c r="AN122" s="4"/>
      <c r="AO122" s="4"/>
      <c r="AP122" s="4"/>
      <c r="AQ122" s="4"/>
      <c r="AR122" s="20" t="str">
        <f t="shared" si="116"/>
        <v>-</v>
      </c>
      <c r="AS122" s="13" t="str">
        <f t="shared" si="132"/>
        <v>-</v>
      </c>
      <c r="AT122" s="13" t="str">
        <f t="shared" si="133"/>
        <v>-</v>
      </c>
      <c r="AU122" s="13" t="str">
        <f t="shared" si="117"/>
        <v>-</v>
      </c>
      <c r="AV122" s="16" t="str">
        <f t="shared" si="134"/>
        <v>-</v>
      </c>
      <c r="AW122" s="16" t="str">
        <f t="shared" si="118"/>
        <v>-</v>
      </c>
      <c r="AX122" s="16" t="str">
        <f t="shared" si="119"/>
        <v>-</v>
      </c>
      <c r="AY122" s="16" t="str">
        <f t="shared" si="135"/>
        <v>-</v>
      </c>
      <c r="AZ122" s="13" t="str">
        <f t="shared" si="136"/>
        <v>-</v>
      </c>
      <c r="BA122" s="10" t="str">
        <f t="shared" si="137"/>
        <v>-</v>
      </c>
      <c r="BB122" s="9" t="str">
        <f t="shared" si="138"/>
        <v>-</v>
      </c>
      <c r="BC122" s="13" t="str">
        <f t="shared" si="139"/>
        <v>-</v>
      </c>
      <c r="BD122" s="10" t="str">
        <f t="shared" si="140"/>
        <v>-</v>
      </c>
      <c r="BE122" s="13" t="str">
        <f t="shared" si="141"/>
        <v>-</v>
      </c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</row>
    <row r="123" spans="2:70" x14ac:dyDescent="0.3">
      <c r="B123" s="96" t="str">
        <f t="shared" si="120"/>
        <v/>
      </c>
      <c r="C123" s="96" t="str">
        <f t="shared" si="121"/>
        <v/>
      </c>
      <c r="D123" s="96" t="str">
        <f t="shared" si="122"/>
        <v/>
      </c>
      <c r="E123" s="3"/>
      <c r="F123" s="3"/>
      <c r="G123" s="3"/>
      <c r="H123" s="3"/>
      <c r="I123" s="20">
        <f>IFERROR(INDEX('Input - US Food'!G$2:G$200,MATCH('Calculations - US Food'!$D123,'Input - US Food'!$B$2:$B$200,0)),"")</f>
        <v>0</v>
      </c>
      <c r="J123" s="20">
        <f>IFERROR(INDEX('Input - US Food'!H$2:H$200,MATCH('Calculations - US Food'!$D123,'Input - US Food'!$B$2:$B$200,0)),"")</f>
        <v>0</v>
      </c>
      <c r="K123" s="21">
        <f>IFERROR(INDEX('Input - US Food'!I$2:I$200,MATCH('Calculations - US Food'!$D123,'Input - US Food'!$B$2:$B$200,0)),"")</f>
        <v>0</v>
      </c>
      <c r="L123" s="21">
        <f>IFERROR(INDEX('Input - US Food'!J$2:J$200,MATCH('Calculations - US Food'!$D123,'Input - US Food'!$B$2:$B$200,0)),"")</f>
        <v>0</v>
      </c>
      <c r="M123" s="20">
        <f>IFERROR(INDEX('Input - US Food'!K$2:K$200,MATCH('Calculations - US Food'!$D123,'Input - US Food'!$B$2:$B$200,0)),"")</f>
        <v>6055363851.4215012</v>
      </c>
      <c r="N123" s="20">
        <f>IFERROR(INDEX('Input - US Food'!L$2:L$200,MATCH('Calculations - US Food'!$D123,'Input - US Food'!$B$2:$B$200,0)),"")</f>
        <v>1982155918.8720999</v>
      </c>
      <c r="O123" s="21" t="str">
        <f t="shared" si="123"/>
        <v/>
      </c>
      <c r="P123" s="21">
        <f t="shared" si="105"/>
        <v>3.0549382083257943</v>
      </c>
      <c r="Q123" s="21">
        <f t="shared" si="124"/>
        <v>0</v>
      </c>
      <c r="R123" s="9">
        <f t="shared" si="106"/>
        <v>0</v>
      </c>
      <c r="S123" s="9">
        <f t="shared" si="107"/>
        <v>0</v>
      </c>
      <c r="T123" s="22" t="str">
        <f>IFERROR(INDEX('US Food'!$S$11:$S$197,MATCH('Calculations - US Food'!$D123,'US Food'!$N$11:$N$197,0)),"")</f>
        <v/>
      </c>
      <c r="U123" s="22" t="str">
        <f>IFERROR(INDEX('US Food'!$T$11:$T$197,MATCH('Calculations - US Food'!$D123,'US Food'!$N$11:$N$197,0)),"")</f>
        <v/>
      </c>
      <c r="V123" s="16" t="e">
        <f t="shared" si="108"/>
        <v>#VALUE!</v>
      </c>
      <c r="W123" s="16" t="e">
        <f t="shared" si="125"/>
        <v>#VALUE!</v>
      </c>
      <c r="X123" s="16" t="e">
        <f t="shared" si="126"/>
        <v>#VALUE!</v>
      </c>
      <c r="Y123" s="10" t="str">
        <f t="shared" si="109"/>
        <v>-</v>
      </c>
      <c r="Z123" s="10" t="str">
        <f t="shared" si="110"/>
        <v>-</v>
      </c>
      <c r="AA123" s="13" t="str">
        <f t="shared" si="127"/>
        <v>-</v>
      </c>
      <c r="AB123" s="9" t="str">
        <f t="shared" si="111"/>
        <v>-</v>
      </c>
      <c r="AC123" s="16" t="str">
        <f t="shared" si="128"/>
        <v>-</v>
      </c>
      <c r="AD123" s="16" t="str">
        <f t="shared" si="112"/>
        <v>-</v>
      </c>
      <c r="AE123" s="16" t="str">
        <f t="shared" si="113"/>
        <v>-</v>
      </c>
      <c r="AF123" s="16" t="str">
        <f t="shared" si="129"/>
        <v>-</v>
      </c>
      <c r="AG123" s="16"/>
      <c r="AH123" s="32" t="str">
        <f>IFERROR(INDEX('US Food'!$R$11:$R$197,MATCH('Calculations - US Food'!D123,'US Food'!$N$11:$N$197,0)),"")</f>
        <v/>
      </c>
      <c r="AI123" s="23" t="str">
        <f t="shared" si="130"/>
        <v/>
      </c>
      <c r="AJ123" s="23" t="str">
        <f t="shared" si="131"/>
        <v/>
      </c>
      <c r="AK123" s="9" t="str">
        <f t="shared" si="114"/>
        <v/>
      </c>
      <c r="AL123" s="4" t="str">
        <f t="shared" si="115"/>
        <v/>
      </c>
      <c r="AM123" s="4"/>
      <c r="AN123" s="4"/>
      <c r="AO123" s="4"/>
      <c r="AP123" s="4"/>
      <c r="AQ123" s="4"/>
      <c r="AR123" s="20" t="str">
        <f t="shared" si="116"/>
        <v>-</v>
      </c>
      <c r="AS123" s="13" t="str">
        <f t="shared" si="132"/>
        <v>-</v>
      </c>
      <c r="AT123" s="13" t="str">
        <f t="shared" si="133"/>
        <v>-</v>
      </c>
      <c r="AU123" s="13" t="str">
        <f t="shared" si="117"/>
        <v>-</v>
      </c>
      <c r="AV123" s="16" t="str">
        <f t="shared" si="134"/>
        <v>-</v>
      </c>
      <c r="AW123" s="16" t="str">
        <f t="shared" si="118"/>
        <v>-</v>
      </c>
      <c r="AX123" s="16" t="str">
        <f t="shared" si="119"/>
        <v>-</v>
      </c>
      <c r="AY123" s="16" t="str">
        <f t="shared" si="135"/>
        <v>-</v>
      </c>
      <c r="AZ123" s="13" t="str">
        <f t="shared" si="136"/>
        <v>-</v>
      </c>
      <c r="BA123" s="10" t="str">
        <f t="shared" si="137"/>
        <v>-</v>
      </c>
      <c r="BB123" s="9" t="str">
        <f t="shared" si="138"/>
        <v>-</v>
      </c>
      <c r="BC123" s="13" t="str">
        <f t="shared" si="139"/>
        <v>-</v>
      </c>
      <c r="BD123" s="10" t="str">
        <f t="shared" si="140"/>
        <v>-</v>
      </c>
      <c r="BE123" s="13" t="str">
        <f t="shared" si="141"/>
        <v>-</v>
      </c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</row>
    <row r="124" spans="2:70" x14ac:dyDescent="0.3">
      <c r="B124" s="96" t="str">
        <f t="shared" si="120"/>
        <v/>
      </c>
      <c r="C124" s="96" t="str">
        <f t="shared" si="121"/>
        <v/>
      </c>
      <c r="D124" s="96" t="str">
        <f t="shared" si="122"/>
        <v/>
      </c>
      <c r="E124" s="3"/>
      <c r="F124" s="3"/>
      <c r="G124" s="3"/>
      <c r="H124" s="3"/>
      <c r="I124" s="20">
        <f>IFERROR(INDEX('Input - US Food'!G$2:G$200,MATCH('Calculations - US Food'!$D124,'Input - US Food'!$B$2:$B$200,0)),"")</f>
        <v>0</v>
      </c>
      <c r="J124" s="20">
        <f>IFERROR(INDEX('Input - US Food'!H$2:H$200,MATCH('Calculations - US Food'!$D124,'Input - US Food'!$B$2:$B$200,0)),"")</f>
        <v>0</v>
      </c>
      <c r="K124" s="21">
        <f>IFERROR(INDEX('Input - US Food'!I$2:I$200,MATCH('Calculations - US Food'!$D124,'Input - US Food'!$B$2:$B$200,0)),"")</f>
        <v>0</v>
      </c>
      <c r="L124" s="21">
        <f>IFERROR(INDEX('Input - US Food'!J$2:J$200,MATCH('Calculations - US Food'!$D124,'Input - US Food'!$B$2:$B$200,0)),"")</f>
        <v>0</v>
      </c>
      <c r="M124" s="20">
        <f>IFERROR(INDEX('Input - US Food'!K$2:K$200,MATCH('Calculations - US Food'!$D124,'Input - US Food'!$B$2:$B$200,0)),"")</f>
        <v>6055363851.4215012</v>
      </c>
      <c r="N124" s="20">
        <f>IFERROR(INDEX('Input - US Food'!L$2:L$200,MATCH('Calculations - US Food'!$D124,'Input - US Food'!$B$2:$B$200,0)),"")</f>
        <v>1982155918.8720999</v>
      </c>
      <c r="O124" s="21" t="str">
        <f t="shared" si="123"/>
        <v/>
      </c>
      <c r="P124" s="21">
        <f t="shared" si="105"/>
        <v>3.0549382083257943</v>
      </c>
      <c r="Q124" s="21">
        <f t="shared" si="124"/>
        <v>0</v>
      </c>
      <c r="R124" s="9">
        <f t="shared" si="106"/>
        <v>0</v>
      </c>
      <c r="S124" s="9">
        <f t="shared" si="107"/>
        <v>0</v>
      </c>
      <c r="T124" s="22" t="str">
        <f>IFERROR(INDEX('US Food'!$S$11:$S$197,MATCH('Calculations - US Food'!$D124,'US Food'!$N$11:$N$197,0)),"")</f>
        <v/>
      </c>
      <c r="U124" s="22" t="str">
        <f>IFERROR(INDEX('US Food'!$T$11:$T$197,MATCH('Calculations - US Food'!$D124,'US Food'!$N$11:$N$197,0)),"")</f>
        <v/>
      </c>
      <c r="V124" s="16" t="e">
        <f t="shared" si="108"/>
        <v>#VALUE!</v>
      </c>
      <c r="W124" s="16" t="e">
        <f t="shared" si="125"/>
        <v>#VALUE!</v>
      </c>
      <c r="X124" s="16" t="e">
        <f t="shared" si="126"/>
        <v>#VALUE!</v>
      </c>
      <c r="Y124" s="10" t="str">
        <f t="shared" si="109"/>
        <v>-</v>
      </c>
      <c r="Z124" s="10" t="str">
        <f t="shared" si="110"/>
        <v>-</v>
      </c>
      <c r="AA124" s="13" t="str">
        <f t="shared" si="127"/>
        <v>-</v>
      </c>
      <c r="AB124" s="9" t="str">
        <f t="shared" si="111"/>
        <v>-</v>
      </c>
      <c r="AC124" s="16" t="str">
        <f t="shared" si="128"/>
        <v>-</v>
      </c>
      <c r="AD124" s="16" t="str">
        <f t="shared" si="112"/>
        <v>-</v>
      </c>
      <c r="AE124" s="16" t="str">
        <f t="shared" si="113"/>
        <v>-</v>
      </c>
      <c r="AF124" s="16" t="str">
        <f t="shared" si="129"/>
        <v>-</v>
      </c>
      <c r="AG124" s="16"/>
      <c r="AH124" s="32" t="str">
        <f>IFERROR(INDEX('US Food'!$R$11:$R$197,MATCH('Calculations - US Food'!D124,'US Food'!$N$11:$N$197,0)),"")</f>
        <v/>
      </c>
      <c r="AI124" s="23" t="str">
        <f t="shared" si="130"/>
        <v/>
      </c>
      <c r="AJ124" s="23" t="str">
        <f t="shared" si="131"/>
        <v/>
      </c>
      <c r="AK124" s="9" t="str">
        <f t="shared" si="114"/>
        <v/>
      </c>
      <c r="AL124" s="4" t="str">
        <f t="shared" si="115"/>
        <v/>
      </c>
      <c r="AM124" s="4"/>
      <c r="AN124" s="4"/>
      <c r="AO124" s="4"/>
      <c r="AP124" s="4"/>
      <c r="AQ124" s="4"/>
      <c r="AR124" s="20" t="str">
        <f t="shared" si="116"/>
        <v>-</v>
      </c>
      <c r="AS124" s="13" t="str">
        <f t="shared" si="132"/>
        <v>-</v>
      </c>
      <c r="AT124" s="13" t="str">
        <f t="shared" si="133"/>
        <v>-</v>
      </c>
      <c r="AU124" s="13" t="str">
        <f t="shared" si="117"/>
        <v>-</v>
      </c>
      <c r="AV124" s="16" t="str">
        <f t="shared" si="134"/>
        <v>-</v>
      </c>
      <c r="AW124" s="16" t="str">
        <f t="shared" si="118"/>
        <v>-</v>
      </c>
      <c r="AX124" s="16" t="str">
        <f t="shared" si="119"/>
        <v>-</v>
      </c>
      <c r="AY124" s="16" t="str">
        <f t="shared" si="135"/>
        <v>-</v>
      </c>
      <c r="AZ124" s="13" t="str">
        <f t="shared" si="136"/>
        <v>-</v>
      </c>
      <c r="BA124" s="10" t="str">
        <f t="shared" si="137"/>
        <v>-</v>
      </c>
      <c r="BB124" s="9" t="str">
        <f t="shared" si="138"/>
        <v>-</v>
      </c>
      <c r="BC124" s="13" t="str">
        <f t="shared" si="139"/>
        <v>-</v>
      </c>
      <c r="BD124" s="10" t="str">
        <f t="shared" si="140"/>
        <v>-</v>
      </c>
      <c r="BE124" s="13" t="str">
        <f t="shared" si="141"/>
        <v>-</v>
      </c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</row>
    <row r="125" spans="2:70" x14ac:dyDescent="0.3">
      <c r="B125" s="96" t="str">
        <f t="shared" si="120"/>
        <v/>
      </c>
      <c r="C125" s="96" t="str">
        <f t="shared" si="121"/>
        <v/>
      </c>
      <c r="D125" s="96" t="str">
        <f t="shared" si="122"/>
        <v/>
      </c>
      <c r="E125" s="3"/>
      <c r="F125" s="3"/>
      <c r="G125" s="3"/>
      <c r="H125" s="3"/>
      <c r="I125" s="20">
        <f>IFERROR(INDEX('Input - US Food'!G$2:G$200,MATCH('Calculations - US Food'!$D125,'Input - US Food'!$B$2:$B$200,0)),"")</f>
        <v>0</v>
      </c>
      <c r="J125" s="20">
        <f>IFERROR(INDEX('Input - US Food'!H$2:H$200,MATCH('Calculations - US Food'!$D125,'Input - US Food'!$B$2:$B$200,0)),"")</f>
        <v>0</v>
      </c>
      <c r="K125" s="21">
        <f>IFERROR(INDEX('Input - US Food'!I$2:I$200,MATCH('Calculations - US Food'!$D125,'Input - US Food'!$B$2:$B$200,0)),"")</f>
        <v>0</v>
      </c>
      <c r="L125" s="21">
        <f>IFERROR(INDEX('Input - US Food'!J$2:J$200,MATCH('Calculations - US Food'!$D125,'Input - US Food'!$B$2:$B$200,0)),"")</f>
        <v>0</v>
      </c>
      <c r="M125" s="20">
        <f>IFERROR(INDEX('Input - US Food'!K$2:K$200,MATCH('Calculations - US Food'!$D125,'Input - US Food'!$B$2:$B$200,0)),"")</f>
        <v>6055363851.4215012</v>
      </c>
      <c r="N125" s="20">
        <f>IFERROR(INDEX('Input - US Food'!L$2:L$200,MATCH('Calculations - US Food'!$D125,'Input - US Food'!$B$2:$B$200,0)),"")</f>
        <v>1982155918.8720999</v>
      </c>
      <c r="O125" s="21" t="str">
        <f t="shared" si="123"/>
        <v/>
      </c>
      <c r="P125" s="21">
        <f t="shared" si="105"/>
        <v>3.0549382083257943</v>
      </c>
      <c r="Q125" s="21">
        <f t="shared" si="124"/>
        <v>0</v>
      </c>
      <c r="R125" s="9">
        <f t="shared" si="106"/>
        <v>0</v>
      </c>
      <c r="S125" s="9">
        <f t="shared" si="107"/>
        <v>0</v>
      </c>
      <c r="T125" s="22" t="str">
        <f>IFERROR(INDEX('US Food'!$S$11:$S$197,MATCH('Calculations - US Food'!$D125,'US Food'!$N$11:$N$197,0)),"")</f>
        <v/>
      </c>
      <c r="U125" s="22" t="str">
        <f>IFERROR(INDEX('US Food'!$T$11:$T$197,MATCH('Calculations - US Food'!$D125,'US Food'!$N$11:$N$197,0)),"")</f>
        <v/>
      </c>
      <c r="V125" s="16" t="e">
        <f t="shared" si="108"/>
        <v>#VALUE!</v>
      </c>
      <c r="W125" s="16" t="e">
        <f t="shared" si="125"/>
        <v>#VALUE!</v>
      </c>
      <c r="X125" s="16" t="e">
        <f t="shared" si="126"/>
        <v>#VALUE!</v>
      </c>
      <c r="Y125" s="10" t="str">
        <f t="shared" si="109"/>
        <v>-</v>
      </c>
      <c r="Z125" s="10" t="str">
        <f t="shared" si="110"/>
        <v>-</v>
      </c>
      <c r="AA125" s="13" t="str">
        <f t="shared" si="127"/>
        <v>-</v>
      </c>
      <c r="AB125" s="9" t="str">
        <f t="shared" si="111"/>
        <v>-</v>
      </c>
      <c r="AC125" s="16" t="str">
        <f t="shared" si="128"/>
        <v>-</v>
      </c>
      <c r="AD125" s="16" t="str">
        <f t="shared" si="112"/>
        <v>-</v>
      </c>
      <c r="AE125" s="16" t="str">
        <f t="shared" si="113"/>
        <v>-</v>
      </c>
      <c r="AF125" s="16" t="str">
        <f t="shared" si="129"/>
        <v>-</v>
      </c>
      <c r="AG125" s="16"/>
      <c r="AH125" s="32" t="str">
        <f>IFERROR(INDEX('US Food'!$R$11:$R$197,MATCH('Calculations - US Food'!D125,'US Food'!$N$11:$N$197,0)),"")</f>
        <v/>
      </c>
      <c r="AI125" s="23" t="str">
        <f t="shared" si="130"/>
        <v/>
      </c>
      <c r="AJ125" s="23" t="str">
        <f t="shared" si="131"/>
        <v/>
      </c>
      <c r="AK125" s="9" t="str">
        <f t="shared" si="114"/>
        <v/>
      </c>
      <c r="AL125" s="4" t="str">
        <f t="shared" si="115"/>
        <v/>
      </c>
      <c r="AM125" s="4"/>
      <c r="AN125" s="4"/>
      <c r="AO125" s="4"/>
      <c r="AP125" s="4"/>
      <c r="AQ125" s="4"/>
      <c r="AR125" s="20" t="str">
        <f t="shared" si="116"/>
        <v>-</v>
      </c>
      <c r="AS125" s="13" t="str">
        <f t="shared" si="132"/>
        <v>-</v>
      </c>
      <c r="AT125" s="13" t="str">
        <f t="shared" si="133"/>
        <v>-</v>
      </c>
      <c r="AU125" s="13" t="str">
        <f t="shared" si="117"/>
        <v>-</v>
      </c>
      <c r="AV125" s="16" t="str">
        <f t="shared" si="134"/>
        <v>-</v>
      </c>
      <c r="AW125" s="16" t="str">
        <f t="shared" si="118"/>
        <v>-</v>
      </c>
      <c r="AX125" s="16" t="str">
        <f t="shared" si="119"/>
        <v>-</v>
      </c>
      <c r="AY125" s="16" t="str">
        <f t="shared" si="135"/>
        <v>-</v>
      </c>
      <c r="AZ125" s="13" t="str">
        <f t="shared" si="136"/>
        <v>-</v>
      </c>
      <c r="BA125" s="10" t="str">
        <f t="shared" si="137"/>
        <v>-</v>
      </c>
      <c r="BB125" s="9" t="str">
        <f t="shared" si="138"/>
        <v>-</v>
      </c>
      <c r="BC125" s="13" t="str">
        <f t="shared" si="139"/>
        <v>-</v>
      </c>
      <c r="BD125" s="10" t="str">
        <f t="shared" si="140"/>
        <v>-</v>
      </c>
      <c r="BE125" s="13" t="str">
        <f t="shared" si="141"/>
        <v>-</v>
      </c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</row>
    <row r="126" spans="2:70" x14ac:dyDescent="0.3">
      <c r="B126" s="96" t="str">
        <f t="shared" si="120"/>
        <v/>
      </c>
      <c r="C126" s="96" t="str">
        <f t="shared" si="121"/>
        <v/>
      </c>
      <c r="D126" s="96" t="str">
        <f t="shared" si="122"/>
        <v/>
      </c>
      <c r="E126" s="3"/>
      <c r="F126" s="3"/>
      <c r="G126" s="3"/>
      <c r="H126" s="3"/>
      <c r="I126" s="20">
        <f>IFERROR(INDEX('Input - US Food'!G$2:G$200,MATCH('Calculations - US Food'!$D126,'Input - US Food'!$B$2:$B$200,0)),"")</f>
        <v>0</v>
      </c>
      <c r="J126" s="20">
        <f>IFERROR(INDEX('Input - US Food'!H$2:H$200,MATCH('Calculations - US Food'!$D126,'Input - US Food'!$B$2:$B$200,0)),"")</f>
        <v>0</v>
      </c>
      <c r="K126" s="21">
        <f>IFERROR(INDEX('Input - US Food'!I$2:I$200,MATCH('Calculations - US Food'!$D126,'Input - US Food'!$B$2:$B$200,0)),"")</f>
        <v>0</v>
      </c>
      <c r="L126" s="21">
        <f>IFERROR(INDEX('Input - US Food'!J$2:J$200,MATCH('Calculations - US Food'!$D126,'Input - US Food'!$B$2:$B$200,0)),"")</f>
        <v>0</v>
      </c>
      <c r="M126" s="20">
        <f>IFERROR(INDEX('Input - US Food'!K$2:K$200,MATCH('Calculations - US Food'!$D126,'Input - US Food'!$B$2:$B$200,0)),"")</f>
        <v>6055363851.4215012</v>
      </c>
      <c r="N126" s="20">
        <f>IFERROR(INDEX('Input - US Food'!L$2:L$200,MATCH('Calculations - US Food'!$D126,'Input - US Food'!$B$2:$B$200,0)),"")</f>
        <v>1982155918.8720999</v>
      </c>
      <c r="O126" s="21" t="str">
        <f t="shared" si="123"/>
        <v/>
      </c>
      <c r="P126" s="21">
        <f t="shared" si="105"/>
        <v>3.0549382083257943</v>
      </c>
      <c r="Q126" s="21">
        <f t="shared" si="124"/>
        <v>0</v>
      </c>
      <c r="R126" s="9">
        <f t="shared" si="106"/>
        <v>0</v>
      </c>
      <c r="S126" s="9">
        <f t="shared" si="107"/>
        <v>0</v>
      </c>
      <c r="T126" s="22" t="str">
        <f>IFERROR(INDEX('US Food'!$S$11:$S$197,MATCH('Calculations - US Food'!$D126,'US Food'!$N$11:$N$197,0)),"")</f>
        <v/>
      </c>
      <c r="U126" s="22" t="str">
        <f>IFERROR(INDEX('US Food'!$T$11:$T$197,MATCH('Calculations - US Food'!$D126,'US Food'!$N$11:$N$197,0)),"")</f>
        <v/>
      </c>
      <c r="V126" s="16" t="e">
        <f t="shared" si="108"/>
        <v>#VALUE!</v>
      </c>
      <c r="W126" s="16" t="e">
        <f t="shared" si="125"/>
        <v>#VALUE!</v>
      </c>
      <c r="X126" s="16" t="e">
        <f t="shared" si="126"/>
        <v>#VALUE!</v>
      </c>
      <c r="Y126" s="10" t="str">
        <f t="shared" si="109"/>
        <v>-</v>
      </c>
      <c r="Z126" s="10" t="str">
        <f t="shared" si="110"/>
        <v>-</v>
      </c>
      <c r="AA126" s="13" t="str">
        <f t="shared" si="127"/>
        <v>-</v>
      </c>
      <c r="AB126" s="9" t="str">
        <f t="shared" si="111"/>
        <v>-</v>
      </c>
      <c r="AC126" s="16" t="str">
        <f t="shared" si="128"/>
        <v>-</v>
      </c>
      <c r="AD126" s="16" t="str">
        <f t="shared" si="112"/>
        <v>-</v>
      </c>
      <c r="AE126" s="16" t="str">
        <f t="shared" si="113"/>
        <v>-</v>
      </c>
      <c r="AF126" s="16" t="str">
        <f t="shared" si="129"/>
        <v>-</v>
      </c>
      <c r="AG126" s="16"/>
      <c r="AH126" s="32" t="str">
        <f>IFERROR(INDEX('US Food'!$R$11:$R$197,MATCH('Calculations - US Food'!D126,'US Food'!$N$11:$N$197,0)),"")</f>
        <v/>
      </c>
      <c r="AI126" s="23" t="str">
        <f t="shared" si="130"/>
        <v/>
      </c>
      <c r="AJ126" s="23" t="str">
        <f t="shared" si="131"/>
        <v/>
      </c>
      <c r="AK126" s="9" t="str">
        <f t="shared" si="114"/>
        <v/>
      </c>
      <c r="AL126" s="4" t="str">
        <f t="shared" si="115"/>
        <v/>
      </c>
      <c r="AM126" s="4"/>
      <c r="AN126" s="4"/>
      <c r="AO126" s="4"/>
      <c r="AP126" s="4"/>
      <c r="AQ126" s="4"/>
      <c r="AR126" s="20" t="str">
        <f t="shared" si="116"/>
        <v>-</v>
      </c>
      <c r="AS126" s="13" t="str">
        <f t="shared" si="132"/>
        <v>-</v>
      </c>
      <c r="AT126" s="13" t="str">
        <f t="shared" si="133"/>
        <v>-</v>
      </c>
      <c r="AU126" s="13" t="str">
        <f t="shared" si="117"/>
        <v>-</v>
      </c>
      <c r="AV126" s="16" t="str">
        <f t="shared" si="134"/>
        <v>-</v>
      </c>
      <c r="AW126" s="16" t="str">
        <f t="shared" si="118"/>
        <v>-</v>
      </c>
      <c r="AX126" s="16" t="str">
        <f t="shared" si="119"/>
        <v>-</v>
      </c>
      <c r="AY126" s="16" t="str">
        <f t="shared" si="135"/>
        <v>-</v>
      </c>
      <c r="AZ126" s="13" t="str">
        <f t="shared" si="136"/>
        <v>-</v>
      </c>
      <c r="BA126" s="10" t="str">
        <f t="shared" si="137"/>
        <v>-</v>
      </c>
      <c r="BB126" s="9" t="str">
        <f t="shared" si="138"/>
        <v>-</v>
      </c>
      <c r="BC126" s="13" t="str">
        <f t="shared" si="139"/>
        <v>-</v>
      </c>
      <c r="BD126" s="10" t="str">
        <f t="shared" si="140"/>
        <v>-</v>
      </c>
      <c r="BE126" s="13" t="str">
        <f t="shared" si="141"/>
        <v>-</v>
      </c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</row>
    <row r="127" spans="2:70" x14ac:dyDescent="0.3">
      <c r="B127" s="96" t="str">
        <f t="shared" si="120"/>
        <v/>
      </c>
      <c r="C127" s="96" t="str">
        <f t="shared" si="121"/>
        <v/>
      </c>
      <c r="D127" s="96" t="str">
        <f t="shared" si="122"/>
        <v/>
      </c>
      <c r="E127" s="3"/>
      <c r="F127" s="3"/>
      <c r="G127" s="3"/>
      <c r="H127" s="3"/>
      <c r="I127" s="20">
        <f>IFERROR(INDEX('Input - US Food'!G$2:G$200,MATCH('Calculations - US Food'!$D127,'Input - US Food'!$B$2:$B$200,0)),"")</f>
        <v>0</v>
      </c>
      <c r="J127" s="20">
        <f>IFERROR(INDEX('Input - US Food'!H$2:H$200,MATCH('Calculations - US Food'!$D127,'Input - US Food'!$B$2:$B$200,0)),"")</f>
        <v>0</v>
      </c>
      <c r="K127" s="21">
        <f>IFERROR(INDEX('Input - US Food'!I$2:I$200,MATCH('Calculations - US Food'!$D127,'Input - US Food'!$B$2:$B$200,0)),"")</f>
        <v>0</v>
      </c>
      <c r="L127" s="21">
        <f>IFERROR(INDEX('Input - US Food'!J$2:J$200,MATCH('Calculations - US Food'!$D127,'Input - US Food'!$B$2:$B$200,0)),"")</f>
        <v>0</v>
      </c>
      <c r="M127" s="20">
        <f>IFERROR(INDEX('Input - US Food'!K$2:K$200,MATCH('Calculations - US Food'!$D127,'Input - US Food'!$B$2:$B$200,0)),"")</f>
        <v>6055363851.4215012</v>
      </c>
      <c r="N127" s="20">
        <f>IFERROR(INDEX('Input - US Food'!L$2:L$200,MATCH('Calculations - US Food'!$D127,'Input - US Food'!$B$2:$B$200,0)),"")</f>
        <v>1982155918.8720999</v>
      </c>
      <c r="O127" s="21" t="str">
        <f t="shared" si="123"/>
        <v/>
      </c>
      <c r="P127" s="21">
        <f t="shared" si="105"/>
        <v>3.0549382083257943</v>
      </c>
      <c r="Q127" s="21">
        <f t="shared" si="124"/>
        <v>0</v>
      </c>
      <c r="R127" s="9">
        <f t="shared" si="106"/>
        <v>0</v>
      </c>
      <c r="S127" s="9">
        <f t="shared" si="107"/>
        <v>0</v>
      </c>
      <c r="T127" s="22" t="str">
        <f>IFERROR(INDEX('US Food'!$S$11:$S$197,MATCH('Calculations - US Food'!$D127,'US Food'!$N$11:$N$197,0)),"")</f>
        <v/>
      </c>
      <c r="U127" s="22" t="str">
        <f>IFERROR(INDEX('US Food'!$T$11:$T$197,MATCH('Calculations - US Food'!$D127,'US Food'!$N$11:$N$197,0)),"")</f>
        <v/>
      </c>
      <c r="V127" s="16" t="e">
        <f t="shared" si="108"/>
        <v>#VALUE!</v>
      </c>
      <c r="W127" s="16" t="e">
        <f t="shared" si="125"/>
        <v>#VALUE!</v>
      </c>
      <c r="X127" s="16" t="e">
        <f t="shared" si="126"/>
        <v>#VALUE!</v>
      </c>
      <c r="Y127" s="10" t="str">
        <f t="shared" si="109"/>
        <v>-</v>
      </c>
      <c r="Z127" s="10" t="str">
        <f t="shared" si="110"/>
        <v>-</v>
      </c>
      <c r="AA127" s="13" t="str">
        <f t="shared" si="127"/>
        <v>-</v>
      </c>
      <c r="AB127" s="9" t="str">
        <f t="shared" si="111"/>
        <v>-</v>
      </c>
      <c r="AC127" s="16" t="str">
        <f t="shared" si="128"/>
        <v>-</v>
      </c>
      <c r="AD127" s="16" t="str">
        <f t="shared" si="112"/>
        <v>-</v>
      </c>
      <c r="AE127" s="16" t="str">
        <f t="shared" si="113"/>
        <v>-</v>
      </c>
      <c r="AF127" s="16" t="str">
        <f t="shared" si="129"/>
        <v>-</v>
      </c>
      <c r="AG127" s="16"/>
      <c r="AH127" s="32" t="str">
        <f>IFERROR(INDEX('US Food'!$R$11:$R$197,MATCH('Calculations - US Food'!D127,'US Food'!$N$11:$N$197,0)),"")</f>
        <v/>
      </c>
      <c r="AI127" s="23" t="str">
        <f t="shared" si="130"/>
        <v/>
      </c>
      <c r="AJ127" s="23" t="str">
        <f t="shared" si="131"/>
        <v/>
      </c>
      <c r="AK127" s="9" t="str">
        <f t="shared" si="114"/>
        <v/>
      </c>
      <c r="AL127" s="4" t="str">
        <f t="shared" si="115"/>
        <v/>
      </c>
      <c r="AM127" s="4"/>
      <c r="AN127" s="4"/>
      <c r="AO127" s="4"/>
      <c r="AP127" s="4"/>
      <c r="AQ127" s="4"/>
      <c r="AR127" s="20" t="str">
        <f t="shared" si="116"/>
        <v>-</v>
      </c>
      <c r="AS127" s="13" t="str">
        <f t="shared" si="132"/>
        <v>-</v>
      </c>
      <c r="AT127" s="13" t="str">
        <f t="shared" si="133"/>
        <v>-</v>
      </c>
      <c r="AU127" s="13" t="str">
        <f t="shared" si="117"/>
        <v>-</v>
      </c>
      <c r="AV127" s="16" t="str">
        <f t="shared" si="134"/>
        <v>-</v>
      </c>
      <c r="AW127" s="16" t="str">
        <f t="shared" si="118"/>
        <v>-</v>
      </c>
      <c r="AX127" s="16" t="str">
        <f t="shared" si="119"/>
        <v>-</v>
      </c>
      <c r="AY127" s="16" t="str">
        <f t="shared" si="135"/>
        <v>-</v>
      </c>
      <c r="AZ127" s="13" t="str">
        <f t="shared" si="136"/>
        <v>-</v>
      </c>
      <c r="BA127" s="10" t="str">
        <f t="shared" si="137"/>
        <v>-</v>
      </c>
      <c r="BB127" s="9" t="str">
        <f t="shared" si="138"/>
        <v>-</v>
      </c>
      <c r="BC127" s="13" t="str">
        <f t="shared" si="139"/>
        <v>-</v>
      </c>
      <c r="BD127" s="10" t="str">
        <f t="shared" si="140"/>
        <v>-</v>
      </c>
      <c r="BE127" s="13" t="str">
        <f t="shared" si="141"/>
        <v>-</v>
      </c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</row>
    <row r="128" spans="2:70" x14ac:dyDescent="0.3">
      <c r="B128" s="96" t="str">
        <f t="shared" si="120"/>
        <v/>
      </c>
      <c r="C128" s="96" t="str">
        <f t="shared" si="121"/>
        <v/>
      </c>
      <c r="D128" s="96" t="str">
        <f t="shared" si="122"/>
        <v/>
      </c>
      <c r="E128" s="3"/>
      <c r="F128" s="3"/>
      <c r="G128" s="3"/>
      <c r="H128" s="3"/>
      <c r="I128" s="20">
        <f>IFERROR(INDEX('Input - US Food'!G$2:G$200,MATCH('Calculations - US Food'!$D128,'Input - US Food'!$B$2:$B$200,0)),"")</f>
        <v>0</v>
      </c>
      <c r="J128" s="20">
        <f>IFERROR(INDEX('Input - US Food'!H$2:H$200,MATCH('Calculations - US Food'!$D128,'Input - US Food'!$B$2:$B$200,0)),"")</f>
        <v>0</v>
      </c>
      <c r="K128" s="21">
        <f>IFERROR(INDEX('Input - US Food'!I$2:I$200,MATCH('Calculations - US Food'!$D128,'Input - US Food'!$B$2:$B$200,0)),"")</f>
        <v>0</v>
      </c>
      <c r="L128" s="21">
        <f>IFERROR(INDEX('Input - US Food'!J$2:J$200,MATCH('Calculations - US Food'!$D128,'Input - US Food'!$B$2:$B$200,0)),"")</f>
        <v>0</v>
      </c>
      <c r="M128" s="20">
        <f>IFERROR(INDEX('Input - US Food'!K$2:K$200,MATCH('Calculations - US Food'!$D128,'Input - US Food'!$B$2:$B$200,0)),"")</f>
        <v>6055363851.4215012</v>
      </c>
      <c r="N128" s="20">
        <f>IFERROR(INDEX('Input - US Food'!L$2:L$200,MATCH('Calculations - US Food'!$D128,'Input - US Food'!$B$2:$B$200,0)),"")</f>
        <v>1982155918.8720999</v>
      </c>
      <c r="O128" s="21" t="str">
        <f t="shared" si="123"/>
        <v/>
      </c>
      <c r="P128" s="21">
        <f t="shared" ref="P128:P159" si="142">IFERROR(M128/N128,"")</f>
        <v>3.0549382083257943</v>
      </c>
      <c r="Q128" s="21">
        <f t="shared" si="124"/>
        <v>0</v>
      </c>
      <c r="R128" s="9">
        <f t="shared" ref="R128:R159" si="143">I128/SUM(I$32:I$229)</f>
        <v>0</v>
      </c>
      <c r="S128" s="9">
        <f t="shared" ref="S128:S159" si="144">J128/SUM(J$32:J$229)</f>
        <v>0</v>
      </c>
      <c r="T128" s="22" t="str">
        <f>IFERROR(INDEX('US Food'!$S$11:$S$197,MATCH('Calculations - US Food'!$D128,'US Food'!$N$11:$N$197,0)),"")</f>
        <v/>
      </c>
      <c r="U128" s="22" t="str">
        <f>IFERROR(INDEX('US Food'!$T$11:$T$197,MATCH('Calculations - US Food'!$D128,'US Food'!$N$11:$N$197,0)),"")</f>
        <v/>
      </c>
      <c r="V128" s="16" t="e">
        <f t="shared" ref="V128:V159" si="145">T128*I128</f>
        <v>#VALUE!</v>
      </c>
      <c r="W128" s="16" t="e">
        <f t="shared" si="125"/>
        <v>#VALUE!</v>
      </c>
      <c r="X128" s="16" t="e">
        <f t="shared" si="126"/>
        <v>#VALUE!</v>
      </c>
      <c r="Y128" s="10" t="str">
        <f t="shared" ref="Y128:Y159" si="146">IFERROR(X128/J128,"-")</f>
        <v>-</v>
      </c>
      <c r="Z128" s="10" t="str">
        <f t="shared" ref="Z128:Z159" si="147">IFERROR((L128+O128)*J128*0.5,"-")</f>
        <v>-</v>
      </c>
      <c r="AA128" s="13" t="str">
        <f t="shared" si="127"/>
        <v>-</v>
      </c>
      <c r="AB128" s="9" t="str">
        <f t="shared" ref="AB128:AB159" si="148">IFERROR(AA128-R128,"-")</f>
        <v>-</v>
      </c>
      <c r="AC128" s="16" t="str">
        <f t="shared" si="128"/>
        <v>-</v>
      </c>
      <c r="AD128" s="16" t="str">
        <f t="shared" ref="AD128:AD159" si="149">IFERROR(AC128/O128,"-")</f>
        <v>-</v>
      </c>
      <c r="AE128" s="16" t="str">
        <f t="shared" ref="AE128:AE159" si="150">IFERROR(T128*AC128,"-")</f>
        <v>-</v>
      </c>
      <c r="AF128" s="16" t="str">
        <f t="shared" si="129"/>
        <v>-</v>
      </c>
      <c r="AG128" s="16"/>
      <c r="AH128" s="32" t="str">
        <f>IFERROR(INDEX('US Food'!$R$11:$R$197,MATCH('Calculations - US Food'!D128,'US Food'!$N$11:$N$197,0)),"")</f>
        <v/>
      </c>
      <c r="AI128" s="23" t="str">
        <f t="shared" si="130"/>
        <v/>
      </c>
      <c r="AJ128" s="23" t="str">
        <f t="shared" si="131"/>
        <v/>
      </c>
      <c r="AK128" s="9" t="str">
        <f t="shared" ref="AK128:AK159" si="151">IFERROR((AH128-O128)/O128,"")</f>
        <v/>
      </c>
      <c r="AL128" s="4" t="str">
        <f t="shared" ref="AL128:AL159" si="152">IFERROR(MAX((1+AK128*Q128/5)*J128,0),"")</f>
        <v/>
      </c>
      <c r="AM128" s="4"/>
      <c r="AN128" s="4"/>
      <c r="AO128" s="4"/>
      <c r="AP128" s="4"/>
      <c r="AQ128" s="4"/>
      <c r="AR128" s="20" t="str">
        <f t="shared" ref="AR128:AR159" si="153">IFERROR(0.5*(L128+AH128)*AL128,"-")</f>
        <v>-</v>
      </c>
      <c r="AS128" s="13" t="str">
        <f t="shared" si="132"/>
        <v>-</v>
      </c>
      <c r="AT128" s="13" t="str">
        <f t="shared" si="133"/>
        <v>-</v>
      </c>
      <c r="AU128" s="13" t="str">
        <f t="shared" ref="AU128:AU159" si="154">IFERROR(AT128-R128,"-")</f>
        <v>-</v>
      </c>
      <c r="AV128" s="16" t="str">
        <f t="shared" si="134"/>
        <v>-</v>
      </c>
      <c r="AW128" s="16" t="str">
        <f t="shared" ref="AW128:AW159" si="155">IFERROR(AV128/AH128,"-")</f>
        <v>-</v>
      </c>
      <c r="AX128" s="16" t="str">
        <f t="shared" ref="AX128:AX159" si="156">IFERROR(AI128*AV128,"-")</f>
        <v>-</v>
      </c>
      <c r="AY128" s="16" t="str">
        <f t="shared" si="135"/>
        <v>-</v>
      </c>
      <c r="AZ128" s="13" t="str">
        <f t="shared" si="136"/>
        <v>-</v>
      </c>
      <c r="BA128" s="10" t="str">
        <f t="shared" si="137"/>
        <v>-</v>
      </c>
      <c r="BB128" s="9" t="str">
        <f t="shared" si="138"/>
        <v>-</v>
      </c>
      <c r="BC128" s="13" t="str">
        <f t="shared" si="139"/>
        <v>-</v>
      </c>
      <c r="BD128" s="10" t="str">
        <f t="shared" si="140"/>
        <v>-</v>
      </c>
      <c r="BE128" s="13" t="str">
        <f t="shared" si="141"/>
        <v>-</v>
      </c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</row>
    <row r="129" spans="2:70" x14ac:dyDescent="0.3">
      <c r="B129" s="96" t="str">
        <f t="shared" si="120"/>
        <v/>
      </c>
      <c r="C129" s="96" t="str">
        <f t="shared" si="121"/>
        <v/>
      </c>
      <c r="D129" s="96" t="str">
        <f t="shared" si="122"/>
        <v/>
      </c>
      <c r="E129" s="3"/>
      <c r="F129" s="3"/>
      <c r="G129" s="3"/>
      <c r="H129" s="3"/>
      <c r="I129" s="20">
        <f>IFERROR(INDEX('Input - US Food'!G$2:G$200,MATCH('Calculations - US Food'!$D129,'Input - US Food'!$B$2:$B$200,0)),"")</f>
        <v>0</v>
      </c>
      <c r="J129" s="20">
        <f>IFERROR(INDEX('Input - US Food'!H$2:H$200,MATCH('Calculations - US Food'!$D129,'Input - US Food'!$B$2:$B$200,0)),"")</f>
        <v>0</v>
      </c>
      <c r="K129" s="21">
        <f>IFERROR(INDEX('Input - US Food'!I$2:I$200,MATCH('Calculations - US Food'!$D129,'Input - US Food'!$B$2:$B$200,0)),"")</f>
        <v>0</v>
      </c>
      <c r="L129" s="21">
        <f>IFERROR(INDEX('Input - US Food'!J$2:J$200,MATCH('Calculations - US Food'!$D129,'Input - US Food'!$B$2:$B$200,0)),"")</f>
        <v>0</v>
      </c>
      <c r="M129" s="20">
        <f>IFERROR(INDEX('Input - US Food'!K$2:K$200,MATCH('Calculations - US Food'!$D129,'Input - US Food'!$B$2:$B$200,0)),"")</f>
        <v>6055363851.4215012</v>
      </c>
      <c r="N129" s="20">
        <f>IFERROR(INDEX('Input - US Food'!L$2:L$200,MATCH('Calculations - US Food'!$D129,'Input - US Food'!$B$2:$B$200,0)),"")</f>
        <v>1982155918.8720999</v>
      </c>
      <c r="O129" s="21" t="str">
        <f t="shared" si="123"/>
        <v/>
      </c>
      <c r="P129" s="21">
        <f t="shared" si="142"/>
        <v>3.0549382083257943</v>
      </c>
      <c r="Q129" s="21">
        <f t="shared" si="124"/>
        <v>0</v>
      </c>
      <c r="R129" s="9">
        <f t="shared" si="143"/>
        <v>0</v>
      </c>
      <c r="S129" s="9">
        <f t="shared" si="144"/>
        <v>0</v>
      </c>
      <c r="T129" s="22" t="str">
        <f>IFERROR(INDEX('US Food'!$S$11:$S$197,MATCH('Calculations - US Food'!$D129,'US Food'!$N$11:$N$197,0)),"")</f>
        <v/>
      </c>
      <c r="U129" s="22" t="str">
        <f>IFERROR(INDEX('US Food'!$T$11:$T$197,MATCH('Calculations - US Food'!$D129,'US Food'!$N$11:$N$197,0)),"")</f>
        <v/>
      </c>
      <c r="V129" s="16" t="e">
        <f t="shared" si="145"/>
        <v>#VALUE!</v>
      </c>
      <c r="W129" s="16" t="e">
        <f t="shared" si="125"/>
        <v>#VALUE!</v>
      </c>
      <c r="X129" s="16" t="e">
        <f t="shared" si="126"/>
        <v>#VALUE!</v>
      </c>
      <c r="Y129" s="10" t="str">
        <f t="shared" si="146"/>
        <v>-</v>
      </c>
      <c r="Z129" s="10" t="str">
        <f t="shared" si="147"/>
        <v>-</v>
      </c>
      <c r="AA129" s="13" t="str">
        <f t="shared" si="127"/>
        <v>-</v>
      </c>
      <c r="AB129" s="9" t="str">
        <f t="shared" si="148"/>
        <v>-</v>
      </c>
      <c r="AC129" s="16" t="str">
        <f t="shared" si="128"/>
        <v>-</v>
      </c>
      <c r="AD129" s="16" t="str">
        <f t="shared" si="149"/>
        <v>-</v>
      </c>
      <c r="AE129" s="16" t="str">
        <f t="shared" si="150"/>
        <v>-</v>
      </c>
      <c r="AF129" s="16" t="str">
        <f t="shared" si="129"/>
        <v>-</v>
      </c>
      <c r="AG129" s="16"/>
      <c r="AH129" s="32" t="str">
        <f>IFERROR(INDEX('US Food'!$R$11:$R$197,MATCH('Calculations - US Food'!D129,'US Food'!$N$11:$N$197,0)),"")</f>
        <v/>
      </c>
      <c r="AI129" s="23" t="str">
        <f t="shared" si="130"/>
        <v/>
      </c>
      <c r="AJ129" s="23" t="str">
        <f t="shared" si="131"/>
        <v/>
      </c>
      <c r="AK129" s="9" t="str">
        <f t="shared" si="151"/>
        <v/>
      </c>
      <c r="AL129" s="4" t="str">
        <f t="shared" si="152"/>
        <v/>
      </c>
      <c r="AM129" s="4"/>
      <c r="AN129" s="4"/>
      <c r="AO129" s="4"/>
      <c r="AP129" s="4"/>
      <c r="AQ129" s="4"/>
      <c r="AR129" s="20" t="str">
        <f t="shared" si="153"/>
        <v>-</v>
      </c>
      <c r="AS129" s="13" t="str">
        <f t="shared" si="132"/>
        <v>-</v>
      </c>
      <c r="AT129" s="13" t="str">
        <f t="shared" si="133"/>
        <v>-</v>
      </c>
      <c r="AU129" s="13" t="str">
        <f t="shared" si="154"/>
        <v>-</v>
      </c>
      <c r="AV129" s="16" t="str">
        <f t="shared" si="134"/>
        <v>-</v>
      </c>
      <c r="AW129" s="16" t="str">
        <f t="shared" si="155"/>
        <v>-</v>
      </c>
      <c r="AX129" s="16" t="str">
        <f t="shared" si="156"/>
        <v>-</v>
      </c>
      <c r="AY129" s="16" t="str">
        <f t="shared" si="135"/>
        <v>-</v>
      </c>
      <c r="AZ129" s="13" t="str">
        <f t="shared" si="136"/>
        <v>-</v>
      </c>
      <c r="BA129" s="10" t="str">
        <f t="shared" si="137"/>
        <v>-</v>
      </c>
      <c r="BB129" s="9" t="str">
        <f t="shared" si="138"/>
        <v>-</v>
      </c>
      <c r="BC129" s="13" t="str">
        <f t="shared" si="139"/>
        <v>-</v>
      </c>
      <c r="BD129" s="10" t="str">
        <f t="shared" si="140"/>
        <v>-</v>
      </c>
      <c r="BE129" s="13" t="str">
        <f t="shared" si="141"/>
        <v>-</v>
      </c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</row>
    <row r="130" spans="2:70" x14ac:dyDescent="0.3">
      <c r="B130" s="96" t="str">
        <f t="shared" si="120"/>
        <v/>
      </c>
      <c r="C130" s="96" t="str">
        <f t="shared" si="121"/>
        <v/>
      </c>
      <c r="D130" s="96" t="str">
        <f t="shared" si="122"/>
        <v/>
      </c>
      <c r="E130" s="3"/>
      <c r="F130" s="3"/>
      <c r="G130" s="3"/>
      <c r="H130" s="3"/>
      <c r="I130" s="20">
        <f>IFERROR(INDEX('Input - US Food'!G$2:G$200,MATCH('Calculations - US Food'!$D130,'Input - US Food'!$B$2:$B$200,0)),"")</f>
        <v>0</v>
      </c>
      <c r="J130" s="20">
        <f>IFERROR(INDEX('Input - US Food'!H$2:H$200,MATCH('Calculations - US Food'!$D130,'Input - US Food'!$B$2:$B$200,0)),"")</f>
        <v>0</v>
      </c>
      <c r="K130" s="21">
        <f>IFERROR(INDEX('Input - US Food'!I$2:I$200,MATCH('Calculations - US Food'!$D130,'Input - US Food'!$B$2:$B$200,0)),"")</f>
        <v>0</v>
      </c>
      <c r="L130" s="21">
        <f>IFERROR(INDEX('Input - US Food'!J$2:J$200,MATCH('Calculations - US Food'!$D130,'Input - US Food'!$B$2:$B$200,0)),"")</f>
        <v>0</v>
      </c>
      <c r="M130" s="20">
        <f>IFERROR(INDEX('Input - US Food'!K$2:K$200,MATCH('Calculations - US Food'!$D130,'Input - US Food'!$B$2:$B$200,0)),"")</f>
        <v>6055363851.4215012</v>
      </c>
      <c r="N130" s="20">
        <f>IFERROR(INDEX('Input - US Food'!L$2:L$200,MATCH('Calculations - US Food'!$D130,'Input - US Food'!$B$2:$B$200,0)),"")</f>
        <v>1982155918.8720999</v>
      </c>
      <c r="O130" s="21" t="str">
        <f t="shared" si="123"/>
        <v/>
      </c>
      <c r="P130" s="21">
        <f t="shared" si="142"/>
        <v>3.0549382083257943</v>
      </c>
      <c r="Q130" s="21">
        <f t="shared" si="124"/>
        <v>0</v>
      </c>
      <c r="R130" s="9">
        <f t="shared" si="143"/>
        <v>0</v>
      </c>
      <c r="S130" s="9">
        <f t="shared" si="144"/>
        <v>0</v>
      </c>
      <c r="T130" s="22" t="str">
        <f>IFERROR(INDEX('US Food'!$S$11:$S$197,MATCH('Calculations - US Food'!$D130,'US Food'!$N$11:$N$197,0)),"")</f>
        <v/>
      </c>
      <c r="U130" s="22" t="str">
        <f>IFERROR(INDEX('US Food'!$T$11:$T$197,MATCH('Calculations - US Food'!$D130,'US Food'!$N$11:$N$197,0)),"")</f>
        <v/>
      </c>
      <c r="V130" s="16" t="e">
        <f t="shared" si="145"/>
        <v>#VALUE!</v>
      </c>
      <c r="W130" s="16" t="e">
        <f t="shared" si="125"/>
        <v>#VALUE!</v>
      </c>
      <c r="X130" s="16" t="e">
        <f t="shared" si="126"/>
        <v>#VALUE!</v>
      </c>
      <c r="Y130" s="10" t="str">
        <f t="shared" si="146"/>
        <v>-</v>
      </c>
      <c r="Z130" s="10" t="str">
        <f t="shared" si="147"/>
        <v>-</v>
      </c>
      <c r="AA130" s="13" t="str">
        <f t="shared" si="127"/>
        <v>-</v>
      </c>
      <c r="AB130" s="9" t="str">
        <f t="shared" si="148"/>
        <v>-</v>
      </c>
      <c r="AC130" s="16" t="str">
        <f t="shared" si="128"/>
        <v>-</v>
      </c>
      <c r="AD130" s="16" t="str">
        <f t="shared" si="149"/>
        <v>-</v>
      </c>
      <c r="AE130" s="16" t="str">
        <f t="shared" si="150"/>
        <v>-</v>
      </c>
      <c r="AF130" s="16" t="str">
        <f t="shared" si="129"/>
        <v>-</v>
      </c>
      <c r="AG130" s="16"/>
      <c r="AH130" s="32" t="str">
        <f>IFERROR(INDEX('US Food'!$R$11:$R$197,MATCH('Calculations - US Food'!D130,'US Food'!$N$11:$N$197,0)),"")</f>
        <v/>
      </c>
      <c r="AI130" s="23" t="str">
        <f t="shared" si="130"/>
        <v/>
      </c>
      <c r="AJ130" s="23" t="str">
        <f t="shared" si="131"/>
        <v/>
      </c>
      <c r="AK130" s="9" t="str">
        <f t="shared" si="151"/>
        <v/>
      </c>
      <c r="AL130" s="4" t="str">
        <f t="shared" si="152"/>
        <v/>
      </c>
      <c r="AM130" s="4"/>
      <c r="AN130" s="4"/>
      <c r="AO130" s="4"/>
      <c r="AP130" s="4"/>
      <c r="AQ130" s="4"/>
      <c r="AR130" s="20" t="str">
        <f t="shared" si="153"/>
        <v>-</v>
      </c>
      <c r="AS130" s="13" t="str">
        <f t="shared" si="132"/>
        <v>-</v>
      </c>
      <c r="AT130" s="13" t="str">
        <f t="shared" si="133"/>
        <v>-</v>
      </c>
      <c r="AU130" s="13" t="str">
        <f t="shared" si="154"/>
        <v>-</v>
      </c>
      <c r="AV130" s="16" t="str">
        <f t="shared" si="134"/>
        <v>-</v>
      </c>
      <c r="AW130" s="16" t="str">
        <f t="shared" si="155"/>
        <v>-</v>
      </c>
      <c r="AX130" s="16" t="str">
        <f t="shared" si="156"/>
        <v>-</v>
      </c>
      <c r="AY130" s="16" t="str">
        <f t="shared" si="135"/>
        <v>-</v>
      </c>
      <c r="AZ130" s="13" t="str">
        <f t="shared" si="136"/>
        <v>-</v>
      </c>
      <c r="BA130" s="10" t="str">
        <f t="shared" si="137"/>
        <v>-</v>
      </c>
      <c r="BB130" s="9" t="str">
        <f t="shared" si="138"/>
        <v>-</v>
      </c>
      <c r="BC130" s="13" t="str">
        <f t="shared" si="139"/>
        <v>-</v>
      </c>
      <c r="BD130" s="10" t="str">
        <f t="shared" si="140"/>
        <v>-</v>
      </c>
      <c r="BE130" s="13" t="str">
        <f t="shared" si="141"/>
        <v>-</v>
      </c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</row>
    <row r="131" spans="2:70" x14ac:dyDescent="0.3">
      <c r="B131" s="96" t="str">
        <f t="shared" si="120"/>
        <v/>
      </c>
      <c r="C131" s="96" t="str">
        <f t="shared" si="121"/>
        <v/>
      </c>
      <c r="D131" s="96" t="str">
        <f t="shared" si="122"/>
        <v/>
      </c>
      <c r="E131" s="3"/>
      <c r="F131" s="3"/>
      <c r="G131" s="3"/>
      <c r="H131" s="3"/>
      <c r="I131" s="20">
        <f>IFERROR(INDEX('Input - US Food'!G$2:G$200,MATCH('Calculations - US Food'!$D131,'Input - US Food'!$B$2:$B$200,0)),"")</f>
        <v>0</v>
      </c>
      <c r="J131" s="20">
        <f>IFERROR(INDEX('Input - US Food'!H$2:H$200,MATCH('Calculations - US Food'!$D131,'Input - US Food'!$B$2:$B$200,0)),"")</f>
        <v>0</v>
      </c>
      <c r="K131" s="21">
        <f>IFERROR(INDEX('Input - US Food'!I$2:I$200,MATCH('Calculations - US Food'!$D131,'Input - US Food'!$B$2:$B$200,0)),"")</f>
        <v>0</v>
      </c>
      <c r="L131" s="21">
        <f>IFERROR(INDEX('Input - US Food'!J$2:J$200,MATCH('Calculations - US Food'!$D131,'Input - US Food'!$B$2:$B$200,0)),"")</f>
        <v>0</v>
      </c>
      <c r="M131" s="20">
        <f>IFERROR(INDEX('Input - US Food'!K$2:K$200,MATCH('Calculations - US Food'!$D131,'Input - US Food'!$B$2:$B$200,0)),"")</f>
        <v>6055363851.4215012</v>
      </c>
      <c r="N131" s="20">
        <f>IFERROR(INDEX('Input - US Food'!L$2:L$200,MATCH('Calculations - US Food'!$D131,'Input - US Food'!$B$2:$B$200,0)),"")</f>
        <v>1982155918.8720999</v>
      </c>
      <c r="O131" s="21" t="str">
        <f t="shared" si="123"/>
        <v/>
      </c>
      <c r="P131" s="21">
        <f t="shared" si="142"/>
        <v>3.0549382083257943</v>
      </c>
      <c r="Q131" s="21">
        <f t="shared" si="124"/>
        <v>0</v>
      </c>
      <c r="R131" s="9">
        <f t="shared" si="143"/>
        <v>0</v>
      </c>
      <c r="S131" s="9">
        <f t="shared" si="144"/>
        <v>0</v>
      </c>
      <c r="T131" s="22" t="str">
        <f>IFERROR(INDEX('US Food'!$S$11:$S$197,MATCH('Calculations - US Food'!$D131,'US Food'!$N$11:$N$197,0)),"")</f>
        <v/>
      </c>
      <c r="U131" s="22" t="str">
        <f>IFERROR(INDEX('US Food'!$T$11:$T$197,MATCH('Calculations - US Food'!$D131,'US Food'!$N$11:$N$197,0)),"")</f>
        <v/>
      </c>
      <c r="V131" s="16" t="e">
        <f t="shared" si="145"/>
        <v>#VALUE!</v>
      </c>
      <c r="W131" s="16" t="e">
        <f t="shared" si="125"/>
        <v>#VALUE!</v>
      </c>
      <c r="X131" s="16" t="e">
        <f t="shared" si="126"/>
        <v>#VALUE!</v>
      </c>
      <c r="Y131" s="10" t="str">
        <f t="shared" si="146"/>
        <v>-</v>
      </c>
      <c r="Z131" s="10" t="str">
        <f t="shared" si="147"/>
        <v>-</v>
      </c>
      <c r="AA131" s="13" t="str">
        <f t="shared" si="127"/>
        <v>-</v>
      </c>
      <c r="AB131" s="9" t="str">
        <f t="shared" si="148"/>
        <v>-</v>
      </c>
      <c r="AC131" s="16" t="str">
        <f t="shared" si="128"/>
        <v>-</v>
      </c>
      <c r="AD131" s="16" t="str">
        <f t="shared" si="149"/>
        <v>-</v>
      </c>
      <c r="AE131" s="16" t="str">
        <f t="shared" si="150"/>
        <v>-</v>
      </c>
      <c r="AF131" s="16" t="str">
        <f t="shared" si="129"/>
        <v>-</v>
      </c>
      <c r="AG131" s="16"/>
      <c r="AH131" s="32" t="str">
        <f>IFERROR(INDEX('US Food'!$R$11:$R$197,MATCH('Calculations - US Food'!D131,'US Food'!$N$11:$N$197,0)),"")</f>
        <v/>
      </c>
      <c r="AI131" s="23" t="str">
        <f t="shared" si="130"/>
        <v/>
      </c>
      <c r="AJ131" s="23" t="str">
        <f t="shared" si="131"/>
        <v/>
      </c>
      <c r="AK131" s="9" t="str">
        <f t="shared" si="151"/>
        <v/>
      </c>
      <c r="AL131" s="4" t="str">
        <f t="shared" si="152"/>
        <v/>
      </c>
      <c r="AM131" s="4"/>
      <c r="AN131" s="4"/>
      <c r="AO131" s="4"/>
      <c r="AP131" s="4"/>
      <c r="AQ131" s="4"/>
      <c r="AR131" s="20" t="str">
        <f t="shared" si="153"/>
        <v>-</v>
      </c>
      <c r="AS131" s="13" t="str">
        <f t="shared" si="132"/>
        <v>-</v>
      </c>
      <c r="AT131" s="13" t="str">
        <f t="shared" si="133"/>
        <v>-</v>
      </c>
      <c r="AU131" s="13" t="str">
        <f t="shared" si="154"/>
        <v>-</v>
      </c>
      <c r="AV131" s="16" t="str">
        <f t="shared" si="134"/>
        <v>-</v>
      </c>
      <c r="AW131" s="16" t="str">
        <f t="shared" si="155"/>
        <v>-</v>
      </c>
      <c r="AX131" s="16" t="str">
        <f t="shared" si="156"/>
        <v>-</v>
      </c>
      <c r="AY131" s="16" t="str">
        <f t="shared" si="135"/>
        <v>-</v>
      </c>
      <c r="AZ131" s="13" t="str">
        <f t="shared" si="136"/>
        <v>-</v>
      </c>
      <c r="BA131" s="10" t="str">
        <f t="shared" si="137"/>
        <v>-</v>
      </c>
      <c r="BB131" s="9" t="str">
        <f t="shared" si="138"/>
        <v>-</v>
      </c>
      <c r="BC131" s="13" t="str">
        <f t="shared" si="139"/>
        <v>-</v>
      </c>
      <c r="BD131" s="10" t="str">
        <f t="shared" si="140"/>
        <v>-</v>
      </c>
      <c r="BE131" s="13" t="str">
        <f t="shared" si="141"/>
        <v>-</v>
      </c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</row>
    <row r="132" spans="2:70" x14ac:dyDescent="0.3">
      <c r="B132" s="96" t="str">
        <f t="shared" si="120"/>
        <v/>
      </c>
      <c r="C132" s="96" t="str">
        <f t="shared" si="121"/>
        <v/>
      </c>
      <c r="D132" s="96" t="str">
        <f t="shared" si="122"/>
        <v/>
      </c>
      <c r="E132" s="3"/>
      <c r="F132" s="3"/>
      <c r="G132" s="3"/>
      <c r="H132" s="3"/>
      <c r="I132" s="20">
        <f>IFERROR(INDEX('Input - US Food'!G$2:G$200,MATCH('Calculations - US Food'!$D132,'Input - US Food'!$B$2:$B$200,0)),"")</f>
        <v>0</v>
      </c>
      <c r="J132" s="20">
        <f>IFERROR(INDEX('Input - US Food'!H$2:H$200,MATCH('Calculations - US Food'!$D132,'Input - US Food'!$B$2:$B$200,0)),"")</f>
        <v>0</v>
      </c>
      <c r="K132" s="21">
        <f>IFERROR(INDEX('Input - US Food'!I$2:I$200,MATCH('Calculations - US Food'!$D132,'Input - US Food'!$B$2:$B$200,0)),"")</f>
        <v>0</v>
      </c>
      <c r="L132" s="21">
        <f>IFERROR(INDEX('Input - US Food'!J$2:J$200,MATCH('Calculations - US Food'!$D132,'Input - US Food'!$B$2:$B$200,0)),"")</f>
        <v>0</v>
      </c>
      <c r="M132" s="20">
        <f>IFERROR(INDEX('Input - US Food'!K$2:K$200,MATCH('Calculations - US Food'!$D132,'Input - US Food'!$B$2:$B$200,0)),"")</f>
        <v>6055363851.4215012</v>
      </c>
      <c r="N132" s="20">
        <f>IFERROR(INDEX('Input - US Food'!L$2:L$200,MATCH('Calculations - US Food'!$D132,'Input - US Food'!$B$2:$B$200,0)),"")</f>
        <v>1982155918.8720999</v>
      </c>
      <c r="O132" s="21" t="str">
        <f t="shared" si="123"/>
        <v/>
      </c>
      <c r="P132" s="21">
        <f t="shared" si="142"/>
        <v>3.0549382083257943</v>
      </c>
      <c r="Q132" s="21">
        <f t="shared" si="124"/>
        <v>0</v>
      </c>
      <c r="R132" s="9">
        <f t="shared" si="143"/>
        <v>0</v>
      </c>
      <c r="S132" s="9">
        <f t="shared" si="144"/>
        <v>0</v>
      </c>
      <c r="T132" s="22" t="str">
        <f>IFERROR(INDEX('US Food'!$S$11:$S$197,MATCH('Calculations - US Food'!$D132,'US Food'!$N$11:$N$197,0)),"")</f>
        <v/>
      </c>
      <c r="U132" s="22" t="str">
        <f>IFERROR(INDEX('US Food'!$T$11:$T$197,MATCH('Calculations - US Food'!$D132,'US Food'!$N$11:$N$197,0)),"")</f>
        <v/>
      </c>
      <c r="V132" s="16" t="e">
        <f t="shared" si="145"/>
        <v>#VALUE!</v>
      </c>
      <c r="W132" s="16" t="e">
        <f t="shared" si="125"/>
        <v>#VALUE!</v>
      </c>
      <c r="X132" s="16" t="e">
        <f t="shared" si="126"/>
        <v>#VALUE!</v>
      </c>
      <c r="Y132" s="10" t="str">
        <f t="shared" si="146"/>
        <v>-</v>
      </c>
      <c r="Z132" s="10" t="str">
        <f t="shared" si="147"/>
        <v>-</v>
      </c>
      <c r="AA132" s="13" t="str">
        <f t="shared" si="127"/>
        <v>-</v>
      </c>
      <c r="AB132" s="9" t="str">
        <f t="shared" si="148"/>
        <v>-</v>
      </c>
      <c r="AC132" s="16" t="str">
        <f t="shared" si="128"/>
        <v>-</v>
      </c>
      <c r="AD132" s="16" t="str">
        <f t="shared" si="149"/>
        <v>-</v>
      </c>
      <c r="AE132" s="16" t="str">
        <f t="shared" si="150"/>
        <v>-</v>
      </c>
      <c r="AF132" s="16" t="str">
        <f t="shared" si="129"/>
        <v>-</v>
      </c>
      <c r="AG132" s="16"/>
      <c r="AH132" s="32" t="str">
        <f>IFERROR(INDEX('US Food'!$R$11:$R$197,MATCH('Calculations - US Food'!D132,'US Food'!$N$11:$N$197,0)),"")</f>
        <v/>
      </c>
      <c r="AI132" s="23" t="str">
        <f t="shared" si="130"/>
        <v/>
      </c>
      <c r="AJ132" s="23" t="str">
        <f t="shared" si="131"/>
        <v/>
      </c>
      <c r="AK132" s="9" t="str">
        <f t="shared" si="151"/>
        <v/>
      </c>
      <c r="AL132" s="4" t="str">
        <f t="shared" si="152"/>
        <v/>
      </c>
      <c r="AM132" s="4"/>
      <c r="AN132" s="4"/>
      <c r="AO132" s="4"/>
      <c r="AP132" s="4"/>
      <c r="AQ132" s="4"/>
      <c r="AR132" s="20" t="str">
        <f t="shared" si="153"/>
        <v>-</v>
      </c>
      <c r="AS132" s="13" t="str">
        <f t="shared" si="132"/>
        <v>-</v>
      </c>
      <c r="AT132" s="13" t="str">
        <f t="shared" si="133"/>
        <v>-</v>
      </c>
      <c r="AU132" s="13" t="str">
        <f t="shared" si="154"/>
        <v>-</v>
      </c>
      <c r="AV132" s="16" t="str">
        <f t="shared" si="134"/>
        <v>-</v>
      </c>
      <c r="AW132" s="16" t="str">
        <f t="shared" si="155"/>
        <v>-</v>
      </c>
      <c r="AX132" s="16" t="str">
        <f t="shared" si="156"/>
        <v>-</v>
      </c>
      <c r="AY132" s="16" t="str">
        <f t="shared" si="135"/>
        <v>-</v>
      </c>
      <c r="AZ132" s="13" t="str">
        <f t="shared" si="136"/>
        <v>-</v>
      </c>
      <c r="BA132" s="10" t="str">
        <f t="shared" si="137"/>
        <v>-</v>
      </c>
      <c r="BB132" s="9" t="str">
        <f t="shared" si="138"/>
        <v>-</v>
      </c>
      <c r="BC132" s="13" t="str">
        <f t="shared" si="139"/>
        <v>-</v>
      </c>
      <c r="BD132" s="10" t="str">
        <f t="shared" si="140"/>
        <v>-</v>
      </c>
      <c r="BE132" s="13" t="str">
        <f t="shared" si="141"/>
        <v>-</v>
      </c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</row>
    <row r="133" spans="2:70" x14ac:dyDescent="0.3">
      <c r="B133" s="96" t="str">
        <f t="shared" si="120"/>
        <v/>
      </c>
      <c r="C133" s="96" t="str">
        <f t="shared" si="121"/>
        <v/>
      </c>
      <c r="D133" s="96" t="str">
        <f t="shared" si="122"/>
        <v/>
      </c>
      <c r="E133" s="3"/>
      <c r="F133" s="3"/>
      <c r="G133" s="3"/>
      <c r="H133" s="3"/>
      <c r="I133" s="20">
        <f>IFERROR(INDEX('Input - US Food'!G$2:G$200,MATCH('Calculations - US Food'!$D133,'Input - US Food'!$B$2:$B$200,0)),"")</f>
        <v>0</v>
      </c>
      <c r="J133" s="20">
        <f>IFERROR(INDEX('Input - US Food'!H$2:H$200,MATCH('Calculations - US Food'!$D133,'Input - US Food'!$B$2:$B$200,0)),"")</f>
        <v>0</v>
      </c>
      <c r="K133" s="21">
        <f>IFERROR(INDEX('Input - US Food'!I$2:I$200,MATCH('Calculations - US Food'!$D133,'Input - US Food'!$B$2:$B$200,0)),"")</f>
        <v>0</v>
      </c>
      <c r="L133" s="21">
        <f>IFERROR(INDEX('Input - US Food'!J$2:J$200,MATCH('Calculations - US Food'!$D133,'Input - US Food'!$B$2:$B$200,0)),"")</f>
        <v>0</v>
      </c>
      <c r="M133" s="20">
        <f>IFERROR(INDEX('Input - US Food'!K$2:K$200,MATCH('Calculations - US Food'!$D133,'Input - US Food'!$B$2:$B$200,0)),"")</f>
        <v>6055363851.4215012</v>
      </c>
      <c r="N133" s="20">
        <f>IFERROR(INDEX('Input - US Food'!L$2:L$200,MATCH('Calculations - US Food'!$D133,'Input - US Food'!$B$2:$B$200,0)),"")</f>
        <v>1982155918.8720999</v>
      </c>
      <c r="O133" s="21" t="str">
        <f t="shared" si="123"/>
        <v/>
      </c>
      <c r="P133" s="21">
        <f t="shared" si="142"/>
        <v>3.0549382083257943</v>
      </c>
      <c r="Q133" s="21">
        <f t="shared" si="124"/>
        <v>0</v>
      </c>
      <c r="R133" s="9">
        <f t="shared" si="143"/>
        <v>0</v>
      </c>
      <c r="S133" s="9">
        <f t="shared" si="144"/>
        <v>0</v>
      </c>
      <c r="T133" s="22" t="str">
        <f>IFERROR(INDEX('US Food'!$S$11:$S$197,MATCH('Calculations - US Food'!$D133,'US Food'!$N$11:$N$197,0)),"")</f>
        <v/>
      </c>
      <c r="U133" s="22" t="str">
        <f>IFERROR(INDEX('US Food'!$T$11:$T$197,MATCH('Calculations - US Food'!$D133,'US Food'!$N$11:$N$197,0)),"")</f>
        <v/>
      </c>
      <c r="V133" s="16" t="e">
        <f t="shared" si="145"/>
        <v>#VALUE!</v>
      </c>
      <c r="W133" s="16" t="e">
        <f t="shared" si="125"/>
        <v>#VALUE!</v>
      </c>
      <c r="X133" s="16" t="e">
        <f t="shared" si="126"/>
        <v>#VALUE!</v>
      </c>
      <c r="Y133" s="10" t="str">
        <f t="shared" si="146"/>
        <v>-</v>
      </c>
      <c r="Z133" s="10" t="str">
        <f t="shared" si="147"/>
        <v>-</v>
      </c>
      <c r="AA133" s="13" t="str">
        <f t="shared" si="127"/>
        <v>-</v>
      </c>
      <c r="AB133" s="9" t="str">
        <f t="shared" si="148"/>
        <v>-</v>
      </c>
      <c r="AC133" s="16" t="str">
        <f t="shared" si="128"/>
        <v>-</v>
      </c>
      <c r="AD133" s="16" t="str">
        <f t="shared" si="149"/>
        <v>-</v>
      </c>
      <c r="AE133" s="16" t="str">
        <f t="shared" si="150"/>
        <v>-</v>
      </c>
      <c r="AF133" s="16" t="str">
        <f t="shared" si="129"/>
        <v>-</v>
      </c>
      <c r="AG133" s="16"/>
      <c r="AH133" s="32" t="str">
        <f>IFERROR(INDEX('US Food'!$R$11:$R$197,MATCH('Calculations - US Food'!D133,'US Food'!$N$11:$N$197,0)),"")</f>
        <v/>
      </c>
      <c r="AI133" s="23" t="str">
        <f t="shared" si="130"/>
        <v/>
      </c>
      <c r="AJ133" s="23" t="str">
        <f t="shared" si="131"/>
        <v/>
      </c>
      <c r="AK133" s="9" t="str">
        <f t="shared" si="151"/>
        <v/>
      </c>
      <c r="AL133" s="4" t="str">
        <f t="shared" si="152"/>
        <v/>
      </c>
      <c r="AM133" s="4"/>
      <c r="AN133" s="4"/>
      <c r="AO133" s="4"/>
      <c r="AP133" s="4"/>
      <c r="AQ133" s="4"/>
      <c r="AR133" s="20" t="str">
        <f t="shared" si="153"/>
        <v>-</v>
      </c>
      <c r="AS133" s="13" t="str">
        <f t="shared" si="132"/>
        <v>-</v>
      </c>
      <c r="AT133" s="13" t="str">
        <f t="shared" si="133"/>
        <v>-</v>
      </c>
      <c r="AU133" s="13" t="str">
        <f t="shared" si="154"/>
        <v>-</v>
      </c>
      <c r="AV133" s="16" t="str">
        <f t="shared" si="134"/>
        <v>-</v>
      </c>
      <c r="AW133" s="16" t="str">
        <f t="shared" si="155"/>
        <v>-</v>
      </c>
      <c r="AX133" s="16" t="str">
        <f t="shared" si="156"/>
        <v>-</v>
      </c>
      <c r="AY133" s="16" t="str">
        <f t="shared" si="135"/>
        <v>-</v>
      </c>
      <c r="AZ133" s="13" t="str">
        <f t="shared" si="136"/>
        <v>-</v>
      </c>
      <c r="BA133" s="10" t="str">
        <f t="shared" si="137"/>
        <v>-</v>
      </c>
      <c r="BB133" s="9" t="str">
        <f t="shared" si="138"/>
        <v>-</v>
      </c>
      <c r="BC133" s="13" t="str">
        <f t="shared" si="139"/>
        <v>-</v>
      </c>
      <c r="BD133" s="10" t="str">
        <f t="shared" si="140"/>
        <v>-</v>
      </c>
      <c r="BE133" s="13" t="str">
        <f t="shared" si="141"/>
        <v>-</v>
      </c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</row>
    <row r="134" spans="2:70" x14ac:dyDescent="0.3">
      <c r="B134" s="96" t="str">
        <f t="shared" si="120"/>
        <v/>
      </c>
      <c r="C134" s="96" t="str">
        <f t="shared" si="121"/>
        <v/>
      </c>
      <c r="D134" s="96" t="str">
        <f t="shared" si="122"/>
        <v/>
      </c>
      <c r="E134" s="3"/>
      <c r="F134" s="3"/>
      <c r="G134" s="3"/>
      <c r="H134" s="3"/>
      <c r="I134" s="20">
        <f>IFERROR(INDEX('Input - US Food'!G$2:G$200,MATCH('Calculations - US Food'!$D134,'Input - US Food'!$B$2:$B$200,0)),"")</f>
        <v>0</v>
      </c>
      <c r="J134" s="20">
        <f>IFERROR(INDEX('Input - US Food'!H$2:H$200,MATCH('Calculations - US Food'!$D134,'Input - US Food'!$B$2:$B$200,0)),"")</f>
        <v>0</v>
      </c>
      <c r="K134" s="21">
        <f>IFERROR(INDEX('Input - US Food'!I$2:I$200,MATCH('Calculations - US Food'!$D134,'Input - US Food'!$B$2:$B$200,0)),"")</f>
        <v>0</v>
      </c>
      <c r="L134" s="21">
        <f>IFERROR(INDEX('Input - US Food'!J$2:J$200,MATCH('Calculations - US Food'!$D134,'Input - US Food'!$B$2:$B$200,0)),"")</f>
        <v>0</v>
      </c>
      <c r="M134" s="20">
        <f>IFERROR(INDEX('Input - US Food'!K$2:K$200,MATCH('Calculations - US Food'!$D134,'Input - US Food'!$B$2:$B$200,0)),"")</f>
        <v>6055363851.4215012</v>
      </c>
      <c r="N134" s="20">
        <f>IFERROR(INDEX('Input - US Food'!L$2:L$200,MATCH('Calculations - US Food'!$D134,'Input - US Food'!$B$2:$B$200,0)),"")</f>
        <v>1982155918.8720999</v>
      </c>
      <c r="O134" s="21" t="str">
        <f t="shared" si="123"/>
        <v/>
      </c>
      <c r="P134" s="21">
        <f t="shared" si="142"/>
        <v>3.0549382083257943</v>
      </c>
      <c r="Q134" s="21">
        <f t="shared" si="124"/>
        <v>0</v>
      </c>
      <c r="R134" s="9">
        <f t="shared" si="143"/>
        <v>0</v>
      </c>
      <c r="S134" s="9">
        <f t="shared" si="144"/>
        <v>0</v>
      </c>
      <c r="T134" s="22" t="str">
        <f>IFERROR(INDEX('US Food'!$S$11:$S$197,MATCH('Calculations - US Food'!$D134,'US Food'!$N$11:$N$197,0)),"")</f>
        <v/>
      </c>
      <c r="U134" s="22" t="str">
        <f>IFERROR(INDEX('US Food'!$T$11:$T$197,MATCH('Calculations - US Food'!$D134,'US Food'!$N$11:$N$197,0)),"")</f>
        <v/>
      </c>
      <c r="V134" s="16" t="e">
        <f t="shared" si="145"/>
        <v>#VALUE!</v>
      </c>
      <c r="W134" s="16" t="e">
        <f t="shared" si="125"/>
        <v>#VALUE!</v>
      </c>
      <c r="X134" s="16" t="e">
        <f t="shared" si="126"/>
        <v>#VALUE!</v>
      </c>
      <c r="Y134" s="10" t="str">
        <f t="shared" si="146"/>
        <v>-</v>
      </c>
      <c r="Z134" s="10" t="str">
        <f t="shared" si="147"/>
        <v>-</v>
      </c>
      <c r="AA134" s="13" t="str">
        <f t="shared" si="127"/>
        <v>-</v>
      </c>
      <c r="AB134" s="9" t="str">
        <f t="shared" si="148"/>
        <v>-</v>
      </c>
      <c r="AC134" s="16" t="str">
        <f t="shared" si="128"/>
        <v>-</v>
      </c>
      <c r="AD134" s="16" t="str">
        <f t="shared" si="149"/>
        <v>-</v>
      </c>
      <c r="AE134" s="16" t="str">
        <f t="shared" si="150"/>
        <v>-</v>
      </c>
      <c r="AF134" s="16" t="str">
        <f t="shared" si="129"/>
        <v>-</v>
      </c>
      <c r="AG134" s="16"/>
      <c r="AH134" s="32" t="str">
        <f>IFERROR(INDEX('US Food'!$R$11:$R$197,MATCH('Calculations - US Food'!D134,'US Food'!$N$11:$N$197,0)),"")</f>
        <v/>
      </c>
      <c r="AI134" s="23" t="str">
        <f t="shared" si="130"/>
        <v/>
      </c>
      <c r="AJ134" s="23" t="str">
        <f t="shared" si="131"/>
        <v/>
      </c>
      <c r="AK134" s="9" t="str">
        <f t="shared" si="151"/>
        <v/>
      </c>
      <c r="AL134" s="4" t="str">
        <f t="shared" si="152"/>
        <v/>
      </c>
      <c r="AM134" s="4"/>
      <c r="AN134" s="4"/>
      <c r="AO134" s="4"/>
      <c r="AP134" s="4"/>
      <c r="AQ134" s="4"/>
      <c r="AR134" s="20" t="str">
        <f t="shared" si="153"/>
        <v>-</v>
      </c>
      <c r="AS134" s="13" t="str">
        <f t="shared" si="132"/>
        <v>-</v>
      </c>
      <c r="AT134" s="13" t="str">
        <f t="shared" si="133"/>
        <v>-</v>
      </c>
      <c r="AU134" s="13" t="str">
        <f t="shared" si="154"/>
        <v>-</v>
      </c>
      <c r="AV134" s="16" t="str">
        <f t="shared" si="134"/>
        <v>-</v>
      </c>
      <c r="AW134" s="16" t="str">
        <f t="shared" si="155"/>
        <v>-</v>
      </c>
      <c r="AX134" s="16" t="str">
        <f t="shared" si="156"/>
        <v>-</v>
      </c>
      <c r="AY134" s="16" t="str">
        <f t="shared" si="135"/>
        <v>-</v>
      </c>
      <c r="AZ134" s="13" t="str">
        <f t="shared" si="136"/>
        <v>-</v>
      </c>
      <c r="BA134" s="10" t="str">
        <f t="shared" si="137"/>
        <v>-</v>
      </c>
      <c r="BB134" s="9" t="str">
        <f t="shared" si="138"/>
        <v>-</v>
      </c>
      <c r="BC134" s="13" t="str">
        <f t="shared" si="139"/>
        <v>-</v>
      </c>
      <c r="BD134" s="10" t="str">
        <f t="shared" si="140"/>
        <v>-</v>
      </c>
      <c r="BE134" s="13" t="str">
        <f t="shared" si="141"/>
        <v>-</v>
      </c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</row>
    <row r="135" spans="2:70" x14ac:dyDescent="0.3">
      <c r="B135" s="96" t="str">
        <f t="shared" si="120"/>
        <v/>
      </c>
      <c r="C135" s="96" t="str">
        <f t="shared" si="121"/>
        <v/>
      </c>
      <c r="D135" s="96" t="str">
        <f t="shared" si="122"/>
        <v/>
      </c>
      <c r="E135" s="3"/>
      <c r="F135" s="3"/>
      <c r="G135" s="3"/>
      <c r="H135" s="3"/>
      <c r="I135" s="20">
        <f>IFERROR(INDEX('Input - US Food'!G$2:G$200,MATCH('Calculations - US Food'!$D135,'Input - US Food'!$B$2:$B$200,0)),"")</f>
        <v>0</v>
      </c>
      <c r="J135" s="20">
        <f>IFERROR(INDEX('Input - US Food'!H$2:H$200,MATCH('Calculations - US Food'!$D135,'Input - US Food'!$B$2:$B$200,0)),"")</f>
        <v>0</v>
      </c>
      <c r="K135" s="21">
        <f>IFERROR(INDEX('Input - US Food'!I$2:I$200,MATCH('Calculations - US Food'!$D135,'Input - US Food'!$B$2:$B$200,0)),"")</f>
        <v>0</v>
      </c>
      <c r="L135" s="21">
        <f>IFERROR(INDEX('Input - US Food'!J$2:J$200,MATCH('Calculations - US Food'!$D135,'Input - US Food'!$B$2:$B$200,0)),"")</f>
        <v>0</v>
      </c>
      <c r="M135" s="20">
        <f>IFERROR(INDEX('Input - US Food'!K$2:K$200,MATCH('Calculations - US Food'!$D135,'Input - US Food'!$B$2:$B$200,0)),"")</f>
        <v>6055363851.4215012</v>
      </c>
      <c r="N135" s="20">
        <f>IFERROR(INDEX('Input - US Food'!L$2:L$200,MATCH('Calculations - US Food'!$D135,'Input - US Food'!$B$2:$B$200,0)),"")</f>
        <v>1982155918.8720999</v>
      </c>
      <c r="O135" s="21" t="str">
        <f t="shared" si="123"/>
        <v/>
      </c>
      <c r="P135" s="21">
        <f t="shared" si="142"/>
        <v>3.0549382083257943</v>
      </c>
      <c r="Q135" s="21">
        <f t="shared" si="124"/>
        <v>0</v>
      </c>
      <c r="R135" s="9">
        <f t="shared" si="143"/>
        <v>0</v>
      </c>
      <c r="S135" s="9">
        <f t="shared" si="144"/>
        <v>0</v>
      </c>
      <c r="T135" s="22" t="str">
        <f>IFERROR(INDEX('US Food'!$S$11:$S$197,MATCH('Calculations - US Food'!$D135,'US Food'!$N$11:$N$197,0)),"")</f>
        <v/>
      </c>
      <c r="U135" s="22" t="str">
        <f>IFERROR(INDEX('US Food'!$T$11:$T$197,MATCH('Calculations - US Food'!$D135,'US Food'!$N$11:$N$197,0)),"")</f>
        <v/>
      </c>
      <c r="V135" s="16" t="e">
        <f t="shared" si="145"/>
        <v>#VALUE!</v>
      </c>
      <c r="W135" s="16" t="e">
        <f t="shared" si="125"/>
        <v>#VALUE!</v>
      </c>
      <c r="X135" s="16" t="e">
        <f t="shared" si="126"/>
        <v>#VALUE!</v>
      </c>
      <c r="Y135" s="10" t="str">
        <f t="shared" si="146"/>
        <v>-</v>
      </c>
      <c r="Z135" s="10" t="str">
        <f t="shared" si="147"/>
        <v>-</v>
      </c>
      <c r="AA135" s="13" t="str">
        <f t="shared" si="127"/>
        <v>-</v>
      </c>
      <c r="AB135" s="9" t="str">
        <f t="shared" si="148"/>
        <v>-</v>
      </c>
      <c r="AC135" s="16" t="str">
        <f t="shared" si="128"/>
        <v>-</v>
      </c>
      <c r="AD135" s="16" t="str">
        <f t="shared" si="149"/>
        <v>-</v>
      </c>
      <c r="AE135" s="16" t="str">
        <f t="shared" si="150"/>
        <v>-</v>
      </c>
      <c r="AF135" s="16" t="str">
        <f t="shared" si="129"/>
        <v>-</v>
      </c>
      <c r="AG135" s="16"/>
      <c r="AH135" s="32" t="str">
        <f>IFERROR(INDEX('US Food'!$R$11:$R$197,MATCH('Calculations - US Food'!D135,'US Food'!$N$11:$N$197,0)),"")</f>
        <v/>
      </c>
      <c r="AI135" s="23" t="str">
        <f t="shared" si="130"/>
        <v/>
      </c>
      <c r="AJ135" s="23" t="str">
        <f t="shared" si="131"/>
        <v/>
      </c>
      <c r="AK135" s="9" t="str">
        <f t="shared" si="151"/>
        <v/>
      </c>
      <c r="AL135" s="4" t="str">
        <f t="shared" si="152"/>
        <v/>
      </c>
      <c r="AM135" s="4"/>
      <c r="AN135" s="4"/>
      <c r="AO135" s="4"/>
      <c r="AP135" s="4"/>
      <c r="AQ135" s="4"/>
      <c r="AR135" s="20" t="str">
        <f t="shared" si="153"/>
        <v>-</v>
      </c>
      <c r="AS135" s="13" t="str">
        <f t="shared" si="132"/>
        <v>-</v>
      </c>
      <c r="AT135" s="13" t="str">
        <f t="shared" si="133"/>
        <v>-</v>
      </c>
      <c r="AU135" s="13" t="str">
        <f t="shared" si="154"/>
        <v>-</v>
      </c>
      <c r="AV135" s="16" t="str">
        <f t="shared" si="134"/>
        <v>-</v>
      </c>
      <c r="AW135" s="16" t="str">
        <f t="shared" si="155"/>
        <v>-</v>
      </c>
      <c r="AX135" s="16" t="str">
        <f t="shared" si="156"/>
        <v>-</v>
      </c>
      <c r="AY135" s="16" t="str">
        <f t="shared" si="135"/>
        <v>-</v>
      </c>
      <c r="AZ135" s="13" t="str">
        <f t="shared" si="136"/>
        <v>-</v>
      </c>
      <c r="BA135" s="10" t="str">
        <f t="shared" si="137"/>
        <v>-</v>
      </c>
      <c r="BB135" s="9" t="str">
        <f t="shared" si="138"/>
        <v>-</v>
      </c>
      <c r="BC135" s="13" t="str">
        <f t="shared" si="139"/>
        <v>-</v>
      </c>
      <c r="BD135" s="10" t="str">
        <f t="shared" si="140"/>
        <v>-</v>
      </c>
      <c r="BE135" s="13" t="str">
        <f t="shared" si="141"/>
        <v>-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</row>
    <row r="136" spans="2:70" x14ac:dyDescent="0.3">
      <c r="B136" s="96" t="str">
        <f t="shared" si="120"/>
        <v/>
      </c>
      <c r="C136" s="96" t="str">
        <f t="shared" si="121"/>
        <v/>
      </c>
      <c r="D136" s="96" t="str">
        <f t="shared" si="122"/>
        <v/>
      </c>
      <c r="E136" s="3"/>
      <c r="F136" s="3"/>
      <c r="G136" s="3"/>
      <c r="H136" s="3"/>
      <c r="I136" s="20">
        <f>IFERROR(INDEX('Input - US Food'!G$2:G$200,MATCH('Calculations - US Food'!$D136,'Input - US Food'!$B$2:$B$200,0)),"")</f>
        <v>0</v>
      </c>
      <c r="J136" s="20">
        <f>IFERROR(INDEX('Input - US Food'!H$2:H$200,MATCH('Calculations - US Food'!$D136,'Input - US Food'!$B$2:$B$200,0)),"")</f>
        <v>0</v>
      </c>
      <c r="K136" s="21">
        <f>IFERROR(INDEX('Input - US Food'!I$2:I$200,MATCH('Calculations - US Food'!$D136,'Input - US Food'!$B$2:$B$200,0)),"")</f>
        <v>0</v>
      </c>
      <c r="L136" s="21">
        <f>IFERROR(INDEX('Input - US Food'!J$2:J$200,MATCH('Calculations - US Food'!$D136,'Input - US Food'!$B$2:$B$200,0)),"")</f>
        <v>0</v>
      </c>
      <c r="M136" s="20">
        <f>IFERROR(INDEX('Input - US Food'!K$2:K$200,MATCH('Calculations - US Food'!$D136,'Input - US Food'!$B$2:$B$200,0)),"")</f>
        <v>6055363851.4215012</v>
      </c>
      <c r="N136" s="20">
        <f>IFERROR(INDEX('Input - US Food'!L$2:L$200,MATCH('Calculations - US Food'!$D136,'Input - US Food'!$B$2:$B$200,0)),"")</f>
        <v>1982155918.8720999</v>
      </c>
      <c r="O136" s="21" t="str">
        <f t="shared" si="123"/>
        <v/>
      </c>
      <c r="P136" s="21">
        <f t="shared" si="142"/>
        <v>3.0549382083257943</v>
      </c>
      <c r="Q136" s="21">
        <f t="shared" si="124"/>
        <v>0</v>
      </c>
      <c r="R136" s="9">
        <f t="shared" si="143"/>
        <v>0</v>
      </c>
      <c r="S136" s="9">
        <f t="shared" si="144"/>
        <v>0</v>
      </c>
      <c r="T136" s="22" t="str">
        <f>IFERROR(INDEX('US Food'!$S$11:$S$197,MATCH('Calculations - US Food'!$D136,'US Food'!$N$11:$N$197,0)),"")</f>
        <v/>
      </c>
      <c r="U136" s="22" t="str">
        <f>IFERROR(INDEX('US Food'!$T$11:$T$197,MATCH('Calculations - US Food'!$D136,'US Food'!$N$11:$N$197,0)),"")</f>
        <v/>
      </c>
      <c r="V136" s="16" t="e">
        <f t="shared" si="145"/>
        <v>#VALUE!</v>
      </c>
      <c r="W136" s="16" t="e">
        <f t="shared" si="125"/>
        <v>#VALUE!</v>
      </c>
      <c r="X136" s="16" t="e">
        <f t="shared" si="126"/>
        <v>#VALUE!</v>
      </c>
      <c r="Y136" s="10" t="str">
        <f t="shared" si="146"/>
        <v>-</v>
      </c>
      <c r="Z136" s="10" t="str">
        <f t="shared" si="147"/>
        <v>-</v>
      </c>
      <c r="AA136" s="13" t="str">
        <f t="shared" si="127"/>
        <v>-</v>
      </c>
      <c r="AB136" s="9" t="str">
        <f t="shared" si="148"/>
        <v>-</v>
      </c>
      <c r="AC136" s="16" t="str">
        <f t="shared" si="128"/>
        <v>-</v>
      </c>
      <c r="AD136" s="16" t="str">
        <f t="shared" si="149"/>
        <v>-</v>
      </c>
      <c r="AE136" s="16" t="str">
        <f t="shared" si="150"/>
        <v>-</v>
      </c>
      <c r="AF136" s="16" t="str">
        <f t="shared" si="129"/>
        <v>-</v>
      </c>
      <c r="AG136" s="16"/>
      <c r="AH136" s="32" t="str">
        <f>IFERROR(INDEX('US Food'!$R$11:$R$197,MATCH('Calculations - US Food'!D136,'US Food'!$N$11:$N$197,0)),"")</f>
        <v/>
      </c>
      <c r="AI136" s="23" t="str">
        <f t="shared" si="130"/>
        <v/>
      </c>
      <c r="AJ136" s="23" t="str">
        <f t="shared" si="131"/>
        <v/>
      </c>
      <c r="AK136" s="9" t="str">
        <f t="shared" si="151"/>
        <v/>
      </c>
      <c r="AL136" s="4" t="str">
        <f t="shared" si="152"/>
        <v/>
      </c>
      <c r="AM136" s="4"/>
      <c r="AN136" s="4"/>
      <c r="AO136" s="4"/>
      <c r="AP136" s="4"/>
      <c r="AQ136" s="4"/>
      <c r="AR136" s="20" t="str">
        <f t="shared" si="153"/>
        <v>-</v>
      </c>
      <c r="AS136" s="13" t="str">
        <f t="shared" si="132"/>
        <v>-</v>
      </c>
      <c r="AT136" s="13" t="str">
        <f t="shared" si="133"/>
        <v>-</v>
      </c>
      <c r="AU136" s="13" t="str">
        <f t="shared" si="154"/>
        <v>-</v>
      </c>
      <c r="AV136" s="16" t="str">
        <f t="shared" si="134"/>
        <v>-</v>
      </c>
      <c r="AW136" s="16" t="str">
        <f t="shared" si="155"/>
        <v>-</v>
      </c>
      <c r="AX136" s="16" t="str">
        <f t="shared" si="156"/>
        <v>-</v>
      </c>
      <c r="AY136" s="16" t="str">
        <f t="shared" si="135"/>
        <v>-</v>
      </c>
      <c r="AZ136" s="13" t="str">
        <f t="shared" si="136"/>
        <v>-</v>
      </c>
      <c r="BA136" s="10" t="str">
        <f t="shared" si="137"/>
        <v>-</v>
      </c>
      <c r="BB136" s="9" t="str">
        <f t="shared" si="138"/>
        <v>-</v>
      </c>
      <c r="BC136" s="13" t="str">
        <f t="shared" si="139"/>
        <v>-</v>
      </c>
      <c r="BD136" s="10" t="str">
        <f t="shared" si="140"/>
        <v>-</v>
      </c>
      <c r="BE136" s="13" t="str">
        <f t="shared" si="141"/>
        <v>-</v>
      </c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</row>
    <row r="137" spans="2:70" x14ac:dyDescent="0.3">
      <c r="B137" s="96" t="str">
        <f t="shared" si="120"/>
        <v/>
      </c>
      <c r="C137" s="96" t="str">
        <f t="shared" si="121"/>
        <v/>
      </c>
      <c r="D137" s="96" t="str">
        <f t="shared" si="122"/>
        <v/>
      </c>
      <c r="E137" s="3"/>
      <c r="F137" s="3"/>
      <c r="G137" s="3"/>
      <c r="H137" s="3"/>
      <c r="I137" s="20">
        <f>IFERROR(INDEX('Input - US Food'!G$2:G$200,MATCH('Calculations - US Food'!$D137,'Input - US Food'!$B$2:$B$200,0)),"")</f>
        <v>0</v>
      </c>
      <c r="J137" s="20">
        <f>IFERROR(INDEX('Input - US Food'!H$2:H$200,MATCH('Calculations - US Food'!$D137,'Input - US Food'!$B$2:$B$200,0)),"")</f>
        <v>0</v>
      </c>
      <c r="K137" s="21">
        <f>IFERROR(INDEX('Input - US Food'!I$2:I$200,MATCH('Calculations - US Food'!$D137,'Input - US Food'!$B$2:$B$200,0)),"")</f>
        <v>0</v>
      </c>
      <c r="L137" s="21">
        <f>IFERROR(INDEX('Input - US Food'!J$2:J$200,MATCH('Calculations - US Food'!$D137,'Input - US Food'!$B$2:$B$200,0)),"")</f>
        <v>0</v>
      </c>
      <c r="M137" s="20">
        <f>IFERROR(INDEX('Input - US Food'!K$2:K$200,MATCH('Calculations - US Food'!$D137,'Input - US Food'!$B$2:$B$200,0)),"")</f>
        <v>6055363851.4215012</v>
      </c>
      <c r="N137" s="20">
        <f>IFERROR(INDEX('Input - US Food'!L$2:L$200,MATCH('Calculations - US Food'!$D137,'Input - US Food'!$B$2:$B$200,0)),"")</f>
        <v>1982155918.8720999</v>
      </c>
      <c r="O137" s="21" t="str">
        <f t="shared" si="123"/>
        <v/>
      </c>
      <c r="P137" s="21">
        <f t="shared" si="142"/>
        <v>3.0549382083257943</v>
      </c>
      <c r="Q137" s="21">
        <f t="shared" si="124"/>
        <v>0</v>
      </c>
      <c r="R137" s="9">
        <f t="shared" si="143"/>
        <v>0</v>
      </c>
      <c r="S137" s="9">
        <f t="shared" si="144"/>
        <v>0</v>
      </c>
      <c r="T137" s="22" t="str">
        <f>IFERROR(INDEX('US Food'!$S$11:$S$197,MATCH('Calculations - US Food'!$D137,'US Food'!$N$11:$N$197,0)),"")</f>
        <v/>
      </c>
      <c r="U137" s="22" t="str">
        <f>IFERROR(INDEX('US Food'!$T$11:$T$197,MATCH('Calculations - US Food'!$D137,'US Food'!$N$11:$N$197,0)),"")</f>
        <v/>
      </c>
      <c r="V137" s="16" t="e">
        <f t="shared" si="145"/>
        <v>#VALUE!</v>
      </c>
      <c r="W137" s="16" t="e">
        <f t="shared" si="125"/>
        <v>#VALUE!</v>
      </c>
      <c r="X137" s="16" t="e">
        <f t="shared" si="126"/>
        <v>#VALUE!</v>
      </c>
      <c r="Y137" s="10" t="str">
        <f t="shared" si="146"/>
        <v>-</v>
      </c>
      <c r="Z137" s="10" t="str">
        <f t="shared" si="147"/>
        <v>-</v>
      </c>
      <c r="AA137" s="13" t="str">
        <f t="shared" si="127"/>
        <v>-</v>
      </c>
      <c r="AB137" s="9" t="str">
        <f t="shared" si="148"/>
        <v>-</v>
      </c>
      <c r="AC137" s="16" t="str">
        <f t="shared" si="128"/>
        <v>-</v>
      </c>
      <c r="AD137" s="16" t="str">
        <f t="shared" si="149"/>
        <v>-</v>
      </c>
      <c r="AE137" s="16" t="str">
        <f t="shared" si="150"/>
        <v>-</v>
      </c>
      <c r="AF137" s="16" t="str">
        <f t="shared" si="129"/>
        <v>-</v>
      </c>
      <c r="AG137" s="16"/>
      <c r="AH137" s="32" t="str">
        <f>IFERROR(INDEX('US Food'!$R$11:$R$197,MATCH('Calculations - US Food'!D137,'US Food'!$N$11:$N$197,0)),"")</f>
        <v/>
      </c>
      <c r="AI137" s="23" t="str">
        <f t="shared" si="130"/>
        <v/>
      </c>
      <c r="AJ137" s="23" t="str">
        <f t="shared" si="131"/>
        <v/>
      </c>
      <c r="AK137" s="9" t="str">
        <f t="shared" si="151"/>
        <v/>
      </c>
      <c r="AL137" s="4" t="str">
        <f t="shared" si="152"/>
        <v/>
      </c>
      <c r="AM137" s="4"/>
      <c r="AN137" s="4"/>
      <c r="AO137" s="4"/>
      <c r="AP137" s="4"/>
      <c r="AQ137" s="4"/>
      <c r="AR137" s="20" t="str">
        <f t="shared" si="153"/>
        <v>-</v>
      </c>
      <c r="AS137" s="13" t="str">
        <f t="shared" si="132"/>
        <v>-</v>
      </c>
      <c r="AT137" s="13" t="str">
        <f t="shared" si="133"/>
        <v>-</v>
      </c>
      <c r="AU137" s="13" t="str">
        <f t="shared" si="154"/>
        <v>-</v>
      </c>
      <c r="AV137" s="16" t="str">
        <f t="shared" si="134"/>
        <v>-</v>
      </c>
      <c r="AW137" s="16" t="str">
        <f t="shared" si="155"/>
        <v>-</v>
      </c>
      <c r="AX137" s="16" t="str">
        <f t="shared" si="156"/>
        <v>-</v>
      </c>
      <c r="AY137" s="16" t="str">
        <f t="shared" si="135"/>
        <v>-</v>
      </c>
      <c r="AZ137" s="13" t="str">
        <f t="shared" si="136"/>
        <v>-</v>
      </c>
      <c r="BA137" s="10" t="str">
        <f t="shared" si="137"/>
        <v>-</v>
      </c>
      <c r="BB137" s="9" t="str">
        <f t="shared" si="138"/>
        <v>-</v>
      </c>
      <c r="BC137" s="13" t="str">
        <f t="shared" si="139"/>
        <v>-</v>
      </c>
      <c r="BD137" s="10" t="str">
        <f t="shared" si="140"/>
        <v>-</v>
      </c>
      <c r="BE137" s="13" t="str">
        <f t="shared" si="141"/>
        <v>-</v>
      </c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</row>
    <row r="138" spans="2:70" x14ac:dyDescent="0.3">
      <c r="B138" s="96" t="str">
        <f t="shared" si="120"/>
        <v/>
      </c>
      <c r="C138" s="96" t="str">
        <f t="shared" si="121"/>
        <v/>
      </c>
      <c r="D138" s="96" t="str">
        <f t="shared" si="122"/>
        <v/>
      </c>
      <c r="E138" s="3"/>
      <c r="F138" s="3"/>
      <c r="G138" s="3"/>
      <c r="H138" s="3"/>
      <c r="I138" s="20">
        <f>IFERROR(INDEX('Input - US Food'!G$2:G$200,MATCH('Calculations - US Food'!$D138,'Input - US Food'!$B$2:$B$200,0)),"")</f>
        <v>0</v>
      </c>
      <c r="J138" s="20">
        <f>IFERROR(INDEX('Input - US Food'!H$2:H$200,MATCH('Calculations - US Food'!$D138,'Input - US Food'!$B$2:$B$200,0)),"")</f>
        <v>0</v>
      </c>
      <c r="K138" s="21">
        <f>IFERROR(INDEX('Input - US Food'!I$2:I$200,MATCH('Calculations - US Food'!$D138,'Input - US Food'!$B$2:$B$200,0)),"")</f>
        <v>0</v>
      </c>
      <c r="L138" s="21">
        <f>IFERROR(INDEX('Input - US Food'!J$2:J$200,MATCH('Calculations - US Food'!$D138,'Input - US Food'!$B$2:$B$200,0)),"")</f>
        <v>0</v>
      </c>
      <c r="M138" s="20">
        <f>IFERROR(INDEX('Input - US Food'!K$2:K$200,MATCH('Calculations - US Food'!$D138,'Input - US Food'!$B$2:$B$200,0)),"")</f>
        <v>6055363851.4215012</v>
      </c>
      <c r="N138" s="20">
        <f>IFERROR(INDEX('Input - US Food'!L$2:L$200,MATCH('Calculations - US Food'!$D138,'Input - US Food'!$B$2:$B$200,0)),"")</f>
        <v>1982155918.8720999</v>
      </c>
      <c r="O138" s="21" t="str">
        <f t="shared" si="123"/>
        <v/>
      </c>
      <c r="P138" s="21">
        <f t="shared" si="142"/>
        <v>3.0549382083257943</v>
      </c>
      <c r="Q138" s="21">
        <f t="shared" si="124"/>
        <v>0</v>
      </c>
      <c r="R138" s="9">
        <f t="shared" si="143"/>
        <v>0</v>
      </c>
      <c r="S138" s="9">
        <f t="shared" si="144"/>
        <v>0</v>
      </c>
      <c r="T138" s="22" t="str">
        <f>IFERROR(INDEX('US Food'!$S$11:$S$197,MATCH('Calculations - US Food'!$D138,'US Food'!$N$11:$N$197,0)),"")</f>
        <v/>
      </c>
      <c r="U138" s="22" t="str">
        <f>IFERROR(INDEX('US Food'!$T$11:$T$197,MATCH('Calculations - US Food'!$D138,'US Food'!$N$11:$N$197,0)),"")</f>
        <v/>
      </c>
      <c r="V138" s="16" t="e">
        <f t="shared" si="145"/>
        <v>#VALUE!</v>
      </c>
      <c r="W138" s="16" t="e">
        <f t="shared" si="125"/>
        <v>#VALUE!</v>
      </c>
      <c r="X138" s="16" t="e">
        <f t="shared" si="126"/>
        <v>#VALUE!</v>
      </c>
      <c r="Y138" s="10" t="str">
        <f t="shared" si="146"/>
        <v>-</v>
      </c>
      <c r="Z138" s="10" t="str">
        <f t="shared" si="147"/>
        <v>-</v>
      </c>
      <c r="AA138" s="13" t="str">
        <f t="shared" si="127"/>
        <v>-</v>
      </c>
      <c r="AB138" s="9" t="str">
        <f t="shared" si="148"/>
        <v>-</v>
      </c>
      <c r="AC138" s="16" t="str">
        <f t="shared" si="128"/>
        <v>-</v>
      </c>
      <c r="AD138" s="16" t="str">
        <f t="shared" si="149"/>
        <v>-</v>
      </c>
      <c r="AE138" s="16" t="str">
        <f t="shared" si="150"/>
        <v>-</v>
      </c>
      <c r="AF138" s="16" t="str">
        <f t="shared" si="129"/>
        <v>-</v>
      </c>
      <c r="AG138" s="16"/>
      <c r="AH138" s="32" t="str">
        <f>IFERROR(INDEX('US Food'!$R$11:$R$197,MATCH('Calculations - US Food'!D138,'US Food'!$N$11:$N$197,0)),"")</f>
        <v/>
      </c>
      <c r="AI138" s="23" t="str">
        <f t="shared" si="130"/>
        <v/>
      </c>
      <c r="AJ138" s="23" t="str">
        <f t="shared" si="131"/>
        <v/>
      </c>
      <c r="AK138" s="9" t="str">
        <f t="shared" si="151"/>
        <v/>
      </c>
      <c r="AL138" s="4" t="str">
        <f t="shared" si="152"/>
        <v/>
      </c>
      <c r="AM138" s="4"/>
      <c r="AN138" s="4"/>
      <c r="AO138" s="4"/>
      <c r="AP138" s="4"/>
      <c r="AQ138" s="4"/>
      <c r="AR138" s="20" t="str">
        <f t="shared" si="153"/>
        <v>-</v>
      </c>
      <c r="AS138" s="13" t="str">
        <f t="shared" si="132"/>
        <v>-</v>
      </c>
      <c r="AT138" s="13" t="str">
        <f t="shared" si="133"/>
        <v>-</v>
      </c>
      <c r="AU138" s="13" t="str">
        <f t="shared" si="154"/>
        <v>-</v>
      </c>
      <c r="AV138" s="16" t="str">
        <f t="shared" si="134"/>
        <v>-</v>
      </c>
      <c r="AW138" s="16" t="str">
        <f t="shared" si="155"/>
        <v>-</v>
      </c>
      <c r="AX138" s="16" t="str">
        <f t="shared" si="156"/>
        <v>-</v>
      </c>
      <c r="AY138" s="16" t="str">
        <f t="shared" si="135"/>
        <v>-</v>
      </c>
      <c r="AZ138" s="13" t="str">
        <f t="shared" si="136"/>
        <v>-</v>
      </c>
      <c r="BA138" s="10" t="str">
        <f t="shared" si="137"/>
        <v>-</v>
      </c>
      <c r="BB138" s="9" t="str">
        <f t="shared" si="138"/>
        <v>-</v>
      </c>
      <c r="BC138" s="13" t="str">
        <f t="shared" si="139"/>
        <v>-</v>
      </c>
      <c r="BD138" s="10" t="str">
        <f t="shared" si="140"/>
        <v>-</v>
      </c>
      <c r="BE138" s="13" t="str">
        <f t="shared" si="141"/>
        <v>-</v>
      </c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</row>
    <row r="139" spans="2:70" x14ac:dyDescent="0.3">
      <c r="B139" s="96" t="str">
        <f t="shared" si="120"/>
        <v/>
      </c>
      <c r="C139" s="96" t="str">
        <f t="shared" si="121"/>
        <v/>
      </c>
      <c r="D139" s="96" t="str">
        <f t="shared" si="122"/>
        <v/>
      </c>
      <c r="E139" s="3"/>
      <c r="F139" s="3"/>
      <c r="G139" s="3"/>
      <c r="H139" s="3"/>
      <c r="I139" s="20">
        <f>IFERROR(INDEX('Input - US Food'!G$2:G$200,MATCH('Calculations - US Food'!$D139,'Input - US Food'!$B$2:$B$200,0)),"")</f>
        <v>0</v>
      </c>
      <c r="J139" s="20">
        <f>IFERROR(INDEX('Input - US Food'!H$2:H$200,MATCH('Calculations - US Food'!$D139,'Input - US Food'!$B$2:$B$200,0)),"")</f>
        <v>0</v>
      </c>
      <c r="K139" s="21">
        <f>IFERROR(INDEX('Input - US Food'!I$2:I$200,MATCH('Calculations - US Food'!$D139,'Input - US Food'!$B$2:$B$200,0)),"")</f>
        <v>0</v>
      </c>
      <c r="L139" s="21">
        <f>IFERROR(INDEX('Input - US Food'!J$2:J$200,MATCH('Calculations - US Food'!$D139,'Input - US Food'!$B$2:$B$200,0)),"")</f>
        <v>0</v>
      </c>
      <c r="M139" s="20">
        <f>IFERROR(INDEX('Input - US Food'!K$2:K$200,MATCH('Calculations - US Food'!$D139,'Input - US Food'!$B$2:$B$200,0)),"")</f>
        <v>6055363851.4215012</v>
      </c>
      <c r="N139" s="20">
        <f>IFERROR(INDEX('Input - US Food'!L$2:L$200,MATCH('Calculations - US Food'!$D139,'Input - US Food'!$B$2:$B$200,0)),"")</f>
        <v>1982155918.8720999</v>
      </c>
      <c r="O139" s="21" t="str">
        <f t="shared" si="123"/>
        <v/>
      </c>
      <c r="P139" s="21">
        <f t="shared" si="142"/>
        <v>3.0549382083257943</v>
      </c>
      <c r="Q139" s="21">
        <f t="shared" si="124"/>
        <v>0</v>
      </c>
      <c r="R139" s="9">
        <f t="shared" si="143"/>
        <v>0</v>
      </c>
      <c r="S139" s="9">
        <f t="shared" si="144"/>
        <v>0</v>
      </c>
      <c r="T139" s="22" t="str">
        <f>IFERROR(INDEX('US Food'!$S$11:$S$197,MATCH('Calculations - US Food'!$D139,'US Food'!$N$11:$N$197,0)),"")</f>
        <v/>
      </c>
      <c r="U139" s="22" t="str">
        <f>IFERROR(INDEX('US Food'!$T$11:$T$197,MATCH('Calculations - US Food'!$D139,'US Food'!$N$11:$N$197,0)),"")</f>
        <v/>
      </c>
      <c r="V139" s="16" t="e">
        <f t="shared" si="145"/>
        <v>#VALUE!</v>
      </c>
      <c r="W139" s="16" t="e">
        <f t="shared" si="125"/>
        <v>#VALUE!</v>
      </c>
      <c r="X139" s="16" t="e">
        <f t="shared" si="126"/>
        <v>#VALUE!</v>
      </c>
      <c r="Y139" s="10" t="str">
        <f t="shared" si="146"/>
        <v>-</v>
      </c>
      <c r="Z139" s="10" t="str">
        <f t="shared" si="147"/>
        <v>-</v>
      </c>
      <c r="AA139" s="13" t="str">
        <f t="shared" si="127"/>
        <v>-</v>
      </c>
      <c r="AB139" s="9" t="str">
        <f t="shared" si="148"/>
        <v>-</v>
      </c>
      <c r="AC139" s="16" t="str">
        <f t="shared" si="128"/>
        <v>-</v>
      </c>
      <c r="AD139" s="16" t="str">
        <f t="shared" si="149"/>
        <v>-</v>
      </c>
      <c r="AE139" s="16" t="str">
        <f t="shared" si="150"/>
        <v>-</v>
      </c>
      <c r="AF139" s="16" t="str">
        <f t="shared" si="129"/>
        <v>-</v>
      </c>
      <c r="AG139" s="16"/>
      <c r="AH139" s="32" t="str">
        <f>IFERROR(INDEX('US Food'!$R$11:$R$197,MATCH('Calculations - US Food'!D139,'US Food'!$N$11:$N$197,0)),"")</f>
        <v/>
      </c>
      <c r="AI139" s="23" t="str">
        <f t="shared" si="130"/>
        <v/>
      </c>
      <c r="AJ139" s="23" t="str">
        <f t="shared" si="131"/>
        <v/>
      </c>
      <c r="AK139" s="9" t="str">
        <f t="shared" si="151"/>
        <v/>
      </c>
      <c r="AL139" s="4" t="str">
        <f t="shared" si="152"/>
        <v/>
      </c>
      <c r="AM139" s="4"/>
      <c r="AN139" s="4"/>
      <c r="AO139" s="4"/>
      <c r="AP139" s="4"/>
      <c r="AQ139" s="4"/>
      <c r="AR139" s="20" t="str">
        <f t="shared" si="153"/>
        <v>-</v>
      </c>
      <c r="AS139" s="13" t="str">
        <f t="shared" si="132"/>
        <v>-</v>
      </c>
      <c r="AT139" s="13" t="str">
        <f t="shared" si="133"/>
        <v>-</v>
      </c>
      <c r="AU139" s="13" t="str">
        <f t="shared" si="154"/>
        <v>-</v>
      </c>
      <c r="AV139" s="16" t="str">
        <f t="shared" si="134"/>
        <v>-</v>
      </c>
      <c r="AW139" s="16" t="str">
        <f t="shared" si="155"/>
        <v>-</v>
      </c>
      <c r="AX139" s="16" t="str">
        <f t="shared" si="156"/>
        <v>-</v>
      </c>
      <c r="AY139" s="16" t="str">
        <f t="shared" si="135"/>
        <v>-</v>
      </c>
      <c r="AZ139" s="13" t="str">
        <f t="shared" si="136"/>
        <v>-</v>
      </c>
      <c r="BA139" s="10" t="str">
        <f t="shared" si="137"/>
        <v>-</v>
      </c>
      <c r="BB139" s="9" t="str">
        <f t="shared" si="138"/>
        <v>-</v>
      </c>
      <c r="BC139" s="13" t="str">
        <f t="shared" si="139"/>
        <v>-</v>
      </c>
      <c r="BD139" s="10" t="str">
        <f t="shared" si="140"/>
        <v>-</v>
      </c>
      <c r="BE139" s="13" t="str">
        <f t="shared" si="141"/>
        <v>-</v>
      </c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</row>
    <row r="140" spans="2:70" x14ac:dyDescent="0.3">
      <c r="B140" s="96" t="str">
        <f t="shared" si="120"/>
        <v/>
      </c>
      <c r="C140" s="96" t="str">
        <f t="shared" si="121"/>
        <v/>
      </c>
      <c r="D140" s="96" t="str">
        <f t="shared" si="122"/>
        <v/>
      </c>
      <c r="E140" s="3"/>
      <c r="F140" s="3"/>
      <c r="G140" s="3"/>
      <c r="H140" s="3"/>
      <c r="I140" s="20">
        <f>IFERROR(INDEX('Input - US Food'!G$2:G$200,MATCH('Calculations - US Food'!$D140,'Input - US Food'!$B$2:$B$200,0)),"")</f>
        <v>0</v>
      </c>
      <c r="J140" s="20">
        <f>IFERROR(INDEX('Input - US Food'!H$2:H$200,MATCH('Calculations - US Food'!$D140,'Input - US Food'!$B$2:$B$200,0)),"")</f>
        <v>0</v>
      </c>
      <c r="K140" s="21">
        <f>IFERROR(INDEX('Input - US Food'!I$2:I$200,MATCH('Calculations - US Food'!$D140,'Input - US Food'!$B$2:$B$200,0)),"")</f>
        <v>0</v>
      </c>
      <c r="L140" s="21">
        <f>IFERROR(INDEX('Input - US Food'!J$2:J$200,MATCH('Calculations - US Food'!$D140,'Input - US Food'!$B$2:$B$200,0)),"")</f>
        <v>0</v>
      </c>
      <c r="M140" s="20">
        <f>IFERROR(INDEX('Input - US Food'!K$2:K$200,MATCH('Calculations - US Food'!$D140,'Input - US Food'!$B$2:$B$200,0)),"")</f>
        <v>6055363851.4215012</v>
      </c>
      <c r="N140" s="20">
        <f>IFERROR(INDEX('Input - US Food'!L$2:L$200,MATCH('Calculations - US Food'!$D140,'Input - US Food'!$B$2:$B$200,0)),"")</f>
        <v>1982155918.8720999</v>
      </c>
      <c r="O140" s="21" t="str">
        <f t="shared" si="123"/>
        <v/>
      </c>
      <c r="P140" s="21">
        <f t="shared" si="142"/>
        <v>3.0549382083257943</v>
      </c>
      <c r="Q140" s="21">
        <f t="shared" si="124"/>
        <v>0</v>
      </c>
      <c r="R140" s="9">
        <f t="shared" si="143"/>
        <v>0</v>
      </c>
      <c r="S140" s="9">
        <f t="shared" si="144"/>
        <v>0</v>
      </c>
      <c r="T140" s="22" t="str">
        <f>IFERROR(INDEX('US Food'!$S$11:$S$197,MATCH('Calculations - US Food'!$D140,'US Food'!$N$11:$N$197,0)),"")</f>
        <v/>
      </c>
      <c r="U140" s="22" t="str">
        <f>IFERROR(INDEX('US Food'!$T$11:$T$197,MATCH('Calculations - US Food'!$D140,'US Food'!$N$11:$N$197,0)),"")</f>
        <v/>
      </c>
      <c r="V140" s="16" t="e">
        <f t="shared" si="145"/>
        <v>#VALUE!</v>
      </c>
      <c r="W140" s="16" t="e">
        <f t="shared" si="125"/>
        <v>#VALUE!</v>
      </c>
      <c r="X140" s="16" t="e">
        <f t="shared" si="126"/>
        <v>#VALUE!</v>
      </c>
      <c r="Y140" s="10" t="str">
        <f t="shared" si="146"/>
        <v>-</v>
      </c>
      <c r="Z140" s="10" t="str">
        <f t="shared" si="147"/>
        <v>-</v>
      </c>
      <c r="AA140" s="13" t="str">
        <f t="shared" si="127"/>
        <v>-</v>
      </c>
      <c r="AB140" s="9" t="str">
        <f t="shared" si="148"/>
        <v>-</v>
      </c>
      <c r="AC140" s="16" t="str">
        <f t="shared" si="128"/>
        <v>-</v>
      </c>
      <c r="AD140" s="16" t="str">
        <f t="shared" si="149"/>
        <v>-</v>
      </c>
      <c r="AE140" s="16" t="str">
        <f t="shared" si="150"/>
        <v>-</v>
      </c>
      <c r="AF140" s="16" t="str">
        <f t="shared" si="129"/>
        <v>-</v>
      </c>
      <c r="AG140" s="16"/>
      <c r="AH140" s="32" t="str">
        <f>IFERROR(INDEX('US Food'!$R$11:$R$197,MATCH('Calculations - US Food'!D140,'US Food'!$N$11:$N$197,0)),"")</f>
        <v/>
      </c>
      <c r="AI140" s="23" t="str">
        <f t="shared" si="130"/>
        <v/>
      </c>
      <c r="AJ140" s="23" t="str">
        <f t="shared" si="131"/>
        <v/>
      </c>
      <c r="AK140" s="9" t="str">
        <f t="shared" si="151"/>
        <v/>
      </c>
      <c r="AL140" s="4" t="str">
        <f t="shared" si="152"/>
        <v/>
      </c>
      <c r="AM140" s="4"/>
      <c r="AN140" s="4"/>
      <c r="AO140" s="4"/>
      <c r="AP140" s="4"/>
      <c r="AQ140" s="4"/>
      <c r="AR140" s="20" t="str">
        <f t="shared" si="153"/>
        <v>-</v>
      </c>
      <c r="AS140" s="13" t="str">
        <f t="shared" si="132"/>
        <v>-</v>
      </c>
      <c r="AT140" s="13" t="str">
        <f t="shared" si="133"/>
        <v>-</v>
      </c>
      <c r="AU140" s="13" t="str">
        <f t="shared" si="154"/>
        <v>-</v>
      </c>
      <c r="AV140" s="16" t="str">
        <f t="shared" si="134"/>
        <v>-</v>
      </c>
      <c r="AW140" s="16" t="str">
        <f t="shared" si="155"/>
        <v>-</v>
      </c>
      <c r="AX140" s="16" t="str">
        <f t="shared" si="156"/>
        <v>-</v>
      </c>
      <c r="AY140" s="16" t="str">
        <f t="shared" si="135"/>
        <v>-</v>
      </c>
      <c r="AZ140" s="13" t="str">
        <f t="shared" si="136"/>
        <v>-</v>
      </c>
      <c r="BA140" s="10" t="str">
        <f t="shared" si="137"/>
        <v>-</v>
      </c>
      <c r="BB140" s="9" t="str">
        <f t="shared" si="138"/>
        <v>-</v>
      </c>
      <c r="BC140" s="13" t="str">
        <f t="shared" si="139"/>
        <v>-</v>
      </c>
      <c r="BD140" s="10" t="str">
        <f t="shared" si="140"/>
        <v>-</v>
      </c>
      <c r="BE140" s="13" t="str">
        <f t="shared" si="141"/>
        <v>-</v>
      </c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</row>
    <row r="141" spans="2:70" x14ac:dyDescent="0.3">
      <c r="B141" s="96" t="str">
        <f t="shared" si="120"/>
        <v/>
      </c>
      <c r="C141" s="96" t="str">
        <f t="shared" si="121"/>
        <v/>
      </c>
      <c r="D141" s="96" t="str">
        <f t="shared" si="122"/>
        <v/>
      </c>
      <c r="E141" s="3"/>
      <c r="F141" s="3"/>
      <c r="G141" s="3"/>
      <c r="H141" s="3"/>
      <c r="I141" s="20">
        <f>IFERROR(INDEX('Input - US Food'!G$2:G$200,MATCH('Calculations - US Food'!$D141,'Input - US Food'!$B$2:$B$200,0)),"")</f>
        <v>0</v>
      </c>
      <c r="J141" s="20">
        <f>IFERROR(INDEX('Input - US Food'!H$2:H$200,MATCH('Calculations - US Food'!$D141,'Input - US Food'!$B$2:$B$200,0)),"")</f>
        <v>0</v>
      </c>
      <c r="K141" s="21">
        <f>IFERROR(INDEX('Input - US Food'!I$2:I$200,MATCH('Calculations - US Food'!$D141,'Input - US Food'!$B$2:$B$200,0)),"")</f>
        <v>0</v>
      </c>
      <c r="L141" s="21">
        <f>IFERROR(INDEX('Input - US Food'!J$2:J$200,MATCH('Calculations - US Food'!$D141,'Input - US Food'!$B$2:$B$200,0)),"")</f>
        <v>0</v>
      </c>
      <c r="M141" s="20">
        <f>IFERROR(INDEX('Input - US Food'!K$2:K$200,MATCH('Calculations - US Food'!$D141,'Input - US Food'!$B$2:$B$200,0)),"")</f>
        <v>6055363851.4215012</v>
      </c>
      <c r="N141" s="20">
        <f>IFERROR(INDEX('Input - US Food'!L$2:L$200,MATCH('Calculations - US Food'!$D141,'Input - US Food'!$B$2:$B$200,0)),"")</f>
        <v>1982155918.8720999</v>
      </c>
      <c r="O141" s="21" t="str">
        <f t="shared" si="123"/>
        <v/>
      </c>
      <c r="P141" s="21">
        <f t="shared" si="142"/>
        <v>3.0549382083257943</v>
      </c>
      <c r="Q141" s="21">
        <f t="shared" si="124"/>
        <v>0</v>
      </c>
      <c r="R141" s="9">
        <f t="shared" si="143"/>
        <v>0</v>
      </c>
      <c r="S141" s="9">
        <f t="shared" si="144"/>
        <v>0</v>
      </c>
      <c r="T141" s="22" t="str">
        <f>IFERROR(INDEX('US Food'!$S$11:$S$197,MATCH('Calculations - US Food'!$D141,'US Food'!$N$11:$N$197,0)),"")</f>
        <v/>
      </c>
      <c r="U141" s="22" t="str">
        <f>IFERROR(INDEX('US Food'!$T$11:$T$197,MATCH('Calculations - US Food'!$D141,'US Food'!$N$11:$N$197,0)),"")</f>
        <v/>
      </c>
      <c r="V141" s="16" t="e">
        <f t="shared" si="145"/>
        <v>#VALUE!</v>
      </c>
      <c r="W141" s="16" t="e">
        <f t="shared" si="125"/>
        <v>#VALUE!</v>
      </c>
      <c r="X141" s="16" t="e">
        <f t="shared" si="126"/>
        <v>#VALUE!</v>
      </c>
      <c r="Y141" s="10" t="str">
        <f t="shared" si="146"/>
        <v>-</v>
      </c>
      <c r="Z141" s="10" t="str">
        <f t="shared" si="147"/>
        <v>-</v>
      </c>
      <c r="AA141" s="13" t="str">
        <f t="shared" si="127"/>
        <v>-</v>
      </c>
      <c r="AB141" s="9" t="str">
        <f t="shared" si="148"/>
        <v>-</v>
      </c>
      <c r="AC141" s="16" t="str">
        <f t="shared" si="128"/>
        <v>-</v>
      </c>
      <c r="AD141" s="16" t="str">
        <f t="shared" si="149"/>
        <v>-</v>
      </c>
      <c r="AE141" s="16" t="str">
        <f t="shared" si="150"/>
        <v>-</v>
      </c>
      <c r="AF141" s="16" t="str">
        <f t="shared" si="129"/>
        <v>-</v>
      </c>
      <c r="AG141" s="16"/>
      <c r="AH141" s="32" t="str">
        <f>IFERROR(INDEX('US Food'!$R$11:$R$197,MATCH('Calculations - US Food'!D141,'US Food'!$N$11:$N$197,0)),"")</f>
        <v/>
      </c>
      <c r="AI141" s="23" t="str">
        <f t="shared" si="130"/>
        <v/>
      </c>
      <c r="AJ141" s="23" t="str">
        <f t="shared" si="131"/>
        <v/>
      </c>
      <c r="AK141" s="9" t="str">
        <f t="shared" si="151"/>
        <v/>
      </c>
      <c r="AL141" s="4" t="str">
        <f t="shared" si="152"/>
        <v/>
      </c>
      <c r="AM141" s="4"/>
      <c r="AN141" s="4"/>
      <c r="AO141" s="4"/>
      <c r="AP141" s="4"/>
      <c r="AQ141" s="4"/>
      <c r="AR141" s="20" t="str">
        <f t="shared" si="153"/>
        <v>-</v>
      </c>
      <c r="AS141" s="13" t="str">
        <f t="shared" si="132"/>
        <v>-</v>
      </c>
      <c r="AT141" s="13" t="str">
        <f t="shared" si="133"/>
        <v>-</v>
      </c>
      <c r="AU141" s="13" t="str">
        <f t="shared" si="154"/>
        <v>-</v>
      </c>
      <c r="AV141" s="16" t="str">
        <f t="shared" si="134"/>
        <v>-</v>
      </c>
      <c r="AW141" s="16" t="str">
        <f t="shared" si="155"/>
        <v>-</v>
      </c>
      <c r="AX141" s="16" t="str">
        <f t="shared" si="156"/>
        <v>-</v>
      </c>
      <c r="AY141" s="16" t="str">
        <f t="shared" si="135"/>
        <v>-</v>
      </c>
      <c r="AZ141" s="13" t="str">
        <f t="shared" si="136"/>
        <v>-</v>
      </c>
      <c r="BA141" s="10" t="str">
        <f t="shared" si="137"/>
        <v>-</v>
      </c>
      <c r="BB141" s="9" t="str">
        <f t="shared" si="138"/>
        <v>-</v>
      </c>
      <c r="BC141" s="13" t="str">
        <f t="shared" si="139"/>
        <v>-</v>
      </c>
      <c r="BD141" s="10" t="str">
        <f t="shared" si="140"/>
        <v>-</v>
      </c>
      <c r="BE141" s="13" t="str">
        <f t="shared" si="141"/>
        <v>-</v>
      </c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</row>
    <row r="142" spans="2:70" x14ac:dyDescent="0.3">
      <c r="B142" s="96" t="str">
        <f t="shared" si="120"/>
        <v/>
      </c>
      <c r="C142" s="96" t="str">
        <f t="shared" si="121"/>
        <v/>
      </c>
      <c r="D142" s="96" t="str">
        <f t="shared" si="122"/>
        <v/>
      </c>
      <c r="E142" s="3"/>
      <c r="F142" s="3"/>
      <c r="G142" s="3"/>
      <c r="H142" s="3"/>
      <c r="I142" s="20">
        <f>IFERROR(INDEX('Input - US Food'!G$2:G$200,MATCH('Calculations - US Food'!$D142,'Input - US Food'!$B$2:$B$200,0)),"")</f>
        <v>0</v>
      </c>
      <c r="J142" s="20">
        <f>IFERROR(INDEX('Input - US Food'!H$2:H$200,MATCH('Calculations - US Food'!$D142,'Input - US Food'!$B$2:$B$200,0)),"")</f>
        <v>0</v>
      </c>
      <c r="K142" s="21">
        <f>IFERROR(INDEX('Input - US Food'!I$2:I$200,MATCH('Calculations - US Food'!$D142,'Input - US Food'!$B$2:$B$200,0)),"")</f>
        <v>0</v>
      </c>
      <c r="L142" s="21">
        <f>IFERROR(INDEX('Input - US Food'!J$2:J$200,MATCH('Calculations - US Food'!$D142,'Input - US Food'!$B$2:$B$200,0)),"")</f>
        <v>0</v>
      </c>
      <c r="M142" s="20">
        <f>IFERROR(INDEX('Input - US Food'!K$2:K$200,MATCH('Calculations - US Food'!$D142,'Input - US Food'!$B$2:$B$200,0)),"")</f>
        <v>6055363851.4215012</v>
      </c>
      <c r="N142" s="20">
        <f>IFERROR(INDEX('Input - US Food'!L$2:L$200,MATCH('Calculations - US Food'!$D142,'Input - US Food'!$B$2:$B$200,0)),"")</f>
        <v>1982155918.8720999</v>
      </c>
      <c r="O142" s="21" t="str">
        <f t="shared" si="123"/>
        <v/>
      </c>
      <c r="P142" s="21">
        <f t="shared" si="142"/>
        <v>3.0549382083257943</v>
      </c>
      <c r="Q142" s="21">
        <f t="shared" si="124"/>
        <v>0</v>
      </c>
      <c r="R142" s="9">
        <f t="shared" si="143"/>
        <v>0</v>
      </c>
      <c r="S142" s="9">
        <f t="shared" si="144"/>
        <v>0</v>
      </c>
      <c r="T142" s="22" t="str">
        <f>IFERROR(INDEX('US Food'!$S$11:$S$197,MATCH('Calculations - US Food'!$D142,'US Food'!$N$11:$N$197,0)),"")</f>
        <v/>
      </c>
      <c r="U142" s="22" t="str">
        <f>IFERROR(INDEX('US Food'!$T$11:$T$197,MATCH('Calculations - US Food'!$D142,'US Food'!$N$11:$N$197,0)),"")</f>
        <v/>
      </c>
      <c r="V142" s="16" t="e">
        <f t="shared" si="145"/>
        <v>#VALUE!</v>
      </c>
      <c r="W142" s="16" t="e">
        <f t="shared" si="125"/>
        <v>#VALUE!</v>
      </c>
      <c r="X142" s="16" t="e">
        <f t="shared" si="126"/>
        <v>#VALUE!</v>
      </c>
      <c r="Y142" s="10" t="str">
        <f t="shared" si="146"/>
        <v>-</v>
      </c>
      <c r="Z142" s="10" t="str">
        <f t="shared" si="147"/>
        <v>-</v>
      </c>
      <c r="AA142" s="13" t="str">
        <f t="shared" si="127"/>
        <v>-</v>
      </c>
      <c r="AB142" s="9" t="str">
        <f t="shared" si="148"/>
        <v>-</v>
      </c>
      <c r="AC142" s="16" t="str">
        <f t="shared" si="128"/>
        <v>-</v>
      </c>
      <c r="AD142" s="16" t="str">
        <f t="shared" si="149"/>
        <v>-</v>
      </c>
      <c r="AE142" s="16" t="str">
        <f t="shared" si="150"/>
        <v>-</v>
      </c>
      <c r="AF142" s="16" t="str">
        <f t="shared" si="129"/>
        <v>-</v>
      </c>
      <c r="AG142" s="16"/>
      <c r="AH142" s="32" t="str">
        <f>IFERROR(INDEX('US Food'!$R$11:$R$197,MATCH('Calculations - US Food'!D142,'US Food'!$N$11:$N$197,0)),"")</f>
        <v/>
      </c>
      <c r="AI142" s="23" t="str">
        <f t="shared" si="130"/>
        <v/>
      </c>
      <c r="AJ142" s="23" t="str">
        <f t="shared" si="131"/>
        <v/>
      </c>
      <c r="AK142" s="9" t="str">
        <f t="shared" si="151"/>
        <v/>
      </c>
      <c r="AL142" s="4" t="str">
        <f t="shared" si="152"/>
        <v/>
      </c>
      <c r="AM142" s="4"/>
      <c r="AN142" s="4"/>
      <c r="AO142" s="4"/>
      <c r="AP142" s="4"/>
      <c r="AQ142" s="4"/>
      <c r="AR142" s="20" t="str">
        <f t="shared" si="153"/>
        <v>-</v>
      </c>
      <c r="AS142" s="13" t="str">
        <f t="shared" si="132"/>
        <v>-</v>
      </c>
      <c r="AT142" s="13" t="str">
        <f t="shared" si="133"/>
        <v>-</v>
      </c>
      <c r="AU142" s="13" t="str">
        <f t="shared" si="154"/>
        <v>-</v>
      </c>
      <c r="AV142" s="16" t="str">
        <f t="shared" si="134"/>
        <v>-</v>
      </c>
      <c r="AW142" s="16" t="str">
        <f t="shared" si="155"/>
        <v>-</v>
      </c>
      <c r="AX142" s="16" t="str">
        <f t="shared" si="156"/>
        <v>-</v>
      </c>
      <c r="AY142" s="16" t="str">
        <f t="shared" si="135"/>
        <v>-</v>
      </c>
      <c r="AZ142" s="13" t="str">
        <f t="shared" si="136"/>
        <v>-</v>
      </c>
      <c r="BA142" s="10" t="str">
        <f t="shared" si="137"/>
        <v>-</v>
      </c>
      <c r="BB142" s="9" t="str">
        <f t="shared" si="138"/>
        <v>-</v>
      </c>
      <c r="BC142" s="13" t="str">
        <f t="shared" si="139"/>
        <v>-</v>
      </c>
      <c r="BD142" s="10" t="str">
        <f t="shared" si="140"/>
        <v>-</v>
      </c>
      <c r="BE142" s="13" t="str">
        <f t="shared" si="141"/>
        <v>-</v>
      </c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</row>
    <row r="143" spans="2:70" x14ac:dyDescent="0.3">
      <c r="B143" s="96" t="str">
        <f t="shared" si="120"/>
        <v/>
      </c>
      <c r="C143" s="96" t="str">
        <f t="shared" si="121"/>
        <v/>
      </c>
      <c r="D143" s="96" t="str">
        <f t="shared" si="122"/>
        <v/>
      </c>
      <c r="E143" s="3"/>
      <c r="F143" s="3"/>
      <c r="G143" s="3"/>
      <c r="H143" s="3"/>
      <c r="I143" s="20">
        <f>IFERROR(INDEX('Input - US Food'!G$2:G$200,MATCH('Calculations - US Food'!$D143,'Input - US Food'!$B$2:$B$200,0)),"")</f>
        <v>0</v>
      </c>
      <c r="J143" s="20">
        <f>IFERROR(INDEX('Input - US Food'!H$2:H$200,MATCH('Calculations - US Food'!$D143,'Input - US Food'!$B$2:$B$200,0)),"")</f>
        <v>0</v>
      </c>
      <c r="K143" s="21">
        <f>IFERROR(INDEX('Input - US Food'!I$2:I$200,MATCH('Calculations - US Food'!$D143,'Input - US Food'!$B$2:$B$200,0)),"")</f>
        <v>0</v>
      </c>
      <c r="L143" s="21">
        <f>IFERROR(INDEX('Input - US Food'!J$2:J$200,MATCH('Calculations - US Food'!$D143,'Input - US Food'!$B$2:$B$200,0)),"")</f>
        <v>0</v>
      </c>
      <c r="M143" s="20">
        <f>IFERROR(INDEX('Input - US Food'!K$2:K$200,MATCH('Calculations - US Food'!$D143,'Input - US Food'!$B$2:$B$200,0)),"")</f>
        <v>6055363851.4215012</v>
      </c>
      <c r="N143" s="20">
        <f>IFERROR(INDEX('Input - US Food'!L$2:L$200,MATCH('Calculations - US Food'!$D143,'Input - US Food'!$B$2:$B$200,0)),"")</f>
        <v>1982155918.8720999</v>
      </c>
      <c r="O143" s="21" t="str">
        <f t="shared" si="123"/>
        <v/>
      </c>
      <c r="P143" s="21">
        <f t="shared" si="142"/>
        <v>3.0549382083257943</v>
      </c>
      <c r="Q143" s="21">
        <f t="shared" si="124"/>
        <v>0</v>
      </c>
      <c r="R143" s="9">
        <f t="shared" si="143"/>
        <v>0</v>
      </c>
      <c r="S143" s="9">
        <f t="shared" si="144"/>
        <v>0</v>
      </c>
      <c r="T143" s="22" t="str">
        <f>IFERROR(INDEX('US Food'!$S$11:$S$197,MATCH('Calculations - US Food'!$D143,'US Food'!$N$11:$N$197,0)),"")</f>
        <v/>
      </c>
      <c r="U143" s="22" t="str">
        <f>IFERROR(INDEX('US Food'!$T$11:$T$197,MATCH('Calculations - US Food'!$D143,'US Food'!$N$11:$N$197,0)),"")</f>
        <v/>
      </c>
      <c r="V143" s="16" t="e">
        <f t="shared" si="145"/>
        <v>#VALUE!</v>
      </c>
      <c r="W143" s="16" t="e">
        <f t="shared" si="125"/>
        <v>#VALUE!</v>
      </c>
      <c r="X143" s="16" t="e">
        <f t="shared" si="126"/>
        <v>#VALUE!</v>
      </c>
      <c r="Y143" s="10" t="str">
        <f t="shared" si="146"/>
        <v>-</v>
      </c>
      <c r="Z143" s="10" t="str">
        <f t="shared" si="147"/>
        <v>-</v>
      </c>
      <c r="AA143" s="13" t="str">
        <f t="shared" si="127"/>
        <v>-</v>
      </c>
      <c r="AB143" s="9" t="str">
        <f t="shared" si="148"/>
        <v>-</v>
      </c>
      <c r="AC143" s="16" t="str">
        <f t="shared" si="128"/>
        <v>-</v>
      </c>
      <c r="AD143" s="16" t="str">
        <f t="shared" si="149"/>
        <v>-</v>
      </c>
      <c r="AE143" s="16" t="str">
        <f t="shared" si="150"/>
        <v>-</v>
      </c>
      <c r="AF143" s="16" t="str">
        <f t="shared" si="129"/>
        <v>-</v>
      </c>
      <c r="AG143" s="16"/>
      <c r="AH143" s="32" t="str">
        <f>IFERROR(INDEX('US Food'!$R$11:$R$197,MATCH('Calculations - US Food'!D143,'US Food'!$N$11:$N$197,0)),"")</f>
        <v/>
      </c>
      <c r="AI143" s="23" t="str">
        <f t="shared" si="130"/>
        <v/>
      </c>
      <c r="AJ143" s="23" t="str">
        <f t="shared" si="131"/>
        <v/>
      </c>
      <c r="AK143" s="9" t="str">
        <f t="shared" si="151"/>
        <v/>
      </c>
      <c r="AL143" s="4" t="str">
        <f t="shared" si="152"/>
        <v/>
      </c>
      <c r="AM143" s="4"/>
      <c r="AN143" s="4"/>
      <c r="AO143" s="4"/>
      <c r="AP143" s="4"/>
      <c r="AQ143" s="4"/>
      <c r="AR143" s="20" t="str">
        <f t="shared" si="153"/>
        <v>-</v>
      </c>
      <c r="AS143" s="13" t="str">
        <f t="shared" si="132"/>
        <v>-</v>
      </c>
      <c r="AT143" s="13" t="str">
        <f t="shared" si="133"/>
        <v>-</v>
      </c>
      <c r="AU143" s="13" t="str">
        <f t="shared" si="154"/>
        <v>-</v>
      </c>
      <c r="AV143" s="16" t="str">
        <f t="shared" si="134"/>
        <v>-</v>
      </c>
      <c r="AW143" s="16" t="str">
        <f t="shared" si="155"/>
        <v>-</v>
      </c>
      <c r="AX143" s="16" t="str">
        <f t="shared" si="156"/>
        <v>-</v>
      </c>
      <c r="AY143" s="16" t="str">
        <f t="shared" si="135"/>
        <v>-</v>
      </c>
      <c r="AZ143" s="13" t="str">
        <f t="shared" si="136"/>
        <v>-</v>
      </c>
      <c r="BA143" s="10" t="str">
        <f t="shared" si="137"/>
        <v>-</v>
      </c>
      <c r="BB143" s="9" t="str">
        <f t="shared" si="138"/>
        <v>-</v>
      </c>
      <c r="BC143" s="13" t="str">
        <f t="shared" si="139"/>
        <v>-</v>
      </c>
      <c r="BD143" s="10" t="str">
        <f t="shared" si="140"/>
        <v>-</v>
      </c>
      <c r="BE143" s="13" t="str">
        <f t="shared" si="141"/>
        <v>-</v>
      </c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</row>
    <row r="144" spans="2:70" x14ac:dyDescent="0.3">
      <c r="B144" s="96" t="str">
        <f t="shared" si="120"/>
        <v/>
      </c>
      <c r="C144" s="96" t="str">
        <f t="shared" si="121"/>
        <v/>
      </c>
      <c r="D144" s="96" t="str">
        <f t="shared" si="122"/>
        <v/>
      </c>
      <c r="E144" s="3"/>
      <c r="F144" s="3"/>
      <c r="G144" s="3"/>
      <c r="H144" s="3"/>
      <c r="I144" s="20">
        <f>IFERROR(INDEX('Input - US Food'!G$2:G$200,MATCH('Calculations - US Food'!$D144,'Input - US Food'!$B$2:$B$200,0)),"")</f>
        <v>0</v>
      </c>
      <c r="J144" s="20">
        <f>IFERROR(INDEX('Input - US Food'!H$2:H$200,MATCH('Calculations - US Food'!$D144,'Input - US Food'!$B$2:$B$200,0)),"")</f>
        <v>0</v>
      </c>
      <c r="K144" s="21">
        <f>IFERROR(INDEX('Input - US Food'!I$2:I$200,MATCH('Calculations - US Food'!$D144,'Input - US Food'!$B$2:$B$200,0)),"")</f>
        <v>0</v>
      </c>
      <c r="L144" s="21">
        <f>IFERROR(INDEX('Input - US Food'!J$2:J$200,MATCH('Calculations - US Food'!$D144,'Input - US Food'!$B$2:$B$200,0)),"")</f>
        <v>0</v>
      </c>
      <c r="M144" s="20">
        <f>IFERROR(INDEX('Input - US Food'!K$2:K$200,MATCH('Calculations - US Food'!$D144,'Input - US Food'!$B$2:$B$200,0)),"")</f>
        <v>6055363851.4215012</v>
      </c>
      <c r="N144" s="20">
        <f>IFERROR(INDEX('Input - US Food'!L$2:L$200,MATCH('Calculations - US Food'!$D144,'Input - US Food'!$B$2:$B$200,0)),"")</f>
        <v>1982155918.8720999</v>
      </c>
      <c r="O144" s="21" t="str">
        <f t="shared" si="123"/>
        <v/>
      </c>
      <c r="P144" s="21">
        <f t="shared" si="142"/>
        <v>3.0549382083257943</v>
      </c>
      <c r="Q144" s="21">
        <f t="shared" si="124"/>
        <v>0</v>
      </c>
      <c r="R144" s="9">
        <f t="shared" si="143"/>
        <v>0</v>
      </c>
      <c r="S144" s="9">
        <f t="shared" si="144"/>
        <v>0</v>
      </c>
      <c r="T144" s="22" t="str">
        <f>IFERROR(INDEX('US Food'!$S$11:$S$197,MATCH('Calculations - US Food'!$D144,'US Food'!$N$11:$N$197,0)),"")</f>
        <v/>
      </c>
      <c r="U144" s="22" t="str">
        <f>IFERROR(INDEX('US Food'!$T$11:$T$197,MATCH('Calculations - US Food'!$D144,'US Food'!$N$11:$N$197,0)),"")</f>
        <v/>
      </c>
      <c r="V144" s="16" t="e">
        <f t="shared" si="145"/>
        <v>#VALUE!</v>
      </c>
      <c r="W144" s="16" t="e">
        <f t="shared" si="125"/>
        <v>#VALUE!</v>
      </c>
      <c r="X144" s="16" t="e">
        <f t="shared" si="126"/>
        <v>#VALUE!</v>
      </c>
      <c r="Y144" s="10" t="str">
        <f t="shared" si="146"/>
        <v>-</v>
      </c>
      <c r="Z144" s="10" t="str">
        <f t="shared" si="147"/>
        <v>-</v>
      </c>
      <c r="AA144" s="13" t="str">
        <f t="shared" si="127"/>
        <v>-</v>
      </c>
      <c r="AB144" s="9" t="str">
        <f t="shared" si="148"/>
        <v>-</v>
      </c>
      <c r="AC144" s="16" t="str">
        <f t="shared" si="128"/>
        <v>-</v>
      </c>
      <c r="AD144" s="16" t="str">
        <f t="shared" si="149"/>
        <v>-</v>
      </c>
      <c r="AE144" s="16" t="str">
        <f t="shared" si="150"/>
        <v>-</v>
      </c>
      <c r="AF144" s="16" t="str">
        <f t="shared" si="129"/>
        <v>-</v>
      </c>
      <c r="AG144" s="16"/>
      <c r="AH144" s="32" t="str">
        <f>IFERROR(INDEX('US Food'!$R$11:$R$197,MATCH('Calculations - US Food'!D144,'US Food'!$N$11:$N$197,0)),"")</f>
        <v/>
      </c>
      <c r="AI144" s="23" t="str">
        <f t="shared" si="130"/>
        <v/>
      </c>
      <c r="AJ144" s="23" t="str">
        <f t="shared" si="131"/>
        <v/>
      </c>
      <c r="AK144" s="9" t="str">
        <f t="shared" si="151"/>
        <v/>
      </c>
      <c r="AL144" s="4" t="str">
        <f t="shared" si="152"/>
        <v/>
      </c>
      <c r="AM144" s="4"/>
      <c r="AN144" s="4"/>
      <c r="AO144" s="4"/>
      <c r="AP144" s="4"/>
      <c r="AQ144" s="4"/>
      <c r="AR144" s="20" t="str">
        <f t="shared" si="153"/>
        <v>-</v>
      </c>
      <c r="AS144" s="13" t="str">
        <f t="shared" si="132"/>
        <v>-</v>
      </c>
      <c r="AT144" s="13" t="str">
        <f t="shared" si="133"/>
        <v>-</v>
      </c>
      <c r="AU144" s="13" t="str">
        <f t="shared" si="154"/>
        <v>-</v>
      </c>
      <c r="AV144" s="16" t="str">
        <f t="shared" si="134"/>
        <v>-</v>
      </c>
      <c r="AW144" s="16" t="str">
        <f t="shared" si="155"/>
        <v>-</v>
      </c>
      <c r="AX144" s="16" t="str">
        <f t="shared" si="156"/>
        <v>-</v>
      </c>
      <c r="AY144" s="16" t="str">
        <f t="shared" si="135"/>
        <v>-</v>
      </c>
      <c r="AZ144" s="13" t="str">
        <f t="shared" si="136"/>
        <v>-</v>
      </c>
      <c r="BA144" s="10" t="str">
        <f t="shared" si="137"/>
        <v>-</v>
      </c>
      <c r="BB144" s="9" t="str">
        <f t="shared" si="138"/>
        <v>-</v>
      </c>
      <c r="BC144" s="13" t="str">
        <f t="shared" si="139"/>
        <v>-</v>
      </c>
      <c r="BD144" s="10" t="str">
        <f t="shared" si="140"/>
        <v>-</v>
      </c>
      <c r="BE144" s="13" t="str">
        <f t="shared" si="141"/>
        <v>-</v>
      </c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</row>
    <row r="145" spans="2:70" x14ac:dyDescent="0.3">
      <c r="B145" s="96" t="str">
        <f t="shared" si="120"/>
        <v/>
      </c>
      <c r="C145" s="96" t="str">
        <f t="shared" si="121"/>
        <v/>
      </c>
      <c r="D145" s="96" t="str">
        <f t="shared" si="122"/>
        <v/>
      </c>
      <c r="E145" s="3"/>
      <c r="F145" s="3"/>
      <c r="G145" s="3"/>
      <c r="H145" s="3"/>
      <c r="I145" s="20">
        <f>IFERROR(INDEX('Input - US Food'!G$2:G$200,MATCH('Calculations - US Food'!$D145,'Input - US Food'!$B$2:$B$200,0)),"")</f>
        <v>0</v>
      </c>
      <c r="J145" s="20">
        <f>IFERROR(INDEX('Input - US Food'!H$2:H$200,MATCH('Calculations - US Food'!$D145,'Input - US Food'!$B$2:$B$200,0)),"")</f>
        <v>0</v>
      </c>
      <c r="K145" s="21">
        <f>IFERROR(INDEX('Input - US Food'!I$2:I$200,MATCH('Calculations - US Food'!$D145,'Input - US Food'!$B$2:$B$200,0)),"")</f>
        <v>0</v>
      </c>
      <c r="L145" s="21">
        <f>IFERROR(INDEX('Input - US Food'!J$2:J$200,MATCH('Calculations - US Food'!$D145,'Input - US Food'!$B$2:$B$200,0)),"")</f>
        <v>0</v>
      </c>
      <c r="M145" s="20">
        <f>IFERROR(INDEX('Input - US Food'!K$2:K$200,MATCH('Calculations - US Food'!$D145,'Input - US Food'!$B$2:$B$200,0)),"")</f>
        <v>6055363851.4215012</v>
      </c>
      <c r="N145" s="20">
        <f>IFERROR(INDEX('Input - US Food'!L$2:L$200,MATCH('Calculations - US Food'!$D145,'Input - US Food'!$B$2:$B$200,0)),"")</f>
        <v>1982155918.8720999</v>
      </c>
      <c r="O145" s="21" t="str">
        <f t="shared" si="123"/>
        <v/>
      </c>
      <c r="P145" s="21">
        <f t="shared" si="142"/>
        <v>3.0549382083257943</v>
      </c>
      <c r="Q145" s="21">
        <f t="shared" si="124"/>
        <v>0</v>
      </c>
      <c r="R145" s="9">
        <f t="shared" si="143"/>
        <v>0</v>
      </c>
      <c r="S145" s="9">
        <f t="shared" si="144"/>
        <v>0</v>
      </c>
      <c r="T145" s="22" t="str">
        <f>IFERROR(INDEX('US Food'!$S$11:$S$197,MATCH('Calculations - US Food'!$D145,'US Food'!$N$11:$N$197,0)),"")</f>
        <v/>
      </c>
      <c r="U145" s="22" t="str">
        <f>IFERROR(INDEX('US Food'!$T$11:$T$197,MATCH('Calculations - US Food'!$D145,'US Food'!$N$11:$N$197,0)),"")</f>
        <v/>
      </c>
      <c r="V145" s="16" t="e">
        <f t="shared" si="145"/>
        <v>#VALUE!</v>
      </c>
      <c r="W145" s="16" t="e">
        <f t="shared" si="125"/>
        <v>#VALUE!</v>
      </c>
      <c r="X145" s="16" t="e">
        <f t="shared" si="126"/>
        <v>#VALUE!</v>
      </c>
      <c r="Y145" s="10" t="str">
        <f t="shared" si="146"/>
        <v>-</v>
      </c>
      <c r="Z145" s="10" t="str">
        <f t="shared" si="147"/>
        <v>-</v>
      </c>
      <c r="AA145" s="13" t="str">
        <f t="shared" si="127"/>
        <v>-</v>
      </c>
      <c r="AB145" s="9" t="str">
        <f t="shared" si="148"/>
        <v>-</v>
      </c>
      <c r="AC145" s="16" t="str">
        <f t="shared" si="128"/>
        <v>-</v>
      </c>
      <c r="AD145" s="16" t="str">
        <f t="shared" si="149"/>
        <v>-</v>
      </c>
      <c r="AE145" s="16" t="str">
        <f t="shared" si="150"/>
        <v>-</v>
      </c>
      <c r="AF145" s="16" t="str">
        <f t="shared" si="129"/>
        <v>-</v>
      </c>
      <c r="AG145" s="16"/>
      <c r="AH145" s="32" t="str">
        <f>IFERROR(INDEX('US Food'!$R$11:$R$197,MATCH('Calculations - US Food'!D145,'US Food'!$N$11:$N$197,0)),"")</f>
        <v/>
      </c>
      <c r="AI145" s="23" t="str">
        <f t="shared" si="130"/>
        <v/>
      </c>
      <c r="AJ145" s="23" t="str">
        <f t="shared" si="131"/>
        <v/>
      </c>
      <c r="AK145" s="9" t="str">
        <f t="shared" si="151"/>
        <v/>
      </c>
      <c r="AL145" s="4" t="str">
        <f t="shared" si="152"/>
        <v/>
      </c>
      <c r="AM145" s="4"/>
      <c r="AN145" s="4"/>
      <c r="AO145" s="4"/>
      <c r="AP145" s="4"/>
      <c r="AQ145" s="4"/>
      <c r="AR145" s="20" t="str">
        <f t="shared" si="153"/>
        <v>-</v>
      </c>
      <c r="AS145" s="13" t="str">
        <f t="shared" si="132"/>
        <v>-</v>
      </c>
      <c r="AT145" s="13" t="str">
        <f t="shared" si="133"/>
        <v>-</v>
      </c>
      <c r="AU145" s="13" t="str">
        <f t="shared" si="154"/>
        <v>-</v>
      </c>
      <c r="AV145" s="16" t="str">
        <f t="shared" si="134"/>
        <v>-</v>
      </c>
      <c r="AW145" s="16" t="str">
        <f t="shared" si="155"/>
        <v>-</v>
      </c>
      <c r="AX145" s="16" t="str">
        <f t="shared" si="156"/>
        <v>-</v>
      </c>
      <c r="AY145" s="16" t="str">
        <f t="shared" si="135"/>
        <v>-</v>
      </c>
      <c r="AZ145" s="13" t="str">
        <f t="shared" si="136"/>
        <v>-</v>
      </c>
      <c r="BA145" s="10" t="str">
        <f t="shared" si="137"/>
        <v>-</v>
      </c>
      <c r="BB145" s="9" t="str">
        <f t="shared" si="138"/>
        <v>-</v>
      </c>
      <c r="BC145" s="13" t="str">
        <f t="shared" si="139"/>
        <v>-</v>
      </c>
      <c r="BD145" s="10" t="str">
        <f t="shared" si="140"/>
        <v>-</v>
      </c>
      <c r="BE145" s="13" t="str">
        <f t="shared" si="141"/>
        <v>-</v>
      </c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</row>
    <row r="146" spans="2:70" x14ac:dyDescent="0.3">
      <c r="B146" s="96" t="str">
        <f t="shared" si="120"/>
        <v/>
      </c>
      <c r="C146" s="96" t="str">
        <f t="shared" si="121"/>
        <v/>
      </c>
      <c r="D146" s="96" t="str">
        <f t="shared" si="122"/>
        <v/>
      </c>
      <c r="E146" s="3"/>
      <c r="F146" s="3"/>
      <c r="G146" s="3"/>
      <c r="H146" s="3"/>
      <c r="I146" s="20">
        <f>IFERROR(INDEX('Input - US Food'!G$2:G$200,MATCH('Calculations - US Food'!$D146,'Input - US Food'!$B$2:$B$200,0)),"")</f>
        <v>0</v>
      </c>
      <c r="J146" s="20">
        <f>IFERROR(INDEX('Input - US Food'!H$2:H$200,MATCH('Calculations - US Food'!$D146,'Input - US Food'!$B$2:$B$200,0)),"")</f>
        <v>0</v>
      </c>
      <c r="K146" s="21">
        <f>IFERROR(INDEX('Input - US Food'!I$2:I$200,MATCH('Calculations - US Food'!$D146,'Input - US Food'!$B$2:$B$200,0)),"")</f>
        <v>0</v>
      </c>
      <c r="L146" s="21">
        <f>IFERROR(INDEX('Input - US Food'!J$2:J$200,MATCH('Calculations - US Food'!$D146,'Input - US Food'!$B$2:$B$200,0)),"")</f>
        <v>0</v>
      </c>
      <c r="M146" s="20">
        <f>IFERROR(INDEX('Input - US Food'!K$2:K$200,MATCH('Calculations - US Food'!$D146,'Input - US Food'!$B$2:$B$200,0)),"")</f>
        <v>6055363851.4215012</v>
      </c>
      <c r="N146" s="20">
        <f>IFERROR(INDEX('Input - US Food'!L$2:L$200,MATCH('Calculations - US Food'!$D146,'Input - US Food'!$B$2:$B$200,0)),"")</f>
        <v>1982155918.8720999</v>
      </c>
      <c r="O146" s="21" t="str">
        <f t="shared" si="123"/>
        <v/>
      </c>
      <c r="P146" s="21">
        <f t="shared" si="142"/>
        <v>3.0549382083257943</v>
      </c>
      <c r="Q146" s="21">
        <f t="shared" si="124"/>
        <v>0</v>
      </c>
      <c r="R146" s="9">
        <f t="shared" si="143"/>
        <v>0</v>
      </c>
      <c r="S146" s="9">
        <f t="shared" si="144"/>
        <v>0</v>
      </c>
      <c r="T146" s="22" t="str">
        <f>IFERROR(INDEX('US Food'!$S$11:$S$197,MATCH('Calculations - US Food'!$D146,'US Food'!$N$11:$N$197,0)),"")</f>
        <v/>
      </c>
      <c r="U146" s="22" t="str">
        <f>IFERROR(INDEX('US Food'!$T$11:$T$197,MATCH('Calculations - US Food'!$D146,'US Food'!$N$11:$N$197,0)),"")</f>
        <v/>
      </c>
      <c r="V146" s="16" t="e">
        <f t="shared" si="145"/>
        <v>#VALUE!</v>
      </c>
      <c r="W146" s="16" t="e">
        <f t="shared" si="125"/>
        <v>#VALUE!</v>
      </c>
      <c r="X146" s="16" t="e">
        <f t="shared" si="126"/>
        <v>#VALUE!</v>
      </c>
      <c r="Y146" s="10" t="str">
        <f t="shared" si="146"/>
        <v>-</v>
      </c>
      <c r="Z146" s="10" t="str">
        <f t="shared" si="147"/>
        <v>-</v>
      </c>
      <c r="AA146" s="13" t="str">
        <f t="shared" si="127"/>
        <v>-</v>
      </c>
      <c r="AB146" s="9" t="str">
        <f t="shared" si="148"/>
        <v>-</v>
      </c>
      <c r="AC146" s="16" t="str">
        <f t="shared" si="128"/>
        <v>-</v>
      </c>
      <c r="AD146" s="16" t="str">
        <f t="shared" si="149"/>
        <v>-</v>
      </c>
      <c r="AE146" s="16" t="str">
        <f t="shared" si="150"/>
        <v>-</v>
      </c>
      <c r="AF146" s="16" t="str">
        <f t="shared" si="129"/>
        <v>-</v>
      </c>
      <c r="AG146" s="16"/>
      <c r="AH146" s="32" t="str">
        <f>IFERROR(INDEX('US Food'!$R$11:$R$197,MATCH('Calculations - US Food'!D146,'US Food'!$N$11:$N$197,0)),"")</f>
        <v/>
      </c>
      <c r="AI146" s="23" t="str">
        <f t="shared" si="130"/>
        <v/>
      </c>
      <c r="AJ146" s="23" t="str">
        <f t="shared" si="131"/>
        <v/>
      </c>
      <c r="AK146" s="9" t="str">
        <f t="shared" si="151"/>
        <v/>
      </c>
      <c r="AL146" s="4" t="str">
        <f t="shared" si="152"/>
        <v/>
      </c>
      <c r="AM146" s="4"/>
      <c r="AN146" s="4"/>
      <c r="AO146" s="4"/>
      <c r="AP146" s="4"/>
      <c r="AQ146" s="4"/>
      <c r="AR146" s="20" t="str">
        <f t="shared" si="153"/>
        <v>-</v>
      </c>
      <c r="AS146" s="13" t="str">
        <f t="shared" si="132"/>
        <v>-</v>
      </c>
      <c r="AT146" s="13" t="str">
        <f t="shared" si="133"/>
        <v>-</v>
      </c>
      <c r="AU146" s="13" t="str">
        <f t="shared" si="154"/>
        <v>-</v>
      </c>
      <c r="AV146" s="16" t="str">
        <f t="shared" si="134"/>
        <v>-</v>
      </c>
      <c r="AW146" s="16" t="str">
        <f t="shared" si="155"/>
        <v>-</v>
      </c>
      <c r="AX146" s="16" t="str">
        <f t="shared" si="156"/>
        <v>-</v>
      </c>
      <c r="AY146" s="16" t="str">
        <f t="shared" si="135"/>
        <v>-</v>
      </c>
      <c r="AZ146" s="13" t="str">
        <f t="shared" si="136"/>
        <v>-</v>
      </c>
      <c r="BA146" s="10" t="str">
        <f t="shared" si="137"/>
        <v>-</v>
      </c>
      <c r="BB146" s="9" t="str">
        <f t="shared" si="138"/>
        <v>-</v>
      </c>
      <c r="BC146" s="13" t="str">
        <f t="shared" si="139"/>
        <v>-</v>
      </c>
      <c r="BD146" s="10" t="str">
        <f t="shared" si="140"/>
        <v>-</v>
      </c>
      <c r="BE146" s="13" t="str">
        <f t="shared" si="141"/>
        <v>-</v>
      </c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</row>
    <row r="147" spans="2:70" x14ac:dyDescent="0.3">
      <c r="B147" s="96" t="str">
        <f t="shared" si="120"/>
        <v/>
      </c>
      <c r="C147" s="96" t="str">
        <f t="shared" si="121"/>
        <v/>
      </c>
      <c r="D147" s="96" t="str">
        <f t="shared" si="122"/>
        <v/>
      </c>
      <c r="E147" s="3"/>
      <c r="F147" s="3"/>
      <c r="G147" s="3"/>
      <c r="H147" s="3"/>
      <c r="I147" s="20">
        <f>IFERROR(INDEX('Input - US Food'!G$2:G$200,MATCH('Calculations - US Food'!$D147,'Input - US Food'!$B$2:$B$200,0)),"")</f>
        <v>0</v>
      </c>
      <c r="J147" s="20">
        <f>IFERROR(INDEX('Input - US Food'!H$2:H$200,MATCH('Calculations - US Food'!$D147,'Input - US Food'!$B$2:$B$200,0)),"")</f>
        <v>0</v>
      </c>
      <c r="K147" s="21">
        <f>IFERROR(INDEX('Input - US Food'!I$2:I$200,MATCH('Calculations - US Food'!$D147,'Input - US Food'!$B$2:$B$200,0)),"")</f>
        <v>0</v>
      </c>
      <c r="L147" s="21">
        <f>IFERROR(INDEX('Input - US Food'!J$2:J$200,MATCH('Calculations - US Food'!$D147,'Input - US Food'!$B$2:$B$200,0)),"")</f>
        <v>0</v>
      </c>
      <c r="M147" s="20">
        <f>IFERROR(INDEX('Input - US Food'!K$2:K$200,MATCH('Calculations - US Food'!$D147,'Input - US Food'!$B$2:$B$200,0)),"")</f>
        <v>6055363851.4215012</v>
      </c>
      <c r="N147" s="20">
        <f>IFERROR(INDEX('Input - US Food'!L$2:L$200,MATCH('Calculations - US Food'!$D147,'Input - US Food'!$B$2:$B$200,0)),"")</f>
        <v>1982155918.8720999</v>
      </c>
      <c r="O147" s="21" t="str">
        <f t="shared" si="123"/>
        <v/>
      </c>
      <c r="P147" s="21">
        <f t="shared" si="142"/>
        <v>3.0549382083257943</v>
      </c>
      <c r="Q147" s="21">
        <f t="shared" si="124"/>
        <v>0</v>
      </c>
      <c r="R147" s="9">
        <f t="shared" si="143"/>
        <v>0</v>
      </c>
      <c r="S147" s="9">
        <f t="shared" si="144"/>
        <v>0</v>
      </c>
      <c r="T147" s="22" t="str">
        <f>IFERROR(INDEX('US Food'!$S$11:$S$197,MATCH('Calculations - US Food'!$D147,'US Food'!$N$11:$N$197,0)),"")</f>
        <v/>
      </c>
      <c r="U147" s="22" t="str">
        <f>IFERROR(INDEX('US Food'!$T$11:$T$197,MATCH('Calculations - US Food'!$D147,'US Food'!$N$11:$N$197,0)),"")</f>
        <v/>
      </c>
      <c r="V147" s="16" t="e">
        <f t="shared" si="145"/>
        <v>#VALUE!</v>
      </c>
      <c r="W147" s="16" t="e">
        <f t="shared" si="125"/>
        <v>#VALUE!</v>
      </c>
      <c r="X147" s="16" t="e">
        <f t="shared" si="126"/>
        <v>#VALUE!</v>
      </c>
      <c r="Y147" s="10" t="str">
        <f t="shared" si="146"/>
        <v>-</v>
      </c>
      <c r="Z147" s="10" t="str">
        <f t="shared" si="147"/>
        <v>-</v>
      </c>
      <c r="AA147" s="13" t="str">
        <f t="shared" si="127"/>
        <v>-</v>
      </c>
      <c r="AB147" s="9" t="str">
        <f t="shared" si="148"/>
        <v>-</v>
      </c>
      <c r="AC147" s="16" t="str">
        <f t="shared" si="128"/>
        <v>-</v>
      </c>
      <c r="AD147" s="16" t="str">
        <f t="shared" si="149"/>
        <v>-</v>
      </c>
      <c r="AE147" s="16" t="str">
        <f t="shared" si="150"/>
        <v>-</v>
      </c>
      <c r="AF147" s="16" t="str">
        <f t="shared" si="129"/>
        <v>-</v>
      </c>
      <c r="AG147" s="16"/>
      <c r="AH147" s="32" t="str">
        <f>IFERROR(INDEX('US Food'!$R$11:$R$197,MATCH('Calculations - US Food'!D147,'US Food'!$N$11:$N$197,0)),"")</f>
        <v/>
      </c>
      <c r="AI147" s="23" t="str">
        <f t="shared" si="130"/>
        <v/>
      </c>
      <c r="AJ147" s="23" t="str">
        <f t="shared" si="131"/>
        <v/>
      </c>
      <c r="AK147" s="9" t="str">
        <f t="shared" si="151"/>
        <v/>
      </c>
      <c r="AL147" s="4" t="str">
        <f t="shared" si="152"/>
        <v/>
      </c>
      <c r="AM147" s="4"/>
      <c r="AN147" s="4"/>
      <c r="AO147" s="4"/>
      <c r="AP147" s="4"/>
      <c r="AQ147" s="4"/>
      <c r="AR147" s="20" t="str">
        <f t="shared" si="153"/>
        <v>-</v>
      </c>
      <c r="AS147" s="13" t="str">
        <f t="shared" si="132"/>
        <v>-</v>
      </c>
      <c r="AT147" s="13" t="str">
        <f t="shared" si="133"/>
        <v>-</v>
      </c>
      <c r="AU147" s="13" t="str">
        <f t="shared" si="154"/>
        <v>-</v>
      </c>
      <c r="AV147" s="16" t="str">
        <f t="shared" si="134"/>
        <v>-</v>
      </c>
      <c r="AW147" s="16" t="str">
        <f t="shared" si="155"/>
        <v>-</v>
      </c>
      <c r="AX147" s="16" t="str">
        <f t="shared" si="156"/>
        <v>-</v>
      </c>
      <c r="AY147" s="16" t="str">
        <f t="shared" si="135"/>
        <v>-</v>
      </c>
      <c r="AZ147" s="13" t="str">
        <f t="shared" si="136"/>
        <v>-</v>
      </c>
      <c r="BA147" s="10" t="str">
        <f t="shared" si="137"/>
        <v>-</v>
      </c>
      <c r="BB147" s="9" t="str">
        <f t="shared" si="138"/>
        <v>-</v>
      </c>
      <c r="BC147" s="13" t="str">
        <f t="shared" si="139"/>
        <v>-</v>
      </c>
      <c r="BD147" s="10" t="str">
        <f t="shared" si="140"/>
        <v>-</v>
      </c>
      <c r="BE147" s="13" t="str">
        <f t="shared" si="141"/>
        <v>-</v>
      </c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</row>
    <row r="148" spans="2:70" x14ac:dyDescent="0.3">
      <c r="B148" s="96" t="str">
        <f t="shared" si="120"/>
        <v/>
      </c>
      <c r="C148" s="96" t="str">
        <f t="shared" si="121"/>
        <v/>
      </c>
      <c r="D148" s="96" t="str">
        <f t="shared" si="122"/>
        <v/>
      </c>
      <c r="E148" s="3"/>
      <c r="F148" s="3"/>
      <c r="G148" s="3"/>
      <c r="H148" s="3"/>
      <c r="I148" s="20">
        <f>IFERROR(INDEX('Input - US Food'!G$2:G$200,MATCH('Calculations - US Food'!$D148,'Input - US Food'!$B$2:$B$200,0)),"")</f>
        <v>0</v>
      </c>
      <c r="J148" s="20">
        <f>IFERROR(INDEX('Input - US Food'!H$2:H$200,MATCH('Calculations - US Food'!$D148,'Input - US Food'!$B$2:$B$200,0)),"")</f>
        <v>0</v>
      </c>
      <c r="K148" s="21">
        <f>IFERROR(INDEX('Input - US Food'!I$2:I$200,MATCH('Calculations - US Food'!$D148,'Input - US Food'!$B$2:$B$200,0)),"")</f>
        <v>0</v>
      </c>
      <c r="L148" s="21">
        <f>IFERROR(INDEX('Input - US Food'!J$2:J$200,MATCH('Calculations - US Food'!$D148,'Input - US Food'!$B$2:$B$200,0)),"")</f>
        <v>0</v>
      </c>
      <c r="M148" s="20">
        <f>IFERROR(INDEX('Input - US Food'!K$2:K$200,MATCH('Calculations - US Food'!$D148,'Input - US Food'!$B$2:$B$200,0)),"")</f>
        <v>6055363851.4215012</v>
      </c>
      <c r="N148" s="20">
        <f>IFERROR(INDEX('Input - US Food'!L$2:L$200,MATCH('Calculations - US Food'!$D148,'Input - US Food'!$B$2:$B$200,0)),"")</f>
        <v>1982155918.8720999</v>
      </c>
      <c r="O148" s="21" t="str">
        <f t="shared" si="123"/>
        <v/>
      </c>
      <c r="P148" s="21">
        <f t="shared" si="142"/>
        <v>3.0549382083257943</v>
      </c>
      <c r="Q148" s="21">
        <f t="shared" si="124"/>
        <v>0</v>
      </c>
      <c r="R148" s="9">
        <f t="shared" si="143"/>
        <v>0</v>
      </c>
      <c r="S148" s="9">
        <f t="shared" si="144"/>
        <v>0</v>
      </c>
      <c r="T148" s="22" t="str">
        <f>IFERROR(INDEX('US Food'!$S$11:$S$197,MATCH('Calculations - US Food'!$D148,'US Food'!$N$11:$N$197,0)),"")</f>
        <v/>
      </c>
      <c r="U148" s="22" t="str">
        <f>IFERROR(INDEX('US Food'!$T$11:$T$197,MATCH('Calculations - US Food'!$D148,'US Food'!$N$11:$N$197,0)),"")</f>
        <v/>
      </c>
      <c r="V148" s="16" t="e">
        <f t="shared" si="145"/>
        <v>#VALUE!</v>
      </c>
      <c r="W148" s="16" t="e">
        <f t="shared" si="125"/>
        <v>#VALUE!</v>
      </c>
      <c r="X148" s="16" t="e">
        <f t="shared" si="126"/>
        <v>#VALUE!</v>
      </c>
      <c r="Y148" s="10" t="str">
        <f t="shared" si="146"/>
        <v>-</v>
      </c>
      <c r="Z148" s="10" t="str">
        <f t="shared" si="147"/>
        <v>-</v>
      </c>
      <c r="AA148" s="13" t="str">
        <f t="shared" si="127"/>
        <v>-</v>
      </c>
      <c r="AB148" s="9" t="str">
        <f t="shared" si="148"/>
        <v>-</v>
      </c>
      <c r="AC148" s="16" t="str">
        <f t="shared" si="128"/>
        <v>-</v>
      </c>
      <c r="AD148" s="16" t="str">
        <f t="shared" si="149"/>
        <v>-</v>
      </c>
      <c r="AE148" s="16" t="str">
        <f t="shared" si="150"/>
        <v>-</v>
      </c>
      <c r="AF148" s="16" t="str">
        <f t="shared" si="129"/>
        <v>-</v>
      </c>
      <c r="AG148" s="16"/>
      <c r="AH148" s="32" t="str">
        <f>IFERROR(INDEX('US Food'!$R$11:$R$197,MATCH('Calculations - US Food'!D148,'US Food'!$N$11:$N$197,0)),"")</f>
        <v/>
      </c>
      <c r="AI148" s="23" t="str">
        <f t="shared" si="130"/>
        <v/>
      </c>
      <c r="AJ148" s="23" t="str">
        <f t="shared" si="131"/>
        <v/>
      </c>
      <c r="AK148" s="9" t="str">
        <f t="shared" si="151"/>
        <v/>
      </c>
      <c r="AL148" s="4" t="str">
        <f t="shared" si="152"/>
        <v/>
      </c>
      <c r="AM148" s="4"/>
      <c r="AN148" s="4"/>
      <c r="AO148" s="4"/>
      <c r="AP148" s="4"/>
      <c r="AQ148" s="4"/>
      <c r="AR148" s="20" t="str">
        <f t="shared" si="153"/>
        <v>-</v>
      </c>
      <c r="AS148" s="13" t="str">
        <f t="shared" si="132"/>
        <v>-</v>
      </c>
      <c r="AT148" s="13" t="str">
        <f t="shared" si="133"/>
        <v>-</v>
      </c>
      <c r="AU148" s="13" t="str">
        <f t="shared" si="154"/>
        <v>-</v>
      </c>
      <c r="AV148" s="16" t="str">
        <f t="shared" si="134"/>
        <v>-</v>
      </c>
      <c r="AW148" s="16" t="str">
        <f t="shared" si="155"/>
        <v>-</v>
      </c>
      <c r="AX148" s="16" t="str">
        <f t="shared" si="156"/>
        <v>-</v>
      </c>
      <c r="AY148" s="16" t="str">
        <f t="shared" si="135"/>
        <v>-</v>
      </c>
      <c r="AZ148" s="13" t="str">
        <f t="shared" si="136"/>
        <v>-</v>
      </c>
      <c r="BA148" s="10" t="str">
        <f t="shared" si="137"/>
        <v>-</v>
      </c>
      <c r="BB148" s="9" t="str">
        <f t="shared" si="138"/>
        <v>-</v>
      </c>
      <c r="BC148" s="13" t="str">
        <f t="shared" si="139"/>
        <v>-</v>
      </c>
      <c r="BD148" s="10" t="str">
        <f t="shared" si="140"/>
        <v>-</v>
      </c>
      <c r="BE148" s="13" t="str">
        <f t="shared" si="141"/>
        <v>-</v>
      </c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</row>
    <row r="149" spans="2:70" x14ac:dyDescent="0.3">
      <c r="B149" s="96" t="str">
        <f t="shared" si="120"/>
        <v/>
      </c>
      <c r="C149" s="96" t="str">
        <f t="shared" si="121"/>
        <v/>
      </c>
      <c r="D149" s="96" t="str">
        <f t="shared" si="122"/>
        <v/>
      </c>
      <c r="E149" s="3"/>
      <c r="F149" s="3"/>
      <c r="G149" s="3"/>
      <c r="H149" s="3"/>
      <c r="I149" s="20">
        <f>IFERROR(INDEX('Input - US Food'!G$2:G$200,MATCH('Calculations - US Food'!$D149,'Input - US Food'!$B$2:$B$200,0)),"")</f>
        <v>0</v>
      </c>
      <c r="J149" s="20">
        <f>IFERROR(INDEX('Input - US Food'!H$2:H$200,MATCH('Calculations - US Food'!$D149,'Input - US Food'!$B$2:$B$200,0)),"")</f>
        <v>0</v>
      </c>
      <c r="K149" s="21">
        <f>IFERROR(INDEX('Input - US Food'!I$2:I$200,MATCH('Calculations - US Food'!$D149,'Input - US Food'!$B$2:$B$200,0)),"")</f>
        <v>0</v>
      </c>
      <c r="L149" s="21">
        <f>IFERROR(INDEX('Input - US Food'!J$2:J$200,MATCH('Calculations - US Food'!$D149,'Input - US Food'!$B$2:$B$200,0)),"")</f>
        <v>0</v>
      </c>
      <c r="M149" s="20">
        <f>IFERROR(INDEX('Input - US Food'!K$2:K$200,MATCH('Calculations - US Food'!$D149,'Input - US Food'!$B$2:$B$200,0)),"")</f>
        <v>6055363851.4215012</v>
      </c>
      <c r="N149" s="20">
        <f>IFERROR(INDEX('Input - US Food'!L$2:L$200,MATCH('Calculations - US Food'!$D149,'Input - US Food'!$B$2:$B$200,0)),"")</f>
        <v>1982155918.8720999</v>
      </c>
      <c r="O149" s="21" t="str">
        <f t="shared" si="123"/>
        <v/>
      </c>
      <c r="P149" s="21">
        <f t="shared" si="142"/>
        <v>3.0549382083257943</v>
      </c>
      <c r="Q149" s="21">
        <f t="shared" si="124"/>
        <v>0</v>
      </c>
      <c r="R149" s="9">
        <f t="shared" si="143"/>
        <v>0</v>
      </c>
      <c r="S149" s="9">
        <f t="shared" si="144"/>
        <v>0</v>
      </c>
      <c r="T149" s="22" t="str">
        <f>IFERROR(INDEX('US Food'!$S$11:$S$197,MATCH('Calculations - US Food'!$D149,'US Food'!$N$11:$N$197,0)),"")</f>
        <v/>
      </c>
      <c r="U149" s="22" t="str">
        <f>IFERROR(INDEX('US Food'!$T$11:$T$197,MATCH('Calculations - US Food'!$D149,'US Food'!$N$11:$N$197,0)),"")</f>
        <v/>
      </c>
      <c r="V149" s="16" t="e">
        <f t="shared" si="145"/>
        <v>#VALUE!</v>
      </c>
      <c r="W149" s="16" t="e">
        <f t="shared" si="125"/>
        <v>#VALUE!</v>
      </c>
      <c r="X149" s="16" t="e">
        <f t="shared" si="126"/>
        <v>#VALUE!</v>
      </c>
      <c r="Y149" s="10" t="str">
        <f t="shared" si="146"/>
        <v>-</v>
      </c>
      <c r="Z149" s="10" t="str">
        <f t="shared" si="147"/>
        <v>-</v>
      </c>
      <c r="AA149" s="13" t="str">
        <f t="shared" si="127"/>
        <v>-</v>
      </c>
      <c r="AB149" s="9" t="str">
        <f t="shared" si="148"/>
        <v>-</v>
      </c>
      <c r="AC149" s="16" t="str">
        <f t="shared" si="128"/>
        <v>-</v>
      </c>
      <c r="AD149" s="16" t="str">
        <f t="shared" si="149"/>
        <v>-</v>
      </c>
      <c r="AE149" s="16" t="str">
        <f t="shared" si="150"/>
        <v>-</v>
      </c>
      <c r="AF149" s="16" t="str">
        <f t="shared" si="129"/>
        <v>-</v>
      </c>
      <c r="AG149" s="16"/>
      <c r="AH149" s="32" t="str">
        <f>IFERROR(INDEX('US Food'!$R$11:$R$197,MATCH('Calculations - US Food'!D149,'US Food'!$N$11:$N$197,0)),"")</f>
        <v/>
      </c>
      <c r="AI149" s="23" t="str">
        <f t="shared" si="130"/>
        <v/>
      </c>
      <c r="AJ149" s="23" t="str">
        <f t="shared" si="131"/>
        <v/>
      </c>
      <c r="AK149" s="9" t="str">
        <f t="shared" si="151"/>
        <v/>
      </c>
      <c r="AL149" s="4" t="str">
        <f t="shared" si="152"/>
        <v/>
      </c>
      <c r="AM149" s="4"/>
      <c r="AN149" s="4"/>
      <c r="AO149" s="4"/>
      <c r="AP149" s="4"/>
      <c r="AQ149" s="4"/>
      <c r="AR149" s="20" t="str">
        <f t="shared" si="153"/>
        <v>-</v>
      </c>
      <c r="AS149" s="13" t="str">
        <f t="shared" si="132"/>
        <v>-</v>
      </c>
      <c r="AT149" s="13" t="str">
        <f t="shared" si="133"/>
        <v>-</v>
      </c>
      <c r="AU149" s="13" t="str">
        <f t="shared" si="154"/>
        <v>-</v>
      </c>
      <c r="AV149" s="16" t="str">
        <f t="shared" si="134"/>
        <v>-</v>
      </c>
      <c r="AW149" s="16" t="str">
        <f t="shared" si="155"/>
        <v>-</v>
      </c>
      <c r="AX149" s="16" t="str">
        <f t="shared" si="156"/>
        <v>-</v>
      </c>
      <c r="AY149" s="16" t="str">
        <f t="shared" si="135"/>
        <v>-</v>
      </c>
      <c r="AZ149" s="13" t="str">
        <f t="shared" si="136"/>
        <v>-</v>
      </c>
      <c r="BA149" s="10" t="str">
        <f t="shared" si="137"/>
        <v>-</v>
      </c>
      <c r="BB149" s="9" t="str">
        <f t="shared" si="138"/>
        <v>-</v>
      </c>
      <c r="BC149" s="13" t="str">
        <f t="shared" si="139"/>
        <v>-</v>
      </c>
      <c r="BD149" s="10" t="str">
        <f t="shared" si="140"/>
        <v>-</v>
      </c>
      <c r="BE149" s="13" t="str">
        <f t="shared" si="141"/>
        <v>-</v>
      </c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</row>
    <row r="150" spans="2:70" x14ac:dyDescent="0.3">
      <c r="B150" s="96" t="str">
        <f t="shared" si="120"/>
        <v/>
      </c>
      <c r="C150" s="96" t="str">
        <f t="shared" si="121"/>
        <v/>
      </c>
      <c r="D150" s="96" t="str">
        <f t="shared" si="122"/>
        <v/>
      </c>
      <c r="E150" s="3"/>
      <c r="F150" s="3"/>
      <c r="G150" s="3"/>
      <c r="H150" s="3"/>
      <c r="I150" s="20">
        <f>IFERROR(INDEX('Input - US Food'!G$2:G$200,MATCH('Calculations - US Food'!$D150,'Input - US Food'!$B$2:$B$200,0)),"")</f>
        <v>0</v>
      </c>
      <c r="J150" s="20">
        <f>IFERROR(INDEX('Input - US Food'!H$2:H$200,MATCH('Calculations - US Food'!$D150,'Input - US Food'!$B$2:$B$200,0)),"")</f>
        <v>0</v>
      </c>
      <c r="K150" s="21">
        <f>IFERROR(INDEX('Input - US Food'!I$2:I$200,MATCH('Calculations - US Food'!$D150,'Input - US Food'!$B$2:$B$200,0)),"")</f>
        <v>0</v>
      </c>
      <c r="L150" s="21">
        <f>IFERROR(INDEX('Input - US Food'!J$2:J$200,MATCH('Calculations - US Food'!$D150,'Input - US Food'!$B$2:$B$200,0)),"")</f>
        <v>0</v>
      </c>
      <c r="M150" s="20">
        <f>IFERROR(INDEX('Input - US Food'!K$2:K$200,MATCH('Calculations - US Food'!$D150,'Input - US Food'!$B$2:$B$200,0)),"")</f>
        <v>6055363851.4215012</v>
      </c>
      <c r="N150" s="20">
        <f>IFERROR(INDEX('Input - US Food'!L$2:L$200,MATCH('Calculations - US Food'!$D150,'Input - US Food'!$B$2:$B$200,0)),"")</f>
        <v>1982155918.8720999</v>
      </c>
      <c r="O150" s="21" t="str">
        <f t="shared" si="123"/>
        <v/>
      </c>
      <c r="P150" s="21">
        <f t="shared" si="142"/>
        <v>3.0549382083257943</v>
      </c>
      <c r="Q150" s="21">
        <f t="shared" si="124"/>
        <v>0</v>
      </c>
      <c r="R150" s="9">
        <f t="shared" si="143"/>
        <v>0</v>
      </c>
      <c r="S150" s="9">
        <f t="shared" si="144"/>
        <v>0</v>
      </c>
      <c r="T150" s="22" t="str">
        <f>IFERROR(INDEX('US Food'!$S$11:$S$197,MATCH('Calculations - US Food'!$D150,'US Food'!$N$11:$N$197,0)),"")</f>
        <v/>
      </c>
      <c r="U150" s="22" t="str">
        <f>IFERROR(INDEX('US Food'!$T$11:$T$197,MATCH('Calculations - US Food'!$D150,'US Food'!$N$11:$N$197,0)),"")</f>
        <v/>
      </c>
      <c r="V150" s="16" t="e">
        <f t="shared" si="145"/>
        <v>#VALUE!</v>
      </c>
      <c r="W150" s="16" t="e">
        <f t="shared" si="125"/>
        <v>#VALUE!</v>
      </c>
      <c r="X150" s="16" t="e">
        <f t="shared" si="126"/>
        <v>#VALUE!</v>
      </c>
      <c r="Y150" s="10" t="str">
        <f t="shared" si="146"/>
        <v>-</v>
      </c>
      <c r="Z150" s="10" t="str">
        <f t="shared" si="147"/>
        <v>-</v>
      </c>
      <c r="AA150" s="13" t="str">
        <f t="shared" si="127"/>
        <v>-</v>
      </c>
      <c r="AB150" s="9" t="str">
        <f t="shared" si="148"/>
        <v>-</v>
      </c>
      <c r="AC150" s="16" t="str">
        <f t="shared" si="128"/>
        <v>-</v>
      </c>
      <c r="AD150" s="16" t="str">
        <f t="shared" si="149"/>
        <v>-</v>
      </c>
      <c r="AE150" s="16" t="str">
        <f t="shared" si="150"/>
        <v>-</v>
      </c>
      <c r="AF150" s="16" t="str">
        <f t="shared" si="129"/>
        <v>-</v>
      </c>
      <c r="AG150" s="16"/>
      <c r="AH150" s="32" t="str">
        <f>IFERROR(INDEX('US Food'!$R$11:$R$197,MATCH('Calculations - US Food'!D150,'US Food'!$N$11:$N$197,0)),"")</f>
        <v/>
      </c>
      <c r="AI150" s="23" t="str">
        <f t="shared" si="130"/>
        <v/>
      </c>
      <c r="AJ150" s="23" t="str">
        <f t="shared" si="131"/>
        <v/>
      </c>
      <c r="AK150" s="9" t="str">
        <f t="shared" si="151"/>
        <v/>
      </c>
      <c r="AL150" s="4" t="str">
        <f t="shared" si="152"/>
        <v/>
      </c>
      <c r="AM150" s="4"/>
      <c r="AN150" s="4"/>
      <c r="AO150" s="4"/>
      <c r="AP150" s="4"/>
      <c r="AQ150" s="4"/>
      <c r="AR150" s="20" t="str">
        <f t="shared" si="153"/>
        <v>-</v>
      </c>
      <c r="AS150" s="13" t="str">
        <f t="shared" si="132"/>
        <v>-</v>
      </c>
      <c r="AT150" s="13" t="str">
        <f t="shared" si="133"/>
        <v>-</v>
      </c>
      <c r="AU150" s="13" t="str">
        <f t="shared" si="154"/>
        <v>-</v>
      </c>
      <c r="AV150" s="16" t="str">
        <f t="shared" si="134"/>
        <v>-</v>
      </c>
      <c r="AW150" s="16" t="str">
        <f t="shared" si="155"/>
        <v>-</v>
      </c>
      <c r="AX150" s="16" t="str">
        <f t="shared" si="156"/>
        <v>-</v>
      </c>
      <c r="AY150" s="16" t="str">
        <f t="shared" si="135"/>
        <v>-</v>
      </c>
      <c r="AZ150" s="13" t="str">
        <f t="shared" si="136"/>
        <v>-</v>
      </c>
      <c r="BA150" s="10" t="str">
        <f t="shared" si="137"/>
        <v>-</v>
      </c>
      <c r="BB150" s="9" t="str">
        <f t="shared" si="138"/>
        <v>-</v>
      </c>
      <c r="BC150" s="13" t="str">
        <f t="shared" si="139"/>
        <v>-</v>
      </c>
      <c r="BD150" s="10" t="str">
        <f t="shared" si="140"/>
        <v>-</v>
      </c>
      <c r="BE150" s="13" t="str">
        <f t="shared" si="141"/>
        <v>-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</row>
    <row r="151" spans="2:70" x14ac:dyDescent="0.3">
      <c r="B151" s="96" t="str">
        <f t="shared" si="120"/>
        <v/>
      </c>
      <c r="C151" s="96" t="str">
        <f t="shared" si="121"/>
        <v/>
      </c>
      <c r="D151" s="96" t="str">
        <f t="shared" si="122"/>
        <v/>
      </c>
      <c r="E151" s="3"/>
      <c r="F151" s="3"/>
      <c r="G151" s="3"/>
      <c r="H151" s="3"/>
      <c r="I151" s="20">
        <f>IFERROR(INDEX('Input - US Food'!G$2:G$200,MATCH('Calculations - US Food'!$D151,'Input - US Food'!$B$2:$B$200,0)),"")</f>
        <v>0</v>
      </c>
      <c r="J151" s="20">
        <f>IFERROR(INDEX('Input - US Food'!H$2:H$200,MATCH('Calculations - US Food'!$D151,'Input - US Food'!$B$2:$B$200,0)),"")</f>
        <v>0</v>
      </c>
      <c r="K151" s="21">
        <f>IFERROR(INDEX('Input - US Food'!I$2:I$200,MATCH('Calculations - US Food'!$D151,'Input - US Food'!$B$2:$B$200,0)),"")</f>
        <v>0</v>
      </c>
      <c r="L151" s="21">
        <f>IFERROR(INDEX('Input - US Food'!J$2:J$200,MATCH('Calculations - US Food'!$D151,'Input - US Food'!$B$2:$B$200,0)),"")</f>
        <v>0</v>
      </c>
      <c r="M151" s="20">
        <f>IFERROR(INDEX('Input - US Food'!K$2:K$200,MATCH('Calculations - US Food'!$D151,'Input - US Food'!$B$2:$B$200,0)),"")</f>
        <v>6055363851.4215012</v>
      </c>
      <c r="N151" s="20">
        <f>IFERROR(INDEX('Input - US Food'!L$2:L$200,MATCH('Calculations - US Food'!$D151,'Input - US Food'!$B$2:$B$200,0)),"")</f>
        <v>1982155918.8720999</v>
      </c>
      <c r="O151" s="21" t="str">
        <f t="shared" si="123"/>
        <v/>
      </c>
      <c r="P151" s="21">
        <f t="shared" si="142"/>
        <v>3.0549382083257943</v>
      </c>
      <c r="Q151" s="21">
        <f t="shared" si="124"/>
        <v>0</v>
      </c>
      <c r="R151" s="9">
        <f t="shared" si="143"/>
        <v>0</v>
      </c>
      <c r="S151" s="9">
        <f t="shared" si="144"/>
        <v>0</v>
      </c>
      <c r="T151" s="22" t="str">
        <f>IFERROR(INDEX('US Food'!$S$11:$S$197,MATCH('Calculations - US Food'!$D151,'US Food'!$N$11:$N$197,0)),"")</f>
        <v/>
      </c>
      <c r="U151" s="22" t="str">
        <f>IFERROR(INDEX('US Food'!$T$11:$T$197,MATCH('Calculations - US Food'!$D151,'US Food'!$N$11:$N$197,0)),"")</f>
        <v/>
      </c>
      <c r="V151" s="16" t="e">
        <f t="shared" si="145"/>
        <v>#VALUE!</v>
      </c>
      <c r="W151" s="16" t="e">
        <f t="shared" si="125"/>
        <v>#VALUE!</v>
      </c>
      <c r="X151" s="16" t="e">
        <f t="shared" si="126"/>
        <v>#VALUE!</v>
      </c>
      <c r="Y151" s="10" t="str">
        <f t="shared" si="146"/>
        <v>-</v>
      </c>
      <c r="Z151" s="10" t="str">
        <f t="shared" si="147"/>
        <v>-</v>
      </c>
      <c r="AA151" s="13" t="str">
        <f t="shared" si="127"/>
        <v>-</v>
      </c>
      <c r="AB151" s="9" t="str">
        <f t="shared" si="148"/>
        <v>-</v>
      </c>
      <c r="AC151" s="16" t="str">
        <f t="shared" si="128"/>
        <v>-</v>
      </c>
      <c r="AD151" s="16" t="str">
        <f t="shared" si="149"/>
        <v>-</v>
      </c>
      <c r="AE151" s="16" t="str">
        <f t="shared" si="150"/>
        <v>-</v>
      </c>
      <c r="AF151" s="16" t="str">
        <f t="shared" si="129"/>
        <v>-</v>
      </c>
      <c r="AG151" s="16"/>
      <c r="AH151" s="32" t="str">
        <f>IFERROR(INDEX('US Food'!$R$11:$R$197,MATCH('Calculations - US Food'!D151,'US Food'!$N$11:$N$197,0)),"")</f>
        <v/>
      </c>
      <c r="AI151" s="23" t="str">
        <f t="shared" si="130"/>
        <v/>
      </c>
      <c r="AJ151" s="23" t="str">
        <f t="shared" si="131"/>
        <v/>
      </c>
      <c r="AK151" s="9" t="str">
        <f t="shared" si="151"/>
        <v/>
      </c>
      <c r="AL151" s="4" t="str">
        <f t="shared" si="152"/>
        <v/>
      </c>
      <c r="AM151" s="4"/>
      <c r="AN151" s="4"/>
      <c r="AO151" s="4"/>
      <c r="AP151" s="4"/>
      <c r="AQ151" s="4"/>
      <c r="AR151" s="20" t="str">
        <f t="shared" si="153"/>
        <v>-</v>
      </c>
      <c r="AS151" s="13" t="str">
        <f t="shared" si="132"/>
        <v>-</v>
      </c>
      <c r="AT151" s="13" t="str">
        <f t="shared" si="133"/>
        <v>-</v>
      </c>
      <c r="AU151" s="13" t="str">
        <f t="shared" si="154"/>
        <v>-</v>
      </c>
      <c r="AV151" s="16" t="str">
        <f t="shared" si="134"/>
        <v>-</v>
      </c>
      <c r="AW151" s="16" t="str">
        <f t="shared" si="155"/>
        <v>-</v>
      </c>
      <c r="AX151" s="16" t="str">
        <f t="shared" si="156"/>
        <v>-</v>
      </c>
      <c r="AY151" s="16" t="str">
        <f t="shared" si="135"/>
        <v>-</v>
      </c>
      <c r="AZ151" s="13" t="str">
        <f t="shared" si="136"/>
        <v>-</v>
      </c>
      <c r="BA151" s="10" t="str">
        <f t="shared" si="137"/>
        <v>-</v>
      </c>
      <c r="BB151" s="9" t="str">
        <f t="shared" si="138"/>
        <v>-</v>
      </c>
      <c r="BC151" s="13" t="str">
        <f t="shared" si="139"/>
        <v>-</v>
      </c>
      <c r="BD151" s="10" t="str">
        <f t="shared" si="140"/>
        <v>-</v>
      </c>
      <c r="BE151" s="13" t="str">
        <f t="shared" si="141"/>
        <v>-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</row>
    <row r="152" spans="2:70" x14ac:dyDescent="0.3">
      <c r="B152" s="96" t="str">
        <f t="shared" si="120"/>
        <v/>
      </c>
      <c r="C152" s="96" t="str">
        <f t="shared" si="121"/>
        <v/>
      </c>
      <c r="D152" s="96" t="str">
        <f t="shared" si="122"/>
        <v/>
      </c>
      <c r="E152" s="3"/>
      <c r="F152" s="3"/>
      <c r="G152" s="3"/>
      <c r="H152" s="3"/>
      <c r="I152" s="20">
        <f>IFERROR(INDEX('Input - US Food'!G$2:G$200,MATCH('Calculations - US Food'!$D152,'Input - US Food'!$B$2:$B$200,0)),"")</f>
        <v>0</v>
      </c>
      <c r="J152" s="20">
        <f>IFERROR(INDEX('Input - US Food'!H$2:H$200,MATCH('Calculations - US Food'!$D152,'Input - US Food'!$B$2:$B$200,0)),"")</f>
        <v>0</v>
      </c>
      <c r="K152" s="21">
        <f>IFERROR(INDEX('Input - US Food'!I$2:I$200,MATCH('Calculations - US Food'!$D152,'Input - US Food'!$B$2:$B$200,0)),"")</f>
        <v>0</v>
      </c>
      <c r="L152" s="21">
        <f>IFERROR(INDEX('Input - US Food'!J$2:J$200,MATCH('Calculations - US Food'!$D152,'Input - US Food'!$B$2:$B$200,0)),"")</f>
        <v>0</v>
      </c>
      <c r="M152" s="20">
        <f>IFERROR(INDEX('Input - US Food'!K$2:K$200,MATCH('Calculations - US Food'!$D152,'Input - US Food'!$B$2:$B$200,0)),"")</f>
        <v>6055363851.4215012</v>
      </c>
      <c r="N152" s="20">
        <f>IFERROR(INDEX('Input - US Food'!L$2:L$200,MATCH('Calculations - US Food'!$D152,'Input - US Food'!$B$2:$B$200,0)),"")</f>
        <v>1982155918.8720999</v>
      </c>
      <c r="O152" s="21" t="str">
        <f t="shared" si="123"/>
        <v/>
      </c>
      <c r="P152" s="21">
        <f t="shared" si="142"/>
        <v>3.0549382083257943</v>
      </c>
      <c r="Q152" s="21">
        <f t="shared" si="124"/>
        <v>0</v>
      </c>
      <c r="R152" s="9">
        <f t="shared" si="143"/>
        <v>0</v>
      </c>
      <c r="S152" s="9">
        <f t="shared" si="144"/>
        <v>0</v>
      </c>
      <c r="T152" s="22" t="str">
        <f>IFERROR(INDEX('US Food'!$S$11:$S$197,MATCH('Calculations - US Food'!$D152,'US Food'!$N$11:$N$197,0)),"")</f>
        <v/>
      </c>
      <c r="U152" s="22" t="str">
        <f>IFERROR(INDEX('US Food'!$T$11:$T$197,MATCH('Calculations - US Food'!$D152,'US Food'!$N$11:$N$197,0)),"")</f>
        <v/>
      </c>
      <c r="V152" s="16" t="e">
        <f t="shared" si="145"/>
        <v>#VALUE!</v>
      </c>
      <c r="W152" s="16" t="e">
        <f t="shared" si="125"/>
        <v>#VALUE!</v>
      </c>
      <c r="X152" s="16" t="e">
        <f t="shared" si="126"/>
        <v>#VALUE!</v>
      </c>
      <c r="Y152" s="10" t="str">
        <f t="shared" si="146"/>
        <v>-</v>
      </c>
      <c r="Z152" s="10" t="str">
        <f t="shared" si="147"/>
        <v>-</v>
      </c>
      <c r="AA152" s="13" t="str">
        <f t="shared" si="127"/>
        <v>-</v>
      </c>
      <c r="AB152" s="9" t="str">
        <f t="shared" si="148"/>
        <v>-</v>
      </c>
      <c r="AC152" s="16" t="str">
        <f t="shared" si="128"/>
        <v>-</v>
      </c>
      <c r="AD152" s="16" t="str">
        <f t="shared" si="149"/>
        <v>-</v>
      </c>
      <c r="AE152" s="16" t="str">
        <f t="shared" si="150"/>
        <v>-</v>
      </c>
      <c r="AF152" s="16" t="str">
        <f t="shared" si="129"/>
        <v>-</v>
      </c>
      <c r="AG152" s="16"/>
      <c r="AH152" s="32" t="str">
        <f>IFERROR(INDEX('US Food'!$R$11:$R$197,MATCH('Calculations - US Food'!D152,'US Food'!$N$11:$N$197,0)),"")</f>
        <v/>
      </c>
      <c r="AI152" s="23" t="str">
        <f t="shared" si="130"/>
        <v/>
      </c>
      <c r="AJ152" s="23" t="str">
        <f t="shared" si="131"/>
        <v/>
      </c>
      <c r="AK152" s="9" t="str">
        <f t="shared" si="151"/>
        <v/>
      </c>
      <c r="AL152" s="4" t="str">
        <f t="shared" si="152"/>
        <v/>
      </c>
      <c r="AM152" s="4"/>
      <c r="AN152" s="4"/>
      <c r="AO152" s="4"/>
      <c r="AP152" s="4"/>
      <c r="AQ152" s="4"/>
      <c r="AR152" s="20" t="str">
        <f t="shared" si="153"/>
        <v>-</v>
      </c>
      <c r="AS152" s="13" t="str">
        <f t="shared" si="132"/>
        <v>-</v>
      </c>
      <c r="AT152" s="13" t="str">
        <f t="shared" si="133"/>
        <v>-</v>
      </c>
      <c r="AU152" s="13" t="str">
        <f t="shared" si="154"/>
        <v>-</v>
      </c>
      <c r="AV152" s="16" t="str">
        <f t="shared" si="134"/>
        <v>-</v>
      </c>
      <c r="AW152" s="16" t="str">
        <f t="shared" si="155"/>
        <v>-</v>
      </c>
      <c r="AX152" s="16" t="str">
        <f t="shared" si="156"/>
        <v>-</v>
      </c>
      <c r="AY152" s="16" t="str">
        <f t="shared" si="135"/>
        <v>-</v>
      </c>
      <c r="AZ152" s="13" t="str">
        <f t="shared" si="136"/>
        <v>-</v>
      </c>
      <c r="BA152" s="10" t="str">
        <f t="shared" si="137"/>
        <v>-</v>
      </c>
      <c r="BB152" s="9" t="str">
        <f t="shared" si="138"/>
        <v>-</v>
      </c>
      <c r="BC152" s="13" t="str">
        <f t="shared" si="139"/>
        <v>-</v>
      </c>
      <c r="BD152" s="10" t="str">
        <f t="shared" si="140"/>
        <v>-</v>
      </c>
      <c r="BE152" s="13" t="str">
        <f t="shared" si="141"/>
        <v>-</v>
      </c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</row>
    <row r="153" spans="2:70" x14ac:dyDescent="0.3">
      <c r="B153" s="96" t="str">
        <f t="shared" si="120"/>
        <v/>
      </c>
      <c r="C153" s="96" t="str">
        <f t="shared" si="121"/>
        <v/>
      </c>
      <c r="D153" s="96" t="str">
        <f t="shared" si="122"/>
        <v/>
      </c>
      <c r="E153" s="3"/>
      <c r="F153" s="3"/>
      <c r="G153" s="3"/>
      <c r="H153" s="3"/>
      <c r="I153" s="20">
        <f>IFERROR(INDEX('Input - US Food'!G$2:G$200,MATCH('Calculations - US Food'!$D153,'Input - US Food'!$B$2:$B$200,0)),"")</f>
        <v>0</v>
      </c>
      <c r="J153" s="20">
        <f>IFERROR(INDEX('Input - US Food'!H$2:H$200,MATCH('Calculations - US Food'!$D153,'Input - US Food'!$B$2:$B$200,0)),"")</f>
        <v>0</v>
      </c>
      <c r="K153" s="21">
        <f>IFERROR(INDEX('Input - US Food'!I$2:I$200,MATCH('Calculations - US Food'!$D153,'Input - US Food'!$B$2:$B$200,0)),"")</f>
        <v>0</v>
      </c>
      <c r="L153" s="21">
        <f>IFERROR(INDEX('Input - US Food'!J$2:J$200,MATCH('Calculations - US Food'!$D153,'Input - US Food'!$B$2:$B$200,0)),"")</f>
        <v>0</v>
      </c>
      <c r="M153" s="20">
        <f>IFERROR(INDEX('Input - US Food'!K$2:K$200,MATCH('Calculations - US Food'!$D153,'Input - US Food'!$B$2:$B$200,0)),"")</f>
        <v>6055363851.4215012</v>
      </c>
      <c r="N153" s="20">
        <f>IFERROR(INDEX('Input - US Food'!L$2:L$200,MATCH('Calculations - US Food'!$D153,'Input - US Food'!$B$2:$B$200,0)),"")</f>
        <v>1982155918.8720999</v>
      </c>
      <c r="O153" s="21" t="str">
        <f t="shared" si="123"/>
        <v/>
      </c>
      <c r="P153" s="21">
        <f t="shared" si="142"/>
        <v>3.0549382083257943</v>
      </c>
      <c r="Q153" s="21">
        <f t="shared" si="124"/>
        <v>0</v>
      </c>
      <c r="R153" s="9">
        <f t="shared" si="143"/>
        <v>0</v>
      </c>
      <c r="S153" s="9">
        <f t="shared" si="144"/>
        <v>0</v>
      </c>
      <c r="T153" s="22" t="str">
        <f>IFERROR(INDEX('US Food'!$S$11:$S$197,MATCH('Calculations - US Food'!$D153,'US Food'!$N$11:$N$197,0)),"")</f>
        <v/>
      </c>
      <c r="U153" s="22" t="str">
        <f>IFERROR(INDEX('US Food'!$T$11:$T$197,MATCH('Calculations - US Food'!$D153,'US Food'!$N$11:$N$197,0)),"")</f>
        <v/>
      </c>
      <c r="V153" s="16" t="e">
        <f t="shared" si="145"/>
        <v>#VALUE!</v>
      </c>
      <c r="W153" s="16" t="e">
        <f t="shared" si="125"/>
        <v>#VALUE!</v>
      </c>
      <c r="X153" s="16" t="e">
        <f t="shared" si="126"/>
        <v>#VALUE!</v>
      </c>
      <c r="Y153" s="10" t="str">
        <f t="shared" si="146"/>
        <v>-</v>
      </c>
      <c r="Z153" s="10" t="str">
        <f t="shared" si="147"/>
        <v>-</v>
      </c>
      <c r="AA153" s="13" t="str">
        <f t="shared" si="127"/>
        <v>-</v>
      </c>
      <c r="AB153" s="9" t="str">
        <f t="shared" si="148"/>
        <v>-</v>
      </c>
      <c r="AC153" s="16" t="str">
        <f t="shared" si="128"/>
        <v>-</v>
      </c>
      <c r="AD153" s="16" t="str">
        <f t="shared" si="149"/>
        <v>-</v>
      </c>
      <c r="AE153" s="16" t="str">
        <f t="shared" si="150"/>
        <v>-</v>
      </c>
      <c r="AF153" s="16" t="str">
        <f t="shared" si="129"/>
        <v>-</v>
      </c>
      <c r="AG153" s="16"/>
      <c r="AH153" s="32" t="str">
        <f>IFERROR(INDEX('US Food'!$R$11:$R$197,MATCH('Calculations - US Food'!D153,'US Food'!$N$11:$N$197,0)),"")</f>
        <v/>
      </c>
      <c r="AI153" s="23" t="str">
        <f t="shared" si="130"/>
        <v/>
      </c>
      <c r="AJ153" s="23" t="str">
        <f t="shared" si="131"/>
        <v/>
      </c>
      <c r="AK153" s="9" t="str">
        <f t="shared" si="151"/>
        <v/>
      </c>
      <c r="AL153" s="4" t="str">
        <f t="shared" si="152"/>
        <v/>
      </c>
      <c r="AM153" s="4"/>
      <c r="AN153" s="4"/>
      <c r="AO153" s="4"/>
      <c r="AP153" s="4"/>
      <c r="AQ153" s="4"/>
      <c r="AR153" s="20" t="str">
        <f t="shared" si="153"/>
        <v>-</v>
      </c>
      <c r="AS153" s="13" t="str">
        <f t="shared" si="132"/>
        <v>-</v>
      </c>
      <c r="AT153" s="13" t="str">
        <f t="shared" si="133"/>
        <v>-</v>
      </c>
      <c r="AU153" s="13" t="str">
        <f t="shared" si="154"/>
        <v>-</v>
      </c>
      <c r="AV153" s="16" t="str">
        <f t="shared" si="134"/>
        <v>-</v>
      </c>
      <c r="AW153" s="16" t="str">
        <f t="shared" si="155"/>
        <v>-</v>
      </c>
      <c r="AX153" s="16" t="str">
        <f t="shared" si="156"/>
        <v>-</v>
      </c>
      <c r="AY153" s="16" t="str">
        <f t="shared" si="135"/>
        <v>-</v>
      </c>
      <c r="AZ153" s="13" t="str">
        <f t="shared" si="136"/>
        <v>-</v>
      </c>
      <c r="BA153" s="10" t="str">
        <f t="shared" si="137"/>
        <v>-</v>
      </c>
      <c r="BB153" s="9" t="str">
        <f t="shared" si="138"/>
        <v>-</v>
      </c>
      <c r="BC153" s="13" t="str">
        <f t="shared" si="139"/>
        <v>-</v>
      </c>
      <c r="BD153" s="10" t="str">
        <f t="shared" si="140"/>
        <v>-</v>
      </c>
      <c r="BE153" s="13" t="str">
        <f t="shared" si="141"/>
        <v>-</v>
      </c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</row>
    <row r="154" spans="2:70" x14ac:dyDescent="0.3">
      <c r="B154" s="96" t="str">
        <f t="shared" si="120"/>
        <v/>
      </c>
      <c r="C154" s="96" t="str">
        <f t="shared" si="121"/>
        <v/>
      </c>
      <c r="D154" s="96" t="str">
        <f t="shared" si="122"/>
        <v/>
      </c>
      <c r="E154" s="3"/>
      <c r="F154" s="3"/>
      <c r="G154" s="3"/>
      <c r="H154" s="3"/>
      <c r="I154" s="20">
        <f>IFERROR(INDEX('Input - US Food'!G$2:G$200,MATCH('Calculations - US Food'!$D154,'Input - US Food'!$B$2:$B$200,0)),"")</f>
        <v>0</v>
      </c>
      <c r="J154" s="20">
        <f>IFERROR(INDEX('Input - US Food'!H$2:H$200,MATCH('Calculations - US Food'!$D154,'Input - US Food'!$B$2:$B$200,0)),"")</f>
        <v>0</v>
      </c>
      <c r="K154" s="21">
        <f>IFERROR(INDEX('Input - US Food'!I$2:I$200,MATCH('Calculations - US Food'!$D154,'Input - US Food'!$B$2:$B$200,0)),"")</f>
        <v>0</v>
      </c>
      <c r="L154" s="21">
        <f>IFERROR(INDEX('Input - US Food'!J$2:J$200,MATCH('Calculations - US Food'!$D154,'Input - US Food'!$B$2:$B$200,0)),"")</f>
        <v>0</v>
      </c>
      <c r="M154" s="20">
        <f>IFERROR(INDEX('Input - US Food'!K$2:K$200,MATCH('Calculations - US Food'!$D154,'Input - US Food'!$B$2:$B$200,0)),"")</f>
        <v>6055363851.4215012</v>
      </c>
      <c r="N154" s="20">
        <f>IFERROR(INDEX('Input - US Food'!L$2:L$200,MATCH('Calculations - US Food'!$D154,'Input - US Food'!$B$2:$B$200,0)),"")</f>
        <v>1982155918.8720999</v>
      </c>
      <c r="O154" s="21" t="str">
        <f t="shared" si="123"/>
        <v/>
      </c>
      <c r="P154" s="21">
        <f t="shared" si="142"/>
        <v>3.0549382083257943</v>
      </c>
      <c r="Q154" s="21">
        <f t="shared" si="124"/>
        <v>0</v>
      </c>
      <c r="R154" s="9">
        <f t="shared" si="143"/>
        <v>0</v>
      </c>
      <c r="S154" s="9">
        <f t="shared" si="144"/>
        <v>0</v>
      </c>
      <c r="T154" s="22" t="str">
        <f>IFERROR(INDEX('US Food'!$S$11:$S$197,MATCH('Calculations - US Food'!$D154,'US Food'!$N$11:$N$197,0)),"")</f>
        <v/>
      </c>
      <c r="U154" s="22" t="str">
        <f>IFERROR(INDEX('US Food'!$T$11:$T$197,MATCH('Calculations - US Food'!$D154,'US Food'!$N$11:$N$197,0)),"")</f>
        <v/>
      </c>
      <c r="V154" s="16" t="e">
        <f t="shared" si="145"/>
        <v>#VALUE!</v>
      </c>
      <c r="W154" s="16" t="e">
        <f t="shared" si="125"/>
        <v>#VALUE!</v>
      </c>
      <c r="X154" s="16" t="e">
        <f t="shared" si="126"/>
        <v>#VALUE!</v>
      </c>
      <c r="Y154" s="10" t="str">
        <f t="shared" si="146"/>
        <v>-</v>
      </c>
      <c r="Z154" s="10" t="str">
        <f t="shared" si="147"/>
        <v>-</v>
      </c>
      <c r="AA154" s="13" t="str">
        <f t="shared" si="127"/>
        <v>-</v>
      </c>
      <c r="AB154" s="9" t="str">
        <f t="shared" si="148"/>
        <v>-</v>
      </c>
      <c r="AC154" s="16" t="str">
        <f t="shared" si="128"/>
        <v>-</v>
      </c>
      <c r="AD154" s="16" t="str">
        <f t="shared" si="149"/>
        <v>-</v>
      </c>
      <c r="AE154" s="16" t="str">
        <f t="shared" si="150"/>
        <v>-</v>
      </c>
      <c r="AF154" s="16" t="str">
        <f t="shared" si="129"/>
        <v>-</v>
      </c>
      <c r="AG154" s="16"/>
      <c r="AH154" s="32" t="str">
        <f>IFERROR(INDEX('US Food'!$R$11:$R$197,MATCH('Calculations - US Food'!D154,'US Food'!$N$11:$N$197,0)),"")</f>
        <v/>
      </c>
      <c r="AI154" s="23" t="str">
        <f t="shared" si="130"/>
        <v/>
      </c>
      <c r="AJ154" s="23" t="str">
        <f t="shared" si="131"/>
        <v/>
      </c>
      <c r="AK154" s="9" t="str">
        <f t="shared" si="151"/>
        <v/>
      </c>
      <c r="AL154" s="4" t="str">
        <f t="shared" si="152"/>
        <v/>
      </c>
      <c r="AM154" s="4"/>
      <c r="AN154" s="4"/>
      <c r="AO154" s="4"/>
      <c r="AP154" s="4"/>
      <c r="AQ154" s="4"/>
      <c r="AR154" s="20" t="str">
        <f t="shared" si="153"/>
        <v>-</v>
      </c>
      <c r="AS154" s="13" t="str">
        <f t="shared" si="132"/>
        <v>-</v>
      </c>
      <c r="AT154" s="13" t="str">
        <f t="shared" si="133"/>
        <v>-</v>
      </c>
      <c r="AU154" s="13" t="str">
        <f t="shared" si="154"/>
        <v>-</v>
      </c>
      <c r="AV154" s="16" t="str">
        <f t="shared" si="134"/>
        <v>-</v>
      </c>
      <c r="AW154" s="16" t="str">
        <f t="shared" si="155"/>
        <v>-</v>
      </c>
      <c r="AX154" s="16" t="str">
        <f t="shared" si="156"/>
        <v>-</v>
      </c>
      <c r="AY154" s="16" t="str">
        <f t="shared" si="135"/>
        <v>-</v>
      </c>
      <c r="AZ154" s="13" t="str">
        <f t="shared" si="136"/>
        <v>-</v>
      </c>
      <c r="BA154" s="10" t="str">
        <f t="shared" si="137"/>
        <v>-</v>
      </c>
      <c r="BB154" s="9" t="str">
        <f t="shared" si="138"/>
        <v>-</v>
      </c>
      <c r="BC154" s="13" t="str">
        <f t="shared" si="139"/>
        <v>-</v>
      </c>
      <c r="BD154" s="10" t="str">
        <f t="shared" si="140"/>
        <v>-</v>
      </c>
      <c r="BE154" s="13" t="str">
        <f t="shared" si="141"/>
        <v>-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</row>
    <row r="155" spans="2:70" x14ac:dyDescent="0.3">
      <c r="B155" s="96" t="str">
        <f t="shared" si="120"/>
        <v/>
      </c>
      <c r="C155" s="96" t="str">
        <f t="shared" si="121"/>
        <v/>
      </c>
      <c r="D155" s="96" t="str">
        <f t="shared" si="122"/>
        <v/>
      </c>
      <c r="E155" s="3"/>
      <c r="F155" s="3"/>
      <c r="G155" s="3"/>
      <c r="H155" s="3"/>
      <c r="I155" s="20">
        <f>IFERROR(INDEX('Input - US Food'!G$2:G$200,MATCH('Calculations - US Food'!$D155,'Input - US Food'!$B$2:$B$200,0)),"")</f>
        <v>0</v>
      </c>
      <c r="J155" s="20">
        <f>IFERROR(INDEX('Input - US Food'!H$2:H$200,MATCH('Calculations - US Food'!$D155,'Input - US Food'!$B$2:$B$200,0)),"")</f>
        <v>0</v>
      </c>
      <c r="K155" s="21">
        <f>IFERROR(INDEX('Input - US Food'!I$2:I$200,MATCH('Calculations - US Food'!$D155,'Input - US Food'!$B$2:$B$200,0)),"")</f>
        <v>0</v>
      </c>
      <c r="L155" s="21">
        <f>IFERROR(INDEX('Input - US Food'!J$2:J$200,MATCH('Calculations - US Food'!$D155,'Input - US Food'!$B$2:$B$200,0)),"")</f>
        <v>0</v>
      </c>
      <c r="M155" s="20">
        <f>IFERROR(INDEX('Input - US Food'!K$2:K$200,MATCH('Calculations - US Food'!$D155,'Input - US Food'!$B$2:$B$200,0)),"")</f>
        <v>6055363851.4215012</v>
      </c>
      <c r="N155" s="20">
        <f>IFERROR(INDEX('Input - US Food'!L$2:L$200,MATCH('Calculations - US Food'!$D155,'Input - US Food'!$B$2:$B$200,0)),"")</f>
        <v>1982155918.8720999</v>
      </c>
      <c r="O155" s="21" t="str">
        <f t="shared" si="123"/>
        <v/>
      </c>
      <c r="P155" s="21">
        <f t="shared" si="142"/>
        <v>3.0549382083257943</v>
      </c>
      <c r="Q155" s="21">
        <f t="shared" si="124"/>
        <v>0</v>
      </c>
      <c r="R155" s="9">
        <f t="shared" si="143"/>
        <v>0</v>
      </c>
      <c r="S155" s="9">
        <f t="shared" si="144"/>
        <v>0</v>
      </c>
      <c r="T155" s="22" t="str">
        <f>IFERROR(INDEX('US Food'!$S$11:$S$197,MATCH('Calculations - US Food'!$D155,'US Food'!$N$11:$N$197,0)),"")</f>
        <v/>
      </c>
      <c r="U155" s="22" t="str">
        <f>IFERROR(INDEX('US Food'!$T$11:$T$197,MATCH('Calculations - US Food'!$D155,'US Food'!$N$11:$N$197,0)),"")</f>
        <v/>
      </c>
      <c r="V155" s="16" t="e">
        <f t="shared" si="145"/>
        <v>#VALUE!</v>
      </c>
      <c r="W155" s="16" t="e">
        <f t="shared" si="125"/>
        <v>#VALUE!</v>
      </c>
      <c r="X155" s="16" t="e">
        <f t="shared" si="126"/>
        <v>#VALUE!</v>
      </c>
      <c r="Y155" s="10" t="str">
        <f t="shared" si="146"/>
        <v>-</v>
      </c>
      <c r="Z155" s="10" t="str">
        <f t="shared" si="147"/>
        <v>-</v>
      </c>
      <c r="AA155" s="13" t="str">
        <f t="shared" si="127"/>
        <v>-</v>
      </c>
      <c r="AB155" s="9" t="str">
        <f t="shared" si="148"/>
        <v>-</v>
      </c>
      <c r="AC155" s="16" t="str">
        <f t="shared" si="128"/>
        <v>-</v>
      </c>
      <c r="AD155" s="16" t="str">
        <f t="shared" si="149"/>
        <v>-</v>
      </c>
      <c r="AE155" s="16" t="str">
        <f t="shared" si="150"/>
        <v>-</v>
      </c>
      <c r="AF155" s="16" t="str">
        <f t="shared" si="129"/>
        <v>-</v>
      </c>
      <c r="AG155" s="16"/>
      <c r="AH155" s="32" t="str">
        <f>IFERROR(INDEX('US Food'!$R$11:$R$197,MATCH('Calculations - US Food'!D155,'US Food'!$N$11:$N$197,0)),"")</f>
        <v/>
      </c>
      <c r="AI155" s="23" t="str">
        <f t="shared" si="130"/>
        <v/>
      </c>
      <c r="AJ155" s="23" t="str">
        <f t="shared" si="131"/>
        <v/>
      </c>
      <c r="AK155" s="9" t="str">
        <f t="shared" si="151"/>
        <v/>
      </c>
      <c r="AL155" s="4" t="str">
        <f t="shared" si="152"/>
        <v/>
      </c>
      <c r="AM155" s="4"/>
      <c r="AN155" s="4"/>
      <c r="AO155" s="4"/>
      <c r="AP155" s="4"/>
      <c r="AQ155" s="4"/>
      <c r="AR155" s="20" t="str">
        <f t="shared" si="153"/>
        <v>-</v>
      </c>
      <c r="AS155" s="13" t="str">
        <f t="shared" si="132"/>
        <v>-</v>
      </c>
      <c r="AT155" s="13" t="str">
        <f t="shared" si="133"/>
        <v>-</v>
      </c>
      <c r="AU155" s="13" t="str">
        <f t="shared" si="154"/>
        <v>-</v>
      </c>
      <c r="AV155" s="16" t="str">
        <f t="shared" si="134"/>
        <v>-</v>
      </c>
      <c r="AW155" s="16" t="str">
        <f t="shared" si="155"/>
        <v>-</v>
      </c>
      <c r="AX155" s="16" t="str">
        <f t="shared" si="156"/>
        <v>-</v>
      </c>
      <c r="AY155" s="16" t="str">
        <f t="shared" si="135"/>
        <v>-</v>
      </c>
      <c r="AZ155" s="13" t="str">
        <f t="shared" si="136"/>
        <v>-</v>
      </c>
      <c r="BA155" s="10" t="str">
        <f t="shared" si="137"/>
        <v>-</v>
      </c>
      <c r="BB155" s="9" t="str">
        <f t="shared" si="138"/>
        <v>-</v>
      </c>
      <c r="BC155" s="13" t="str">
        <f t="shared" si="139"/>
        <v>-</v>
      </c>
      <c r="BD155" s="10" t="str">
        <f t="shared" si="140"/>
        <v>-</v>
      </c>
      <c r="BE155" s="13" t="str">
        <f t="shared" si="141"/>
        <v>-</v>
      </c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</row>
    <row r="156" spans="2:70" x14ac:dyDescent="0.3">
      <c r="B156" s="96" t="str">
        <f t="shared" si="120"/>
        <v/>
      </c>
      <c r="C156" s="96" t="str">
        <f t="shared" si="121"/>
        <v/>
      </c>
      <c r="D156" s="96" t="str">
        <f t="shared" si="122"/>
        <v/>
      </c>
      <c r="E156" s="3"/>
      <c r="F156" s="3"/>
      <c r="G156" s="3"/>
      <c r="H156" s="3"/>
      <c r="I156" s="20">
        <f>IFERROR(INDEX('Input - US Food'!G$2:G$200,MATCH('Calculations - US Food'!$D156,'Input - US Food'!$B$2:$B$200,0)),"")</f>
        <v>0</v>
      </c>
      <c r="J156" s="20">
        <f>IFERROR(INDEX('Input - US Food'!H$2:H$200,MATCH('Calculations - US Food'!$D156,'Input - US Food'!$B$2:$B$200,0)),"")</f>
        <v>0</v>
      </c>
      <c r="K156" s="21">
        <f>IFERROR(INDEX('Input - US Food'!I$2:I$200,MATCH('Calculations - US Food'!$D156,'Input - US Food'!$B$2:$B$200,0)),"")</f>
        <v>0</v>
      </c>
      <c r="L156" s="21">
        <f>IFERROR(INDEX('Input - US Food'!J$2:J$200,MATCH('Calculations - US Food'!$D156,'Input - US Food'!$B$2:$B$200,0)),"")</f>
        <v>0</v>
      </c>
      <c r="M156" s="20">
        <f>IFERROR(INDEX('Input - US Food'!K$2:K$200,MATCH('Calculations - US Food'!$D156,'Input - US Food'!$B$2:$B$200,0)),"")</f>
        <v>6055363851.4215012</v>
      </c>
      <c r="N156" s="20">
        <f>IFERROR(INDEX('Input - US Food'!L$2:L$200,MATCH('Calculations - US Food'!$D156,'Input - US Food'!$B$2:$B$200,0)),"")</f>
        <v>1982155918.8720999</v>
      </c>
      <c r="O156" s="21" t="str">
        <f t="shared" si="123"/>
        <v/>
      </c>
      <c r="P156" s="21">
        <f t="shared" si="142"/>
        <v>3.0549382083257943</v>
      </c>
      <c r="Q156" s="21">
        <f t="shared" si="124"/>
        <v>0</v>
      </c>
      <c r="R156" s="9">
        <f t="shared" si="143"/>
        <v>0</v>
      </c>
      <c r="S156" s="9">
        <f t="shared" si="144"/>
        <v>0</v>
      </c>
      <c r="T156" s="22" t="str">
        <f>IFERROR(INDEX('US Food'!$S$11:$S$197,MATCH('Calculations - US Food'!$D156,'US Food'!$N$11:$N$197,0)),"")</f>
        <v/>
      </c>
      <c r="U156" s="22" t="str">
        <f>IFERROR(INDEX('US Food'!$T$11:$T$197,MATCH('Calculations - US Food'!$D156,'US Food'!$N$11:$N$197,0)),"")</f>
        <v/>
      </c>
      <c r="V156" s="16" t="e">
        <f t="shared" si="145"/>
        <v>#VALUE!</v>
      </c>
      <c r="W156" s="16" t="e">
        <f t="shared" si="125"/>
        <v>#VALUE!</v>
      </c>
      <c r="X156" s="16" t="e">
        <f t="shared" si="126"/>
        <v>#VALUE!</v>
      </c>
      <c r="Y156" s="10" t="str">
        <f t="shared" si="146"/>
        <v>-</v>
      </c>
      <c r="Z156" s="10" t="str">
        <f t="shared" si="147"/>
        <v>-</v>
      </c>
      <c r="AA156" s="13" t="str">
        <f t="shared" si="127"/>
        <v>-</v>
      </c>
      <c r="AB156" s="9" t="str">
        <f t="shared" si="148"/>
        <v>-</v>
      </c>
      <c r="AC156" s="16" t="str">
        <f t="shared" si="128"/>
        <v>-</v>
      </c>
      <c r="AD156" s="16" t="str">
        <f t="shared" si="149"/>
        <v>-</v>
      </c>
      <c r="AE156" s="16" t="str">
        <f t="shared" si="150"/>
        <v>-</v>
      </c>
      <c r="AF156" s="16" t="str">
        <f t="shared" si="129"/>
        <v>-</v>
      </c>
      <c r="AG156" s="16"/>
      <c r="AH156" s="32" t="str">
        <f>IFERROR(INDEX('US Food'!$R$11:$R$197,MATCH('Calculations - US Food'!D156,'US Food'!$N$11:$N$197,0)),"")</f>
        <v/>
      </c>
      <c r="AI156" s="23" t="str">
        <f t="shared" si="130"/>
        <v/>
      </c>
      <c r="AJ156" s="23" t="str">
        <f t="shared" si="131"/>
        <v/>
      </c>
      <c r="AK156" s="9" t="str">
        <f t="shared" si="151"/>
        <v/>
      </c>
      <c r="AL156" s="4" t="str">
        <f t="shared" si="152"/>
        <v/>
      </c>
      <c r="AM156" s="4"/>
      <c r="AN156" s="4"/>
      <c r="AO156" s="4"/>
      <c r="AP156" s="4"/>
      <c r="AQ156" s="4"/>
      <c r="AR156" s="20" t="str">
        <f t="shared" si="153"/>
        <v>-</v>
      </c>
      <c r="AS156" s="13" t="str">
        <f t="shared" si="132"/>
        <v>-</v>
      </c>
      <c r="AT156" s="13" t="str">
        <f t="shared" si="133"/>
        <v>-</v>
      </c>
      <c r="AU156" s="13" t="str">
        <f t="shared" si="154"/>
        <v>-</v>
      </c>
      <c r="AV156" s="16" t="str">
        <f t="shared" si="134"/>
        <v>-</v>
      </c>
      <c r="AW156" s="16" t="str">
        <f t="shared" si="155"/>
        <v>-</v>
      </c>
      <c r="AX156" s="16" t="str">
        <f t="shared" si="156"/>
        <v>-</v>
      </c>
      <c r="AY156" s="16" t="str">
        <f t="shared" si="135"/>
        <v>-</v>
      </c>
      <c r="AZ156" s="13" t="str">
        <f t="shared" si="136"/>
        <v>-</v>
      </c>
      <c r="BA156" s="10" t="str">
        <f t="shared" si="137"/>
        <v>-</v>
      </c>
      <c r="BB156" s="9" t="str">
        <f t="shared" si="138"/>
        <v>-</v>
      </c>
      <c r="BC156" s="13" t="str">
        <f t="shared" si="139"/>
        <v>-</v>
      </c>
      <c r="BD156" s="10" t="str">
        <f t="shared" si="140"/>
        <v>-</v>
      </c>
      <c r="BE156" s="13" t="str">
        <f t="shared" si="141"/>
        <v>-</v>
      </c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</row>
    <row r="157" spans="2:70" x14ac:dyDescent="0.3">
      <c r="B157" s="96" t="str">
        <f t="shared" si="120"/>
        <v/>
      </c>
      <c r="C157" s="96" t="str">
        <f t="shared" si="121"/>
        <v/>
      </c>
      <c r="D157" s="96" t="str">
        <f t="shared" si="122"/>
        <v/>
      </c>
      <c r="E157" s="3"/>
      <c r="F157" s="3"/>
      <c r="G157" s="3"/>
      <c r="H157" s="3"/>
      <c r="I157" s="20">
        <f>IFERROR(INDEX('Input - US Food'!G$2:G$200,MATCH('Calculations - US Food'!$D157,'Input - US Food'!$B$2:$B$200,0)),"")</f>
        <v>0</v>
      </c>
      <c r="J157" s="20">
        <f>IFERROR(INDEX('Input - US Food'!H$2:H$200,MATCH('Calculations - US Food'!$D157,'Input - US Food'!$B$2:$B$200,0)),"")</f>
        <v>0</v>
      </c>
      <c r="K157" s="21">
        <f>IFERROR(INDEX('Input - US Food'!I$2:I$200,MATCH('Calculations - US Food'!$D157,'Input - US Food'!$B$2:$B$200,0)),"")</f>
        <v>0</v>
      </c>
      <c r="L157" s="21">
        <f>IFERROR(INDEX('Input - US Food'!J$2:J$200,MATCH('Calculations - US Food'!$D157,'Input - US Food'!$B$2:$B$200,0)),"")</f>
        <v>0</v>
      </c>
      <c r="M157" s="20">
        <f>IFERROR(INDEX('Input - US Food'!K$2:K$200,MATCH('Calculations - US Food'!$D157,'Input - US Food'!$B$2:$B$200,0)),"")</f>
        <v>6055363851.4215012</v>
      </c>
      <c r="N157" s="20">
        <f>IFERROR(INDEX('Input - US Food'!L$2:L$200,MATCH('Calculations - US Food'!$D157,'Input - US Food'!$B$2:$B$200,0)),"")</f>
        <v>1982155918.8720999</v>
      </c>
      <c r="O157" s="21" t="str">
        <f t="shared" si="123"/>
        <v/>
      </c>
      <c r="P157" s="21">
        <f t="shared" si="142"/>
        <v>3.0549382083257943</v>
      </c>
      <c r="Q157" s="21">
        <f t="shared" si="124"/>
        <v>0</v>
      </c>
      <c r="R157" s="9">
        <f t="shared" si="143"/>
        <v>0</v>
      </c>
      <c r="S157" s="9">
        <f t="shared" si="144"/>
        <v>0</v>
      </c>
      <c r="T157" s="22" t="str">
        <f>IFERROR(INDEX('US Food'!$S$11:$S$197,MATCH('Calculations - US Food'!$D157,'US Food'!$N$11:$N$197,0)),"")</f>
        <v/>
      </c>
      <c r="U157" s="22" t="str">
        <f>IFERROR(INDEX('US Food'!$T$11:$T$197,MATCH('Calculations - US Food'!$D157,'US Food'!$N$11:$N$197,0)),"")</f>
        <v/>
      </c>
      <c r="V157" s="16" t="e">
        <f t="shared" si="145"/>
        <v>#VALUE!</v>
      </c>
      <c r="W157" s="16" t="e">
        <f t="shared" si="125"/>
        <v>#VALUE!</v>
      </c>
      <c r="X157" s="16" t="e">
        <f t="shared" si="126"/>
        <v>#VALUE!</v>
      </c>
      <c r="Y157" s="10" t="str">
        <f t="shared" si="146"/>
        <v>-</v>
      </c>
      <c r="Z157" s="10" t="str">
        <f t="shared" si="147"/>
        <v>-</v>
      </c>
      <c r="AA157" s="13" t="str">
        <f t="shared" si="127"/>
        <v>-</v>
      </c>
      <c r="AB157" s="9" t="str">
        <f t="shared" si="148"/>
        <v>-</v>
      </c>
      <c r="AC157" s="16" t="str">
        <f t="shared" si="128"/>
        <v>-</v>
      </c>
      <c r="AD157" s="16" t="str">
        <f t="shared" si="149"/>
        <v>-</v>
      </c>
      <c r="AE157" s="16" t="str">
        <f t="shared" si="150"/>
        <v>-</v>
      </c>
      <c r="AF157" s="16" t="str">
        <f t="shared" si="129"/>
        <v>-</v>
      </c>
      <c r="AG157" s="16"/>
      <c r="AH157" s="32" t="str">
        <f>IFERROR(INDEX('US Food'!$R$11:$R$197,MATCH('Calculations - US Food'!D157,'US Food'!$N$11:$N$197,0)),"")</f>
        <v/>
      </c>
      <c r="AI157" s="23" t="str">
        <f t="shared" si="130"/>
        <v/>
      </c>
      <c r="AJ157" s="23" t="str">
        <f t="shared" si="131"/>
        <v/>
      </c>
      <c r="AK157" s="9" t="str">
        <f t="shared" si="151"/>
        <v/>
      </c>
      <c r="AL157" s="4" t="str">
        <f t="shared" si="152"/>
        <v/>
      </c>
      <c r="AM157" s="4"/>
      <c r="AN157" s="4"/>
      <c r="AO157" s="4"/>
      <c r="AP157" s="4"/>
      <c r="AQ157" s="4"/>
      <c r="AR157" s="20" t="str">
        <f t="shared" si="153"/>
        <v>-</v>
      </c>
      <c r="AS157" s="13" t="str">
        <f t="shared" si="132"/>
        <v>-</v>
      </c>
      <c r="AT157" s="13" t="str">
        <f t="shared" si="133"/>
        <v>-</v>
      </c>
      <c r="AU157" s="13" t="str">
        <f t="shared" si="154"/>
        <v>-</v>
      </c>
      <c r="AV157" s="16" t="str">
        <f t="shared" si="134"/>
        <v>-</v>
      </c>
      <c r="AW157" s="16" t="str">
        <f t="shared" si="155"/>
        <v>-</v>
      </c>
      <c r="AX157" s="16" t="str">
        <f t="shared" si="156"/>
        <v>-</v>
      </c>
      <c r="AY157" s="16" t="str">
        <f t="shared" si="135"/>
        <v>-</v>
      </c>
      <c r="AZ157" s="13" t="str">
        <f t="shared" si="136"/>
        <v>-</v>
      </c>
      <c r="BA157" s="10" t="str">
        <f t="shared" si="137"/>
        <v>-</v>
      </c>
      <c r="BB157" s="9" t="str">
        <f t="shared" si="138"/>
        <v>-</v>
      </c>
      <c r="BC157" s="13" t="str">
        <f t="shared" si="139"/>
        <v>-</v>
      </c>
      <c r="BD157" s="10" t="str">
        <f t="shared" si="140"/>
        <v>-</v>
      </c>
      <c r="BE157" s="13" t="str">
        <f t="shared" si="141"/>
        <v>-</v>
      </c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</row>
    <row r="158" spans="2:70" x14ac:dyDescent="0.3">
      <c r="B158" s="96" t="str">
        <f t="shared" si="120"/>
        <v/>
      </c>
      <c r="C158" s="96" t="str">
        <f t="shared" si="121"/>
        <v/>
      </c>
      <c r="D158" s="96" t="str">
        <f t="shared" si="122"/>
        <v/>
      </c>
      <c r="E158" s="3"/>
      <c r="F158" s="3"/>
      <c r="G158" s="3"/>
      <c r="H158" s="3"/>
      <c r="I158" s="20">
        <f>IFERROR(INDEX('Input - US Food'!G$2:G$200,MATCH('Calculations - US Food'!$D158,'Input - US Food'!$B$2:$B$200,0)),"")</f>
        <v>0</v>
      </c>
      <c r="J158" s="20">
        <f>IFERROR(INDEX('Input - US Food'!H$2:H$200,MATCH('Calculations - US Food'!$D158,'Input - US Food'!$B$2:$B$200,0)),"")</f>
        <v>0</v>
      </c>
      <c r="K158" s="21">
        <f>IFERROR(INDEX('Input - US Food'!I$2:I$200,MATCH('Calculations - US Food'!$D158,'Input - US Food'!$B$2:$B$200,0)),"")</f>
        <v>0</v>
      </c>
      <c r="L158" s="21">
        <f>IFERROR(INDEX('Input - US Food'!J$2:J$200,MATCH('Calculations - US Food'!$D158,'Input - US Food'!$B$2:$B$200,0)),"")</f>
        <v>0</v>
      </c>
      <c r="M158" s="20">
        <f>IFERROR(INDEX('Input - US Food'!K$2:K$200,MATCH('Calculations - US Food'!$D158,'Input - US Food'!$B$2:$B$200,0)),"")</f>
        <v>6055363851.4215012</v>
      </c>
      <c r="N158" s="20">
        <f>IFERROR(INDEX('Input - US Food'!L$2:L$200,MATCH('Calculations - US Food'!$D158,'Input - US Food'!$B$2:$B$200,0)),"")</f>
        <v>1982155918.8720999</v>
      </c>
      <c r="O158" s="21" t="str">
        <f t="shared" si="123"/>
        <v/>
      </c>
      <c r="P158" s="21">
        <f t="shared" si="142"/>
        <v>3.0549382083257943</v>
      </c>
      <c r="Q158" s="21">
        <f t="shared" si="124"/>
        <v>0</v>
      </c>
      <c r="R158" s="9">
        <f t="shared" si="143"/>
        <v>0</v>
      </c>
      <c r="S158" s="9">
        <f t="shared" si="144"/>
        <v>0</v>
      </c>
      <c r="T158" s="22" t="str">
        <f>IFERROR(INDEX('US Food'!$S$11:$S$197,MATCH('Calculations - US Food'!$D158,'US Food'!$N$11:$N$197,0)),"")</f>
        <v/>
      </c>
      <c r="U158" s="22" t="str">
        <f>IFERROR(INDEX('US Food'!$T$11:$T$197,MATCH('Calculations - US Food'!$D158,'US Food'!$N$11:$N$197,0)),"")</f>
        <v/>
      </c>
      <c r="V158" s="16" t="e">
        <f t="shared" si="145"/>
        <v>#VALUE!</v>
      </c>
      <c r="W158" s="16" t="e">
        <f t="shared" si="125"/>
        <v>#VALUE!</v>
      </c>
      <c r="X158" s="16" t="e">
        <f t="shared" si="126"/>
        <v>#VALUE!</v>
      </c>
      <c r="Y158" s="10" t="str">
        <f t="shared" si="146"/>
        <v>-</v>
      </c>
      <c r="Z158" s="10" t="str">
        <f t="shared" si="147"/>
        <v>-</v>
      </c>
      <c r="AA158" s="13" t="str">
        <f t="shared" si="127"/>
        <v>-</v>
      </c>
      <c r="AB158" s="9" t="str">
        <f t="shared" si="148"/>
        <v>-</v>
      </c>
      <c r="AC158" s="16" t="str">
        <f t="shared" si="128"/>
        <v>-</v>
      </c>
      <c r="AD158" s="16" t="str">
        <f t="shared" si="149"/>
        <v>-</v>
      </c>
      <c r="AE158" s="16" t="str">
        <f t="shared" si="150"/>
        <v>-</v>
      </c>
      <c r="AF158" s="16" t="str">
        <f t="shared" si="129"/>
        <v>-</v>
      </c>
      <c r="AG158" s="16"/>
      <c r="AH158" s="32" t="str">
        <f>IFERROR(INDEX('US Food'!$R$11:$R$197,MATCH('Calculations - US Food'!D158,'US Food'!$N$11:$N$197,0)),"")</f>
        <v/>
      </c>
      <c r="AI158" s="23" t="str">
        <f t="shared" si="130"/>
        <v/>
      </c>
      <c r="AJ158" s="23" t="str">
        <f t="shared" si="131"/>
        <v/>
      </c>
      <c r="AK158" s="9" t="str">
        <f t="shared" si="151"/>
        <v/>
      </c>
      <c r="AL158" s="4" t="str">
        <f t="shared" si="152"/>
        <v/>
      </c>
      <c r="AM158" s="4"/>
      <c r="AN158" s="4"/>
      <c r="AO158" s="4"/>
      <c r="AP158" s="4"/>
      <c r="AQ158" s="4"/>
      <c r="AR158" s="20" t="str">
        <f t="shared" si="153"/>
        <v>-</v>
      </c>
      <c r="AS158" s="13" t="str">
        <f t="shared" si="132"/>
        <v>-</v>
      </c>
      <c r="AT158" s="13" t="str">
        <f t="shared" si="133"/>
        <v>-</v>
      </c>
      <c r="AU158" s="13" t="str">
        <f t="shared" si="154"/>
        <v>-</v>
      </c>
      <c r="AV158" s="16" t="str">
        <f t="shared" si="134"/>
        <v>-</v>
      </c>
      <c r="AW158" s="16" t="str">
        <f t="shared" si="155"/>
        <v>-</v>
      </c>
      <c r="AX158" s="16" t="str">
        <f t="shared" si="156"/>
        <v>-</v>
      </c>
      <c r="AY158" s="16" t="str">
        <f t="shared" si="135"/>
        <v>-</v>
      </c>
      <c r="AZ158" s="13" t="str">
        <f t="shared" si="136"/>
        <v>-</v>
      </c>
      <c r="BA158" s="10" t="str">
        <f t="shared" si="137"/>
        <v>-</v>
      </c>
      <c r="BB158" s="9" t="str">
        <f t="shared" si="138"/>
        <v>-</v>
      </c>
      <c r="BC158" s="13" t="str">
        <f t="shared" si="139"/>
        <v>-</v>
      </c>
      <c r="BD158" s="10" t="str">
        <f t="shared" si="140"/>
        <v>-</v>
      </c>
      <c r="BE158" s="13" t="str">
        <f t="shared" si="141"/>
        <v>-</v>
      </c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</row>
    <row r="159" spans="2:70" x14ac:dyDescent="0.3">
      <c r="B159" s="96" t="str">
        <f t="shared" si="120"/>
        <v/>
      </c>
      <c r="C159" s="96" t="str">
        <f t="shared" si="121"/>
        <v/>
      </c>
      <c r="D159" s="96" t="str">
        <f t="shared" si="122"/>
        <v/>
      </c>
      <c r="E159" s="3"/>
      <c r="F159" s="3"/>
      <c r="G159" s="3"/>
      <c r="H159" s="3"/>
      <c r="I159" s="20">
        <f>IFERROR(INDEX('Input - US Food'!G$2:G$200,MATCH('Calculations - US Food'!$D159,'Input - US Food'!$B$2:$B$200,0)),"")</f>
        <v>0</v>
      </c>
      <c r="J159" s="20">
        <f>IFERROR(INDEX('Input - US Food'!H$2:H$200,MATCH('Calculations - US Food'!$D159,'Input - US Food'!$B$2:$B$200,0)),"")</f>
        <v>0</v>
      </c>
      <c r="K159" s="21">
        <f>IFERROR(INDEX('Input - US Food'!I$2:I$200,MATCH('Calculations - US Food'!$D159,'Input - US Food'!$B$2:$B$200,0)),"")</f>
        <v>0</v>
      </c>
      <c r="L159" s="21">
        <f>IFERROR(INDEX('Input - US Food'!J$2:J$200,MATCH('Calculations - US Food'!$D159,'Input - US Food'!$B$2:$B$200,0)),"")</f>
        <v>0</v>
      </c>
      <c r="M159" s="20">
        <f>IFERROR(INDEX('Input - US Food'!K$2:K$200,MATCH('Calculations - US Food'!$D159,'Input - US Food'!$B$2:$B$200,0)),"")</f>
        <v>6055363851.4215012</v>
      </c>
      <c r="N159" s="20">
        <f>IFERROR(INDEX('Input - US Food'!L$2:L$200,MATCH('Calculations - US Food'!$D159,'Input - US Food'!$B$2:$B$200,0)),"")</f>
        <v>1982155918.8720999</v>
      </c>
      <c r="O159" s="21" t="str">
        <f t="shared" si="123"/>
        <v/>
      </c>
      <c r="P159" s="21">
        <f t="shared" si="142"/>
        <v>3.0549382083257943</v>
      </c>
      <c r="Q159" s="21">
        <f t="shared" si="124"/>
        <v>0</v>
      </c>
      <c r="R159" s="9">
        <f t="shared" si="143"/>
        <v>0</v>
      </c>
      <c r="S159" s="9">
        <f t="shared" si="144"/>
        <v>0</v>
      </c>
      <c r="T159" s="22" t="str">
        <f>IFERROR(INDEX('US Food'!$S$11:$S$197,MATCH('Calculations - US Food'!$D159,'US Food'!$N$11:$N$197,0)),"")</f>
        <v/>
      </c>
      <c r="U159" s="22" t="str">
        <f>IFERROR(INDEX('US Food'!$T$11:$T$197,MATCH('Calculations - US Food'!$D159,'US Food'!$N$11:$N$197,0)),"")</f>
        <v/>
      </c>
      <c r="V159" s="16" t="e">
        <f t="shared" si="145"/>
        <v>#VALUE!</v>
      </c>
      <c r="W159" s="16" t="e">
        <f t="shared" si="125"/>
        <v>#VALUE!</v>
      </c>
      <c r="X159" s="16" t="e">
        <f t="shared" si="126"/>
        <v>#VALUE!</v>
      </c>
      <c r="Y159" s="10" t="str">
        <f t="shared" si="146"/>
        <v>-</v>
      </c>
      <c r="Z159" s="10" t="str">
        <f t="shared" si="147"/>
        <v>-</v>
      </c>
      <c r="AA159" s="13" t="str">
        <f t="shared" si="127"/>
        <v>-</v>
      </c>
      <c r="AB159" s="9" t="str">
        <f t="shared" si="148"/>
        <v>-</v>
      </c>
      <c r="AC159" s="16" t="str">
        <f t="shared" si="128"/>
        <v>-</v>
      </c>
      <c r="AD159" s="16" t="str">
        <f t="shared" si="149"/>
        <v>-</v>
      </c>
      <c r="AE159" s="16" t="str">
        <f t="shared" si="150"/>
        <v>-</v>
      </c>
      <c r="AF159" s="16" t="str">
        <f t="shared" si="129"/>
        <v>-</v>
      </c>
      <c r="AG159" s="16"/>
      <c r="AH159" s="32" t="str">
        <f>IFERROR(INDEX('US Food'!$R$11:$R$197,MATCH('Calculations - US Food'!D159,'US Food'!$N$11:$N$197,0)),"")</f>
        <v/>
      </c>
      <c r="AI159" s="23" t="str">
        <f t="shared" si="130"/>
        <v/>
      </c>
      <c r="AJ159" s="23" t="str">
        <f t="shared" si="131"/>
        <v/>
      </c>
      <c r="AK159" s="9" t="str">
        <f t="shared" si="151"/>
        <v/>
      </c>
      <c r="AL159" s="4" t="str">
        <f t="shared" si="152"/>
        <v/>
      </c>
      <c r="AM159" s="4"/>
      <c r="AN159" s="4"/>
      <c r="AO159" s="4"/>
      <c r="AP159" s="4"/>
      <c r="AQ159" s="4"/>
      <c r="AR159" s="20" t="str">
        <f t="shared" si="153"/>
        <v>-</v>
      </c>
      <c r="AS159" s="13" t="str">
        <f t="shared" si="132"/>
        <v>-</v>
      </c>
      <c r="AT159" s="13" t="str">
        <f t="shared" si="133"/>
        <v>-</v>
      </c>
      <c r="AU159" s="13" t="str">
        <f t="shared" si="154"/>
        <v>-</v>
      </c>
      <c r="AV159" s="16" t="str">
        <f t="shared" si="134"/>
        <v>-</v>
      </c>
      <c r="AW159" s="16" t="str">
        <f t="shared" si="155"/>
        <v>-</v>
      </c>
      <c r="AX159" s="16" t="str">
        <f t="shared" si="156"/>
        <v>-</v>
      </c>
      <c r="AY159" s="16" t="str">
        <f t="shared" si="135"/>
        <v>-</v>
      </c>
      <c r="AZ159" s="13" t="str">
        <f t="shared" si="136"/>
        <v>-</v>
      </c>
      <c r="BA159" s="10" t="str">
        <f t="shared" si="137"/>
        <v>-</v>
      </c>
      <c r="BB159" s="9" t="str">
        <f t="shared" si="138"/>
        <v>-</v>
      </c>
      <c r="BC159" s="13" t="str">
        <f t="shared" si="139"/>
        <v>-</v>
      </c>
      <c r="BD159" s="10" t="str">
        <f t="shared" si="140"/>
        <v>-</v>
      </c>
      <c r="BE159" s="13" t="str">
        <f t="shared" si="141"/>
        <v>-</v>
      </c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</row>
    <row r="160" spans="2:70" x14ac:dyDescent="0.3">
      <c r="B160" s="96" t="str">
        <f t="shared" si="120"/>
        <v/>
      </c>
      <c r="C160" s="96" t="str">
        <f t="shared" si="121"/>
        <v/>
      </c>
      <c r="D160" s="96" t="str">
        <f t="shared" si="122"/>
        <v/>
      </c>
      <c r="E160" s="3"/>
      <c r="F160" s="3"/>
      <c r="G160" s="3"/>
      <c r="H160" s="3"/>
      <c r="I160" s="20">
        <f>IFERROR(INDEX('Input - US Food'!G$2:G$200,MATCH('Calculations - US Food'!$D160,'Input - US Food'!$B$2:$B$200,0)),"")</f>
        <v>0</v>
      </c>
      <c r="J160" s="20">
        <f>IFERROR(INDEX('Input - US Food'!H$2:H$200,MATCH('Calculations - US Food'!$D160,'Input - US Food'!$B$2:$B$200,0)),"")</f>
        <v>0</v>
      </c>
      <c r="K160" s="21">
        <f>IFERROR(INDEX('Input - US Food'!I$2:I$200,MATCH('Calculations - US Food'!$D160,'Input - US Food'!$B$2:$B$200,0)),"")</f>
        <v>0</v>
      </c>
      <c r="L160" s="21">
        <f>IFERROR(INDEX('Input - US Food'!J$2:J$200,MATCH('Calculations - US Food'!$D160,'Input - US Food'!$B$2:$B$200,0)),"")</f>
        <v>0</v>
      </c>
      <c r="M160" s="20">
        <f>IFERROR(INDEX('Input - US Food'!K$2:K$200,MATCH('Calculations - US Food'!$D160,'Input - US Food'!$B$2:$B$200,0)),"")</f>
        <v>6055363851.4215012</v>
      </c>
      <c r="N160" s="20">
        <f>IFERROR(INDEX('Input - US Food'!L$2:L$200,MATCH('Calculations - US Food'!$D160,'Input - US Food'!$B$2:$B$200,0)),"")</f>
        <v>1982155918.8720999</v>
      </c>
      <c r="O160" s="21" t="str">
        <f t="shared" si="123"/>
        <v/>
      </c>
      <c r="P160" s="21">
        <f t="shared" ref="P160:P191" si="157">IFERROR(M160/N160,"")</f>
        <v>3.0549382083257943</v>
      </c>
      <c r="Q160" s="21">
        <f t="shared" si="124"/>
        <v>0</v>
      </c>
      <c r="R160" s="9">
        <f t="shared" ref="R160:R191" si="158">I160/SUM(I$32:I$229)</f>
        <v>0</v>
      </c>
      <c r="S160" s="9">
        <f t="shared" ref="S160:S191" si="159">J160/SUM(J$32:J$229)</f>
        <v>0</v>
      </c>
      <c r="T160" s="22" t="str">
        <f>IFERROR(INDEX('US Food'!$S$11:$S$197,MATCH('Calculations - US Food'!$D160,'US Food'!$N$11:$N$197,0)),"")</f>
        <v/>
      </c>
      <c r="U160" s="22" t="str">
        <f>IFERROR(INDEX('US Food'!$T$11:$T$197,MATCH('Calculations - US Food'!$D160,'US Food'!$N$11:$N$197,0)),"")</f>
        <v/>
      </c>
      <c r="V160" s="16" t="e">
        <f t="shared" ref="V160:V191" si="160">T160*I160</f>
        <v>#VALUE!</v>
      </c>
      <c r="W160" s="16" t="e">
        <f t="shared" si="125"/>
        <v>#VALUE!</v>
      </c>
      <c r="X160" s="16" t="e">
        <f t="shared" si="126"/>
        <v>#VALUE!</v>
      </c>
      <c r="Y160" s="10" t="str">
        <f t="shared" ref="Y160:Y191" si="161">IFERROR(X160/J160,"-")</f>
        <v>-</v>
      </c>
      <c r="Z160" s="10" t="str">
        <f t="shared" ref="Z160:Z191" si="162">IFERROR((L160+O160)*J160*0.5,"-")</f>
        <v>-</v>
      </c>
      <c r="AA160" s="13" t="str">
        <f t="shared" si="127"/>
        <v>-</v>
      </c>
      <c r="AB160" s="9" t="str">
        <f t="shared" ref="AB160:AB191" si="163">IFERROR(AA160-R160,"-")</f>
        <v>-</v>
      </c>
      <c r="AC160" s="16" t="str">
        <f t="shared" si="128"/>
        <v>-</v>
      </c>
      <c r="AD160" s="16" t="str">
        <f t="shared" ref="AD160:AD191" si="164">IFERROR(AC160/O160,"-")</f>
        <v>-</v>
      </c>
      <c r="AE160" s="16" t="str">
        <f t="shared" ref="AE160:AE191" si="165">IFERROR(T160*AC160,"-")</f>
        <v>-</v>
      </c>
      <c r="AF160" s="16" t="str">
        <f t="shared" si="129"/>
        <v>-</v>
      </c>
      <c r="AG160" s="16"/>
      <c r="AH160" s="32" t="str">
        <f>IFERROR(INDEX('US Food'!$R$11:$R$197,MATCH('Calculations - US Food'!D160,'US Food'!$N$11:$N$197,0)),"")</f>
        <v/>
      </c>
      <c r="AI160" s="23" t="str">
        <f t="shared" si="130"/>
        <v/>
      </c>
      <c r="AJ160" s="23" t="str">
        <f t="shared" si="131"/>
        <v/>
      </c>
      <c r="AK160" s="9" t="str">
        <f t="shared" ref="AK160:AK191" si="166">IFERROR((AH160-O160)/O160,"")</f>
        <v/>
      </c>
      <c r="AL160" s="4" t="str">
        <f t="shared" ref="AL160:AL191" si="167">IFERROR(MAX((1+AK160*Q160/5)*J160,0),"")</f>
        <v/>
      </c>
      <c r="AM160" s="4"/>
      <c r="AN160" s="4"/>
      <c r="AO160" s="4"/>
      <c r="AP160" s="4"/>
      <c r="AQ160" s="4"/>
      <c r="AR160" s="20" t="str">
        <f t="shared" ref="AR160:AR191" si="168">IFERROR(0.5*(L160+AH160)*AL160,"-")</f>
        <v>-</v>
      </c>
      <c r="AS160" s="13" t="str">
        <f t="shared" si="132"/>
        <v>-</v>
      </c>
      <c r="AT160" s="13" t="str">
        <f t="shared" si="133"/>
        <v>-</v>
      </c>
      <c r="AU160" s="13" t="str">
        <f t="shared" ref="AU160:AU191" si="169">IFERROR(AT160-R160,"-")</f>
        <v>-</v>
      </c>
      <c r="AV160" s="16" t="str">
        <f t="shared" si="134"/>
        <v>-</v>
      </c>
      <c r="AW160" s="16" t="str">
        <f t="shared" ref="AW160:AW191" si="170">IFERROR(AV160/AH160,"-")</f>
        <v>-</v>
      </c>
      <c r="AX160" s="16" t="str">
        <f t="shared" ref="AX160:AX191" si="171">IFERROR(AI160*AV160,"-")</f>
        <v>-</v>
      </c>
      <c r="AY160" s="16" t="str">
        <f t="shared" si="135"/>
        <v>-</v>
      </c>
      <c r="AZ160" s="13" t="str">
        <f t="shared" si="136"/>
        <v>-</v>
      </c>
      <c r="BA160" s="10" t="str">
        <f t="shared" si="137"/>
        <v>-</v>
      </c>
      <c r="BB160" s="9" t="str">
        <f t="shared" si="138"/>
        <v>-</v>
      </c>
      <c r="BC160" s="13" t="str">
        <f t="shared" si="139"/>
        <v>-</v>
      </c>
      <c r="BD160" s="10" t="str">
        <f t="shared" si="140"/>
        <v>-</v>
      </c>
      <c r="BE160" s="13" t="str">
        <f t="shared" si="141"/>
        <v>-</v>
      </c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</row>
    <row r="161" spans="2:70" x14ac:dyDescent="0.3">
      <c r="B161" s="96" t="str">
        <f t="shared" ref="B161:B224" si="172">IFERROR(E161&amp;F161,"")</f>
        <v/>
      </c>
      <c r="C161" s="96" t="str">
        <f t="shared" ref="C161:C224" si="173">E161&amp;F161&amp;G161</f>
        <v/>
      </c>
      <c r="D161" s="96" t="str">
        <f t="shared" ref="D161:D224" si="174">IFERROR(E161&amp;F161&amp;G161&amp;H161,"")</f>
        <v/>
      </c>
      <c r="E161" s="3"/>
      <c r="F161" s="3"/>
      <c r="G161" s="3"/>
      <c r="H161" s="3"/>
      <c r="I161" s="20">
        <f>IFERROR(INDEX('Input - US Food'!G$2:G$200,MATCH('Calculations - US Food'!$D161,'Input - US Food'!$B$2:$B$200,0)),"")</f>
        <v>0</v>
      </c>
      <c r="J161" s="20">
        <f>IFERROR(INDEX('Input - US Food'!H$2:H$200,MATCH('Calculations - US Food'!$D161,'Input - US Food'!$B$2:$B$200,0)),"")</f>
        <v>0</v>
      </c>
      <c r="K161" s="21">
        <f>IFERROR(INDEX('Input - US Food'!I$2:I$200,MATCH('Calculations - US Food'!$D161,'Input - US Food'!$B$2:$B$200,0)),"")</f>
        <v>0</v>
      </c>
      <c r="L161" s="21">
        <f>IFERROR(INDEX('Input - US Food'!J$2:J$200,MATCH('Calculations - US Food'!$D161,'Input - US Food'!$B$2:$B$200,0)),"")</f>
        <v>0</v>
      </c>
      <c r="M161" s="20">
        <f>IFERROR(INDEX('Input - US Food'!K$2:K$200,MATCH('Calculations - US Food'!$D161,'Input - US Food'!$B$2:$B$200,0)),"")</f>
        <v>6055363851.4215012</v>
      </c>
      <c r="N161" s="20">
        <f>IFERROR(INDEX('Input - US Food'!L$2:L$200,MATCH('Calculations - US Food'!$D161,'Input - US Food'!$B$2:$B$200,0)),"")</f>
        <v>1982155918.8720999</v>
      </c>
      <c r="O161" s="21" t="str">
        <f t="shared" ref="O161:O224" si="175">IFERROR(I161/J161,"")</f>
        <v/>
      </c>
      <c r="P161" s="21">
        <f t="shared" si="157"/>
        <v>3.0549382083257943</v>
      </c>
      <c r="Q161" s="21">
        <f t="shared" ref="Q161:Q224" si="176">IFERROR((O161/(O161-L161)*5),0)</f>
        <v>0</v>
      </c>
      <c r="R161" s="9">
        <f t="shared" si="158"/>
        <v>0</v>
      </c>
      <c r="S161" s="9">
        <f t="shared" si="159"/>
        <v>0</v>
      </c>
      <c r="T161" s="22" t="str">
        <f>IFERROR(INDEX('US Food'!$S$11:$S$197,MATCH('Calculations - US Food'!$D161,'US Food'!$N$11:$N$197,0)),"")</f>
        <v/>
      </c>
      <c r="U161" s="22" t="str">
        <f>IFERROR(INDEX('US Food'!$T$11:$T$197,MATCH('Calculations - US Food'!$D161,'US Food'!$N$11:$N$197,0)),"")</f>
        <v/>
      </c>
      <c r="V161" s="16" t="e">
        <f t="shared" si="160"/>
        <v>#VALUE!</v>
      </c>
      <c r="W161" s="16" t="e">
        <f t="shared" ref="W161:W224" si="177">U161*V161</f>
        <v>#VALUE!</v>
      </c>
      <c r="X161" s="16" t="e">
        <f t="shared" ref="X161:X224" si="178">V161-W161</f>
        <v>#VALUE!</v>
      </c>
      <c r="Y161" s="10" t="str">
        <f t="shared" si="161"/>
        <v>-</v>
      </c>
      <c r="Z161" s="10" t="str">
        <f t="shared" si="162"/>
        <v>-</v>
      </c>
      <c r="AA161" s="13" t="str">
        <f t="shared" ref="AA161:AA224" si="179">IFERROR(Z161/$Z$30,"-")</f>
        <v>-</v>
      </c>
      <c r="AB161" s="9" t="str">
        <f t="shared" si="163"/>
        <v>-</v>
      </c>
      <c r="AC161" s="16" t="str">
        <f t="shared" ref="AC161:AC224" si="180">IFERROR(AA161*$I$30,"-")</f>
        <v>-</v>
      </c>
      <c r="AD161" s="16" t="str">
        <f t="shared" si="164"/>
        <v>-</v>
      </c>
      <c r="AE161" s="16" t="str">
        <f t="shared" si="165"/>
        <v>-</v>
      </c>
      <c r="AF161" s="16" t="str">
        <f t="shared" ref="AF161:AF224" si="181">IFERROR(AE161-(Y161)*AD161,"-")</f>
        <v>-</v>
      </c>
      <c r="AG161" s="16"/>
      <c r="AH161" s="32" t="str">
        <f>IFERROR(INDEX('US Food'!$R$11:$R$197,MATCH('Calculations - US Food'!D161,'US Food'!$N$11:$N$197,0)),"")</f>
        <v/>
      </c>
      <c r="AI161" s="23" t="str">
        <f t="shared" ref="AI161:AI224" si="182">T161</f>
        <v/>
      </c>
      <c r="AJ161" s="23" t="str">
        <f t="shared" ref="AJ161:AJ224" si="183">U161</f>
        <v/>
      </c>
      <c r="AK161" s="9" t="str">
        <f t="shared" si="166"/>
        <v/>
      </c>
      <c r="AL161" s="4" t="str">
        <f t="shared" si="167"/>
        <v/>
      </c>
      <c r="AM161" s="4"/>
      <c r="AN161" s="4"/>
      <c r="AO161" s="4"/>
      <c r="AP161" s="4"/>
      <c r="AQ161" s="4"/>
      <c r="AR161" s="20" t="str">
        <f t="shared" si="168"/>
        <v>-</v>
      </c>
      <c r="AS161" s="13" t="str">
        <f t="shared" ref="AS161:AS224" si="184">IFERROR(AR161/AR$30,"-")</f>
        <v>-</v>
      </c>
      <c r="AT161" s="13" t="str">
        <f t="shared" ref="AT161:AT224" si="185">IFERROR(AS161*$R$30,"-")</f>
        <v>-</v>
      </c>
      <c r="AU161" s="13" t="str">
        <f t="shared" si="169"/>
        <v>-</v>
      </c>
      <c r="AV161" s="16" t="str">
        <f t="shared" ref="AV161:AV224" si="186">IFERROR(AT161*AQ$32,"-")</f>
        <v>-</v>
      </c>
      <c r="AW161" s="16" t="str">
        <f t="shared" si="170"/>
        <v>-</v>
      </c>
      <c r="AX161" s="16" t="str">
        <f t="shared" si="171"/>
        <v>-</v>
      </c>
      <c r="AY161" s="16" t="str">
        <f t="shared" ref="AY161:AY224" si="187">IFERROR(AX161-(Y161*AW161),"-")</f>
        <v>-</v>
      </c>
      <c r="AZ161" s="13" t="str">
        <f t="shared" ref="AZ161:AZ224" si="188">IFERROR(AW161/SUMIFS($AW$32:$AW$229,$B$32:$B$229,B161),"-")</f>
        <v>-</v>
      </c>
      <c r="BA161" s="10" t="str">
        <f t="shared" ref="BA161:BA224" si="189">IFERROR(AZ161*INDEX($AU$4:$AU$24,MATCH($B161,$D$4:$D$24,0)),"-")</f>
        <v>-</v>
      </c>
      <c r="BB161" s="9" t="str">
        <f t="shared" ref="BB161:BB224" si="190">IFERROR(BA161/SUM($BA$32:$BA$229),"-")</f>
        <v>-</v>
      </c>
      <c r="BC161" s="13" t="str">
        <f t="shared" ref="BC161:BC224" si="191">IFERROR(AV161/SUMIFS($AV$32:$AV$229,$B$32:$B$229,B161),"-")</f>
        <v>-</v>
      </c>
      <c r="BD161" s="10" t="str">
        <f t="shared" ref="BD161:BD224" si="192">IFERROR(BC161*INDEX($AT$4:$AT$24,MATCH($B161,$D$4:$D$24,0)),"-")</f>
        <v>-</v>
      </c>
      <c r="BE161" s="13" t="str">
        <f t="shared" ref="BE161:BE224" si="193">IFERROR(BD161/SUM($BD$32:$BD$229),"-")</f>
        <v>-</v>
      </c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</row>
    <row r="162" spans="2:70" x14ac:dyDescent="0.3">
      <c r="B162" s="96" t="str">
        <f t="shared" si="172"/>
        <v/>
      </c>
      <c r="C162" s="96" t="str">
        <f t="shared" si="173"/>
        <v/>
      </c>
      <c r="D162" s="96" t="str">
        <f t="shared" si="174"/>
        <v/>
      </c>
      <c r="E162" s="3"/>
      <c r="F162" s="3"/>
      <c r="G162" s="3"/>
      <c r="H162" s="3"/>
      <c r="I162" s="20">
        <f>IFERROR(INDEX('Input - US Food'!G$2:G$200,MATCH('Calculations - US Food'!$D162,'Input - US Food'!$B$2:$B$200,0)),"")</f>
        <v>0</v>
      </c>
      <c r="J162" s="20">
        <f>IFERROR(INDEX('Input - US Food'!H$2:H$200,MATCH('Calculations - US Food'!$D162,'Input - US Food'!$B$2:$B$200,0)),"")</f>
        <v>0</v>
      </c>
      <c r="K162" s="21">
        <f>IFERROR(INDEX('Input - US Food'!I$2:I$200,MATCH('Calculations - US Food'!$D162,'Input - US Food'!$B$2:$B$200,0)),"")</f>
        <v>0</v>
      </c>
      <c r="L162" s="21">
        <f>IFERROR(INDEX('Input - US Food'!J$2:J$200,MATCH('Calculations - US Food'!$D162,'Input - US Food'!$B$2:$B$200,0)),"")</f>
        <v>0</v>
      </c>
      <c r="M162" s="20">
        <f>IFERROR(INDEX('Input - US Food'!K$2:K$200,MATCH('Calculations - US Food'!$D162,'Input - US Food'!$B$2:$B$200,0)),"")</f>
        <v>6055363851.4215012</v>
      </c>
      <c r="N162" s="20">
        <f>IFERROR(INDEX('Input - US Food'!L$2:L$200,MATCH('Calculations - US Food'!$D162,'Input - US Food'!$B$2:$B$200,0)),"")</f>
        <v>1982155918.8720999</v>
      </c>
      <c r="O162" s="21" t="str">
        <f t="shared" si="175"/>
        <v/>
      </c>
      <c r="P162" s="21">
        <f t="shared" si="157"/>
        <v>3.0549382083257943</v>
      </c>
      <c r="Q162" s="21">
        <f t="shared" si="176"/>
        <v>0</v>
      </c>
      <c r="R162" s="9">
        <f t="shared" si="158"/>
        <v>0</v>
      </c>
      <c r="S162" s="9">
        <f t="shared" si="159"/>
        <v>0</v>
      </c>
      <c r="T162" s="22" t="str">
        <f>IFERROR(INDEX('US Food'!$S$11:$S$197,MATCH('Calculations - US Food'!$D162,'US Food'!$N$11:$N$197,0)),"")</f>
        <v/>
      </c>
      <c r="U162" s="22" t="str">
        <f>IFERROR(INDEX('US Food'!$T$11:$T$197,MATCH('Calculations - US Food'!$D162,'US Food'!$N$11:$N$197,0)),"")</f>
        <v/>
      </c>
      <c r="V162" s="16" t="e">
        <f t="shared" si="160"/>
        <v>#VALUE!</v>
      </c>
      <c r="W162" s="16" t="e">
        <f t="shared" si="177"/>
        <v>#VALUE!</v>
      </c>
      <c r="X162" s="16" t="e">
        <f t="shared" si="178"/>
        <v>#VALUE!</v>
      </c>
      <c r="Y162" s="10" t="str">
        <f t="shared" si="161"/>
        <v>-</v>
      </c>
      <c r="Z162" s="10" t="str">
        <f t="shared" si="162"/>
        <v>-</v>
      </c>
      <c r="AA162" s="13" t="str">
        <f t="shared" si="179"/>
        <v>-</v>
      </c>
      <c r="AB162" s="9" t="str">
        <f t="shared" si="163"/>
        <v>-</v>
      </c>
      <c r="AC162" s="16" t="str">
        <f t="shared" si="180"/>
        <v>-</v>
      </c>
      <c r="AD162" s="16" t="str">
        <f t="shared" si="164"/>
        <v>-</v>
      </c>
      <c r="AE162" s="16" t="str">
        <f t="shared" si="165"/>
        <v>-</v>
      </c>
      <c r="AF162" s="16" t="str">
        <f t="shared" si="181"/>
        <v>-</v>
      </c>
      <c r="AG162" s="16"/>
      <c r="AH162" s="32" t="str">
        <f>IFERROR(INDEX('US Food'!$R$11:$R$197,MATCH('Calculations - US Food'!D162,'US Food'!$N$11:$N$197,0)),"")</f>
        <v/>
      </c>
      <c r="AI162" s="23" t="str">
        <f t="shared" si="182"/>
        <v/>
      </c>
      <c r="AJ162" s="23" t="str">
        <f t="shared" si="183"/>
        <v/>
      </c>
      <c r="AK162" s="9" t="str">
        <f t="shared" si="166"/>
        <v/>
      </c>
      <c r="AL162" s="4" t="str">
        <f t="shared" si="167"/>
        <v/>
      </c>
      <c r="AM162" s="4"/>
      <c r="AN162" s="4"/>
      <c r="AO162" s="4"/>
      <c r="AP162" s="4"/>
      <c r="AQ162" s="4"/>
      <c r="AR162" s="20" t="str">
        <f t="shared" si="168"/>
        <v>-</v>
      </c>
      <c r="AS162" s="13" t="str">
        <f t="shared" si="184"/>
        <v>-</v>
      </c>
      <c r="AT162" s="13" t="str">
        <f t="shared" si="185"/>
        <v>-</v>
      </c>
      <c r="AU162" s="13" t="str">
        <f t="shared" si="169"/>
        <v>-</v>
      </c>
      <c r="AV162" s="16" t="str">
        <f t="shared" si="186"/>
        <v>-</v>
      </c>
      <c r="AW162" s="16" t="str">
        <f t="shared" si="170"/>
        <v>-</v>
      </c>
      <c r="AX162" s="16" t="str">
        <f t="shared" si="171"/>
        <v>-</v>
      </c>
      <c r="AY162" s="16" t="str">
        <f t="shared" si="187"/>
        <v>-</v>
      </c>
      <c r="AZ162" s="13" t="str">
        <f t="shared" si="188"/>
        <v>-</v>
      </c>
      <c r="BA162" s="10" t="str">
        <f t="shared" si="189"/>
        <v>-</v>
      </c>
      <c r="BB162" s="9" t="str">
        <f t="shared" si="190"/>
        <v>-</v>
      </c>
      <c r="BC162" s="13" t="str">
        <f t="shared" si="191"/>
        <v>-</v>
      </c>
      <c r="BD162" s="10" t="str">
        <f t="shared" si="192"/>
        <v>-</v>
      </c>
      <c r="BE162" s="13" t="str">
        <f t="shared" si="193"/>
        <v>-</v>
      </c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</row>
    <row r="163" spans="2:70" x14ac:dyDescent="0.3">
      <c r="B163" s="96" t="str">
        <f t="shared" si="172"/>
        <v/>
      </c>
      <c r="C163" s="96" t="str">
        <f t="shared" si="173"/>
        <v/>
      </c>
      <c r="D163" s="96" t="str">
        <f t="shared" si="174"/>
        <v/>
      </c>
      <c r="E163" s="3"/>
      <c r="F163" s="3"/>
      <c r="G163" s="3"/>
      <c r="H163" s="3"/>
      <c r="I163" s="20">
        <f>IFERROR(INDEX('Input - US Food'!G$2:G$200,MATCH('Calculations - US Food'!$D163,'Input - US Food'!$B$2:$B$200,0)),"")</f>
        <v>0</v>
      </c>
      <c r="J163" s="20">
        <f>IFERROR(INDEX('Input - US Food'!H$2:H$200,MATCH('Calculations - US Food'!$D163,'Input - US Food'!$B$2:$B$200,0)),"")</f>
        <v>0</v>
      </c>
      <c r="K163" s="21">
        <f>IFERROR(INDEX('Input - US Food'!I$2:I$200,MATCH('Calculations - US Food'!$D163,'Input - US Food'!$B$2:$B$200,0)),"")</f>
        <v>0</v>
      </c>
      <c r="L163" s="21">
        <f>IFERROR(INDEX('Input - US Food'!J$2:J$200,MATCH('Calculations - US Food'!$D163,'Input - US Food'!$B$2:$B$200,0)),"")</f>
        <v>0</v>
      </c>
      <c r="M163" s="20">
        <f>IFERROR(INDEX('Input - US Food'!K$2:K$200,MATCH('Calculations - US Food'!$D163,'Input - US Food'!$B$2:$B$200,0)),"")</f>
        <v>6055363851.4215012</v>
      </c>
      <c r="N163" s="20">
        <f>IFERROR(INDEX('Input - US Food'!L$2:L$200,MATCH('Calculations - US Food'!$D163,'Input - US Food'!$B$2:$B$200,0)),"")</f>
        <v>1982155918.8720999</v>
      </c>
      <c r="O163" s="21" t="str">
        <f t="shared" si="175"/>
        <v/>
      </c>
      <c r="P163" s="21">
        <f t="shared" si="157"/>
        <v>3.0549382083257943</v>
      </c>
      <c r="Q163" s="21">
        <f t="shared" si="176"/>
        <v>0</v>
      </c>
      <c r="R163" s="9">
        <f t="shared" si="158"/>
        <v>0</v>
      </c>
      <c r="S163" s="9">
        <f t="shared" si="159"/>
        <v>0</v>
      </c>
      <c r="T163" s="22" t="str">
        <f>IFERROR(INDEX('US Food'!$S$11:$S$197,MATCH('Calculations - US Food'!$D163,'US Food'!$N$11:$N$197,0)),"")</f>
        <v/>
      </c>
      <c r="U163" s="22" t="str">
        <f>IFERROR(INDEX('US Food'!$T$11:$T$197,MATCH('Calculations - US Food'!$D163,'US Food'!$N$11:$N$197,0)),"")</f>
        <v/>
      </c>
      <c r="V163" s="16" t="e">
        <f t="shared" si="160"/>
        <v>#VALUE!</v>
      </c>
      <c r="W163" s="16" t="e">
        <f t="shared" si="177"/>
        <v>#VALUE!</v>
      </c>
      <c r="X163" s="16" t="e">
        <f t="shared" si="178"/>
        <v>#VALUE!</v>
      </c>
      <c r="Y163" s="10" t="str">
        <f t="shared" si="161"/>
        <v>-</v>
      </c>
      <c r="Z163" s="10" t="str">
        <f t="shared" si="162"/>
        <v>-</v>
      </c>
      <c r="AA163" s="13" t="str">
        <f t="shared" si="179"/>
        <v>-</v>
      </c>
      <c r="AB163" s="9" t="str">
        <f t="shared" si="163"/>
        <v>-</v>
      </c>
      <c r="AC163" s="16" t="str">
        <f t="shared" si="180"/>
        <v>-</v>
      </c>
      <c r="AD163" s="16" t="str">
        <f t="shared" si="164"/>
        <v>-</v>
      </c>
      <c r="AE163" s="16" t="str">
        <f t="shared" si="165"/>
        <v>-</v>
      </c>
      <c r="AF163" s="16" t="str">
        <f t="shared" si="181"/>
        <v>-</v>
      </c>
      <c r="AG163" s="16"/>
      <c r="AH163" s="32" t="str">
        <f>IFERROR(INDEX('US Food'!$R$11:$R$197,MATCH('Calculations - US Food'!D163,'US Food'!$N$11:$N$197,0)),"")</f>
        <v/>
      </c>
      <c r="AI163" s="23" t="str">
        <f t="shared" si="182"/>
        <v/>
      </c>
      <c r="AJ163" s="23" t="str">
        <f t="shared" si="183"/>
        <v/>
      </c>
      <c r="AK163" s="9" t="str">
        <f t="shared" si="166"/>
        <v/>
      </c>
      <c r="AL163" s="4" t="str">
        <f t="shared" si="167"/>
        <v/>
      </c>
      <c r="AM163" s="4"/>
      <c r="AN163" s="4"/>
      <c r="AO163" s="4"/>
      <c r="AP163" s="4"/>
      <c r="AQ163" s="4"/>
      <c r="AR163" s="20" t="str">
        <f t="shared" si="168"/>
        <v>-</v>
      </c>
      <c r="AS163" s="13" t="str">
        <f t="shared" si="184"/>
        <v>-</v>
      </c>
      <c r="AT163" s="13" t="str">
        <f t="shared" si="185"/>
        <v>-</v>
      </c>
      <c r="AU163" s="13" t="str">
        <f t="shared" si="169"/>
        <v>-</v>
      </c>
      <c r="AV163" s="16" t="str">
        <f t="shared" si="186"/>
        <v>-</v>
      </c>
      <c r="AW163" s="16" t="str">
        <f t="shared" si="170"/>
        <v>-</v>
      </c>
      <c r="AX163" s="16" t="str">
        <f t="shared" si="171"/>
        <v>-</v>
      </c>
      <c r="AY163" s="16" t="str">
        <f t="shared" si="187"/>
        <v>-</v>
      </c>
      <c r="AZ163" s="13" t="str">
        <f t="shared" si="188"/>
        <v>-</v>
      </c>
      <c r="BA163" s="10" t="str">
        <f t="shared" si="189"/>
        <v>-</v>
      </c>
      <c r="BB163" s="9" t="str">
        <f t="shared" si="190"/>
        <v>-</v>
      </c>
      <c r="BC163" s="13" t="str">
        <f t="shared" si="191"/>
        <v>-</v>
      </c>
      <c r="BD163" s="10" t="str">
        <f t="shared" si="192"/>
        <v>-</v>
      </c>
      <c r="BE163" s="13" t="str">
        <f t="shared" si="193"/>
        <v>-</v>
      </c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</row>
    <row r="164" spans="2:70" x14ac:dyDescent="0.3">
      <c r="B164" s="96" t="str">
        <f t="shared" si="172"/>
        <v/>
      </c>
      <c r="C164" s="96" t="str">
        <f t="shared" si="173"/>
        <v/>
      </c>
      <c r="D164" s="96" t="str">
        <f t="shared" si="174"/>
        <v/>
      </c>
      <c r="E164" s="3"/>
      <c r="F164" s="3"/>
      <c r="G164" s="3"/>
      <c r="H164" s="3"/>
      <c r="I164" s="20">
        <f>IFERROR(INDEX('Input - US Food'!G$2:G$200,MATCH('Calculations - US Food'!$D164,'Input - US Food'!$B$2:$B$200,0)),"")</f>
        <v>0</v>
      </c>
      <c r="J164" s="20">
        <f>IFERROR(INDEX('Input - US Food'!H$2:H$200,MATCH('Calculations - US Food'!$D164,'Input - US Food'!$B$2:$B$200,0)),"")</f>
        <v>0</v>
      </c>
      <c r="K164" s="21">
        <f>IFERROR(INDEX('Input - US Food'!I$2:I$200,MATCH('Calculations - US Food'!$D164,'Input - US Food'!$B$2:$B$200,0)),"")</f>
        <v>0</v>
      </c>
      <c r="L164" s="21">
        <f>IFERROR(INDEX('Input - US Food'!J$2:J$200,MATCH('Calculations - US Food'!$D164,'Input - US Food'!$B$2:$B$200,0)),"")</f>
        <v>0</v>
      </c>
      <c r="M164" s="20">
        <f>IFERROR(INDEX('Input - US Food'!K$2:K$200,MATCH('Calculations - US Food'!$D164,'Input - US Food'!$B$2:$B$200,0)),"")</f>
        <v>6055363851.4215012</v>
      </c>
      <c r="N164" s="20">
        <f>IFERROR(INDEX('Input - US Food'!L$2:L$200,MATCH('Calculations - US Food'!$D164,'Input - US Food'!$B$2:$B$200,0)),"")</f>
        <v>1982155918.8720999</v>
      </c>
      <c r="O164" s="21" t="str">
        <f t="shared" si="175"/>
        <v/>
      </c>
      <c r="P164" s="21">
        <f t="shared" si="157"/>
        <v>3.0549382083257943</v>
      </c>
      <c r="Q164" s="21">
        <f t="shared" si="176"/>
        <v>0</v>
      </c>
      <c r="R164" s="9">
        <f t="shared" si="158"/>
        <v>0</v>
      </c>
      <c r="S164" s="9">
        <f t="shared" si="159"/>
        <v>0</v>
      </c>
      <c r="T164" s="22" t="str">
        <f>IFERROR(INDEX('US Food'!$S$11:$S$197,MATCH('Calculations - US Food'!$D164,'US Food'!$N$11:$N$197,0)),"")</f>
        <v/>
      </c>
      <c r="U164" s="22" t="str">
        <f>IFERROR(INDEX('US Food'!$T$11:$T$197,MATCH('Calculations - US Food'!$D164,'US Food'!$N$11:$N$197,0)),"")</f>
        <v/>
      </c>
      <c r="V164" s="16" t="e">
        <f t="shared" si="160"/>
        <v>#VALUE!</v>
      </c>
      <c r="W164" s="16" t="e">
        <f t="shared" si="177"/>
        <v>#VALUE!</v>
      </c>
      <c r="X164" s="16" t="e">
        <f t="shared" si="178"/>
        <v>#VALUE!</v>
      </c>
      <c r="Y164" s="10" t="str">
        <f t="shared" si="161"/>
        <v>-</v>
      </c>
      <c r="Z164" s="10" t="str">
        <f t="shared" si="162"/>
        <v>-</v>
      </c>
      <c r="AA164" s="13" t="str">
        <f t="shared" si="179"/>
        <v>-</v>
      </c>
      <c r="AB164" s="9" t="str">
        <f t="shared" si="163"/>
        <v>-</v>
      </c>
      <c r="AC164" s="16" t="str">
        <f t="shared" si="180"/>
        <v>-</v>
      </c>
      <c r="AD164" s="16" t="str">
        <f t="shared" si="164"/>
        <v>-</v>
      </c>
      <c r="AE164" s="16" t="str">
        <f t="shared" si="165"/>
        <v>-</v>
      </c>
      <c r="AF164" s="16" t="str">
        <f t="shared" si="181"/>
        <v>-</v>
      </c>
      <c r="AG164" s="16"/>
      <c r="AH164" s="32" t="str">
        <f>IFERROR(INDEX('US Food'!$R$11:$R$197,MATCH('Calculations - US Food'!D164,'US Food'!$N$11:$N$197,0)),"")</f>
        <v/>
      </c>
      <c r="AI164" s="23" t="str">
        <f t="shared" si="182"/>
        <v/>
      </c>
      <c r="AJ164" s="23" t="str">
        <f t="shared" si="183"/>
        <v/>
      </c>
      <c r="AK164" s="9" t="str">
        <f t="shared" si="166"/>
        <v/>
      </c>
      <c r="AL164" s="4" t="str">
        <f t="shared" si="167"/>
        <v/>
      </c>
      <c r="AM164" s="4"/>
      <c r="AN164" s="4"/>
      <c r="AO164" s="4"/>
      <c r="AP164" s="4"/>
      <c r="AQ164" s="4"/>
      <c r="AR164" s="20" t="str">
        <f t="shared" si="168"/>
        <v>-</v>
      </c>
      <c r="AS164" s="13" t="str">
        <f t="shared" si="184"/>
        <v>-</v>
      </c>
      <c r="AT164" s="13" t="str">
        <f t="shared" si="185"/>
        <v>-</v>
      </c>
      <c r="AU164" s="13" t="str">
        <f t="shared" si="169"/>
        <v>-</v>
      </c>
      <c r="AV164" s="16" t="str">
        <f t="shared" si="186"/>
        <v>-</v>
      </c>
      <c r="AW164" s="16" t="str">
        <f t="shared" si="170"/>
        <v>-</v>
      </c>
      <c r="AX164" s="16" t="str">
        <f t="shared" si="171"/>
        <v>-</v>
      </c>
      <c r="AY164" s="16" t="str">
        <f t="shared" si="187"/>
        <v>-</v>
      </c>
      <c r="AZ164" s="13" t="str">
        <f t="shared" si="188"/>
        <v>-</v>
      </c>
      <c r="BA164" s="10" t="str">
        <f t="shared" si="189"/>
        <v>-</v>
      </c>
      <c r="BB164" s="9" t="str">
        <f t="shared" si="190"/>
        <v>-</v>
      </c>
      <c r="BC164" s="13" t="str">
        <f t="shared" si="191"/>
        <v>-</v>
      </c>
      <c r="BD164" s="10" t="str">
        <f t="shared" si="192"/>
        <v>-</v>
      </c>
      <c r="BE164" s="13" t="str">
        <f t="shared" si="193"/>
        <v>-</v>
      </c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</row>
    <row r="165" spans="2:70" x14ac:dyDescent="0.3">
      <c r="B165" s="96" t="str">
        <f t="shared" si="172"/>
        <v/>
      </c>
      <c r="C165" s="96" t="str">
        <f t="shared" si="173"/>
        <v/>
      </c>
      <c r="D165" s="96" t="str">
        <f t="shared" si="174"/>
        <v/>
      </c>
      <c r="E165" s="3"/>
      <c r="F165" s="3"/>
      <c r="G165" s="3"/>
      <c r="H165" s="3"/>
      <c r="I165" s="20">
        <f>IFERROR(INDEX('Input - US Food'!G$2:G$200,MATCH('Calculations - US Food'!$D165,'Input - US Food'!$B$2:$B$200,0)),"")</f>
        <v>0</v>
      </c>
      <c r="J165" s="20">
        <f>IFERROR(INDEX('Input - US Food'!H$2:H$200,MATCH('Calculations - US Food'!$D165,'Input - US Food'!$B$2:$B$200,0)),"")</f>
        <v>0</v>
      </c>
      <c r="K165" s="21">
        <f>IFERROR(INDEX('Input - US Food'!I$2:I$200,MATCH('Calculations - US Food'!$D165,'Input - US Food'!$B$2:$B$200,0)),"")</f>
        <v>0</v>
      </c>
      <c r="L165" s="21">
        <f>IFERROR(INDEX('Input - US Food'!J$2:J$200,MATCH('Calculations - US Food'!$D165,'Input - US Food'!$B$2:$B$200,0)),"")</f>
        <v>0</v>
      </c>
      <c r="M165" s="20">
        <f>IFERROR(INDEX('Input - US Food'!K$2:K$200,MATCH('Calculations - US Food'!$D165,'Input - US Food'!$B$2:$B$200,0)),"")</f>
        <v>6055363851.4215012</v>
      </c>
      <c r="N165" s="20">
        <f>IFERROR(INDEX('Input - US Food'!L$2:L$200,MATCH('Calculations - US Food'!$D165,'Input - US Food'!$B$2:$B$200,0)),"")</f>
        <v>1982155918.8720999</v>
      </c>
      <c r="O165" s="21" t="str">
        <f t="shared" si="175"/>
        <v/>
      </c>
      <c r="P165" s="21">
        <f t="shared" si="157"/>
        <v>3.0549382083257943</v>
      </c>
      <c r="Q165" s="21">
        <f t="shared" si="176"/>
        <v>0</v>
      </c>
      <c r="R165" s="9">
        <f t="shared" si="158"/>
        <v>0</v>
      </c>
      <c r="S165" s="9">
        <f t="shared" si="159"/>
        <v>0</v>
      </c>
      <c r="T165" s="22" t="str">
        <f>IFERROR(INDEX('US Food'!$S$11:$S$197,MATCH('Calculations - US Food'!$D165,'US Food'!$N$11:$N$197,0)),"")</f>
        <v/>
      </c>
      <c r="U165" s="22" t="str">
        <f>IFERROR(INDEX('US Food'!$T$11:$T$197,MATCH('Calculations - US Food'!$D165,'US Food'!$N$11:$N$197,0)),"")</f>
        <v/>
      </c>
      <c r="V165" s="16" t="e">
        <f t="shared" si="160"/>
        <v>#VALUE!</v>
      </c>
      <c r="W165" s="16" t="e">
        <f t="shared" si="177"/>
        <v>#VALUE!</v>
      </c>
      <c r="X165" s="16" t="e">
        <f t="shared" si="178"/>
        <v>#VALUE!</v>
      </c>
      <c r="Y165" s="10" t="str">
        <f t="shared" si="161"/>
        <v>-</v>
      </c>
      <c r="Z165" s="10" t="str">
        <f t="shared" si="162"/>
        <v>-</v>
      </c>
      <c r="AA165" s="13" t="str">
        <f t="shared" si="179"/>
        <v>-</v>
      </c>
      <c r="AB165" s="9" t="str">
        <f t="shared" si="163"/>
        <v>-</v>
      </c>
      <c r="AC165" s="16" t="str">
        <f t="shared" si="180"/>
        <v>-</v>
      </c>
      <c r="AD165" s="16" t="str">
        <f t="shared" si="164"/>
        <v>-</v>
      </c>
      <c r="AE165" s="16" t="str">
        <f t="shared" si="165"/>
        <v>-</v>
      </c>
      <c r="AF165" s="16" t="str">
        <f t="shared" si="181"/>
        <v>-</v>
      </c>
      <c r="AG165" s="16"/>
      <c r="AH165" s="32" t="str">
        <f>IFERROR(INDEX('US Food'!$R$11:$R$197,MATCH('Calculations - US Food'!D165,'US Food'!$N$11:$N$197,0)),"")</f>
        <v/>
      </c>
      <c r="AI165" s="23" t="str">
        <f t="shared" si="182"/>
        <v/>
      </c>
      <c r="AJ165" s="23" t="str">
        <f t="shared" si="183"/>
        <v/>
      </c>
      <c r="AK165" s="9" t="str">
        <f t="shared" si="166"/>
        <v/>
      </c>
      <c r="AL165" s="4" t="str">
        <f t="shared" si="167"/>
        <v/>
      </c>
      <c r="AM165" s="4"/>
      <c r="AN165" s="4"/>
      <c r="AO165" s="4"/>
      <c r="AP165" s="4"/>
      <c r="AQ165" s="4"/>
      <c r="AR165" s="20" t="str">
        <f t="shared" si="168"/>
        <v>-</v>
      </c>
      <c r="AS165" s="13" t="str">
        <f t="shared" si="184"/>
        <v>-</v>
      </c>
      <c r="AT165" s="13" t="str">
        <f t="shared" si="185"/>
        <v>-</v>
      </c>
      <c r="AU165" s="13" t="str">
        <f t="shared" si="169"/>
        <v>-</v>
      </c>
      <c r="AV165" s="16" t="str">
        <f t="shared" si="186"/>
        <v>-</v>
      </c>
      <c r="AW165" s="16" t="str">
        <f t="shared" si="170"/>
        <v>-</v>
      </c>
      <c r="AX165" s="16" t="str">
        <f t="shared" si="171"/>
        <v>-</v>
      </c>
      <c r="AY165" s="16" t="str">
        <f t="shared" si="187"/>
        <v>-</v>
      </c>
      <c r="AZ165" s="13" t="str">
        <f t="shared" si="188"/>
        <v>-</v>
      </c>
      <c r="BA165" s="10" t="str">
        <f t="shared" si="189"/>
        <v>-</v>
      </c>
      <c r="BB165" s="9" t="str">
        <f t="shared" si="190"/>
        <v>-</v>
      </c>
      <c r="BC165" s="13" t="str">
        <f t="shared" si="191"/>
        <v>-</v>
      </c>
      <c r="BD165" s="10" t="str">
        <f t="shared" si="192"/>
        <v>-</v>
      </c>
      <c r="BE165" s="13" t="str">
        <f t="shared" si="193"/>
        <v>-</v>
      </c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</row>
    <row r="166" spans="2:70" x14ac:dyDescent="0.3">
      <c r="B166" s="96" t="str">
        <f t="shared" si="172"/>
        <v/>
      </c>
      <c r="C166" s="96" t="str">
        <f t="shared" si="173"/>
        <v/>
      </c>
      <c r="D166" s="96" t="str">
        <f t="shared" si="174"/>
        <v/>
      </c>
      <c r="E166" s="3"/>
      <c r="F166" s="3"/>
      <c r="G166" s="3"/>
      <c r="H166" s="3"/>
      <c r="I166" s="20">
        <f>IFERROR(INDEX('Input - US Food'!G$2:G$200,MATCH('Calculations - US Food'!$D166,'Input - US Food'!$B$2:$B$200,0)),"")</f>
        <v>0</v>
      </c>
      <c r="J166" s="20">
        <f>IFERROR(INDEX('Input - US Food'!H$2:H$200,MATCH('Calculations - US Food'!$D166,'Input - US Food'!$B$2:$B$200,0)),"")</f>
        <v>0</v>
      </c>
      <c r="K166" s="21">
        <f>IFERROR(INDEX('Input - US Food'!I$2:I$200,MATCH('Calculations - US Food'!$D166,'Input - US Food'!$B$2:$B$200,0)),"")</f>
        <v>0</v>
      </c>
      <c r="L166" s="21">
        <f>IFERROR(INDEX('Input - US Food'!J$2:J$200,MATCH('Calculations - US Food'!$D166,'Input - US Food'!$B$2:$B$200,0)),"")</f>
        <v>0</v>
      </c>
      <c r="M166" s="20">
        <f>IFERROR(INDEX('Input - US Food'!K$2:K$200,MATCH('Calculations - US Food'!$D166,'Input - US Food'!$B$2:$B$200,0)),"")</f>
        <v>6055363851.4215012</v>
      </c>
      <c r="N166" s="20">
        <f>IFERROR(INDEX('Input - US Food'!L$2:L$200,MATCH('Calculations - US Food'!$D166,'Input - US Food'!$B$2:$B$200,0)),"")</f>
        <v>1982155918.8720999</v>
      </c>
      <c r="O166" s="21" t="str">
        <f t="shared" si="175"/>
        <v/>
      </c>
      <c r="P166" s="21">
        <f t="shared" si="157"/>
        <v>3.0549382083257943</v>
      </c>
      <c r="Q166" s="21">
        <f t="shared" si="176"/>
        <v>0</v>
      </c>
      <c r="R166" s="9">
        <f t="shared" si="158"/>
        <v>0</v>
      </c>
      <c r="S166" s="9">
        <f t="shared" si="159"/>
        <v>0</v>
      </c>
      <c r="T166" s="22" t="str">
        <f>IFERROR(INDEX('US Food'!$S$11:$S$197,MATCH('Calculations - US Food'!$D166,'US Food'!$N$11:$N$197,0)),"")</f>
        <v/>
      </c>
      <c r="U166" s="22" t="str">
        <f>IFERROR(INDEX('US Food'!$T$11:$T$197,MATCH('Calculations - US Food'!$D166,'US Food'!$N$11:$N$197,0)),"")</f>
        <v/>
      </c>
      <c r="V166" s="16" t="e">
        <f t="shared" si="160"/>
        <v>#VALUE!</v>
      </c>
      <c r="W166" s="16" t="e">
        <f t="shared" si="177"/>
        <v>#VALUE!</v>
      </c>
      <c r="X166" s="16" t="e">
        <f t="shared" si="178"/>
        <v>#VALUE!</v>
      </c>
      <c r="Y166" s="10" t="str">
        <f t="shared" si="161"/>
        <v>-</v>
      </c>
      <c r="Z166" s="10" t="str">
        <f t="shared" si="162"/>
        <v>-</v>
      </c>
      <c r="AA166" s="13" t="str">
        <f t="shared" si="179"/>
        <v>-</v>
      </c>
      <c r="AB166" s="9" t="str">
        <f t="shared" si="163"/>
        <v>-</v>
      </c>
      <c r="AC166" s="16" t="str">
        <f t="shared" si="180"/>
        <v>-</v>
      </c>
      <c r="AD166" s="16" t="str">
        <f t="shared" si="164"/>
        <v>-</v>
      </c>
      <c r="AE166" s="16" t="str">
        <f t="shared" si="165"/>
        <v>-</v>
      </c>
      <c r="AF166" s="16" t="str">
        <f t="shared" si="181"/>
        <v>-</v>
      </c>
      <c r="AG166" s="16"/>
      <c r="AH166" s="32" t="str">
        <f>IFERROR(INDEX('US Food'!$R$11:$R$197,MATCH('Calculations - US Food'!D166,'US Food'!$N$11:$N$197,0)),"")</f>
        <v/>
      </c>
      <c r="AI166" s="23" t="str">
        <f t="shared" si="182"/>
        <v/>
      </c>
      <c r="AJ166" s="23" t="str">
        <f t="shared" si="183"/>
        <v/>
      </c>
      <c r="AK166" s="9" t="str">
        <f t="shared" si="166"/>
        <v/>
      </c>
      <c r="AL166" s="4" t="str">
        <f t="shared" si="167"/>
        <v/>
      </c>
      <c r="AM166" s="4"/>
      <c r="AN166" s="4"/>
      <c r="AO166" s="4"/>
      <c r="AP166" s="4"/>
      <c r="AQ166" s="4"/>
      <c r="AR166" s="20" t="str">
        <f t="shared" si="168"/>
        <v>-</v>
      </c>
      <c r="AS166" s="13" t="str">
        <f t="shared" si="184"/>
        <v>-</v>
      </c>
      <c r="AT166" s="13" t="str">
        <f t="shared" si="185"/>
        <v>-</v>
      </c>
      <c r="AU166" s="13" t="str">
        <f t="shared" si="169"/>
        <v>-</v>
      </c>
      <c r="AV166" s="16" t="str">
        <f t="shared" si="186"/>
        <v>-</v>
      </c>
      <c r="AW166" s="16" t="str">
        <f t="shared" si="170"/>
        <v>-</v>
      </c>
      <c r="AX166" s="16" t="str">
        <f t="shared" si="171"/>
        <v>-</v>
      </c>
      <c r="AY166" s="16" t="str">
        <f t="shared" si="187"/>
        <v>-</v>
      </c>
      <c r="AZ166" s="13" t="str">
        <f t="shared" si="188"/>
        <v>-</v>
      </c>
      <c r="BA166" s="10" t="str">
        <f t="shared" si="189"/>
        <v>-</v>
      </c>
      <c r="BB166" s="9" t="str">
        <f t="shared" si="190"/>
        <v>-</v>
      </c>
      <c r="BC166" s="13" t="str">
        <f t="shared" si="191"/>
        <v>-</v>
      </c>
      <c r="BD166" s="10" t="str">
        <f t="shared" si="192"/>
        <v>-</v>
      </c>
      <c r="BE166" s="13" t="str">
        <f t="shared" si="193"/>
        <v>-</v>
      </c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</row>
    <row r="167" spans="2:70" x14ac:dyDescent="0.3">
      <c r="B167" s="96" t="str">
        <f t="shared" si="172"/>
        <v/>
      </c>
      <c r="C167" s="96" t="str">
        <f t="shared" si="173"/>
        <v/>
      </c>
      <c r="D167" s="96" t="str">
        <f t="shared" si="174"/>
        <v/>
      </c>
      <c r="E167" s="3"/>
      <c r="F167" s="3"/>
      <c r="G167" s="3"/>
      <c r="H167" s="3"/>
      <c r="I167" s="20">
        <f>IFERROR(INDEX('Input - US Food'!G$2:G$200,MATCH('Calculations - US Food'!$D167,'Input - US Food'!$B$2:$B$200,0)),"")</f>
        <v>0</v>
      </c>
      <c r="J167" s="20">
        <f>IFERROR(INDEX('Input - US Food'!H$2:H$200,MATCH('Calculations - US Food'!$D167,'Input - US Food'!$B$2:$B$200,0)),"")</f>
        <v>0</v>
      </c>
      <c r="K167" s="21">
        <f>IFERROR(INDEX('Input - US Food'!I$2:I$200,MATCH('Calculations - US Food'!$D167,'Input - US Food'!$B$2:$B$200,0)),"")</f>
        <v>0</v>
      </c>
      <c r="L167" s="21">
        <f>IFERROR(INDEX('Input - US Food'!J$2:J$200,MATCH('Calculations - US Food'!$D167,'Input - US Food'!$B$2:$B$200,0)),"")</f>
        <v>0</v>
      </c>
      <c r="M167" s="20">
        <f>IFERROR(INDEX('Input - US Food'!K$2:K$200,MATCH('Calculations - US Food'!$D167,'Input - US Food'!$B$2:$B$200,0)),"")</f>
        <v>6055363851.4215012</v>
      </c>
      <c r="N167" s="20">
        <f>IFERROR(INDEX('Input - US Food'!L$2:L$200,MATCH('Calculations - US Food'!$D167,'Input - US Food'!$B$2:$B$200,0)),"")</f>
        <v>1982155918.8720999</v>
      </c>
      <c r="O167" s="21" t="str">
        <f t="shared" si="175"/>
        <v/>
      </c>
      <c r="P167" s="21">
        <f t="shared" si="157"/>
        <v>3.0549382083257943</v>
      </c>
      <c r="Q167" s="21">
        <f t="shared" si="176"/>
        <v>0</v>
      </c>
      <c r="R167" s="9">
        <f t="shared" si="158"/>
        <v>0</v>
      </c>
      <c r="S167" s="9">
        <f t="shared" si="159"/>
        <v>0</v>
      </c>
      <c r="T167" s="22" t="str">
        <f>IFERROR(INDEX('US Food'!$S$11:$S$197,MATCH('Calculations - US Food'!$D167,'US Food'!$N$11:$N$197,0)),"")</f>
        <v/>
      </c>
      <c r="U167" s="22" t="str">
        <f>IFERROR(INDEX('US Food'!$T$11:$T$197,MATCH('Calculations - US Food'!$D167,'US Food'!$N$11:$N$197,0)),"")</f>
        <v/>
      </c>
      <c r="V167" s="16" t="e">
        <f t="shared" si="160"/>
        <v>#VALUE!</v>
      </c>
      <c r="W167" s="16" t="e">
        <f t="shared" si="177"/>
        <v>#VALUE!</v>
      </c>
      <c r="X167" s="16" t="e">
        <f t="shared" si="178"/>
        <v>#VALUE!</v>
      </c>
      <c r="Y167" s="10" t="str">
        <f t="shared" si="161"/>
        <v>-</v>
      </c>
      <c r="Z167" s="10" t="str">
        <f t="shared" si="162"/>
        <v>-</v>
      </c>
      <c r="AA167" s="13" t="str">
        <f t="shared" si="179"/>
        <v>-</v>
      </c>
      <c r="AB167" s="9" t="str">
        <f t="shared" si="163"/>
        <v>-</v>
      </c>
      <c r="AC167" s="16" t="str">
        <f t="shared" si="180"/>
        <v>-</v>
      </c>
      <c r="AD167" s="16" t="str">
        <f t="shared" si="164"/>
        <v>-</v>
      </c>
      <c r="AE167" s="16" t="str">
        <f t="shared" si="165"/>
        <v>-</v>
      </c>
      <c r="AF167" s="16" t="str">
        <f t="shared" si="181"/>
        <v>-</v>
      </c>
      <c r="AG167" s="16"/>
      <c r="AH167" s="32" t="str">
        <f>IFERROR(INDEX('US Food'!$R$11:$R$197,MATCH('Calculations - US Food'!D167,'US Food'!$N$11:$N$197,0)),"")</f>
        <v/>
      </c>
      <c r="AI167" s="23" t="str">
        <f t="shared" si="182"/>
        <v/>
      </c>
      <c r="AJ167" s="23" t="str">
        <f t="shared" si="183"/>
        <v/>
      </c>
      <c r="AK167" s="9" t="str">
        <f t="shared" si="166"/>
        <v/>
      </c>
      <c r="AL167" s="4" t="str">
        <f t="shared" si="167"/>
        <v/>
      </c>
      <c r="AM167" s="4"/>
      <c r="AN167" s="4"/>
      <c r="AO167" s="4"/>
      <c r="AP167" s="4"/>
      <c r="AQ167" s="4"/>
      <c r="AR167" s="20" t="str">
        <f t="shared" si="168"/>
        <v>-</v>
      </c>
      <c r="AS167" s="13" t="str">
        <f t="shared" si="184"/>
        <v>-</v>
      </c>
      <c r="AT167" s="13" t="str">
        <f t="shared" si="185"/>
        <v>-</v>
      </c>
      <c r="AU167" s="13" t="str">
        <f t="shared" si="169"/>
        <v>-</v>
      </c>
      <c r="AV167" s="16" t="str">
        <f t="shared" si="186"/>
        <v>-</v>
      </c>
      <c r="AW167" s="16" t="str">
        <f t="shared" si="170"/>
        <v>-</v>
      </c>
      <c r="AX167" s="16" t="str">
        <f t="shared" si="171"/>
        <v>-</v>
      </c>
      <c r="AY167" s="16" t="str">
        <f t="shared" si="187"/>
        <v>-</v>
      </c>
      <c r="AZ167" s="13" t="str">
        <f t="shared" si="188"/>
        <v>-</v>
      </c>
      <c r="BA167" s="10" t="str">
        <f t="shared" si="189"/>
        <v>-</v>
      </c>
      <c r="BB167" s="9" t="str">
        <f t="shared" si="190"/>
        <v>-</v>
      </c>
      <c r="BC167" s="13" t="str">
        <f t="shared" si="191"/>
        <v>-</v>
      </c>
      <c r="BD167" s="10" t="str">
        <f t="shared" si="192"/>
        <v>-</v>
      </c>
      <c r="BE167" s="13" t="str">
        <f t="shared" si="193"/>
        <v>-</v>
      </c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</row>
    <row r="168" spans="2:70" x14ac:dyDescent="0.3">
      <c r="B168" s="96" t="str">
        <f t="shared" si="172"/>
        <v/>
      </c>
      <c r="C168" s="96" t="str">
        <f t="shared" si="173"/>
        <v/>
      </c>
      <c r="D168" s="96" t="str">
        <f t="shared" si="174"/>
        <v/>
      </c>
      <c r="E168" s="3"/>
      <c r="F168" s="3"/>
      <c r="G168" s="3"/>
      <c r="H168" s="3"/>
      <c r="I168" s="20">
        <f>IFERROR(INDEX('Input - US Food'!G$2:G$200,MATCH('Calculations - US Food'!$D168,'Input - US Food'!$B$2:$B$200,0)),"")</f>
        <v>0</v>
      </c>
      <c r="J168" s="20">
        <f>IFERROR(INDEX('Input - US Food'!H$2:H$200,MATCH('Calculations - US Food'!$D168,'Input - US Food'!$B$2:$B$200,0)),"")</f>
        <v>0</v>
      </c>
      <c r="K168" s="21">
        <f>IFERROR(INDEX('Input - US Food'!I$2:I$200,MATCH('Calculations - US Food'!$D168,'Input - US Food'!$B$2:$B$200,0)),"")</f>
        <v>0</v>
      </c>
      <c r="L168" s="21">
        <f>IFERROR(INDEX('Input - US Food'!J$2:J$200,MATCH('Calculations - US Food'!$D168,'Input - US Food'!$B$2:$B$200,0)),"")</f>
        <v>0</v>
      </c>
      <c r="M168" s="20">
        <f>IFERROR(INDEX('Input - US Food'!K$2:K$200,MATCH('Calculations - US Food'!$D168,'Input - US Food'!$B$2:$B$200,0)),"")</f>
        <v>6055363851.4215012</v>
      </c>
      <c r="N168" s="20">
        <f>IFERROR(INDEX('Input - US Food'!L$2:L$200,MATCH('Calculations - US Food'!$D168,'Input - US Food'!$B$2:$B$200,0)),"")</f>
        <v>1982155918.8720999</v>
      </c>
      <c r="O168" s="21" t="str">
        <f t="shared" si="175"/>
        <v/>
      </c>
      <c r="P168" s="21">
        <f t="shared" si="157"/>
        <v>3.0549382083257943</v>
      </c>
      <c r="Q168" s="21">
        <f t="shared" si="176"/>
        <v>0</v>
      </c>
      <c r="R168" s="9">
        <f t="shared" si="158"/>
        <v>0</v>
      </c>
      <c r="S168" s="9">
        <f t="shared" si="159"/>
        <v>0</v>
      </c>
      <c r="T168" s="22" t="str">
        <f>IFERROR(INDEX('US Food'!$S$11:$S$197,MATCH('Calculations - US Food'!$D168,'US Food'!$N$11:$N$197,0)),"")</f>
        <v/>
      </c>
      <c r="U168" s="22" t="str">
        <f>IFERROR(INDEX('US Food'!$T$11:$T$197,MATCH('Calculations - US Food'!$D168,'US Food'!$N$11:$N$197,0)),"")</f>
        <v/>
      </c>
      <c r="V168" s="16" t="e">
        <f t="shared" si="160"/>
        <v>#VALUE!</v>
      </c>
      <c r="W168" s="16" t="e">
        <f t="shared" si="177"/>
        <v>#VALUE!</v>
      </c>
      <c r="X168" s="16" t="e">
        <f t="shared" si="178"/>
        <v>#VALUE!</v>
      </c>
      <c r="Y168" s="10" t="str">
        <f t="shared" si="161"/>
        <v>-</v>
      </c>
      <c r="Z168" s="10" t="str">
        <f t="shared" si="162"/>
        <v>-</v>
      </c>
      <c r="AA168" s="13" t="str">
        <f t="shared" si="179"/>
        <v>-</v>
      </c>
      <c r="AB168" s="9" t="str">
        <f t="shared" si="163"/>
        <v>-</v>
      </c>
      <c r="AC168" s="16" t="str">
        <f t="shared" si="180"/>
        <v>-</v>
      </c>
      <c r="AD168" s="16" t="str">
        <f t="shared" si="164"/>
        <v>-</v>
      </c>
      <c r="AE168" s="16" t="str">
        <f t="shared" si="165"/>
        <v>-</v>
      </c>
      <c r="AF168" s="16" t="str">
        <f t="shared" si="181"/>
        <v>-</v>
      </c>
      <c r="AG168" s="16"/>
      <c r="AH168" s="32" t="str">
        <f>IFERROR(INDEX('US Food'!$R$11:$R$197,MATCH('Calculations - US Food'!D168,'US Food'!$N$11:$N$197,0)),"")</f>
        <v/>
      </c>
      <c r="AI168" s="23" t="str">
        <f t="shared" si="182"/>
        <v/>
      </c>
      <c r="AJ168" s="23" t="str">
        <f t="shared" si="183"/>
        <v/>
      </c>
      <c r="AK168" s="9" t="str">
        <f t="shared" si="166"/>
        <v/>
      </c>
      <c r="AL168" s="4" t="str">
        <f t="shared" si="167"/>
        <v/>
      </c>
      <c r="AM168" s="4"/>
      <c r="AN168" s="4"/>
      <c r="AO168" s="4"/>
      <c r="AP168" s="4"/>
      <c r="AQ168" s="4"/>
      <c r="AR168" s="20" t="str">
        <f t="shared" si="168"/>
        <v>-</v>
      </c>
      <c r="AS168" s="13" t="str">
        <f t="shared" si="184"/>
        <v>-</v>
      </c>
      <c r="AT168" s="13" t="str">
        <f t="shared" si="185"/>
        <v>-</v>
      </c>
      <c r="AU168" s="13" t="str">
        <f t="shared" si="169"/>
        <v>-</v>
      </c>
      <c r="AV168" s="16" t="str">
        <f t="shared" si="186"/>
        <v>-</v>
      </c>
      <c r="AW168" s="16" t="str">
        <f t="shared" si="170"/>
        <v>-</v>
      </c>
      <c r="AX168" s="16" t="str">
        <f t="shared" si="171"/>
        <v>-</v>
      </c>
      <c r="AY168" s="16" t="str">
        <f t="shared" si="187"/>
        <v>-</v>
      </c>
      <c r="AZ168" s="13" t="str">
        <f t="shared" si="188"/>
        <v>-</v>
      </c>
      <c r="BA168" s="10" t="str">
        <f t="shared" si="189"/>
        <v>-</v>
      </c>
      <c r="BB168" s="9" t="str">
        <f t="shared" si="190"/>
        <v>-</v>
      </c>
      <c r="BC168" s="13" t="str">
        <f t="shared" si="191"/>
        <v>-</v>
      </c>
      <c r="BD168" s="10" t="str">
        <f t="shared" si="192"/>
        <v>-</v>
      </c>
      <c r="BE168" s="13" t="str">
        <f t="shared" si="193"/>
        <v>-</v>
      </c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</row>
    <row r="169" spans="2:70" x14ac:dyDescent="0.3">
      <c r="B169" s="96" t="str">
        <f t="shared" si="172"/>
        <v/>
      </c>
      <c r="C169" s="96" t="str">
        <f t="shared" si="173"/>
        <v/>
      </c>
      <c r="D169" s="96" t="str">
        <f t="shared" si="174"/>
        <v/>
      </c>
      <c r="E169" s="3"/>
      <c r="F169" s="3"/>
      <c r="G169" s="3"/>
      <c r="H169" s="3"/>
      <c r="I169" s="20">
        <f>IFERROR(INDEX('Input - US Food'!G$2:G$200,MATCH('Calculations - US Food'!$D169,'Input - US Food'!$B$2:$B$200,0)),"")</f>
        <v>0</v>
      </c>
      <c r="J169" s="20">
        <f>IFERROR(INDEX('Input - US Food'!H$2:H$200,MATCH('Calculations - US Food'!$D169,'Input - US Food'!$B$2:$B$200,0)),"")</f>
        <v>0</v>
      </c>
      <c r="K169" s="21">
        <f>IFERROR(INDEX('Input - US Food'!I$2:I$200,MATCH('Calculations - US Food'!$D169,'Input - US Food'!$B$2:$B$200,0)),"")</f>
        <v>0</v>
      </c>
      <c r="L169" s="21">
        <f>IFERROR(INDEX('Input - US Food'!J$2:J$200,MATCH('Calculations - US Food'!$D169,'Input - US Food'!$B$2:$B$200,0)),"")</f>
        <v>0</v>
      </c>
      <c r="M169" s="20">
        <f>IFERROR(INDEX('Input - US Food'!K$2:K$200,MATCH('Calculations - US Food'!$D169,'Input - US Food'!$B$2:$B$200,0)),"")</f>
        <v>6055363851.4215012</v>
      </c>
      <c r="N169" s="20">
        <f>IFERROR(INDEX('Input - US Food'!L$2:L$200,MATCH('Calculations - US Food'!$D169,'Input - US Food'!$B$2:$B$200,0)),"")</f>
        <v>1982155918.8720999</v>
      </c>
      <c r="O169" s="21" t="str">
        <f t="shared" si="175"/>
        <v/>
      </c>
      <c r="P169" s="21">
        <f t="shared" si="157"/>
        <v>3.0549382083257943</v>
      </c>
      <c r="Q169" s="21">
        <f t="shared" si="176"/>
        <v>0</v>
      </c>
      <c r="R169" s="9">
        <f t="shared" si="158"/>
        <v>0</v>
      </c>
      <c r="S169" s="9">
        <f t="shared" si="159"/>
        <v>0</v>
      </c>
      <c r="T169" s="22" t="str">
        <f>IFERROR(INDEX('US Food'!$S$11:$S$197,MATCH('Calculations - US Food'!$D169,'US Food'!$N$11:$N$197,0)),"")</f>
        <v/>
      </c>
      <c r="U169" s="22" t="str">
        <f>IFERROR(INDEX('US Food'!$T$11:$T$197,MATCH('Calculations - US Food'!$D169,'US Food'!$N$11:$N$197,0)),"")</f>
        <v/>
      </c>
      <c r="V169" s="16" t="e">
        <f t="shared" si="160"/>
        <v>#VALUE!</v>
      </c>
      <c r="W169" s="16" t="e">
        <f t="shared" si="177"/>
        <v>#VALUE!</v>
      </c>
      <c r="X169" s="16" t="e">
        <f t="shared" si="178"/>
        <v>#VALUE!</v>
      </c>
      <c r="Y169" s="10" t="str">
        <f t="shared" si="161"/>
        <v>-</v>
      </c>
      <c r="Z169" s="10" t="str">
        <f t="shared" si="162"/>
        <v>-</v>
      </c>
      <c r="AA169" s="13" t="str">
        <f t="shared" si="179"/>
        <v>-</v>
      </c>
      <c r="AB169" s="9" t="str">
        <f t="shared" si="163"/>
        <v>-</v>
      </c>
      <c r="AC169" s="16" t="str">
        <f t="shared" si="180"/>
        <v>-</v>
      </c>
      <c r="AD169" s="16" t="str">
        <f t="shared" si="164"/>
        <v>-</v>
      </c>
      <c r="AE169" s="16" t="str">
        <f t="shared" si="165"/>
        <v>-</v>
      </c>
      <c r="AF169" s="16" t="str">
        <f t="shared" si="181"/>
        <v>-</v>
      </c>
      <c r="AG169" s="16"/>
      <c r="AH169" s="32" t="str">
        <f>IFERROR(INDEX('US Food'!$R$11:$R$197,MATCH('Calculations - US Food'!D169,'US Food'!$N$11:$N$197,0)),"")</f>
        <v/>
      </c>
      <c r="AI169" s="23" t="str">
        <f t="shared" si="182"/>
        <v/>
      </c>
      <c r="AJ169" s="23" t="str">
        <f t="shared" si="183"/>
        <v/>
      </c>
      <c r="AK169" s="9" t="str">
        <f t="shared" si="166"/>
        <v/>
      </c>
      <c r="AL169" s="4" t="str">
        <f t="shared" si="167"/>
        <v/>
      </c>
      <c r="AM169" s="4"/>
      <c r="AN169" s="4"/>
      <c r="AO169" s="4"/>
      <c r="AP169" s="4"/>
      <c r="AQ169" s="4"/>
      <c r="AR169" s="20" t="str">
        <f t="shared" si="168"/>
        <v>-</v>
      </c>
      <c r="AS169" s="13" t="str">
        <f t="shared" si="184"/>
        <v>-</v>
      </c>
      <c r="AT169" s="13" t="str">
        <f t="shared" si="185"/>
        <v>-</v>
      </c>
      <c r="AU169" s="13" t="str">
        <f t="shared" si="169"/>
        <v>-</v>
      </c>
      <c r="AV169" s="16" t="str">
        <f t="shared" si="186"/>
        <v>-</v>
      </c>
      <c r="AW169" s="16" t="str">
        <f t="shared" si="170"/>
        <v>-</v>
      </c>
      <c r="AX169" s="16" t="str">
        <f t="shared" si="171"/>
        <v>-</v>
      </c>
      <c r="AY169" s="16" t="str">
        <f t="shared" si="187"/>
        <v>-</v>
      </c>
      <c r="AZ169" s="13" t="str">
        <f t="shared" si="188"/>
        <v>-</v>
      </c>
      <c r="BA169" s="10" t="str">
        <f t="shared" si="189"/>
        <v>-</v>
      </c>
      <c r="BB169" s="9" t="str">
        <f t="shared" si="190"/>
        <v>-</v>
      </c>
      <c r="BC169" s="13" t="str">
        <f t="shared" si="191"/>
        <v>-</v>
      </c>
      <c r="BD169" s="10" t="str">
        <f t="shared" si="192"/>
        <v>-</v>
      </c>
      <c r="BE169" s="13" t="str">
        <f t="shared" si="193"/>
        <v>-</v>
      </c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</row>
    <row r="170" spans="2:70" x14ac:dyDescent="0.3">
      <c r="B170" s="96" t="str">
        <f t="shared" si="172"/>
        <v/>
      </c>
      <c r="C170" s="96" t="str">
        <f t="shared" si="173"/>
        <v/>
      </c>
      <c r="D170" s="96" t="str">
        <f t="shared" si="174"/>
        <v/>
      </c>
      <c r="E170" s="3"/>
      <c r="F170" s="3"/>
      <c r="G170" s="3"/>
      <c r="H170" s="3"/>
      <c r="I170" s="20">
        <f>IFERROR(INDEX('Input - US Food'!G$2:G$200,MATCH('Calculations - US Food'!$D170,'Input - US Food'!$B$2:$B$200,0)),"")</f>
        <v>0</v>
      </c>
      <c r="J170" s="20">
        <f>IFERROR(INDEX('Input - US Food'!H$2:H$200,MATCH('Calculations - US Food'!$D170,'Input - US Food'!$B$2:$B$200,0)),"")</f>
        <v>0</v>
      </c>
      <c r="K170" s="21">
        <f>IFERROR(INDEX('Input - US Food'!I$2:I$200,MATCH('Calculations - US Food'!$D170,'Input - US Food'!$B$2:$B$200,0)),"")</f>
        <v>0</v>
      </c>
      <c r="L170" s="21">
        <f>IFERROR(INDEX('Input - US Food'!J$2:J$200,MATCH('Calculations - US Food'!$D170,'Input - US Food'!$B$2:$B$200,0)),"")</f>
        <v>0</v>
      </c>
      <c r="M170" s="20">
        <f>IFERROR(INDEX('Input - US Food'!K$2:K$200,MATCH('Calculations - US Food'!$D170,'Input - US Food'!$B$2:$B$200,0)),"")</f>
        <v>6055363851.4215012</v>
      </c>
      <c r="N170" s="20">
        <f>IFERROR(INDEX('Input - US Food'!L$2:L$200,MATCH('Calculations - US Food'!$D170,'Input - US Food'!$B$2:$B$200,0)),"")</f>
        <v>1982155918.8720999</v>
      </c>
      <c r="O170" s="21" t="str">
        <f t="shared" si="175"/>
        <v/>
      </c>
      <c r="P170" s="21">
        <f t="shared" si="157"/>
        <v>3.0549382083257943</v>
      </c>
      <c r="Q170" s="21">
        <f t="shared" si="176"/>
        <v>0</v>
      </c>
      <c r="R170" s="9">
        <f t="shared" si="158"/>
        <v>0</v>
      </c>
      <c r="S170" s="9">
        <f t="shared" si="159"/>
        <v>0</v>
      </c>
      <c r="T170" s="22" t="str">
        <f>IFERROR(INDEX('US Food'!$S$11:$S$197,MATCH('Calculations - US Food'!$D170,'US Food'!$N$11:$N$197,0)),"")</f>
        <v/>
      </c>
      <c r="U170" s="22" t="str">
        <f>IFERROR(INDEX('US Food'!$T$11:$T$197,MATCH('Calculations - US Food'!$D170,'US Food'!$N$11:$N$197,0)),"")</f>
        <v/>
      </c>
      <c r="V170" s="16" t="e">
        <f t="shared" si="160"/>
        <v>#VALUE!</v>
      </c>
      <c r="W170" s="16" t="e">
        <f t="shared" si="177"/>
        <v>#VALUE!</v>
      </c>
      <c r="X170" s="16" t="e">
        <f t="shared" si="178"/>
        <v>#VALUE!</v>
      </c>
      <c r="Y170" s="10" t="str">
        <f t="shared" si="161"/>
        <v>-</v>
      </c>
      <c r="Z170" s="10" t="str">
        <f t="shared" si="162"/>
        <v>-</v>
      </c>
      <c r="AA170" s="13" t="str">
        <f t="shared" si="179"/>
        <v>-</v>
      </c>
      <c r="AB170" s="9" t="str">
        <f t="shared" si="163"/>
        <v>-</v>
      </c>
      <c r="AC170" s="16" t="str">
        <f t="shared" si="180"/>
        <v>-</v>
      </c>
      <c r="AD170" s="16" t="str">
        <f t="shared" si="164"/>
        <v>-</v>
      </c>
      <c r="AE170" s="16" t="str">
        <f t="shared" si="165"/>
        <v>-</v>
      </c>
      <c r="AF170" s="16" t="str">
        <f t="shared" si="181"/>
        <v>-</v>
      </c>
      <c r="AG170" s="16"/>
      <c r="AH170" s="32" t="str">
        <f>IFERROR(INDEX('US Food'!$R$11:$R$197,MATCH('Calculations - US Food'!D170,'US Food'!$N$11:$N$197,0)),"")</f>
        <v/>
      </c>
      <c r="AI170" s="23" t="str">
        <f t="shared" si="182"/>
        <v/>
      </c>
      <c r="AJ170" s="23" t="str">
        <f t="shared" si="183"/>
        <v/>
      </c>
      <c r="AK170" s="9" t="str">
        <f t="shared" si="166"/>
        <v/>
      </c>
      <c r="AL170" s="4" t="str">
        <f t="shared" si="167"/>
        <v/>
      </c>
      <c r="AM170" s="4"/>
      <c r="AN170" s="4"/>
      <c r="AO170" s="4"/>
      <c r="AP170" s="4"/>
      <c r="AQ170" s="4"/>
      <c r="AR170" s="20" t="str">
        <f t="shared" si="168"/>
        <v>-</v>
      </c>
      <c r="AS170" s="13" t="str">
        <f t="shared" si="184"/>
        <v>-</v>
      </c>
      <c r="AT170" s="13" t="str">
        <f t="shared" si="185"/>
        <v>-</v>
      </c>
      <c r="AU170" s="13" t="str">
        <f t="shared" si="169"/>
        <v>-</v>
      </c>
      <c r="AV170" s="16" t="str">
        <f t="shared" si="186"/>
        <v>-</v>
      </c>
      <c r="AW170" s="16" t="str">
        <f t="shared" si="170"/>
        <v>-</v>
      </c>
      <c r="AX170" s="16" t="str">
        <f t="shared" si="171"/>
        <v>-</v>
      </c>
      <c r="AY170" s="16" t="str">
        <f t="shared" si="187"/>
        <v>-</v>
      </c>
      <c r="AZ170" s="13" t="str">
        <f t="shared" si="188"/>
        <v>-</v>
      </c>
      <c r="BA170" s="10" t="str">
        <f t="shared" si="189"/>
        <v>-</v>
      </c>
      <c r="BB170" s="9" t="str">
        <f t="shared" si="190"/>
        <v>-</v>
      </c>
      <c r="BC170" s="13" t="str">
        <f t="shared" si="191"/>
        <v>-</v>
      </c>
      <c r="BD170" s="10" t="str">
        <f t="shared" si="192"/>
        <v>-</v>
      </c>
      <c r="BE170" s="13" t="str">
        <f t="shared" si="193"/>
        <v>-</v>
      </c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</row>
    <row r="171" spans="2:70" x14ac:dyDescent="0.3">
      <c r="B171" s="96" t="str">
        <f t="shared" si="172"/>
        <v/>
      </c>
      <c r="C171" s="96" t="str">
        <f t="shared" si="173"/>
        <v/>
      </c>
      <c r="D171" s="96" t="str">
        <f t="shared" si="174"/>
        <v/>
      </c>
      <c r="E171" s="3"/>
      <c r="F171" s="3"/>
      <c r="G171" s="3"/>
      <c r="H171" s="3"/>
      <c r="I171" s="20">
        <f>IFERROR(INDEX('Input - US Food'!G$2:G$200,MATCH('Calculations - US Food'!$D171,'Input - US Food'!$B$2:$B$200,0)),"")</f>
        <v>0</v>
      </c>
      <c r="J171" s="20">
        <f>IFERROR(INDEX('Input - US Food'!H$2:H$200,MATCH('Calculations - US Food'!$D171,'Input - US Food'!$B$2:$B$200,0)),"")</f>
        <v>0</v>
      </c>
      <c r="K171" s="21">
        <f>IFERROR(INDEX('Input - US Food'!I$2:I$200,MATCH('Calculations - US Food'!$D171,'Input - US Food'!$B$2:$B$200,0)),"")</f>
        <v>0</v>
      </c>
      <c r="L171" s="21">
        <f>IFERROR(INDEX('Input - US Food'!J$2:J$200,MATCH('Calculations - US Food'!$D171,'Input - US Food'!$B$2:$B$200,0)),"")</f>
        <v>0</v>
      </c>
      <c r="M171" s="20">
        <f>IFERROR(INDEX('Input - US Food'!K$2:K$200,MATCH('Calculations - US Food'!$D171,'Input - US Food'!$B$2:$B$200,0)),"")</f>
        <v>6055363851.4215012</v>
      </c>
      <c r="N171" s="20">
        <f>IFERROR(INDEX('Input - US Food'!L$2:L$200,MATCH('Calculations - US Food'!$D171,'Input - US Food'!$B$2:$B$200,0)),"")</f>
        <v>1982155918.8720999</v>
      </c>
      <c r="O171" s="21" t="str">
        <f t="shared" si="175"/>
        <v/>
      </c>
      <c r="P171" s="21">
        <f t="shared" si="157"/>
        <v>3.0549382083257943</v>
      </c>
      <c r="Q171" s="21">
        <f t="shared" si="176"/>
        <v>0</v>
      </c>
      <c r="R171" s="9">
        <f t="shared" si="158"/>
        <v>0</v>
      </c>
      <c r="S171" s="9">
        <f t="shared" si="159"/>
        <v>0</v>
      </c>
      <c r="T171" s="22" t="str">
        <f>IFERROR(INDEX('US Food'!$S$11:$S$197,MATCH('Calculations - US Food'!$D171,'US Food'!$N$11:$N$197,0)),"")</f>
        <v/>
      </c>
      <c r="U171" s="22" t="str">
        <f>IFERROR(INDEX('US Food'!$T$11:$T$197,MATCH('Calculations - US Food'!$D171,'US Food'!$N$11:$N$197,0)),"")</f>
        <v/>
      </c>
      <c r="V171" s="16" t="e">
        <f t="shared" si="160"/>
        <v>#VALUE!</v>
      </c>
      <c r="W171" s="16" t="e">
        <f t="shared" si="177"/>
        <v>#VALUE!</v>
      </c>
      <c r="X171" s="16" t="e">
        <f t="shared" si="178"/>
        <v>#VALUE!</v>
      </c>
      <c r="Y171" s="10" t="str">
        <f t="shared" si="161"/>
        <v>-</v>
      </c>
      <c r="Z171" s="10" t="str">
        <f t="shared" si="162"/>
        <v>-</v>
      </c>
      <c r="AA171" s="13" t="str">
        <f t="shared" si="179"/>
        <v>-</v>
      </c>
      <c r="AB171" s="9" t="str">
        <f t="shared" si="163"/>
        <v>-</v>
      </c>
      <c r="AC171" s="16" t="str">
        <f t="shared" si="180"/>
        <v>-</v>
      </c>
      <c r="AD171" s="16" t="str">
        <f t="shared" si="164"/>
        <v>-</v>
      </c>
      <c r="AE171" s="16" t="str">
        <f t="shared" si="165"/>
        <v>-</v>
      </c>
      <c r="AF171" s="16" t="str">
        <f t="shared" si="181"/>
        <v>-</v>
      </c>
      <c r="AG171" s="16"/>
      <c r="AH171" s="32" t="str">
        <f>IFERROR(INDEX('US Food'!$R$11:$R$197,MATCH('Calculations - US Food'!D171,'US Food'!$N$11:$N$197,0)),"")</f>
        <v/>
      </c>
      <c r="AI171" s="23" t="str">
        <f t="shared" si="182"/>
        <v/>
      </c>
      <c r="AJ171" s="23" t="str">
        <f t="shared" si="183"/>
        <v/>
      </c>
      <c r="AK171" s="9" t="str">
        <f t="shared" si="166"/>
        <v/>
      </c>
      <c r="AL171" s="4" t="str">
        <f t="shared" si="167"/>
        <v/>
      </c>
      <c r="AM171" s="4"/>
      <c r="AN171" s="4"/>
      <c r="AO171" s="4"/>
      <c r="AP171" s="4"/>
      <c r="AQ171" s="4"/>
      <c r="AR171" s="20" t="str">
        <f t="shared" si="168"/>
        <v>-</v>
      </c>
      <c r="AS171" s="13" t="str">
        <f t="shared" si="184"/>
        <v>-</v>
      </c>
      <c r="AT171" s="13" t="str">
        <f t="shared" si="185"/>
        <v>-</v>
      </c>
      <c r="AU171" s="13" t="str">
        <f t="shared" si="169"/>
        <v>-</v>
      </c>
      <c r="AV171" s="16" t="str">
        <f t="shared" si="186"/>
        <v>-</v>
      </c>
      <c r="AW171" s="16" t="str">
        <f t="shared" si="170"/>
        <v>-</v>
      </c>
      <c r="AX171" s="16" t="str">
        <f t="shared" si="171"/>
        <v>-</v>
      </c>
      <c r="AY171" s="16" t="str">
        <f t="shared" si="187"/>
        <v>-</v>
      </c>
      <c r="AZ171" s="13" t="str">
        <f t="shared" si="188"/>
        <v>-</v>
      </c>
      <c r="BA171" s="10" t="str">
        <f t="shared" si="189"/>
        <v>-</v>
      </c>
      <c r="BB171" s="9" t="str">
        <f t="shared" si="190"/>
        <v>-</v>
      </c>
      <c r="BC171" s="13" t="str">
        <f t="shared" si="191"/>
        <v>-</v>
      </c>
      <c r="BD171" s="10" t="str">
        <f t="shared" si="192"/>
        <v>-</v>
      </c>
      <c r="BE171" s="13" t="str">
        <f t="shared" si="193"/>
        <v>-</v>
      </c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</row>
    <row r="172" spans="2:70" x14ac:dyDescent="0.3">
      <c r="B172" s="96" t="str">
        <f t="shared" si="172"/>
        <v/>
      </c>
      <c r="C172" s="96" t="str">
        <f t="shared" si="173"/>
        <v/>
      </c>
      <c r="D172" s="96" t="str">
        <f t="shared" si="174"/>
        <v/>
      </c>
      <c r="E172" s="3"/>
      <c r="F172" s="3"/>
      <c r="G172" s="3"/>
      <c r="H172" s="3"/>
      <c r="I172" s="20">
        <f>IFERROR(INDEX('Input - US Food'!G$2:G$200,MATCH('Calculations - US Food'!$D172,'Input - US Food'!$B$2:$B$200,0)),"")</f>
        <v>0</v>
      </c>
      <c r="J172" s="20">
        <f>IFERROR(INDEX('Input - US Food'!H$2:H$200,MATCH('Calculations - US Food'!$D172,'Input - US Food'!$B$2:$B$200,0)),"")</f>
        <v>0</v>
      </c>
      <c r="K172" s="21">
        <f>IFERROR(INDEX('Input - US Food'!I$2:I$200,MATCH('Calculations - US Food'!$D172,'Input - US Food'!$B$2:$B$200,0)),"")</f>
        <v>0</v>
      </c>
      <c r="L172" s="21">
        <f>IFERROR(INDEX('Input - US Food'!J$2:J$200,MATCH('Calculations - US Food'!$D172,'Input - US Food'!$B$2:$B$200,0)),"")</f>
        <v>0</v>
      </c>
      <c r="M172" s="20">
        <f>IFERROR(INDEX('Input - US Food'!K$2:K$200,MATCH('Calculations - US Food'!$D172,'Input - US Food'!$B$2:$B$200,0)),"")</f>
        <v>6055363851.4215012</v>
      </c>
      <c r="N172" s="20">
        <f>IFERROR(INDEX('Input - US Food'!L$2:L$200,MATCH('Calculations - US Food'!$D172,'Input - US Food'!$B$2:$B$200,0)),"")</f>
        <v>1982155918.8720999</v>
      </c>
      <c r="O172" s="21" t="str">
        <f t="shared" si="175"/>
        <v/>
      </c>
      <c r="P172" s="21">
        <f t="shared" si="157"/>
        <v>3.0549382083257943</v>
      </c>
      <c r="Q172" s="21">
        <f t="shared" si="176"/>
        <v>0</v>
      </c>
      <c r="R172" s="9">
        <f t="shared" si="158"/>
        <v>0</v>
      </c>
      <c r="S172" s="9">
        <f t="shared" si="159"/>
        <v>0</v>
      </c>
      <c r="T172" s="22" t="str">
        <f>IFERROR(INDEX('US Food'!$S$11:$S$197,MATCH('Calculations - US Food'!$D172,'US Food'!$N$11:$N$197,0)),"")</f>
        <v/>
      </c>
      <c r="U172" s="22" t="str">
        <f>IFERROR(INDEX('US Food'!$T$11:$T$197,MATCH('Calculations - US Food'!$D172,'US Food'!$N$11:$N$197,0)),"")</f>
        <v/>
      </c>
      <c r="V172" s="16" t="e">
        <f t="shared" si="160"/>
        <v>#VALUE!</v>
      </c>
      <c r="W172" s="16" t="e">
        <f t="shared" si="177"/>
        <v>#VALUE!</v>
      </c>
      <c r="X172" s="16" t="e">
        <f t="shared" si="178"/>
        <v>#VALUE!</v>
      </c>
      <c r="Y172" s="10" t="str">
        <f t="shared" si="161"/>
        <v>-</v>
      </c>
      <c r="Z172" s="10" t="str">
        <f t="shared" si="162"/>
        <v>-</v>
      </c>
      <c r="AA172" s="13" t="str">
        <f t="shared" si="179"/>
        <v>-</v>
      </c>
      <c r="AB172" s="9" t="str">
        <f t="shared" si="163"/>
        <v>-</v>
      </c>
      <c r="AC172" s="16" t="str">
        <f t="shared" si="180"/>
        <v>-</v>
      </c>
      <c r="AD172" s="16" t="str">
        <f t="shared" si="164"/>
        <v>-</v>
      </c>
      <c r="AE172" s="16" t="str">
        <f t="shared" si="165"/>
        <v>-</v>
      </c>
      <c r="AF172" s="16" t="str">
        <f t="shared" si="181"/>
        <v>-</v>
      </c>
      <c r="AG172" s="16"/>
      <c r="AH172" s="32" t="str">
        <f>IFERROR(INDEX('US Food'!$R$11:$R$197,MATCH('Calculations - US Food'!D172,'US Food'!$N$11:$N$197,0)),"")</f>
        <v/>
      </c>
      <c r="AI172" s="23" t="str">
        <f t="shared" si="182"/>
        <v/>
      </c>
      <c r="AJ172" s="23" t="str">
        <f t="shared" si="183"/>
        <v/>
      </c>
      <c r="AK172" s="9" t="str">
        <f t="shared" si="166"/>
        <v/>
      </c>
      <c r="AL172" s="4" t="str">
        <f t="shared" si="167"/>
        <v/>
      </c>
      <c r="AM172" s="4"/>
      <c r="AN172" s="4"/>
      <c r="AO172" s="4"/>
      <c r="AP172" s="4"/>
      <c r="AQ172" s="4"/>
      <c r="AR172" s="20" t="str">
        <f t="shared" si="168"/>
        <v>-</v>
      </c>
      <c r="AS172" s="13" t="str">
        <f t="shared" si="184"/>
        <v>-</v>
      </c>
      <c r="AT172" s="13" t="str">
        <f t="shared" si="185"/>
        <v>-</v>
      </c>
      <c r="AU172" s="13" t="str">
        <f t="shared" si="169"/>
        <v>-</v>
      </c>
      <c r="AV172" s="16" t="str">
        <f t="shared" si="186"/>
        <v>-</v>
      </c>
      <c r="AW172" s="16" t="str">
        <f t="shared" si="170"/>
        <v>-</v>
      </c>
      <c r="AX172" s="16" t="str">
        <f t="shared" si="171"/>
        <v>-</v>
      </c>
      <c r="AY172" s="16" t="str">
        <f t="shared" si="187"/>
        <v>-</v>
      </c>
      <c r="AZ172" s="13" t="str">
        <f t="shared" si="188"/>
        <v>-</v>
      </c>
      <c r="BA172" s="10" t="str">
        <f t="shared" si="189"/>
        <v>-</v>
      </c>
      <c r="BB172" s="9" t="str">
        <f t="shared" si="190"/>
        <v>-</v>
      </c>
      <c r="BC172" s="13" t="str">
        <f t="shared" si="191"/>
        <v>-</v>
      </c>
      <c r="BD172" s="10" t="str">
        <f t="shared" si="192"/>
        <v>-</v>
      </c>
      <c r="BE172" s="13" t="str">
        <f t="shared" si="193"/>
        <v>-</v>
      </c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</row>
    <row r="173" spans="2:70" x14ac:dyDescent="0.3">
      <c r="B173" s="96" t="str">
        <f t="shared" si="172"/>
        <v/>
      </c>
      <c r="C173" s="96" t="str">
        <f t="shared" si="173"/>
        <v/>
      </c>
      <c r="D173" s="96" t="str">
        <f t="shared" si="174"/>
        <v/>
      </c>
      <c r="E173" s="3"/>
      <c r="F173" s="3"/>
      <c r="G173" s="3"/>
      <c r="H173" s="3"/>
      <c r="I173" s="20">
        <f>IFERROR(INDEX('Input - US Food'!G$2:G$200,MATCH('Calculations - US Food'!$D173,'Input - US Food'!$B$2:$B$200,0)),"")</f>
        <v>0</v>
      </c>
      <c r="J173" s="20">
        <f>IFERROR(INDEX('Input - US Food'!H$2:H$200,MATCH('Calculations - US Food'!$D173,'Input - US Food'!$B$2:$B$200,0)),"")</f>
        <v>0</v>
      </c>
      <c r="K173" s="21">
        <f>IFERROR(INDEX('Input - US Food'!I$2:I$200,MATCH('Calculations - US Food'!$D173,'Input - US Food'!$B$2:$B$200,0)),"")</f>
        <v>0</v>
      </c>
      <c r="L173" s="21">
        <f>IFERROR(INDEX('Input - US Food'!J$2:J$200,MATCH('Calculations - US Food'!$D173,'Input - US Food'!$B$2:$B$200,0)),"")</f>
        <v>0</v>
      </c>
      <c r="M173" s="20">
        <f>IFERROR(INDEX('Input - US Food'!K$2:K$200,MATCH('Calculations - US Food'!$D173,'Input - US Food'!$B$2:$B$200,0)),"")</f>
        <v>6055363851.4215012</v>
      </c>
      <c r="N173" s="20">
        <f>IFERROR(INDEX('Input - US Food'!L$2:L$200,MATCH('Calculations - US Food'!$D173,'Input - US Food'!$B$2:$B$200,0)),"")</f>
        <v>1982155918.8720999</v>
      </c>
      <c r="O173" s="21" t="str">
        <f t="shared" si="175"/>
        <v/>
      </c>
      <c r="P173" s="21">
        <f t="shared" si="157"/>
        <v>3.0549382083257943</v>
      </c>
      <c r="Q173" s="21">
        <f t="shared" si="176"/>
        <v>0</v>
      </c>
      <c r="R173" s="9">
        <f t="shared" si="158"/>
        <v>0</v>
      </c>
      <c r="S173" s="9">
        <f t="shared" si="159"/>
        <v>0</v>
      </c>
      <c r="T173" s="22" t="str">
        <f>IFERROR(INDEX('US Food'!$S$11:$S$197,MATCH('Calculations - US Food'!$D173,'US Food'!$N$11:$N$197,0)),"")</f>
        <v/>
      </c>
      <c r="U173" s="22" t="str">
        <f>IFERROR(INDEX('US Food'!$T$11:$T$197,MATCH('Calculations - US Food'!$D173,'US Food'!$N$11:$N$197,0)),"")</f>
        <v/>
      </c>
      <c r="V173" s="16" t="e">
        <f t="shared" si="160"/>
        <v>#VALUE!</v>
      </c>
      <c r="W173" s="16" t="e">
        <f t="shared" si="177"/>
        <v>#VALUE!</v>
      </c>
      <c r="X173" s="16" t="e">
        <f t="shared" si="178"/>
        <v>#VALUE!</v>
      </c>
      <c r="Y173" s="10" t="str">
        <f t="shared" si="161"/>
        <v>-</v>
      </c>
      <c r="Z173" s="10" t="str">
        <f t="shared" si="162"/>
        <v>-</v>
      </c>
      <c r="AA173" s="13" t="str">
        <f t="shared" si="179"/>
        <v>-</v>
      </c>
      <c r="AB173" s="9" t="str">
        <f t="shared" si="163"/>
        <v>-</v>
      </c>
      <c r="AC173" s="16" t="str">
        <f t="shared" si="180"/>
        <v>-</v>
      </c>
      <c r="AD173" s="16" t="str">
        <f t="shared" si="164"/>
        <v>-</v>
      </c>
      <c r="AE173" s="16" t="str">
        <f t="shared" si="165"/>
        <v>-</v>
      </c>
      <c r="AF173" s="16" t="str">
        <f t="shared" si="181"/>
        <v>-</v>
      </c>
      <c r="AG173" s="16"/>
      <c r="AH173" s="32" t="str">
        <f>IFERROR(INDEX('US Food'!$R$11:$R$197,MATCH('Calculations - US Food'!D173,'US Food'!$N$11:$N$197,0)),"")</f>
        <v/>
      </c>
      <c r="AI173" s="23" t="str">
        <f t="shared" si="182"/>
        <v/>
      </c>
      <c r="AJ173" s="23" t="str">
        <f t="shared" si="183"/>
        <v/>
      </c>
      <c r="AK173" s="9" t="str">
        <f t="shared" si="166"/>
        <v/>
      </c>
      <c r="AL173" s="4" t="str">
        <f t="shared" si="167"/>
        <v/>
      </c>
      <c r="AM173" s="4"/>
      <c r="AN173" s="4"/>
      <c r="AO173" s="4"/>
      <c r="AP173" s="4"/>
      <c r="AQ173" s="4"/>
      <c r="AR173" s="20" t="str">
        <f t="shared" si="168"/>
        <v>-</v>
      </c>
      <c r="AS173" s="13" t="str">
        <f t="shared" si="184"/>
        <v>-</v>
      </c>
      <c r="AT173" s="13" t="str">
        <f t="shared" si="185"/>
        <v>-</v>
      </c>
      <c r="AU173" s="13" t="str">
        <f t="shared" si="169"/>
        <v>-</v>
      </c>
      <c r="AV173" s="16" t="str">
        <f t="shared" si="186"/>
        <v>-</v>
      </c>
      <c r="AW173" s="16" t="str">
        <f t="shared" si="170"/>
        <v>-</v>
      </c>
      <c r="AX173" s="16" t="str">
        <f t="shared" si="171"/>
        <v>-</v>
      </c>
      <c r="AY173" s="16" t="str">
        <f t="shared" si="187"/>
        <v>-</v>
      </c>
      <c r="AZ173" s="13" t="str">
        <f t="shared" si="188"/>
        <v>-</v>
      </c>
      <c r="BA173" s="10" t="str">
        <f t="shared" si="189"/>
        <v>-</v>
      </c>
      <c r="BB173" s="9" t="str">
        <f t="shared" si="190"/>
        <v>-</v>
      </c>
      <c r="BC173" s="13" t="str">
        <f t="shared" si="191"/>
        <v>-</v>
      </c>
      <c r="BD173" s="10" t="str">
        <f t="shared" si="192"/>
        <v>-</v>
      </c>
      <c r="BE173" s="13" t="str">
        <f t="shared" si="193"/>
        <v>-</v>
      </c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</row>
    <row r="174" spans="2:70" x14ac:dyDescent="0.3">
      <c r="B174" s="96" t="str">
        <f t="shared" si="172"/>
        <v/>
      </c>
      <c r="C174" s="96" t="str">
        <f t="shared" si="173"/>
        <v/>
      </c>
      <c r="D174" s="96" t="str">
        <f t="shared" si="174"/>
        <v/>
      </c>
      <c r="E174" s="3"/>
      <c r="F174" s="3"/>
      <c r="G174" s="3"/>
      <c r="H174" s="3"/>
      <c r="I174" s="20">
        <f>IFERROR(INDEX('Input - US Food'!G$2:G$200,MATCH('Calculations - US Food'!$D174,'Input - US Food'!$B$2:$B$200,0)),"")</f>
        <v>0</v>
      </c>
      <c r="J174" s="20">
        <f>IFERROR(INDEX('Input - US Food'!H$2:H$200,MATCH('Calculations - US Food'!$D174,'Input - US Food'!$B$2:$B$200,0)),"")</f>
        <v>0</v>
      </c>
      <c r="K174" s="21">
        <f>IFERROR(INDEX('Input - US Food'!I$2:I$200,MATCH('Calculations - US Food'!$D174,'Input - US Food'!$B$2:$B$200,0)),"")</f>
        <v>0</v>
      </c>
      <c r="L174" s="21">
        <f>IFERROR(INDEX('Input - US Food'!J$2:J$200,MATCH('Calculations - US Food'!$D174,'Input - US Food'!$B$2:$B$200,0)),"")</f>
        <v>0</v>
      </c>
      <c r="M174" s="20">
        <f>IFERROR(INDEX('Input - US Food'!K$2:K$200,MATCH('Calculations - US Food'!$D174,'Input - US Food'!$B$2:$B$200,0)),"")</f>
        <v>6055363851.4215012</v>
      </c>
      <c r="N174" s="20">
        <f>IFERROR(INDEX('Input - US Food'!L$2:L$200,MATCH('Calculations - US Food'!$D174,'Input - US Food'!$B$2:$B$200,0)),"")</f>
        <v>1982155918.8720999</v>
      </c>
      <c r="O174" s="21" t="str">
        <f t="shared" si="175"/>
        <v/>
      </c>
      <c r="P174" s="21">
        <f t="shared" si="157"/>
        <v>3.0549382083257943</v>
      </c>
      <c r="Q174" s="21">
        <f t="shared" si="176"/>
        <v>0</v>
      </c>
      <c r="R174" s="9">
        <f t="shared" si="158"/>
        <v>0</v>
      </c>
      <c r="S174" s="9">
        <f t="shared" si="159"/>
        <v>0</v>
      </c>
      <c r="T174" s="22" t="str">
        <f>IFERROR(INDEX('US Food'!$S$11:$S$197,MATCH('Calculations - US Food'!$D174,'US Food'!$N$11:$N$197,0)),"")</f>
        <v/>
      </c>
      <c r="U174" s="22" t="str">
        <f>IFERROR(INDEX('US Food'!$T$11:$T$197,MATCH('Calculations - US Food'!$D174,'US Food'!$N$11:$N$197,0)),"")</f>
        <v/>
      </c>
      <c r="V174" s="16" t="e">
        <f t="shared" si="160"/>
        <v>#VALUE!</v>
      </c>
      <c r="W174" s="16" t="e">
        <f t="shared" si="177"/>
        <v>#VALUE!</v>
      </c>
      <c r="X174" s="16" t="e">
        <f t="shared" si="178"/>
        <v>#VALUE!</v>
      </c>
      <c r="Y174" s="10" t="str">
        <f t="shared" si="161"/>
        <v>-</v>
      </c>
      <c r="Z174" s="10" t="str">
        <f t="shared" si="162"/>
        <v>-</v>
      </c>
      <c r="AA174" s="13" t="str">
        <f t="shared" si="179"/>
        <v>-</v>
      </c>
      <c r="AB174" s="9" t="str">
        <f t="shared" si="163"/>
        <v>-</v>
      </c>
      <c r="AC174" s="16" t="str">
        <f t="shared" si="180"/>
        <v>-</v>
      </c>
      <c r="AD174" s="16" t="str">
        <f t="shared" si="164"/>
        <v>-</v>
      </c>
      <c r="AE174" s="16" t="str">
        <f t="shared" si="165"/>
        <v>-</v>
      </c>
      <c r="AF174" s="16" t="str">
        <f t="shared" si="181"/>
        <v>-</v>
      </c>
      <c r="AG174" s="16"/>
      <c r="AH174" s="32" t="str">
        <f>IFERROR(INDEX('US Food'!$R$11:$R$197,MATCH('Calculations - US Food'!D174,'US Food'!$N$11:$N$197,0)),"")</f>
        <v/>
      </c>
      <c r="AI174" s="23" t="str">
        <f t="shared" si="182"/>
        <v/>
      </c>
      <c r="AJ174" s="23" t="str">
        <f t="shared" si="183"/>
        <v/>
      </c>
      <c r="AK174" s="9" t="str">
        <f t="shared" si="166"/>
        <v/>
      </c>
      <c r="AL174" s="4" t="str">
        <f t="shared" si="167"/>
        <v/>
      </c>
      <c r="AM174" s="4"/>
      <c r="AN174" s="4"/>
      <c r="AO174" s="4"/>
      <c r="AP174" s="4"/>
      <c r="AQ174" s="4"/>
      <c r="AR174" s="20" t="str">
        <f t="shared" si="168"/>
        <v>-</v>
      </c>
      <c r="AS174" s="13" t="str">
        <f t="shared" si="184"/>
        <v>-</v>
      </c>
      <c r="AT174" s="13" t="str">
        <f t="shared" si="185"/>
        <v>-</v>
      </c>
      <c r="AU174" s="13" t="str">
        <f t="shared" si="169"/>
        <v>-</v>
      </c>
      <c r="AV174" s="16" t="str">
        <f t="shared" si="186"/>
        <v>-</v>
      </c>
      <c r="AW174" s="16" t="str">
        <f t="shared" si="170"/>
        <v>-</v>
      </c>
      <c r="AX174" s="16" t="str">
        <f t="shared" si="171"/>
        <v>-</v>
      </c>
      <c r="AY174" s="16" t="str">
        <f t="shared" si="187"/>
        <v>-</v>
      </c>
      <c r="AZ174" s="13" t="str">
        <f t="shared" si="188"/>
        <v>-</v>
      </c>
      <c r="BA174" s="10" t="str">
        <f t="shared" si="189"/>
        <v>-</v>
      </c>
      <c r="BB174" s="9" t="str">
        <f t="shared" si="190"/>
        <v>-</v>
      </c>
      <c r="BC174" s="13" t="str">
        <f t="shared" si="191"/>
        <v>-</v>
      </c>
      <c r="BD174" s="10" t="str">
        <f t="shared" si="192"/>
        <v>-</v>
      </c>
      <c r="BE174" s="13" t="str">
        <f t="shared" si="193"/>
        <v>-</v>
      </c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</row>
    <row r="175" spans="2:70" x14ac:dyDescent="0.3">
      <c r="B175" s="96" t="str">
        <f t="shared" si="172"/>
        <v/>
      </c>
      <c r="C175" s="96" t="str">
        <f t="shared" si="173"/>
        <v/>
      </c>
      <c r="D175" s="96" t="str">
        <f t="shared" si="174"/>
        <v/>
      </c>
      <c r="E175" s="3"/>
      <c r="F175" s="3"/>
      <c r="G175" s="3"/>
      <c r="H175" s="3"/>
      <c r="I175" s="20">
        <f>IFERROR(INDEX('Input - US Food'!G$2:G$200,MATCH('Calculations - US Food'!$D175,'Input - US Food'!$B$2:$B$200,0)),"")</f>
        <v>0</v>
      </c>
      <c r="J175" s="20">
        <f>IFERROR(INDEX('Input - US Food'!H$2:H$200,MATCH('Calculations - US Food'!$D175,'Input - US Food'!$B$2:$B$200,0)),"")</f>
        <v>0</v>
      </c>
      <c r="K175" s="21">
        <f>IFERROR(INDEX('Input - US Food'!I$2:I$200,MATCH('Calculations - US Food'!$D175,'Input - US Food'!$B$2:$B$200,0)),"")</f>
        <v>0</v>
      </c>
      <c r="L175" s="21">
        <f>IFERROR(INDEX('Input - US Food'!J$2:J$200,MATCH('Calculations - US Food'!$D175,'Input - US Food'!$B$2:$B$200,0)),"")</f>
        <v>0</v>
      </c>
      <c r="M175" s="20">
        <f>IFERROR(INDEX('Input - US Food'!K$2:K$200,MATCH('Calculations - US Food'!$D175,'Input - US Food'!$B$2:$B$200,0)),"")</f>
        <v>6055363851.4215012</v>
      </c>
      <c r="N175" s="20">
        <f>IFERROR(INDEX('Input - US Food'!L$2:L$200,MATCH('Calculations - US Food'!$D175,'Input - US Food'!$B$2:$B$200,0)),"")</f>
        <v>1982155918.8720999</v>
      </c>
      <c r="O175" s="21" t="str">
        <f t="shared" si="175"/>
        <v/>
      </c>
      <c r="P175" s="21">
        <f t="shared" si="157"/>
        <v>3.0549382083257943</v>
      </c>
      <c r="Q175" s="21">
        <f t="shared" si="176"/>
        <v>0</v>
      </c>
      <c r="R175" s="9">
        <f t="shared" si="158"/>
        <v>0</v>
      </c>
      <c r="S175" s="9">
        <f t="shared" si="159"/>
        <v>0</v>
      </c>
      <c r="T175" s="22" t="str">
        <f>IFERROR(INDEX('US Food'!$S$11:$S$197,MATCH('Calculations - US Food'!$D175,'US Food'!$N$11:$N$197,0)),"")</f>
        <v/>
      </c>
      <c r="U175" s="22" t="str">
        <f>IFERROR(INDEX('US Food'!$T$11:$T$197,MATCH('Calculations - US Food'!$D175,'US Food'!$N$11:$N$197,0)),"")</f>
        <v/>
      </c>
      <c r="V175" s="16" t="e">
        <f t="shared" si="160"/>
        <v>#VALUE!</v>
      </c>
      <c r="W175" s="16" t="e">
        <f t="shared" si="177"/>
        <v>#VALUE!</v>
      </c>
      <c r="X175" s="16" t="e">
        <f t="shared" si="178"/>
        <v>#VALUE!</v>
      </c>
      <c r="Y175" s="10" t="str">
        <f t="shared" si="161"/>
        <v>-</v>
      </c>
      <c r="Z175" s="10" t="str">
        <f t="shared" si="162"/>
        <v>-</v>
      </c>
      <c r="AA175" s="13" t="str">
        <f t="shared" si="179"/>
        <v>-</v>
      </c>
      <c r="AB175" s="9" t="str">
        <f t="shared" si="163"/>
        <v>-</v>
      </c>
      <c r="AC175" s="16" t="str">
        <f t="shared" si="180"/>
        <v>-</v>
      </c>
      <c r="AD175" s="16" t="str">
        <f t="shared" si="164"/>
        <v>-</v>
      </c>
      <c r="AE175" s="16" t="str">
        <f t="shared" si="165"/>
        <v>-</v>
      </c>
      <c r="AF175" s="16" t="str">
        <f t="shared" si="181"/>
        <v>-</v>
      </c>
      <c r="AG175" s="16"/>
      <c r="AH175" s="32" t="str">
        <f>IFERROR(INDEX('US Food'!$R$11:$R$197,MATCH('Calculations - US Food'!D175,'US Food'!$N$11:$N$197,0)),"")</f>
        <v/>
      </c>
      <c r="AI175" s="23" t="str">
        <f t="shared" si="182"/>
        <v/>
      </c>
      <c r="AJ175" s="23" t="str">
        <f t="shared" si="183"/>
        <v/>
      </c>
      <c r="AK175" s="9" t="str">
        <f t="shared" si="166"/>
        <v/>
      </c>
      <c r="AL175" s="4" t="str">
        <f t="shared" si="167"/>
        <v/>
      </c>
      <c r="AM175" s="4"/>
      <c r="AN175" s="4"/>
      <c r="AO175" s="4"/>
      <c r="AP175" s="4"/>
      <c r="AQ175" s="4"/>
      <c r="AR175" s="20" t="str">
        <f t="shared" si="168"/>
        <v>-</v>
      </c>
      <c r="AS175" s="13" t="str">
        <f t="shared" si="184"/>
        <v>-</v>
      </c>
      <c r="AT175" s="13" t="str">
        <f t="shared" si="185"/>
        <v>-</v>
      </c>
      <c r="AU175" s="13" t="str">
        <f t="shared" si="169"/>
        <v>-</v>
      </c>
      <c r="AV175" s="16" t="str">
        <f t="shared" si="186"/>
        <v>-</v>
      </c>
      <c r="AW175" s="16" t="str">
        <f t="shared" si="170"/>
        <v>-</v>
      </c>
      <c r="AX175" s="16" t="str">
        <f t="shared" si="171"/>
        <v>-</v>
      </c>
      <c r="AY175" s="16" t="str">
        <f t="shared" si="187"/>
        <v>-</v>
      </c>
      <c r="AZ175" s="13" t="str">
        <f t="shared" si="188"/>
        <v>-</v>
      </c>
      <c r="BA175" s="10" t="str">
        <f t="shared" si="189"/>
        <v>-</v>
      </c>
      <c r="BB175" s="9" t="str">
        <f t="shared" si="190"/>
        <v>-</v>
      </c>
      <c r="BC175" s="13" t="str">
        <f t="shared" si="191"/>
        <v>-</v>
      </c>
      <c r="BD175" s="10" t="str">
        <f t="shared" si="192"/>
        <v>-</v>
      </c>
      <c r="BE175" s="13" t="str">
        <f t="shared" si="193"/>
        <v>-</v>
      </c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</row>
    <row r="176" spans="2:70" x14ac:dyDescent="0.3">
      <c r="B176" s="96" t="str">
        <f t="shared" si="172"/>
        <v/>
      </c>
      <c r="C176" s="96" t="str">
        <f t="shared" si="173"/>
        <v/>
      </c>
      <c r="D176" s="96" t="str">
        <f t="shared" si="174"/>
        <v/>
      </c>
      <c r="E176" s="3"/>
      <c r="F176" s="3"/>
      <c r="G176" s="3"/>
      <c r="H176" s="3"/>
      <c r="I176" s="20">
        <f>IFERROR(INDEX('Input - US Food'!G$2:G$200,MATCH('Calculations - US Food'!$D176,'Input - US Food'!$B$2:$B$200,0)),"")</f>
        <v>0</v>
      </c>
      <c r="J176" s="20">
        <f>IFERROR(INDEX('Input - US Food'!H$2:H$200,MATCH('Calculations - US Food'!$D176,'Input - US Food'!$B$2:$B$200,0)),"")</f>
        <v>0</v>
      </c>
      <c r="K176" s="21">
        <f>IFERROR(INDEX('Input - US Food'!I$2:I$200,MATCH('Calculations - US Food'!$D176,'Input - US Food'!$B$2:$B$200,0)),"")</f>
        <v>0</v>
      </c>
      <c r="L176" s="21">
        <f>IFERROR(INDEX('Input - US Food'!J$2:J$200,MATCH('Calculations - US Food'!$D176,'Input - US Food'!$B$2:$B$200,0)),"")</f>
        <v>0</v>
      </c>
      <c r="M176" s="20">
        <f>IFERROR(INDEX('Input - US Food'!K$2:K$200,MATCH('Calculations - US Food'!$D176,'Input - US Food'!$B$2:$B$200,0)),"")</f>
        <v>6055363851.4215012</v>
      </c>
      <c r="N176" s="20">
        <f>IFERROR(INDEX('Input - US Food'!L$2:L$200,MATCH('Calculations - US Food'!$D176,'Input - US Food'!$B$2:$B$200,0)),"")</f>
        <v>1982155918.8720999</v>
      </c>
      <c r="O176" s="21" t="str">
        <f t="shared" si="175"/>
        <v/>
      </c>
      <c r="P176" s="21">
        <f t="shared" si="157"/>
        <v>3.0549382083257943</v>
      </c>
      <c r="Q176" s="21">
        <f t="shared" si="176"/>
        <v>0</v>
      </c>
      <c r="R176" s="9">
        <f t="shared" si="158"/>
        <v>0</v>
      </c>
      <c r="S176" s="9">
        <f t="shared" si="159"/>
        <v>0</v>
      </c>
      <c r="T176" s="22" t="str">
        <f>IFERROR(INDEX('US Food'!$S$11:$S$197,MATCH('Calculations - US Food'!$D176,'US Food'!$N$11:$N$197,0)),"")</f>
        <v/>
      </c>
      <c r="U176" s="22" t="str">
        <f>IFERROR(INDEX('US Food'!$T$11:$T$197,MATCH('Calculations - US Food'!$D176,'US Food'!$N$11:$N$197,0)),"")</f>
        <v/>
      </c>
      <c r="V176" s="16" t="e">
        <f t="shared" si="160"/>
        <v>#VALUE!</v>
      </c>
      <c r="W176" s="16" t="e">
        <f t="shared" si="177"/>
        <v>#VALUE!</v>
      </c>
      <c r="X176" s="16" t="e">
        <f t="shared" si="178"/>
        <v>#VALUE!</v>
      </c>
      <c r="Y176" s="10" t="str">
        <f t="shared" si="161"/>
        <v>-</v>
      </c>
      <c r="Z176" s="10" t="str">
        <f t="shared" si="162"/>
        <v>-</v>
      </c>
      <c r="AA176" s="13" t="str">
        <f t="shared" si="179"/>
        <v>-</v>
      </c>
      <c r="AB176" s="9" t="str">
        <f t="shared" si="163"/>
        <v>-</v>
      </c>
      <c r="AC176" s="16" t="str">
        <f t="shared" si="180"/>
        <v>-</v>
      </c>
      <c r="AD176" s="16" t="str">
        <f t="shared" si="164"/>
        <v>-</v>
      </c>
      <c r="AE176" s="16" t="str">
        <f t="shared" si="165"/>
        <v>-</v>
      </c>
      <c r="AF176" s="16" t="str">
        <f t="shared" si="181"/>
        <v>-</v>
      </c>
      <c r="AG176" s="16"/>
      <c r="AH176" s="32" t="str">
        <f>IFERROR(INDEX('US Food'!$R$11:$R$197,MATCH('Calculations - US Food'!D176,'US Food'!$N$11:$N$197,0)),"")</f>
        <v/>
      </c>
      <c r="AI176" s="23" t="str">
        <f t="shared" si="182"/>
        <v/>
      </c>
      <c r="AJ176" s="23" t="str">
        <f t="shared" si="183"/>
        <v/>
      </c>
      <c r="AK176" s="9" t="str">
        <f t="shared" si="166"/>
        <v/>
      </c>
      <c r="AL176" s="4" t="str">
        <f t="shared" si="167"/>
        <v/>
      </c>
      <c r="AM176" s="4"/>
      <c r="AN176" s="4"/>
      <c r="AO176" s="4"/>
      <c r="AP176" s="4"/>
      <c r="AQ176" s="4"/>
      <c r="AR176" s="20" t="str">
        <f t="shared" si="168"/>
        <v>-</v>
      </c>
      <c r="AS176" s="13" t="str">
        <f t="shared" si="184"/>
        <v>-</v>
      </c>
      <c r="AT176" s="13" t="str">
        <f t="shared" si="185"/>
        <v>-</v>
      </c>
      <c r="AU176" s="13" t="str">
        <f t="shared" si="169"/>
        <v>-</v>
      </c>
      <c r="AV176" s="16" t="str">
        <f t="shared" si="186"/>
        <v>-</v>
      </c>
      <c r="AW176" s="16" t="str">
        <f t="shared" si="170"/>
        <v>-</v>
      </c>
      <c r="AX176" s="16" t="str">
        <f t="shared" si="171"/>
        <v>-</v>
      </c>
      <c r="AY176" s="16" t="str">
        <f t="shared" si="187"/>
        <v>-</v>
      </c>
      <c r="AZ176" s="13" t="str">
        <f t="shared" si="188"/>
        <v>-</v>
      </c>
      <c r="BA176" s="10" t="str">
        <f t="shared" si="189"/>
        <v>-</v>
      </c>
      <c r="BB176" s="9" t="str">
        <f t="shared" si="190"/>
        <v>-</v>
      </c>
      <c r="BC176" s="13" t="str">
        <f t="shared" si="191"/>
        <v>-</v>
      </c>
      <c r="BD176" s="10" t="str">
        <f t="shared" si="192"/>
        <v>-</v>
      </c>
      <c r="BE176" s="13" t="str">
        <f t="shared" si="193"/>
        <v>-</v>
      </c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</row>
    <row r="177" spans="2:70" x14ac:dyDescent="0.3">
      <c r="B177" s="96" t="str">
        <f t="shared" si="172"/>
        <v/>
      </c>
      <c r="C177" s="96" t="str">
        <f t="shared" si="173"/>
        <v/>
      </c>
      <c r="D177" s="96" t="str">
        <f t="shared" si="174"/>
        <v/>
      </c>
      <c r="E177" s="3"/>
      <c r="F177" s="3"/>
      <c r="G177" s="3"/>
      <c r="H177" s="3"/>
      <c r="I177" s="20">
        <f>IFERROR(INDEX('Input - US Food'!G$2:G$200,MATCH('Calculations - US Food'!$D177,'Input - US Food'!$B$2:$B$200,0)),"")</f>
        <v>0</v>
      </c>
      <c r="J177" s="20">
        <f>IFERROR(INDEX('Input - US Food'!H$2:H$200,MATCH('Calculations - US Food'!$D177,'Input - US Food'!$B$2:$B$200,0)),"")</f>
        <v>0</v>
      </c>
      <c r="K177" s="21">
        <f>IFERROR(INDEX('Input - US Food'!I$2:I$200,MATCH('Calculations - US Food'!$D177,'Input - US Food'!$B$2:$B$200,0)),"")</f>
        <v>0</v>
      </c>
      <c r="L177" s="21">
        <f>IFERROR(INDEX('Input - US Food'!J$2:J$200,MATCH('Calculations - US Food'!$D177,'Input - US Food'!$B$2:$B$200,0)),"")</f>
        <v>0</v>
      </c>
      <c r="M177" s="20">
        <f>IFERROR(INDEX('Input - US Food'!K$2:K$200,MATCH('Calculations - US Food'!$D177,'Input - US Food'!$B$2:$B$200,0)),"")</f>
        <v>6055363851.4215012</v>
      </c>
      <c r="N177" s="20">
        <f>IFERROR(INDEX('Input - US Food'!L$2:L$200,MATCH('Calculations - US Food'!$D177,'Input - US Food'!$B$2:$B$200,0)),"")</f>
        <v>1982155918.8720999</v>
      </c>
      <c r="O177" s="21" t="str">
        <f t="shared" si="175"/>
        <v/>
      </c>
      <c r="P177" s="21">
        <f t="shared" si="157"/>
        <v>3.0549382083257943</v>
      </c>
      <c r="Q177" s="21">
        <f t="shared" si="176"/>
        <v>0</v>
      </c>
      <c r="R177" s="9">
        <f t="shared" si="158"/>
        <v>0</v>
      </c>
      <c r="S177" s="9">
        <f t="shared" si="159"/>
        <v>0</v>
      </c>
      <c r="T177" s="22" t="str">
        <f>IFERROR(INDEX('US Food'!$S$11:$S$197,MATCH('Calculations - US Food'!$D177,'US Food'!$N$11:$N$197,0)),"")</f>
        <v/>
      </c>
      <c r="U177" s="22" t="str">
        <f>IFERROR(INDEX('US Food'!$T$11:$T$197,MATCH('Calculations - US Food'!$D177,'US Food'!$N$11:$N$197,0)),"")</f>
        <v/>
      </c>
      <c r="V177" s="16" t="e">
        <f t="shared" si="160"/>
        <v>#VALUE!</v>
      </c>
      <c r="W177" s="16" t="e">
        <f t="shared" si="177"/>
        <v>#VALUE!</v>
      </c>
      <c r="X177" s="16" t="e">
        <f t="shared" si="178"/>
        <v>#VALUE!</v>
      </c>
      <c r="Y177" s="10" t="str">
        <f t="shared" si="161"/>
        <v>-</v>
      </c>
      <c r="Z177" s="10" t="str">
        <f t="shared" si="162"/>
        <v>-</v>
      </c>
      <c r="AA177" s="13" t="str">
        <f t="shared" si="179"/>
        <v>-</v>
      </c>
      <c r="AB177" s="9" t="str">
        <f t="shared" si="163"/>
        <v>-</v>
      </c>
      <c r="AC177" s="16" t="str">
        <f t="shared" si="180"/>
        <v>-</v>
      </c>
      <c r="AD177" s="16" t="str">
        <f t="shared" si="164"/>
        <v>-</v>
      </c>
      <c r="AE177" s="16" t="str">
        <f t="shared" si="165"/>
        <v>-</v>
      </c>
      <c r="AF177" s="16" t="str">
        <f t="shared" si="181"/>
        <v>-</v>
      </c>
      <c r="AG177" s="16"/>
      <c r="AH177" s="32" t="str">
        <f>IFERROR(INDEX('US Food'!$R$11:$R$197,MATCH('Calculations - US Food'!D177,'US Food'!$N$11:$N$197,0)),"")</f>
        <v/>
      </c>
      <c r="AI177" s="23" t="str">
        <f t="shared" si="182"/>
        <v/>
      </c>
      <c r="AJ177" s="23" t="str">
        <f t="shared" si="183"/>
        <v/>
      </c>
      <c r="AK177" s="9" t="str">
        <f t="shared" si="166"/>
        <v/>
      </c>
      <c r="AL177" s="4" t="str">
        <f t="shared" si="167"/>
        <v/>
      </c>
      <c r="AM177" s="4"/>
      <c r="AN177" s="4"/>
      <c r="AO177" s="4"/>
      <c r="AP177" s="4"/>
      <c r="AQ177" s="4"/>
      <c r="AR177" s="20" t="str">
        <f t="shared" si="168"/>
        <v>-</v>
      </c>
      <c r="AS177" s="13" t="str">
        <f t="shared" si="184"/>
        <v>-</v>
      </c>
      <c r="AT177" s="13" t="str">
        <f t="shared" si="185"/>
        <v>-</v>
      </c>
      <c r="AU177" s="13" t="str">
        <f t="shared" si="169"/>
        <v>-</v>
      </c>
      <c r="AV177" s="16" t="str">
        <f t="shared" si="186"/>
        <v>-</v>
      </c>
      <c r="AW177" s="16" t="str">
        <f t="shared" si="170"/>
        <v>-</v>
      </c>
      <c r="AX177" s="16" t="str">
        <f t="shared" si="171"/>
        <v>-</v>
      </c>
      <c r="AY177" s="16" t="str">
        <f t="shared" si="187"/>
        <v>-</v>
      </c>
      <c r="AZ177" s="13" t="str">
        <f t="shared" si="188"/>
        <v>-</v>
      </c>
      <c r="BA177" s="10" t="str">
        <f t="shared" si="189"/>
        <v>-</v>
      </c>
      <c r="BB177" s="9" t="str">
        <f t="shared" si="190"/>
        <v>-</v>
      </c>
      <c r="BC177" s="13" t="str">
        <f t="shared" si="191"/>
        <v>-</v>
      </c>
      <c r="BD177" s="10" t="str">
        <f t="shared" si="192"/>
        <v>-</v>
      </c>
      <c r="BE177" s="13" t="str">
        <f t="shared" si="193"/>
        <v>-</v>
      </c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</row>
    <row r="178" spans="2:70" x14ac:dyDescent="0.3">
      <c r="B178" s="96" t="str">
        <f t="shared" si="172"/>
        <v/>
      </c>
      <c r="C178" s="96" t="str">
        <f t="shared" si="173"/>
        <v/>
      </c>
      <c r="D178" s="96" t="str">
        <f t="shared" si="174"/>
        <v/>
      </c>
      <c r="E178" s="3"/>
      <c r="F178" s="3"/>
      <c r="G178" s="3"/>
      <c r="H178" s="3"/>
      <c r="I178" s="20">
        <f>IFERROR(INDEX('Input - US Food'!G$2:G$200,MATCH('Calculations - US Food'!$D178,'Input - US Food'!$B$2:$B$200,0)),"")</f>
        <v>0</v>
      </c>
      <c r="J178" s="20">
        <f>IFERROR(INDEX('Input - US Food'!H$2:H$200,MATCH('Calculations - US Food'!$D178,'Input - US Food'!$B$2:$B$200,0)),"")</f>
        <v>0</v>
      </c>
      <c r="K178" s="21">
        <f>IFERROR(INDEX('Input - US Food'!I$2:I$200,MATCH('Calculations - US Food'!$D178,'Input - US Food'!$B$2:$B$200,0)),"")</f>
        <v>0</v>
      </c>
      <c r="L178" s="21">
        <f>IFERROR(INDEX('Input - US Food'!J$2:J$200,MATCH('Calculations - US Food'!$D178,'Input - US Food'!$B$2:$B$200,0)),"")</f>
        <v>0</v>
      </c>
      <c r="M178" s="20">
        <f>IFERROR(INDEX('Input - US Food'!K$2:K$200,MATCH('Calculations - US Food'!$D178,'Input - US Food'!$B$2:$B$200,0)),"")</f>
        <v>6055363851.4215012</v>
      </c>
      <c r="N178" s="20">
        <f>IFERROR(INDEX('Input - US Food'!L$2:L$200,MATCH('Calculations - US Food'!$D178,'Input - US Food'!$B$2:$B$200,0)),"")</f>
        <v>1982155918.8720999</v>
      </c>
      <c r="O178" s="21" t="str">
        <f t="shared" si="175"/>
        <v/>
      </c>
      <c r="P178" s="21">
        <f t="shared" si="157"/>
        <v>3.0549382083257943</v>
      </c>
      <c r="Q178" s="21">
        <f t="shared" si="176"/>
        <v>0</v>
      </c>
      <c r="R178" s="9">
        <f t="shared" si="158"/>
        <v>0</v>
      </c>
      <c r="S178" s="9">
        <f t="shared" si="159"/>
        <v>0</v>
      </c>
      <c r="T178" s="22" t="str">
        <f>IFERROR(INDEX('US Food'!$S$11:$S$197,MATCH('Calculations - US Food'!$D178,'US Food'!$N$11:$N$197,0)),"")</f>
        <v/>
      </c>
      <c r="U178" s="22" t="str">
        <f>IFERROR(INDEX('US Food'!$T$11:$T$197,MATCH('Calculations - US Food'!$D178,'US Food'!$N$11:$N$197,0)),"")</f>
        <v/>
      </c>
      <c r="V178" s="16" t="e">
        <f t="shared" si="160"/>
        <v>#VALUE!</v>
      </c>
      <c r="W178" s="16" t="e">
        <f t="shared" si="177"/>
        <v>#VALUE!</v>
      </c>
      <c r="X178" s="16" t="e">
        <f t="shared" si="178"/>
        <v>#VALUE!</v>
      </c>
      <c r="Y178" s="10" t="str">
        <f t="shared" si="161"/>
        <v>-</v>
      </c>
      <c r="Z178" s="10" t="str">
        <f t="shared" si="162"/>
        <v>-</v>
      </c>
      <c r="AA178" s="13" t="str">
        <f t="shared" si="179"/>
        <v>-</v>
      </c>
      <c r="AB178" s="9" t="str">
        <f t="shared" si="163"/>
        <v>-</v>
      </c>
      <c r="AC178" s="16" t="str">
        <f t="shared" si="180"/>
        <v>-</v>
      </c>
      <c r="AD178" s="16" t="str">
        <f t="shared" si="164"/>
        <v>-</v>
      </c>
      <c r="AE178" s="16" t="str">
        <f t="shared" si="165"/>
        <v>-</v>
      </c>
      <c r="AF178" s="16" t="str">
        <f t="shared" si="181"/>
        <v>-</v>
      </c>
      <c r="AG178" s="16"/>
      <c r="AH178" s="32" t="str">
        <f>IFERROR(INDEX('US Food'!$R$11:$R$197,MATCH('Calculations - US Food'!D178,'US Food'!$N$11:$N$197,0)),"")</f>
        <v/>
      </c>
      <c r="AI178" s="23" t="str">
        <f t="shared" si="182"/>
        <v/>
      </c>
      <c r="AJ178" s="23" t="str">
        <f t="shared" si="183"/>
        <v/>
      </c>
      <c r="AK178" s="9" t="str">
        <f t="shared" si="166"/>
        <v/>
      </c>
      <c r="AL178" s="4" t="str">
        <f t="shared" si="167"/>
        <v/>
      </c>
      <c r="AM178" s="4"/>
      <c r="AN178" s="4"/>
      <c r="AO178" s="4"/>
      <c r="AP178" s="4"/>
      <c r="AQ178" s="4"/>
      <c r="AR178" s="20" t="str">
        <f t="shared" si="168"/>
        <v>-</v>
      </c>
      <c r="AS178" s="13" t="str">
        <f t="shared" si="184"/>
        <v>-</v>
      </c>
      <c r="AT178" s="13" t="str">
        <f t="shared" si="185"/>
        <v>-</v>
      </c>
      <c r="AU178" s="13" t="str">
        <f t="shared" si="169"/>
        <v>-</v>
      </c>
      <c r="AV178" s="16" t="str">
        <f t="shared" si="186"/>
        <v>-</v>
      </c>
      <c r="AW178" s="16" t="str">
        <f t="shared" si="170"/>
        <v>-</v>
      </c>
      <c r="AX178" s="16" t="str">
        <f t="shared" si="171"/>
        <v>-</v>
      </c>
      <c r="AY178" s="16" t="str">
        <f t="shared" si="187"/>
        <v>-</v>
      </c>
      <c r="AZ178" s="13" t="str">
        <f t="shared" si="188"/>
        <v>-</v>
      </c>
      <c r="BA178" s="10" t="str">
        <f t="shared" si="189"/>
        <v>-</v>
      </c>
      <c r="BB178" s="9" t="str">
        <f t="shared" si="190"/>
        <v>-</v>
      </c>
      <c r="BC178" s="13" t="str">
        <f t="shared" si="191"/>
        <v>-</v>
      </c>
      <c r="BD178" s="10" t="str">
        <f t="shared" si="192"/>
        <v>-</v>
      </c>
      <c r="BE178" s="13" t="str">
        <f t="shared" si="193"/>
        <v>-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</row>
    <row r="179" spans="2:70" x14ac:dyDescent="0.3">
      <c r="B179" s="96" t="str">
        <f t="shared" si="172"/>
        <v/>
      </c>
      <c r="C179" s="96" t="str">
        <f t="shared" si="173"/>
        <v/>
      </c>
      <c r="D179" s="96" t="str">
        <f t="shared" si="174"/>
        <v/>
      </c>
      <c r="E179" s="3"/>
      <c r="F179" s="3"/>
      <c r="G179" s="3"/>
      <c r="H179" s="3"/>
      <c r="I179" s="20">
        <f>IFERROR(INDEX('Input - US Food'!G$2:G$200,MATCH('Calculations - US Food'!$D179,'Input - US Food'!$B$2:$B$200,0)),"")</f>
        <v>0</v>
      </c>
      <c r="J179" s="20">
        <f>IFERROR(INDEX('Input - US Food'!H$2:H$200,MATCH('Calculations - US Food'!$D179,'Input - US Food'!$B$2:$B$200,0)),"")</f>
        <v>0</v>
      </c>
      <c r="K179" s="21">
        <f>IFERROR(INDEX('Input - US Food'!I$2:I$200,MATCH('Calculations - US Food'!$D179,'Input - US Food'!$B$2:$B$200,0)),"")</f>
        <v>0</v>
      </c>
      <c r="L179" s="21">
        <f>IFERROR(INDEX('Input - US Food'!J$2:J$200,MATCH('Calculations - US Food'!$D179,'Input - US Food'!$B$2:$B$200,0)),"")</f>
        <v>0</v>
      </c>
      <c r="M179" s="20">
        <f>IFERROR(INDEX('Input - US Food'!K$2:K$200,MATCH('Calculations - US Food'!$D179,'Input - US Food'!$B$2:$B$200,0)),"")</f>
        <v>6055363851.4215012</v>
      </c>
      <c r="N179" s="20">
        <f>IFERROR(INDEX('Input - US Food'!L$2:L$200,MATCH('Calculations - US Food'!$D179,'Input - US Food'!$B$2:$B$200,0)),"")</f>
        <v>1982155918.8720999</v>
      </c>
      <c r="O179" s="21" t="str">
        <f t="shared" si="175"/>
        <v/>
      </c>
      <c r="P179" s="21">
        <f t="shared" si="157"/>
        <v>3.0549382083257943</v>
      </c>
      <c r="Q179" s="21">
        <f t="shared" si="176"/>
        <v>0</v>
      </c>
      <c r="R179" s="9">
        <f t="shared" si="158"/>
        <v>0</v>
      </c>
      <c r="S179" s="9">
        <f t="shared" si="159"/>
        <v>0</v>
      </c>
      <c r="T179" s="22" t="str">
        <f>IFERROR(INDEX('US Food'!$S$11:$S$197,MATCH('Calculations - US Food'!$D179,'US Food'!$N$11:$N$197,0)),"")</f>
        <v/>
      </c>
      <c r="U179" s="22" t="str">
        <f>IFERROR(INDEX('US Food'!$T$11:$T$197,MATCH('Calculations - US Food'!$D179,'US Food'!$N$11:$N$197,0)),"")</f>
        <v/>
      </c>
      <c r="V179" s="16" t="e">
        <f t="shared" si="160"/>
        <v>#VALUE!</v>
      </c>
      <c r="W179" s="16" t="e">
        <f t="shared" si="177"/>
        <v>#VALUE!</v>
      </c>
      <c r="X179" s="16" t="e">
        <f t="shared" si="178"/>
        <v>#VALUE!</v>
      </c>
      <c r="Y179" s="10" t="str">
        <f t="shared" si="161"/>
        <v>-</v>
      </c>
      <c r="Z179" s="10" t="str">
        <f t="shared" si="162"/>
        <v>-</v>
      </c>
      <c r="AA179" s="13" t="str">
        <f t="shared" si="179"/>
        <v>-</v>
      </c>
      <c r="AB179" s="9" t="str">
        <f t="shared" si="163"/>
        <v>-</v>
      </c>
      <c r="AC179" s="16" t="str">
        <f t="shared" si="180"/>
        <v>-</v>
      </c>
      <c r="AD179" s="16" t="str">
        <f t="shared" si="164"/>
        <v>-</v>
      </c>
      <c r="AE179" s="16" t="str">
        <f t="shared" si="165"/>
        <v>-</v>
      </c>
      <c r="AF179" s="16" t="str">
        <f t="shared" si="181"/>
        <v>-</v>
      </c>
      <c r="AG179" s="16"/>
      <c r="AH179" s="32" t="str">
        <f>IFERROR(INDEX('US Food'!$R$11:$R$197,MATCH('Calculations - US Food'!D179,'US Food'!$N$11:$N$197,0)),"")</f>
        <v/>
      </c>
      <c r="AI179" s="23" t="str">
        <f t="shared" si="182"/>
        <v/>
      </c>
      <c r="AJ179" s="23" t="str">
        <f t="shared" si="183"/>
        <v/>
      </c>
      <c r="AK179" s="9" t="str">
        <f t="shared" si="166"/>
        <v/>
      </c>
      <c r="AL179" s="4" t="str">
        <f t="shared" si="167"/>
        <v/>
      </c>
      <c r="AM179" s="4"/>
      <c r="AN179" s="4"/>
      <c r="AO179" s="4"/>
      <c r="AP179" s="4"/>
      <c r="AQ179" s="4"/>
      <c r="AR179" s="20" t="str">
        <f t="shared" si="168"/>
        <v>-</v>
      </c>
      <c r="AS179" s="13" t="str">
        <f t="shared" si="184"/>
        <v>-</v>
      </c>
      <c r="AT179" s="13" t="str">
        <f t="shared" si="185"/>
        <v>-</v>
      </c>
      <c r="AU179" s="13" t="str">
        <f t="shared" si="169"/>
        <v>-</v>
      </c>
      <c r="AV179" s="16" t="str">
        <f t="shared" si="186"/>
        <v>-</v>
      </c>
      <c r="AW179" s="16" t="str">
        <f t="shared" si="170"/>
        <v>-</v>
      </c>
      <c r="AX179" s="16" t="str">
        <f t="shared" si="171"/>
        <v>-</v>
      </c>
      <c r="AY179" s="16" t="str">
        <f t="shared" si="187"/>
        <v>-</v>
      </c>
      <c r="AZ179" s="13" t="str">
        <f t="shared" si="188"/>
        <v>-</v>
      </c>
      <c r="BA179" s="10" t="str">
        <f t="shared" si="189"/>
        <v>-</v>
      </c>
      <c r="BB179" s="9" t="str">
        <f t="shared" si="190"/>
        <v>-</v>
      </c>
      <c r="BC179" s="13" t="str">
        <f t="shared" si="191"/>
        <v>-</v>
      </c>
      <c r="BD179" s="10" t="str">
        <f t="shared" si="192"/>
        <v>-</v>
      </c>
      <c r="BE179" s="13" t="str">
        <f t="shared" si="193"/>
        <v>-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</row>
    <row r="180" spans="2:70" x14ac:dyDescent="0.3">
      <c r="B180" s="96" t="str">
        <f t="shared" si="172"/>
        <v/>
      </c>
      <c r="C180" s="96" t="str">
        <f t="shared" si="173"/>
        <v/>
      </c>
      <c r="D180" s="96" t="str">
        <f t="shared" si="174"/>
        <v/>
      </c>
      <c r="E180" s="3"/>
      <c r="F180" s="3"/>
      <c r="G180" s="3"/>
      <c r="H180" s="3"/>
      <c r="I180" s="20">
        <f>IFERROR(INDEX('Input - US Food'!G$2:G$200,MATCH('Calculations - US Food'!$D180,'Input - US Food'!$B$2:$B$200,0)),"")</f>
        <v>0</v>
      </c>
      <c r="J180" s="20">
        <f>IFERROR(INDEX('Input - US Food'!H$2:H$200,MATCH('Calculations - US Food'!$D180,'Input - US Food'!$B$2:$B$200,0)),"")</f>
        <v>0</v>
      </c>
      <c r="K180" s="21">
        <f>IFERROR(INDEX('Input - US Food'!I$2:I$200,MATCH('Calculations - US Food'!$D180,'Input - US Food'!$B$2:$B$200,0)),"")</f>
        <v>0</v>
      </c>
      <c r="L180" s="21">
        <f>IFERROR(INDEX('Input - US Food'!J$2:J$200,MATCH('Calculations - US Food'!$D180,'Input - US Food'!$B$2:$B$200,0)),"")</f>
        <v>0</v>
      </c>
      <c r="M180" s="20">
        <f>IFERROR(INDEX('Input - US Food'!K$2:K$200,MATCH('Calculations - US Food'!$D180,'Input - US Food'!$B$2:$B$200,0)),"")</f>
        <v>6055363851.4215012</v>
      </c>
      <c r="N180" s="20">
        <f>IFERROR(INDEX('Input - US Food'!L$2:L$200,MATCH('Calculations - US Food'!$D180,'Input - US Food'!$B$2:$B$200,0)),"")</f>
        <v>1982155918.8720999</v>
      </c>
      <c r="O180" s="21" t="str">
        <f t="shared" si="175"/>
        <v/>
      </c>
      <c r="P180" s="21">
        <f t="shared" si="157"/>
        <v>3.0549382083257943</v>
      </c>
      <c r="Q180" s="21">
        <f t="shared" si="176"/>
        <v>0</v>
      </c>
      <c r="R180" s="9">
        <f t="shared" si="158"/>
        <v>0</v>
      </c>
      <c r="S180" s="9">
        <f t="shared" si="159"/>
        <v>0</v>
      </c>
      <c r="T180" s="22" t="str">
        <f>IFERROR(INDEX('US Food'!$S$11:$S$197,MATCH('Calculations - US Food'!$D180,'US Food'!$N$11:$N$197,0)),"")</f>
        <v/>
      </c>
      <c r="U180" s="22" t="str">
        <f>IFERROR(INDEX('US Food'!$T$11:$T$197,MATCH('Calculations - US Food'!$D180,'US Food'!$N$11:$N$197,0)),"")</f>
        <v/>
      </c>
      <c r="V180" s="16" t="e">
        <f t="shared" si="160"/>
        <v>#VALUE!</v>
      </c>
      <c r="W180" s="16" t="e">
        <f t="shared" si="177"/>
        <v>#VALUE!</v>
      </c>
      <c r="X180" s="16" t="e">
        <f t="shared" si="178"/>
        <v>#VALUE!</v>
      </c>
      <c r="Y180" s="10" t="str">
        <f t="shared" si="161"/>
        <v>-</v>
      </c>
      <c r="Z180" s="10" t="str">
        <f t="shared" si="162"/>
        <v>-</v>
      </c>
      <c r="AA180" s="13" t="str">
        <f t="shared" si="179"/>
        <v>-</v>
      </c>
      <c r="AB180" s="9" t="str">
        <f t="shared" si="163"/>
        <v>-</v>
      </c>
      <c r="AC180" s="16" t="str">
        <f t="shared" si="180"/>
        <v>-</v>
      </c>
      <c r="AD180" s="16" t="str">
        <f t="shared" si="164"/>
        <v>-</v>
      </c>
      <c r="AE180" s="16" t="str">
        <f t="shared" si="165"/>
        <v>-</v>
      </c>
      <c r="AF180" s="16" t="str">
        <f t="shared" si="181"/>
        <v>-</v>
      </c>
      <c r="AG180" s="16"/>
      <c r="AH180" s="32" t="str">
        <f>IFERROR(INDEX('US Food'!$R$11:$R$197,MATCH('Calculations - US Food'!D180,'US Food'!$N$11:$N$197,0)),"")</f>
        <v/>
      </c>
      <c r="AI180" s="23" t="str">
        <f t="shared" si="182"/>
        <v/>
      </c>
      <c r="AJ180" s="23" t="str">
        <f t="shared" si="183"/>
        <v/>
      </c>
      <c r="AK180" s="9" t="str">
        <f t="shared" si="166"/>
        <v/>
      </c>
      <c r="AL180" s="4" t="str">
        <f t="shared" si="167"/>
        <v/>
      </c>
      <c r="AM180" s="4"/>
      <c r="AN180" s="4"/>
      <c r="AO180" s="4"/>
      <c r="AP180" s="4"/>
      <c r="AQ180" s="4"/>
      <c r="AR180" s="20" t="str">
        <f t="shared" si="168"/>
        <v>-</v>
      </c>
      <c r="AS180" s="13" t="str">
        <f t="shared" si="184"/>
        <v>-</v>
      </c>
      <c r="AT180" s="13" t="str">
        <f t="shared" si="185"/>
        <v>-</v>
      </c>
      <c r="AU180" s="13" t="str">
        <f t="shared" si="169"/>
        <v>-</v>
      </c>
      <c r="AV180" s="16" t="str">
        <f t="shared" si="186"/>
        <v>-</v>
      </c>
      <c r="AW180" s="16" t="str">
        <f t="shared" si="170"/>
        <v>-</v>
      </c>
      <c r="AX180" s="16" t="str">
        <f t="shared" si="171"/>
        <v>-</v>
      </c>
      <c r="AY180" s="16" t="str">
        <f t="shared" si="187"/>
        <v>-</v>
      </c>
      <c r="AZ180" s="13" t="str">
        <f t="shared" si="188"/>
        <v>-</v>
      </c>
      <c r="BA180" s="10" t="str">
        <f t="shared" si="189"/>
        <v>-</v>
      </c>
      <c r="BB180" s="9" t="str">
        <f t="shared" si="190"/>
        <v>-</v>
      </c>
      <c r="BC180" s="13" t="str">
        <f t="shared" si="191"/>
        <v>-</v>
      </c>
      <c r="BD180" s="10" t="str">
        <f t="shared" si="192"/>
        <v>-</v>
      </c>
      <c r="BE180" s="13" t="str">
        <f t="shared" si="193"/>
        <v>-</v>
      </c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</row>
    <row r="181" spans="2:70" x14ac:dyDescent="0.3">
      <c r="B181" s="96" t="str">
        <f t="shared" si="172"/>
        <v/>
      </c>
      <c r="C181" s="96" t="str">
        <f t="shared" si="173"/>
        <v/>
      </c>
      <c r="D181" s="96" t="str">
        <f t="shared" si="174"/>
        <v/>
      </c>
      <c r="E181" s="3"/>
      <c r="F181" s="3"/>
      <c r="G181" s="3"/>
      <c r="H181" s="3"/>
      <c r="I181" s="20">
        <f>IFERROR(INDEX('Input - US Food'!G$2:G$200,MATCH('Calculations - US Food'!$D181,'Input - US Food'!$B$2:$B$200,0)),"")</f>
        <v>0</v>
      </c>
      <c r="J181" s="20">
        <f>IFERROR(INDEX('Input - US Food'!H$2:H$200,MATCH('Calculations - US Food'!$D181,'Input - US Food'!$B$2:$B$200,0)),"")</f>
        <v>0</v>
      </c>
      <c r="K181" s="21">
        <f>IFERROR(INDEX('Input - US Food'!I$2:I$200,MATCH('Calculations - US Food'!$D181,'Input - US Food'!$B$2:$B$200,0)),"")</f>
        <v>0</v>
      </c>
      <c r="L181" s="21">
        <f>IFERROR(INDEX('Input - US Food'!J$2:J$200,MATCH('Calculations - US Food'!$D181,'Input - US Food'!$B$2:$B$200,0)),"")</f>
        <v>0</v>
      </c>
      <c r="M181" s="20">
        <f>IFERROR(INDEX('Input - US Food'!K$2:K$200,MATCH('Calculations - US Food'!$D181,'Input - US Food'!$B$2:$B$200,0)),"")</f>
        <v>6055363851.4215012</v>
      </c>
      <c r="N181" s="20">
        <f>IFERROR(INDEX('Input - US Food'!L$2:L$200,MATCH('Calculations - US Food'!$D181,'Input - US Food'!$B$2:$B$200,0)),"")</f>
        <v>1982155918.8720999</v>
      </c>
      <c r="O181" s="21" t="str">
        <f t="shared" si="175"/>
        <v/>
      </c>
      <c r="P181" s="21">
        <f t="shared" si="157"/>
        <v>3.0549382083257943</v>
      </c>
      <c r="Q181" s="21">
        <f t="shared" si="176"/>
        <v>0</v>
      </c>
      <c r="R181" s="9">
        <f t="shared" si="158"/>
        <v>0</v>
      </c>
      <c r="S181" s="9">
        <f t="shared" si="159"/>
        <v>0</v>
      </c>
      <c r="T181" s="22" t="str">
        <f>IFERROR(INDEX('US Food'!$S$11:$S$197,MATCH('Calculations - US Food'!$D181,'US Food'!$N$11:$N$197,0)),"")</f>
        <v/>
      </c>
      <c r="U181" s="22" t="str">
        <f>IFERROR(INDEX('US Food'!$T$11:$T$197,MATCH('Calculations - US Food'!$D181,'US Food'!$N$11:$N$197,0)),"")</f>
        <v/>
      </c>
      <c r="V181" s="16" t="e">
        <f t="shared" si="160"/>
        <v>#VALUE!</v>
      </c>
      <c r="W181" s="16" t="e">
        <f t="shared" si="177"/>
        <v>#VALUE!</v>
      </c>
      <c r="X181" s="16" t="e">
        <f t="shared" si="178"/>
        <v>#VALUE!</v>
      </c>
      <c r="Y181" s="10" t="str">
        <f t="shared" si="161"/>
        <v>-</v>
      </c>
      <c r="Z181" s="10" t="str">
        <f t="shared" si="162"/>
        <v>-</v>
      </c>
      <c r="AA181" s="13" t="str">
        <f t="shared" si="179"/>
        <v>-</v>
      </c>
      <c r="AB181" s="9" t="str">
        <f t="shared" si="163"/>
        <v>-</v>
      </c>
      <c r="AC181" s="16" t="str">
        <f t="shared" si="180"/>
        <v>-</v>
      </c>
      <c r="AD181" s="16" t="str">
        <f t="shared" si="164"/>
        <v>-</v>
      </c>
      <c r="AE181" s="16" t="str">
        <f t="shared" si="165"/>
        <v>-</v>
      </c>
      <c r="AF181" s="16" t="str">
        <f t="shared" si="181"/>
        <v>-</v>
      </c>
      <c r="AG181" s="16"/>
      <c r="AH181" s="32" t="str">
        <f>IFERROR(INDEX('US Food'!$R$11:$R$197,MATCH('Calculations - US Food'!D181,'US Food'!$N$11:$N$197,0)),"")</f>
        <v/>
      </c>
      <c r="AI181" s="23" t="str">
        <f t="shared" si="182"/>
        <v/>
      </c>
      <c r="AJ181" s="23" t="str">
        <f t="shared" si="183"/>
        <v/>
      </c>
      <c r="AK181" s="9" t="str">
        <f t="shared" si="166"/>
        <v/>
      </c>
      <c r="AL181" s="4" t="str">
        <f t="shared" si="167"/>
        <v/>
      </c>
      <c r="AM181" s="4"/>
      <c r="AN181" s="4"/>
      <c r="AO181" s="4"/>
      <c r="AP181" s="4"/>
      <c r="AQ181" s="4"/>
      <c r="AR181" s="20" t="str">
        <f t="shared" si="168"/>
        <v>-</v>
      </c>
      <c r="AS181" s="13" t="str">
        <f t="shared" si="184"/>
        <v>-</v>
      </c>
      <c r="AT181" s="13" t="str">
        <f t="shared" si="185"/>
        <v>-</v>
      </c>
      <c r="AU181" s="13" t="str">
        <f t="shared" si="169"/>
        <v>-</v>
      </c>
      <c r="AV181" s="16" t="str">
        <f t="shared" si="186"/>
        <v>-</v>
      </c>
      <c r="AW181" s="16" t="str">
        <f t="shared" si="170"/>
        <v>-</v>
      </c>
      <c r="AX181" s="16" t="str">
        <f t="shared" si="171"/>
        <v>-</v>
      </c>
      <c r="AY181" s="16" t="str">
        <f t="shared" si="187"/>
        <v>-</v>
      </c>
      <c r="AZ181" s="13" t="str">
        <f t="shared" si="188"/>
        <v>-</v>
      </c>
      <c r="BA181" s="10" t="str">
        <f t="shared" si="189"/>
        <v>-</v>
      </c>
      <c r="BB181" s="9" t="str">
        <f t="shared" si="190"/>
        <v>-</v>
      </c>
      <c r="BC181" s="13" t="str">
        <f t="shared" si="191"/>
        <v>-</v>
      </c>
      <c r="BD181" s="10" t="str">
        <f t="shared" si="192"/>
        <v>-</v>
      </c>
      <c r="BE181" s="13" t="str">
        <f t="shared" si="193"/>
        <v>-</v>
      </c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</row>
    <row r="182" spans="2:70" x14ac:dyDescent="0.3">
      <c r="B182" s="96" t="str">
        <f t="shared" si="172"/>
        <v/>
      </c>
      <c r="C182" s="96" t="str">
        <f t="shared" si="173"/>
        <v/>
      </c>
      <c r="D182" s="96" t="str">
        <f t="shared" si="174"/>
        <v/>
      </c>
      <c r="E182" s="3"/>
      <c r="F182" s="3"/>
      <c r="G182" s="3"/>
      <c r="H182" s="3"/>
      <c r="I182" s="20">
        <f>IFERROR(INDEX('Input - US Food'!G$2:G$200,MATCH('Calculations - US Food'!$D182,'Input - US Food'!$B$2:$B$200,0)),"")</f>
        <v>0</v>
      </c>
      <c r="J182" s="20">
        <f>IFERROR(INDEX('Input - US Food'!H$2:H$200,MATCH('Calculations - US Food'!$D182,'Input - US Food'!$B$2:$B$200,0)),"")</f>
        <v>0</v>
      </c>
      <c r="K182" s="21">
        <f>IFERROR(INDEX('Input - US Food'!I$2:I$200,MATCH('Calculations - US Food'!$D182,'Input - US Food'!$B$2:$B$200,0)),"")</f>
        <v>0</v>
      </c>
      <c r="L182" s="21">
        <f>IFERROR(INDEX('Input - US Food'!J$2:J$200,MATCH('Calculations - US Food'!$D182,'Input - US Food'!$B$2:$B$200,0)),"")</f>
        <v>0</v>
      </c>
      <c r="M182" s="20">
        <f>IFERROR(INDEX('Input - US Food'!K$2:K$200,MATCH('Calculations - US Food'!$D182,'Input - US Food'!$B$2:$B$200,0)),"")</f>
        <v>6055363851.4215012</v>
      </c>
      <c r="N182" s="20">
        <f>IFERROR(INDEX('Input - US Food'!L$2:L$200,MATCH('Calculations - US Food'!$D182,'Input - US Food'!$B$2:$B$200,0)),"")</f>
        <v>1982155918.8720999</v>
      </c>
      <c r="O182" s="21" t="str">
        <f t="shared" si="175"/>
        <v/>
      </c>
      <c r="P182" s="21">
        <f t="shared" si="157"/>
        <v>3.0549382083257943</v>
      </c>
      <c r="Q182" s="21">
        <f t="shared" si="176"/>
        <v>0</v>
      </c>
      <c r="R182" s="9">
        <f t="shared" si="158"/>
        <v>0</v>
      </c>
      <c r="S182" s="9">
        <f t="shared" si="159"/>
        <v>0</v>
      </c>
      <c r="T182" s="22" t="str">
        <f>IFERROR(INDEX('US Food'!$S$11:$S$197,MATCH('Calculations - US Food'!$D182,'US Food'!$N$11:$N$197,0)),"")</f>
        <v/>
      </c>
      <c r="U182" s="22" t="str">
        <f>IFERROR(INDEX('US Food'!$T$11:$T$197,MATCH('Calculations - US Food'!$D182,'US Food'!$N$11:$N$197,0)),"")</f>
        <v/>
      </c>
      <c r="V182" s="16" t="e">
        <f t="shared" si="160"/>
        <v>#VALUE!</v>
      </c>
      <c r="W182" s="16" t="e">
        <f t="shared" si="177"/>
        <v>#VALUE!</v>
      </c>
      <c r="X182" s="16" t="e">
        <f t="shared" si="178"/>
        <v>#VALUE!</v>
      </c>
      <c r="Y182" s="10" t="str">
        <f t="shared" si="161"/>
        <v>-</v>
      </c>
      <c r="Z182" s="10" t="str">
        <f t="shared" si="162"/>
        <v>-</v>
      </c>
      <c r="AA182" s="13" t="str">
        <f t="shared" si="179"/>
        <v>-</v>
      </c>
      <c r="AB182" s="9" t="str">
        <f t="shared" si="163"/>
        <v>-</v>
      </c>
      <c r="AC182" s="16" t="str">
        <f t="shared" si="180"/>
        <v>-</v>
      </c>
      <c r="AD182" s="16" t="str">
        <f t="shared" si="164"/>
        <v>-</v>
      </c>
      <c r="AE182" s="16" t="str">
        <f t="shared" si="165"/>
        <v>-</v>
      </c>
      <c r="AF182" s="16" t="str">
        <f t="shared" si="181"/>
        <v>-</v>
      </c>
      <c r="AG182" s="16"/>
      <c r="AH182" s="32" t="str">
        <f>IFERROR(INDEX('US Food'!$R$11:$R$197,MATCH('Calculations - US Food'!D182,'US Food'!$N$11:$N$197,0)),"")</f>
        <v/>
      </c>
      <c r="AI182" s="23" t="str">
        <f t="shared" si="182"/>
        <v/>
      </c>
      <c r="AJ182" s="23" t="str">
        <f t="shared" si="183"/>
        <v/>
      </c>
      <c r="AK182" s="9" t="str">
        <f t="shared" si="166"/>
        <v/>
      </c>
      <c r="AL182" s="4" t="str">
        <f t="shared" si="167"/>
        <v/>
      </c>
      <c r="AM182" s="4"/>
      <c r="AN182" s="4"/>
      <c r="AO182" s="4"/>
      <c r="AP182" s="4"/>
      <c r="AQ182" s="4"/>
      <c r="AR182" s="20" t="str">
        <f t="shared" si="168"/>
        <v>-</v>
      </c>
      <c r="AS182" s="13" t="str">
        <f t="shared" si="184"/>
        <v>-</v>
      </c>
      <c r="AT182" s="13" t="str">
        <f t="shared" si="185"/>
        <v>-</v>
      </c>
      <c r="AU182" s="13" t="str">
        <f t="shared" si="169"/>
        <v>-</v>
      </c>
      <c r="AV182" s="16" t="str">
        <f t="shared" si="186"/>
        <v>-</v>
      </c>
      <c r="AW182" s="16" t="str">
        <f t="shared" si="170"/>
        <v>-</v>
      </c>
      <c r="AX182" s="16" t="str">
        <f t="shared" si="171"/>
        <v>-</v>
      </c>
      <c r="AY182" s="16" t="str">
        <f t="shared" si="187"/>
        <v>-</v>
      </c>
      <c r="AZ182" s="13" t="str">
        <f t="shared" si="188"/>
        <v>-</v>
      </c>
      <c r="BA182" s="10" t="str">
        <f t="shared" si="189"/>
        <v>-</v>
      </c>
      <c r="BB182" s="9" t="str">
        <f t="shared" si="190"/>
        <v>-</v>
      </c>
      <c r="BC182" s="13" t="str">
        <f t="shared" si="191"/>
        <v>-</v>
      </c>
      <c r="BD182" s="10" t="str">
        <f t="shared" si="192"/>
        <v>-</v>
      </c>
      <c r="BE182" s="13" t="str">
        <f t="shared" si="193"/>
        <v>-</v>
      </c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</row>
    <row r="183" spans="2:70" x14ac:dyDescent="0.3">
      <c r="B183" s="96" t="str">
        <f t="shared" si="172"/>
        <v/>
      </c>
      <c r="C183" s="96" t="str">
        <f t="shared" si="173"/>
        <v/>
      </c>
      <c r="D183" s="96" t="str">
        <f t="shared" si="174"/>
        <v/>
      </c>
      <c r="E183" s="3"/>
      <c r="F183" s="3"/>
      <c r="G183" s="3"/>
      <c r="H183" s="3"/>
      <c r="I183" s="20">
        <f>IFERROR(INDEX('Input - US Food'!G$2:G$200,MATCH('Calculations - US Food'!$D183,'Input - US Food'!$B$2:$B$200,0)),"")</f>
        <v>0</v>
      </c>
      <c r="J183" s="20">
        <f>IFERROR(INDEX('Input - US Food'!H$2:H$200,MATCH('Calculations - US Food'!$D183,'Input - US Food'!$B$2:$B$200,0)),"")</f>
        <v>0</v>
      </c>
      <c r="K183" s="21">
        <f>IFERROR(INDEX('Input - US Food'!I$2:I$200,MATCH('Calculations - US Food'!$D183,'Input - US Food'!$B$2:$B$200,0)),"")</f>
        <v>0</v>
      </c>
      <c r="L183" s="21">
        <f>IFERROR(INDEX('Input - US Food'!J$2:J$200,MATCH('Calculations - US Food'!$D183,'Input - US Food'!$B$2:$B$200,0)),"")</f>
        <v>0</v>
      </c>
      <c r="M183" s="20">
        <f>IFERROR(INDEX('Input - US Food'!K$2:K$200,MATCH('Calculations - US Food'!$D183,'Input - US Food'!$B$2:$B$200,0)),"")</f>
        <v>6055363851.4215012</v>
      </c>
      <c r="N183" s="20">
        <f>IFERROR(INDEX('Input - US Food'!L$2:L$200,MATCH('Calculations - US Food'!$D183,'Input - US Food'!$B$2:$B$200,0)),"")</f>
        <v>1982155918.8720999</v>
      </c>
      <c r="O183" s="21" t="str">
        <f t="shared" si="175"/>
        <v/>
      </c>
      <c r="P183" s="21">
        <f t="shared" si="157"/>
        <v>3.0549382083257943</v>
      </c>
      <c r="Q183" s="21">
        <f t="shared" si="176"/>
        <v>0</v>
      </c>
      <c r="R183" s="9">
        <f t="shared" si="158"/>
        <v>0</v>
      </c>
      <c r="S183" s="9">
        <f t="shared" si="159"/>
        <v>0</v>
      </c>
      <c r="T183" s="22" t="str">
        <f>IFERROR(INDEX('US Food'!$S$11:$S$197,MATCH('Calculations - US Food'!$D183,'US Food'!$N$11:$N$197,0)),"")</f>
        <v/>
      </c>
      <c r="U183" s="22" t="str">
        <f>IFERROR(INDEX('US Food'!$T$11:$T$197,MATCH('Calculations - US Food'!$D183,'US Food'!$N$11:$N$197,0)),"")</f>
        <v/>
      </c>
      <c r="V183" s="16" t="e">
        <f t="shared" si="160"/>
        <v>#VALUE!</v>
      </c>
      <c r="W183" s="16" t="e">
        <f t="shared" si="177"/>
        <v>#VALUE!</v>
      </c>
      <c r="X183" s="16" t="e">
        <f t="shared" si="178"/>
        <v>#VALUE!</v>
      </c>
      <c r="Y183" s="10" t="str">
        <f t="shared" si="161"/>
        <v>-</v>
      </c>
      <c r="Z183" s="10" t="str">
        <f t="shared" si="162"/>
        <v>-</v>
      </c>
      <c r="AA183" s="13" t="str">
        <f t="shared" si="179"/>
        <v>-</v>
      </c>
      <c r="AB183" s="9" t="str">
        <f t="shared" si="163"/>
        <v>-</v>
      </c>
      <c r="AC183" s="16" t="str">
        <f t="shared" si="180"/>
        <v>-</v>
      </c>
      <c r="AD183" s="16" t="str">
        <f t="shared" si="164"/>
        <v>-</v>
      </c>
      <c r="AE183" s="16" t="str">
        <f t="shared" si="165"/>
        <v>-</v>
      </c>
      <c r="AF183" s="16" t="str">
        <f t="shared" si="181"/>
        <v>-</v>
      </c>
      <c r="AG183" s="16"/>
      <c r="AH183" s="32" t="str">
        <f>IFERROR(INDEX('US Food'!$R$11:$R$197,MATCH('Calculations - US Food'!D183,'US Food'!$N$11:$N$197,0)),"")</f>
        <v/>
      </c>
      <c r="AI183" s="23" t="str">
        <f t="shared" si="182"/>
        <v/>
      </c>
      <c r="AJ183" s="23" t="str">
        <f t="shared" si="183"/>
        <v/>
      </c>
      <c r="AK183" s="9" t="str">
        <f t="shared" si="166"/>
        <v/>
      </c>
      <c r="AL183" s="4" t="str">
        <f t="shared" si="167"/>
        <v/>
      </c>
      <c r="AM183" s="4"/>
      <c r="AN183" s="4"/>
      <c r="AO183" s="4"/>
      <c r="AP183" s="4"/>
      <c r="AQ183" s="4"/>
      <c r="AR183" s="20" t="str">
        <f t="shared" si="168"/>
        <v>-</v>
      </c>
      <c r="AS183" s="13" t="str">
        <f t="shared" si="184"/>
        <v>-</v>
      </c>
      <c r="AT183" s="13" t="str">
        <f t="shared" si="185"/>
        <v>-</v>
      </c>
      <c r="AU183" s="13" t="str">
        <f t="shared" si="169"/>
        <v>-</v>
      </c>
      <c r="AV183" s="16" t="str">
        <f t="shared" si="186"/>
        <v>-</v>
      </c>
      <c r="AW183" s="16" t="str">
        <f t="shared" si="170"/>
        <v>-</v>
      </c>
      <c r="AX183" s="16" t="str">
        <f t="shared" si="171"/>
        <v>-</v>
      </c>
      <c r="AY183" s="16" t="str">
        <f t="shared" si="187"/>
        <v>-</v>
      </c>
      <c r="AZ183" s="13" t="str">
        <f t="shared" si="188"/>
        <v>-</v>
      </c>
      <c r="BA183" s="10" t="str">
        <f t="shared" si="189"/>
        <v>-</v>
      </c>
      <c r="BB183" s="9" t="str">
        <f t="shared" si="190"/>
        <v>-</v>
      </c>
      <c r="BC183" s="13" t="str">
        <f t="shared" si="191"/>
        <v>-</v>
      </c>
      <c r="BD183" s="10" t="str">
        <f t="shared" si="192"/>
        <v>-</v>
      </c>
      <c r="BE183" s="13" t="str">
        <f t="shared" si="193"/>
        <v>-</v>
      </c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</row>
    <row r="184" spans="2:70" x14ac:dyDescent="0.3">
      <c r="B184" s="96" t="str">
        <f t="shared" si="172"/>
        <v/>
      </c>
      <c r="C184" s="96" t="str">
        <f t="shared" si="173"/>
        <v/>
      </c>
      <c r="D184" s="96" t="str">
        <f t="shared" si="174"/>
        <v/>
      </c>
      <c r="E184" s="3"/>
      <c r="F184" s="3"/>
      <c r="G184" s="3"/>
      <c r="H184" s="3"/>
      <c r="I184" s="20">
        <f>IFERROR(INDEX('Input - US Food'!G$2:G$200,MATCH('Calculations - US Food'!$D184,'Input - US Food'!$B$2:$B$200,0)),"")</f>
        <v>0</v>
      </c>
      <c r="J184" s="20">
        <f>IFERROR(INDEX('Input - US Food'!H$2:H$200,MATCH('Calculations - US Food'!$D184,'Input - US Food'!$B$2:$B$200,0)),"")</f>
        <v>0</v>
      </c>
      <c r="K184" s="21">
        <f>IFERROR(INDEX('Input - US Food'!I$2:I$200,MATCH('Calculations - US Food'!$D184,'Input - US Food'!$B$2:$B$200,0)),"")</f>
        <v>0</v>
      </c>
      <c r="L184" s="21">
        <f>IFERROR(INDEX('Input - US Food'!J$2:J$200,MATCH('Calculations - US Food'!$D184,'Input - US Food'!$B$2:$B$200,0)),"")</f>
        <v>0</v>
      </c>
      <c r="M184" s="20">
        <f>IFERROR(INDEX('Input - US Food'!K$2:K$200,MATCH('Calculations - US Food'!$D184,'Input - US Food'!$B$2:$B$200,0)),"")</f>
        <v>6055363851.4215012</v>
      </c>
      <c r="N184" s="20">
        <f>IFERROR(INDEX('Input - US Food'!L$2:L$200,MATCH('Calculations - US Food'!$D184,'Input - US Food'!$B$2:$B$200,0)),"")</f>
        <v>1982155918.8720999</v>
      </c>
      <c r="O184" s="21" t="str">
        <f t="shared" si="175"/>
        <v/>
      </c>
      <c r="P184" s="21">
        <f t="shared" si="157"/>
        <v>3.0549382083257943</v>
      </c>
      <c r="Q184" s="21">
        <f t="shared" si="176"/>
        <v>0</v>
      </c>
      <c r="R184" s="9">
        <f t="shared" si="158"/>
        <v>0</v>
      </c>
      <c r="S184" s="9">
        <f t="shared" si="159"/>
        <v>0</v>
      </c>
      <c r="T184" s="22" t="str">
        <f>IFERROR(INDEX('US Food'!$S$11:$S$197,MATCH('Calculations - US Food'!$D184,'US Food'!$N$11:$N$197,0)),"")</f>
        <v/>
      </c>
      <c r="U184" s="22" t="str">
        <f>IFERROR(INDEX('US Food'!$T$11:$T$197,MATCH('Calculations - US Food'!$D184,'US Food'!$N$11:$N$197,0)),"")</f>
        <v/>
      </c>
      <c r="V184" s="16" t="e">
        <f t="shared" si="160"/>
        <v>#VALUE!</v>
      </c>
      <c r="W184" s="16" t="e">
        <f t="shared" si="177"/>
        <v>#VALUE!</v>
      </c>
      <c r="X184" s="16" t="e">
        <f t="shared" si="178"/>
        <v>#VALUE!</v>
      </c>
      <c r="Y184" s="10" t="str">
        <f t="shared" si="161"/>
        <v>-</v>
      </c>
      <c r="Z184" s="10" t="str">
        <f t="shared" si="162"/>
        <v>-</v>
      </c>
      <c r="AA184" s="13" t="str">
        <f t="shared" si="179"/>
        <v>-</v>
      </c>
      <c r="AB184" s="9" t="str">
        <f t="shared" si="163"/>
        <v>-</v>
      </c>
      <c r="AC184" s="16" t="str">
        <f t="shared" si="180"/>
        <v>-</v>
      </c>
      <c r="AD184" s="16" t="str">
        <f t="shared" si="164"/>
        <v>-</v>
      </c>
      <c r="AE184" s="16" t="str">
        <f t="shared" si="165"/>
        <v>-</v>
      </c>
      <c r="AF184" s="16" t="str">
        <f t="shared" si="181"/>
        <v>-</v>
      </c>
      <c r="AG184" s="16"/>
      <c r="AH184" s="32" t="str">
        <f>IFERROR(INDEX('US Food'!$R$11:$R$197,MATCH('Calculations - US Food'!D184,'US Food'!$N$11:$N$197,0)),"")</f>
        <v/>
      </c>
      <c r="AI184" s="23" t="str">
        <f t="shared" si="182"/>
        <v/>
      </c>
      <c r="AJ184" s="23" t="str">
        <f t="shared" si="183"/>
        <v/>
      </c>
      <c r="AK184" s="9" t="str">
        <f t="shared" si="166"/>
        <v/>
      </c>
      <c r="AL184" s="4" t="str">
        <f t="shared" si="167"/>
        <v/>
      </c>
      <c r="AM184" s="4"/>
      <c r="AN184" s="4"/>
      <c r="AO184" s="4"/>
      <c r="AP184" s="4"/>
      <c r="AQ184" s="4"/>
      <c r="AR184" s="20" t="str">
        <f t="shared" si="168"/>
        <v>-</v>
      </c>
      <c r="AS184" s="13" t="str">
        <f t="shared" si="184"/>
        <v>-</v>
      </c>
      <c r="AT184" s="13" t="str">
        <f t="shared" si="185"/>
        <v>-</v>
      </c>
      <c r="AU184" s="13" t="str">
        <f t="shared" si="169"/>
        <v>-</v>
      </c>
      <c r="AV184" s="16" t="str">
        <f t="shared" si="186"/>
        <v>-</v>
      </c>
      <c r="AW184" s="16" t="str">
        <f t="shared" si="170"/>
        <v>-</v>
      </c>
      <c r="AX184" s="16" t="str">
        <f t="shared" si="171"/>
        <v>-</v>
      </c>
      <c r="AY184" s="16" t="str">
        <f t="shared" si="187"/>
        <v>-</v>
      </c>
      <c r="AZ184" s="13" t="str">
        <f t="shared" si="188"/>
        <v>-</v>
      </c>
      <c r="BA184" s="10" t="str">
        <f t="shared" si="189"/>
        <v>-</v>
      </c>
      <c r="BB184" s="9" t="str">
        <f t="shared" si="190"/>
        <v>-</v>
      </c>
      <c r="BC184" s="13" t="str">
        <f t="shared" si="191"/>
        <v>-</v>
      </c>
      <c r="BD184" s="10" t="str">
        <f t="shared" si="192"/>
        <v>-</v>
      </c>
      <c r="BE184" s="13" t="str">
        <f t="shared" si="193"/>
        <v>-</v>
      </c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</row>
    <row r="185" spans="2:70" x14ac:dyDescent="0.3">
      <c r="B185" s="96" t="str">
        <f t="shared" si="172"/>
        <v/>
      </c>
      <c r="C185" s="96" t="str">
        <f t="shared" si="173"/>
        <v/>
      </c>
      <c r="D185" s="96" t="str">
        <f t="shared" si="174"/>
        <v/>
      </c>
      <c r="E185" s="3"/>
      <c r="F185" s="3"/>
      <c r="G185" s="3"/>
      <c r="H185" s="3"/>
      <c r="I185" s="20">
        <f>IFERROR(INDEX('Input - US Food'!G$2:G$200,MATCH('Calculations - US Food'!$D185,'Input - US Food'!$B$2:$B$200,0)),"")</f>
        <v>0</v>
      </c>
      <c r="J185" s="20">
        <f>IFERROR(INDEX('Input - US Food'!H$2:H$200,MATCH('Calculations - US Food'!$D185,'Input - US Food'!$B$2:$B$200,0)),"")</f>
        <v>0</v>
      </c>
      <c r="K185" s="21">
        <f>IFERROR(INDEX('Input - US Food'!I$2:I$200,MATCH('Calculations - US Food'!$D185,'Input - US Food'!$B$2:$B$200,0)),"")</f>
        <v>0</v>
      </c>
      <c r="L185" s="21">
        <f>IFERROR(INDEX('Input - US Food'!J$2:J$200,MATCH('Calculations - US Food'!$D185,'Input - US Food'!$B$2:$B$200,0)),"")</f>
        <v>0</v>
      </c>
      <c r="M185" s="20">
        <f>IFERROR(INDEX('Input - US Food'!K$2:K$200,MATCH('Calculations - US Food'!$D185,'Input - US Food'!$B$2:$B$200,0)),"")</f>
        <v>6055363851.4215012</v>
      </c>
      <c r="N185" s="20">
        <f>IFERROR(INDEX('Input - US Food'!L$2:L$200,MATCH('Calculations - US Food'!$D185,'Input - US Food'!$B$2:$B$200,0)),"")</f>
        <v>1982155918.8720999</v>
      </c>
      <c r="O185" s="21" t="str">
        <f t="shared" si="175"/>
        <v/>
      </c>
      <c r="P185" s="21">
        <f t="shared" si="157"/>
        <v>3.0549382083257943</v>
      </c>
      <c r="Q185" s="21">
        <f t="shared" si="176"/>
        <v>0</v>
      </c>
      <c r="R185" s="9">
        <f t="shared" si="158"/>
        <v>0</v>
      </c>
      <c r="S185" s="9">
        <f t="shared" si="159"/>
        <v>0</v>
      </c>
      <c r="T185" s="22" t="str">
        <f>IFERROR(INDEX('US Food'!$S$11:$S$197,MATCH('Calculations - US Food'!$D185,'US Food'!$N$11:$N$197,0)),"")</f>
        <v/>
      </c>
      <c r="U185" s="22" t="str">
        <f>IFERROR(INDEX('US Food'!$T$11:$T$197,MATCH('Calculations - US Food'!$D185,'US Food'!$N$11:$N$197,0)),"")</f>
        <v/>
      </c>
      <c r="V185" s="16" t="e">
        <f t="shared" si="160"/>
        <v>#VALUE!</v>
      </c>
      <c r="W185" s="16" t="e">
        <f t="shared" si="177"/>
        <v>#VALUE!</v>
      </c>
      <c r="X185" s="16" t="e">
        <f t="shared" si="178"/>
        <v>#VALUE!</v>
      </c>
      <c r="Y185" s="10" t="str">
        <f t="shared" si="161"/>
        <v>-</v>
      </c>
      <c r="Z185" s="10" t="str">
        <f t="shared" si="162"/>
        <v>-</v>
      </c>
      <c r="AA185" s="13" t="str">
        <f t="shared" si="179"/>
        <v>-</v>
      </c>
      <c r="AB185" s="9" t="str">
        <f t="shared" si="163"/>
        <v>-</v>
      </c>
      <c r="AC185" s="16" t="str">
        <f t="shared" si="180"/>
        <v>-</v>
      </c>
      <c r="AD185" s="16" t="str">
        <f t="shared" si="164"/>
        <v>-</v>
      </c>
      <c r="AE185" s="16" t="str">
        <f t="shared" si="165"/>
        <v>-</v>
      </c>
      <c r="AF185" s="16" t="str">
        <f t="shared" si="181"/>
        <v>-</v>
      </c>
      <c r="AG185" s="16"/>
      <c r="AH185" s="32" t="str">
        <f>IFERROR(INDEX('US Food'!$R$11:$R$197,MATCH('Calculations - US Food'!D185,'US Food'!$N$11:$N$197,0)),"")</f>
        <v/>
      </c>
      <c r="AI185" s="23" t="str">
        <f t="shared" si="182"/>
        <v/>
      </c>
      <c r="AJ185" s="23" t="str">
        <f t="shared" si="183"/>
        <v/>
      </c>
      <c r="AK185" s="9" t="str">
        <f t="shared" si="166"/>
        <v/>
      </c>
      <c r="AL185" s="4" t="str">
        <f t="shared" si="167"/>
        <v/>
      </c>
      <c r="AM185" s="4"/>
      <c r="AN185" s="4"/>
      <c r="AO185" s="4"/>
      <c r="AP185" s="4"/>
      <c r="AQ185" s="4"/>
      <c r="AR185" s="20" t="str">
        <f t="shared" si="168"/>
        <v>-</v>
      </c>
      <c r="AS185" s="13" t="str">
        <f t="shared" si="184"/>
        <v>-</v>
      </c>
      <c r="AT185" s="13" t="str">
        <f t="shared" si="185"/>
        <v>-</v>
      </c>
      <c r="AU185" s="13" t="str">
        <f t="shared" si="169"/>
        <v>-</v>
      </c>
      <c r="AV185" s="16" t="str">
        <f t="shared" si="186"/>
        <v>-</v>
      </c>
      <c r="AW185" s="16" t="str">
        <f t="shared" si="170"/>
        <v>-</v>
      </c>
      <c r="AX185" s="16" t="str">
        <f t="shared" si="171"/>
        <v>-</v>
      </c>
      <c r="AY185" s="16" t="str">
        <f t="shared" si="187"/>
        <v>-</v>
      </c>
      <c r="AZ185" s="13" t="str">
        <f t="shared" si="188"/>
        <v>-</v>
      </c>
      <c r="BA185" s="10" t="str">
        <f t="shared" si="189"/>
        <v>-</v>
      </c>
      <c r="BB185" s="9" t="str">
        <f t="shared" si="190"/>
        <v>-</v>
      </c>
      <c r="BC185" s="13" t="str">
        <f t="shared" si="191"/>
        <v>-</v>
      </c>
      <c r="BD185" s="10" t="str">
        <f t="shared" si="192"/>
        <v>-</v>
      </c>
      <c r="BE185" s="13" t="str">
        <f t="shared" si="193"/>
        <v>-</v>
      </c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</row>
    <row r="186" spans="2:70" x14ac:dyDescent="0.3">
      <c r="B186" s="96" t="str">
        <f t="shared" si="172"/>
        <v/>
      </c>
      <c r="C186" s="96" t="str">
        <f t="shared" si="173"/>
        <v/>
      </c>
      <c r="D186" s="96" t="str">
        <f t="shared" si="174"/>
        <v/>
      </c>
      <c r="E186" s="3"/>
      <c r="F186" s="3"/>
      <c r="G186" s="3"/>
      <c r="H186" s="3"/>
      <c r="I186" s="20">
        <f>IFERROR(INDEX('Input - US Food'!G$2:G$200,MATCH('Calculations - US Food'!$D186,'Input - US Food'!$B$2:$B$200,0)),"")</f>
        <v>0</v>
      </c>
      <c r="J186" s="20">
        <f>IFERROR(INDEX('Input - US Food'!H$2:H$200,MATCH('Calculations - US Food'!$D186,'Input - US Food'!$B$2:$B$200,0)),"")</f>
        <v>0</v>
      </c>
      <c r="K186" s="21">
        <f>IFERROR(INDEX('Input - US Food'!I$2:I$200,MATCH('Calculations - US Food'!$D186,'Input - US Food'!$B$2:$B$200,0)),"")</f>
        <v>0</v>
      </c>
      <c r="L186" s="21">
        <f>IFERROR(INDEX('Input - US Food'!J$2:J$200,MATCH('Calculations - US Food'!$D186,'Input - US Food'!$B$2:$B$200,0)),"")</f>
        <v>0</v>
      </c>
      <c r="M186" s="20">
        <f>IFERROR(INDEX('Input - US Food'!K$2:K$200,MATCH('Calculations - US Food'!$D186,'Input - US Food'!$B$2:$B$200,0)),"")</f>
        <v>6055363851.4215012</v>
      </c>
      <c r="N186" s="20">
        <f>IFERROR(INDEX('Input - US Food'!L$2:L$200,MATCH('Calculations - US Food'!$D186,'Input - US Food'!$B$2:$B$200,0)),"")</f>
        <v>1982155918.8720999</v>
      </c>
      <c r="O186" s="21" t="str">
        <f t="shared" si="175"/>
        <v/>
      </c>
      <c r="P186" s="21">
        <f t="shared" si="157"/>
        <v>3.0549382083257943</v>
      </c>
      <c r="Q186" s="21">
        <f t="shared" si="176"/>
        <v>0</v>
      </c>
      <c r="R186" s="9">
        <f t="shared" si="158"/>
        <v>0</v>
      </c>
      <c r="S186" s="9">
        <f t="shared" si="159"/>
        <v>0</v>
      </c>
      <c r="T186" s="22" t="str">
        <f>IFERROR(INDEX('US Food'!$S$11:$S$197,MATCH('Calculations - US Food'!$D186,'US Food'!$N$11:$N$197,0)),"")</f>
        <v/>
      </c>
      <c r="U186" s="22" t="str">
        <f>IFERROR(INDEX('US Food'!$T$11:$T$197,MATCH('Calculations - US Food'!$D186,'US Food'!$N$11:$N$197,0)),"")</f>
        <v/>
      </c>
      <c r="V186" s="16" t="e">
        <f t="shared" si="160"/>
        <v>#VALUE!</v>
      </c>
      <c r="W186" s="16" t="e">
        <f t="shared" si="177"/>
        <v>#VALUE!</v>
      </c>
      <c r="X186" s="16" t="e">
        <f t="shared" si="178"/>
        <v>#VALUE!</v>
      </c>
      <c r="Y186" s="10" t="str">
        <f t="shared" si="161"/>
        <v>-</v>
      </c>
      <c r="Z186" s="10" t="str">
        <f t="shared" si="162"/>
        <v>-</v>
      </c>
      <c r="AA186" s="13" t="str">
        <f t="shared" si="179"/>
        <v>-</v>
      </c>
      <c r="AB186" s="9" t="str">
        <f t="shared" si="163"/>
        <v>-</v>
      </c>
      <c r="AC186" s="16" t="str">
        <f t="shared" si="180"/>
        <v>-</v>
      </c>
      <c r="AD186" s="16" t="str">
        <f t="shared" si="164"/>
        <v>-</v>
      </c>
      <c r="AE186" s="16" t="str">
        <f t="shared" si="165"/>
        <v>-</v>
      </c>
      <c r="AF186" s="16" t="str">
        <f t="shared" si="181"/>
        <v>-</v>
      </c>
      <c r="AG186" s="16"/>
      <c r="AH186" s="32" t="str">
        <f>IFERROR(INDEX('US Food'!$R$11:$R$197,MATCH('Calculations - US Food'!D186,'US Food'!$N$11:$N$197,0)),"")</f>
        <v/>
      </c>
      <c r="AI186" s="23" t="str">
        <f t="shared" si="182"/>
        <v/>
      </c>
      <c r="AJ186" s="23" t="str">
        <f t="shared" si="183"/>
        <v/>
      </c>
      <c r="AK186" s="9" t="str">
        <f t="shared" si="166"/>
        <v/>
      </c>
      <c r="AL186" s="4" t="str">
        <f t="shared" si="167"/>
        <v/>
      </c>
      <c r="AM186" s="4"/>
      <c r="AN186" s="4"/>
      <c r="AO186" s="4"/>
      <c r="AP186" s="4"/>
      <c r="AQ186" s="4"/>
      <c r="AR186" s="20" t="str">
        <f t="shared" si="168"/>
        <v>-</v>
      </c>
      <c r="AS186" s="13" t="str">
        <f t="shared" si="184"/>
        <v>-</v>
      </c>
      <c r="AT186" s="13" t="str">
        <f t="shared" si="185"/>
        <v>-</v>
      </c>
      <c r="AU186" s="13" t="str">
        <f t="shared" si="169"/>
        <v>-</v>
      </c>
      <c r="AV186" s="16" t="str">
        <f t="shared" si="186"/>
        <v>-</v>
      </c>
      <c r="AW186" s="16" t="str">
        <f t="shared" si="170"/>
        <v>-</v>
      </c>
      <c r="AX186" s="16" t="str">
        <f t="shared" si="171"/>
        <v>-</v>
      </c>
      <c r="AY186" s="16" t="str">
        <f t="shared" si="187"/>
        <v>-</v>
      </c>
      <c r="AZ186" s="13" t="str">
        <f t="shared" si="188"/>
        <v>-</v>
      </c>
      <c r="BA186" s="10" t="str">
        <f t="shared" si="189"/>
        <v>-</v>
      </c>
      <c r="BB186" s="9" t="str">
        <f t="shared" si="190"/>
        <v>-</v>
      </c>
      <c r="BC186" s="13" t="str">
        <f t="shared" si="191"/>
        <v>-</v>
      </c>
      <c r="BD186" s="10" t="str">
        <f t="shared" si="192"/>
        <v>-</v>
      </c>
      <c r="BE186" s="13" t="str">
        <f t="shared" si="193"/>
        <v>-</v>
      </c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</row>
    <row r="187" spans="2:70" x14ac:dyDescent="0.3">
      <c r="B187" s="96" t="str">
        <f t="shared" si="172"/>
        <v/>
      </c>
      <c r="C187" s="96" t="str">
        <f t="shared" si="173"/>
        <v/>
      </c>
      <c r="D187" s="96" t="str">
        <f t="shared" si="174"/>
        <v/>
      </c>
      <c r="E187" s="3"/>
      <c r="F187" s="3"/>
      <c r="G187" s="3"/>
      <c r="H187" s="3"/>
      <c r="I187" s="20">
        <f>IFERROR(INDEX('Input - US Food'!G$2:G$200,MATCH('Calculations - US Food'!$D187,'Input - US Food'!$B$2:$B$200,0)),"")</f>
        <v>0</v>
      </c>
      <c r="J187" s="20">
        <f>IFERROR(INDEX('Input - US Food'!H$2:H$200,MATCH('Calculations - US Food'!$D187,'Input - US Food'!$B$2:$B$200,0)),"")</f>
        <v>0</v>
      </c>
      <c r="K187" s="21">
        <f>IFERROR(INDEX('Input - US Food'!I$2:I$200,MATCH('Calculations - US Food'!$D187,'Input - US Food'!$B$2:$B$200,0)),"")</f>
        <v>0</v>
      </c>
      <c r="L187" s="21">
        <f>IFERROR(INDEX('Input - US Food'!J$2:J$200,MATCH('Calculations - US Food'!$D187,'Input - US Food'!$B$2:$B$200,0)),"")</f>
        <v>0</v>
      </c>
      <c r="M187" s="20">
        <f>IFERROR(INDEX('Input - US Food'!K$2:K$200,MATCH('Calculations - US Food'!$D187,'Input - US Food'!$B$2:$B$200,0)),"")</f>
        <v>6055363851.4215012</v>
      </c>
      <c r="N187" s="20">
        <f>IFERROR(INDEX('Input - US Food'!L$2:L$200,MATCH('Calculations - US Food'!$D187,'Input - US Food'!$B$2:$B$200,0)),"")</f>
        <v>1982155918.8720999</v>
      </c>
      <c r="O187" s="21" t="str">
        <f t="shared" si="175"/>
        <v/>
      </c>
      <c r="P187" s="21">
        <f t="shared" si="157"/>
        <v>3.0549382083257943</v>
      </c>
      <c r="Q187" s="21">
        <f t="shared" si="176"/>
        <v>0</v>
      </c>
      <c r="R187" s="9">
        <f t="shared" si="158"/>
        <v>0</v>
      </c>
      <c r="S187" s="9">
        <f t="shared" si="159"/>
        <v>0</v>
      </c>
      <c r="T187" s="22" t="str">
        <f>IFERROR(INDEX('US Food'!$S$11:$S$197,MATCH('Calculations - US Food'!$D187,'US Food'!$N$11:$N$197,0)),"")</f>
        <v/>
      </c>
      <c r="U187" s="22" t="str">
        <f>IFERROR(INDEX('US Food'!$T$11:$T$197,MATCH('Calculations - US Food'!$D187,'US Food'!$N$11:$N$197,0)),"")</f>
        <v/>
      </c>
      <c r="V187" s="16" t="e">
        <f t="shared" si="160"/>
        <v>#VALUE!</v>
      </c>
      <c r="W187" s="16" t="e">
        <f t="shared" si="177"/>
        <v>#VALUE!</v>
      </c>
      <c r="X187" s="16" t="e">
        <f t="shared" si="178"/>
        <v>#VALUE!</v>
      </c>
      <c r="Y187" s="10" t="str">
        <f t="shared" si="161"/>
        <v>-</v>
      </c>
      <c r="Z187" s="10" t="str">
        <f t="shared" si="162"/>
        <v>-</v>
      </c>
      <c r="AA187" s="13" t="str">
        <f t="shared" si="179"/>
        <v>-</v>
      </c>
      <c r="AB187" s="9" t="str">
        <f t="shared" si="163"/>
        <v>-</v>
      </c>
      <c r="AC187" s="16" t="str">
        <f t="shared" si="180"/>
        <v>-</v>
      </c>
      <c r="AD187" s="16" t="str">
        <f t="shared" si="164"/>
        <v>-</v>
      </c>
      <c r="AE187" s="16" t="str">
        <f t="shared" si="165"/>
        <v>-</v>
      </c>
      <c r="AF187" s="16" t="str">
        <f t="shared" si="181"/>
        <v>-</v>
      </c>
      <c r="AG187" s="16"/>
      <c r="AH187" s="32" t="str">
        <f>IFERROR(INDEX('US Food'!$R$11:$R$197,MATCH('Calculations - US Food'!D187,'US Food'!$N$11:$N$197,0)),"")</f>
        <v/>
      </c>
      <c r="AI187" s="23" t="str">
        <f t="shared" si="182"/>
        <v/>
      </c>
      <c r="AJ187" s="23" t="str">
        <f t="shared" si="183"/>
        <v/>
      </c>
      <c r="AK187" s="9" t="str">
        <f t="shared" si="166"/>
        <v/>
      </c>
      <c r="AL187" s="4" t="str">
        <f t="shared" si="167"/>
        <v/>
      </c>
      <c r="AM187" s="4"/>
      <c r="AN187" s="4"/>
      <c r="AO187" s="4"/>
      <c r="AP187" s="4"/>
      <c r="AQ187" s="4"/>
      <c r="AR187" s="20" t="str">
        <f t="shared" si="168"/>
        <v>-</v>
      </c>
      <c r="AS187" s="13" t="str">
        <f t="shared" si="184"/>
        <v>-</v>
      </c>
      <c r="AT187" s="13" t="str">
        <f t="shared" si="185"/>
        <v>-</v>
      </c>
      <c r="AU187" s="13" t="str">
        <f t="shared" si="169"/>
        <v>-</v>
      </c>
      <c r="AV187" s="16" t="str">
        <f t="shared" si="186"/>
        <v>-</v>
      </c>
      <c r="AW187" s="16" t="str">
        <f t="shared" si="170"/>
        <v>-</v>
      </c>
      <c r="AX187" s="16" t="str">
        <f t="shared" si="171"/>
        <v>-</v>
      </c>
      <c r="AY187" s="16" t="str">
        <f t="shared" si="187"/>
        <v>-</v>
      </c>
      <c r="AZ187" s="13" t="str">
        <f t="shared" si="188"/>
        <v>-</v>
      </c>
      <c r="BA187" s="10" t="str">
        <f t="shared" si="189"/>
        <v>-</v>
      </c>
      <c r="BB187" s="9" t="str">
        <f t="shared" si="190"/>
        <v>-</v>
      </c>
      <c r="BC187" s="13" t="str">
        <f t="shared" si="191"/>
        <v>-</v>
      </c>
      <c r="BD187" s="10" t="str">
        <f t="shared" si="192"/>
        <v>-</v>
      </c>
      <c r="BE187" s="13" t="str">
        <f t="shared" si="193"/>
        <v>-</v>
      </c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</row>
    <row r="188" spans="2:70" x14ac:dyDescent="0.3">
      <c r="B188" s="96" t="str">
        <f t="shared" si="172"/>
        <v/>
      </c>
      <c r="C188" s="96" t="str">
        <f t="shared" si="173"/>
        <v/>
      </c>
      <c r="D188" s="96" t="str">
        <f t="shared" si="174"/>
        <v/>
      </c>
      <c r="E188" s="3"/>
      <c r="F188" s="3"/>
      <c r="G188" s="3"/>
      <c r="H188" s="3"/>
      <c r="I188" s="20">
        <f>IFERROR(INDEX('Input - US Food'!G$2:G$200,MATCH('Calculations - US Food'!$D188,'Input - US Food'!$B$2:$B$200,0)),"")</f>
        <v>0</v>
      </c>
      <c r="J188" s="20">
        <f>IFERROR(INDEX('Input - US Food'!H$2:H$200,MATCH('Calculations - US Food'!$D188,'Input - US Food'!$B$2:$B$200,0)),"")</f>
        <v>0</v>
      </c>
      <c r="K188" s="21">
        <f>IFERROR(INDEX('Input - US Food'!I$2:I$200,MATCH('Calculations - US Food'!$D188,'Input - US Food'!$B$2:$B$200,0)),"")</f>
        <v>0</v>
      </c>
      <c r="L188" s="21">
        <f>IFERROR(INDEX('Input - US Food'!J$2:J$200,MATCH('Calculations - US Food'!$D188,'Input - US Food'!$B$2:$B$200,0)),"")</f>
        <v>0</v>
      </c>
      <c r="M188" s="20">
        <f>IFERROR(INDEX('Input - US Food'!K$2:K$200,MATCH('Calculations - US Food'!$D188,'Input - US Food'!$B$2:$B$200,0)),"")</f>
        <v>6055363851.4215012</v>
      </c>
      <c r="N188" s="20">
        <f>IFERROR(INDEX('Input - US Food'!L$2:L$200,MATCH('Calculations - US Food'!$D188,'Input - US Food'!$B$2:$B$200,0)),"")</f>
        <v>1982155918.8720999</v>
      </c>
      <c r="O188" s="21" t="str">
        <f t="shared" si="175"/>
        <v/>
      </c>
      <c r="P188" s="21">
        <f t="shared" si="157"/>
        <v>3.0549382083257943</v>
      </c>
      <c r="Q188" s="21">
        <f t="shared" si="176"/>
        <v>0</v>
      </c>
      <c r="R188" s="9">
        <f t="shared" si="158"/>
        <v>0</v>
      </c>
      <c r="S188" s="9">
        <f t="shared" si="159"/>
        <v>0</v>
      </c>
      <c r="T188" s="22" t="str">
        <f>IFERROR(INDEX('US Food'!$S$11:$S$197,MATCH('Calculations - US Food'!$D188,'US Food'!$N$11:$N$197,0)),"")</f>
        <v/>
      </c>
      <c r="U188" s="22" t="str">
        <f>IFERROR(INDEX('US Food'!$T$11:$T$197,MATCH('Calculations - US Food'!$D188,'US Food'!$N$11:$N$197,0)),"")</f>
        <v/>
      </c>
      <c r="V188" s="16" t="e">
        <f t="shared" si="160"/>
        <v>#VALUE!</v>
      </c>
      <c r="W188" s="16" t="e">
        <f t="shared" si="177"/>
        <v>#VALUE!</v>
      </c>
      <c r="X188" s="16" t="e">
        <f t="shared" si="178"/>
        <v>#VALUE!</v>
      </c>
      <c r="Y188" s="10" t="str">
        <f t="shared" si="161"/>
        <v>-</v>
      </c>
      <c r="Z188" s="10" t="str">
        <f t="shared" si="162"/>
        <v>-</v>
      </c>
      <c r="AA188" s="13" t="str">
        <f t="shared" si="179"/>
        <v>-</v>
      </c>
      <c r="AB188" s="9" t="str">
        <f t="shared" si="163"/>
        <v>-</v>
      </c>
      <c r="AC188" s="16" t="str">
        <f t="shared" si="180"/>
        <v>-</v>
      </c>
      <c r="AD188" s="16" t="str">
        <f t="shared" si="164"/>
        <v>-</v>
      </c>
      <c r="AE188" s="16" t="str">
        <f t="shared" si="165"/>
        <v>-</v>
      </c>
      <c r="AF188" s="16" t="str">
        <f t="shared" si="181"/>
        <v>-</v>
      </c>
      <c r="AG188" s="16"/>
      <c r="AH188" s="32" t="str">
        <f>IFERROR(INDEX('US Food'!$R$11:$R$197,MATCH('Calculations - US Food'!D188,'US Food'!$N$11:$N$197,0)),"")</f>
        <v/>
      </c>
      <c r="AI188" s="23" t="str">
        <f t="shared" si="182"/>
        <v/>
      </c>
      <c r="AJ188" s="23" t="str">
        <f t="shared" si="183"/>
        <v/>
      </c>
      <c r="AK188" s="9" t="str">
        <f t="shared" si="166"/>
        <v/>
      </c>
      <c r="AL188" s="4" t="str">
        <f t="shared" si="167"/>
        <v/>
      </c>
      <c r="AM188" s="4"/>
      <c r="AN188" s="4"/>
      <c r="AO188" s="4"/>
      <c r="AP188" s="4"/>
      <c r="AQ188" s="4"/>
      <c r="AR188" s="20" t="str">
        <f t="shared" si="168"/>
        <v>-</v>
      </c>
      <c r="AS188" s="13" t="str">
        <f t="shared" si="184"/>
        <v>-</v>
      </c>
      <c r="AT188" s="13" t="str">
        <f t="shared" si="185"/>
        <v>-</v>
      </c>
      <c r="AU188" s="13" t="str">
        <f t="shared" si="169"/>
        <v>-</v>
      </c>
      <c r="AV188" s="16" t="str">
        <f t="shared" si="186"/>
        <v>-</v>
      </c>
      <c r="AW188" s="16" t="str">
        <f t="shared" si="170"/>
        <v>-</v>
      </c>
      <c r="AX188" s="16" t="str">
        <f t="shared" si="171"/>
        <v>-</v>
      </c>
      <c r="AY188" s="16" t="str">
        <f t="shared" si="187"/>
        <v>-</v>
      </c>
      <c r="AZ188" s="13" t="str">
        <f t="shared" si="188"/>
        <v>-</v>
      </c>
      <c r="BA188" s="10" t="str">
        <f t="shared" si="189"/>
        <v>-</v>
      </c>
      <c r="BB188" s="9" t="str">
        <f t="shared" si="190"/>
        <v>-</v>
      </c>
      <c r="BC188" s="13" t="str">
        <f t="shared" si="191"/>
        <v>-</v>
      </c>
      <c r="BD188" s="10" t="str">
        <f t="shared" si="192"/>
        <v>-</v>
      </c>
      <c r="BE188" s="13" t="str">
        <f t="shared" si="193"/>
        <v>-</v>
      </c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</row>
    <row r="189" spans="2:70" x14ac:dyDescent="0.3">
      <c r="B189" s="96" t="str">
        <f t="shared" si="172"/>
        <v/>
      </c>
      <c r="C189" s="96" t="str">
        <f t="shared" si="173"/>
        <v/>
      </c>
      <c r="D189" s="96" t="str">
        <f t="shared" si="174"/>
        <v/>
      </c>
      <c r="E189" s="3"/>
      <c r="F189" s="3"/>
      <c r="G189" s="3"/>
      <c r="H189" s="3"/>
      <c r="I189" s="20">
        <f>IFERROR(INDEX('Input - US Food'!G$2:G$200,MATCH('Calculations - US Food'!$D189,'Input - US Food'!$B$2:$B$200,0)),"")</f>
        <v>0</v>
      </c>
      <c r="J189" s="20">
        <f>IFERROR(INDEX('Input - US Food'!H$2:H$200,MATCH('Calculations - US Food'!$D189,'Input - US Food'!$B$2:$B$200,0)),"")</f>
        <v>0</v>
      </c>
      <c r="K189" s="21">
        <f>IFERROR(INDEX('Input - US Food'!I$2:I$200,MATCH('Calculations - US Food'!$D189,'Input - US Food'!$B$2:$B$200,0)),"")</f>
        <v>0</v>
      </c>
      <c r="L189" s="21">
        <f>IFERROR(INDEX('Input - US Food'!J$2:J$200,MATCH('Calculations - US Food'!$D189,'Input - US Food'!$B$2:$B$200,0)),"")</f>
        <v>0</v>
      </c>
      <c r="M189" s="20">
        <f>IFERROR(INDEX('Input - US Food'!K$2:K$200,MATCH('Calculations - US Food'!$D189,'Input - US Food'!$B$2:$B$200,0)),"")</f>
        <v>6055363851.4215012</v>
      </c>
      <c r="N189" s="20">
        <f>IFERROR(INDEX('Input - US Food'!L$2:L$200,MATCH('Calculations - US Food'!$D189,'Input - US Food'!$B$2:$B$200,0)),"")</f>
        <v>1982155918.8720999</v>
      </c>
      <c r="O189" s="21" t="str">
        <f t="shared" si="175"/>
        <v/>
      </c>
      <c r="P189" s="21">
        <f t="shared" si="157"/>
        <v>3.0549382083257943</v>
      </c>
      <c r="Q189" s="21">
        <f t="shared" si="176"/>
        <v>0</v>
      </c>
      <c r="R189" s="9">
        <f t="shared" si="158"/>
        <v>0</v>
      </c>
      <c r="S189" s="9">
        <f t="shared" si="159"/>
        <v>0</v>
      </c>
      <c r="T189" s="22" t="str">
        <f>IFERROR(INDEX('US Food'!$S$11:$S$197,MATCH('Calculations - US Food'!$D189,'US Food'!$N$11:$N$197,0)),"")</f>
        <v/>
      </c>
      <c r="U189" s="22" t="str">
        <f>IFERROR(INDEX('US Food'!$T$11:$T$197,MATCH('Calculations - US Food'!$D189,'US Food'!$N$11:$N$197,0)),"")</f>
        <v/>
      </c>
      <c r="V189" s="16" t="e">
        <f t="shared" si="160"/>
        <v>#VALUE!</v>
      </c>
      <c r="W189" s="16" t="e">
        <f t="shared" si="177"/>
        <v>#VALUE!</v>
      </c>
      <c r="X189" s="16" t="e">
        <f t="shared" si="178"/>
        <v>#VALUE!</v>
      </c>
      <c r="Y189" s="10" t="str">
        <f t="shared" si="161"/>
        <v>-</v>
      </c>
      <c r="Z189" s="10" t="str">
        <f t="shared" si="162"/>
        <v>-</v>
      </c>
      <c r="AA189" s="13" t="str">
        <f t="shared" si="179"/>
        <v>-</v>
      </c>
      <c r="AB189" s="9" t="str">
        <f t="shared" si="163"/>
        <v>-</v>
      </c>
      <c r="AC189" s="16" t="str">
        <f t="shared" si="180"/>
        <v>-</v>
      </c>
      <c r="AD189" s="16" t="str">
        <f t="shared" si="164"/>
        <v>-</v>
      </c>
      <c r="AE189" s="16" t="str">
        <f t="shared" si="165"/>
        <v>-</v>
      </c>
      <c r="AF189" s="16" t="str">
        <f t="shared" si="181"/>
        <v>-</v>
      </c>
      <c r="AG189" s="16"/>
      <c r="AH189" s="32" t="str">
        <f>IFERROR(INDEX('US Food'!$R$11:$R$197,MATCH('Calculations - US Food'!D189,'US Food'!$N$11:$N$197,0)),"")</f>
        <v/>
      </c>
      <c r="AI189" s="23" t="str">
        <f t="shared" si="182"/>
        <v/>
      </c>
      <c r="AJ189" s="23" t="str">
        <f t="shared" si="183"/>
        <v/>
      </c>
      <c r="AK189" s="9" t="str">
        <f t="shared" si="166"/>
        <v/>
      </c>
      <c r="AL189" s="4" t="str">
        <f t="shared" si="167"/>
        <v/>
      </c>
      <c r="AM189" s="4"/>
      <c r="AN189" s="4"/>
      <c r="AO189" s="4"/>
      <c r="AP189" s="4"/>
      <c r="AQ189" s="4"/>
      <c r="AR189" s="20" t="str">
        <f t="shared" si="168"/>
        <v>-</v>
      </c>
      <c r="AS189" s="13" t="str">
        <f t="shared" si="184"/>
        <v>-</v>
      </c>
      <c r="AT189" s="13" t="str">
        <f t="shared" si="185"/>
        <v>-</v>
      </c>
      <c r="AU189" s="13" t="str">
        <f t="shared" si="169"/>
        <v>-</v>
      </c>
      <c r="AV189" s="16" t="str">
        <f t="shared" si="186"/>
        <v>-</v>
      </c>
      <c r="AW189" s="16" t="str">
        <f t="shared" si="170"/>
        <v>-</v>
      </c>
      <c r="AX189" s="16" t="str">
        <f t="shared" si="171"/>
        <v>-</v>
      </c>
      <c r="AY189" s="16" t="str">
        <f t="shared" si="187"/>
        <v>-</v>
      </c>
      <c r="AZ189" s="13" t="str">
        <f t="shared" si="188"/>
        <v>-</v>
      </c>
      <c r="BA189" s="10" t="str">
        <f t="shared" si="189"/>
        <v>-</v>
      </c>
      <c r="BB189" s="9" t="str">
        <f t="shared" si="190"/>
        <v>-</v>
      </c>
      <c r="BC189" s="13" t="str">
        <f t="shared" si="191"/>
        <v>-</v>
      </c>
      <c r="BD189" s="10" t="str">
        <f t="shared" si="192"/>
        <v>-</v>
      </c>
      <c r="BE189" s="13" t="str">
        <f t="shared" si="193"/>
        <v>-</v>
      </c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</row>
    <row r="190" spans="2:70" x14ac:dyDescent="0.3">
      <c r="B190" s="96" t="str">
        <f t="shared" si="172"/>
        <v/>
      </c>
      <c r="C190" s="96" t="str">
        <f t="shared" si="173"/>
        <v/>
      </c>
      <c r="D190" s="96" t="str">
        <f t="shared" si="174"/>
        <v/>
      </c>
      <c r="E190" s="3"/>
      <c r="F190" s="3"/>
      <c r="G190" s="3"/>
      <c r="H190" s="3"/>
      <c r="I190" s="20">
        <f>IFERROR(INDEX('Input - US Food'!G$2:G$200,MATCH('Calculations - US Food'!$D190,'Input - US Food'!$B$2:$B$200,0)),"")</f>
        <v>0</v>
      </c>
      <c r="J190" s="20">
        <f>IFERROR(INDEX('Input - US Food'!H$2:H$200,MATCH('Calculations - US Food'!$D190,'Input - US Food'!$B$2:$B$200,0)),"")</f>
        <v>0</v>
      </c>
      <c r="K190" s="21">
        <f>IFERROR(INDEX('Input - US Food'!I$2:I$200,MATCH('Calculations - US Food'!$D190,'Input - US Food'!$B$2:$B$200,0)),"")</f>
        <v>0</v>
      </c>
      <c r="L190" s="21">
        <f>IFERROR(INDEX('Input - US Food'!J$2:J$200,MATCH('Calculations - US Food'!$D190,'Input - US Food'!$B$2:$B$200,0)),"")</f>
        <v>0</v>
      </c>
      <c r="M190" s="20">
        <f>IFERROR(INDEX('Input - US Food'!K$2:K$200,MATCH('Calculations - US Food'!$D190,'Input - US Food'!$B$2:$B$200,0)),"")</f>
        <v>6055363851.4215012</v>
      </c>
      <c r="N190" s="20">
        <f>IFERROR(INDEX('Input - US Food'!L$2:L$200,MATCH('Calculations - US Food'!$D190,'Input - US Food'!$B$2:$B$200,0)),"")</f>
        <v>1982155918.8720999</v>
      </c>
      <c r="O190" s="21" t="str">
        <f t="shared" si="175"/>
        <v/>
      </c>
      <c r="P190" s="21">
        <f t="shared" si="157"/>
        <v>3.0549382083257943</v>
      </c>
      <c r="Q190" s="21">
        <f t="shared" si="176"/>
        <v>0</v>
      </c>
      <c r="R190" s="9">
        <f t="shared" si="158"/>
        <v>0</v>
      </c>
      <c r="S190" s="9">
        <f t="shared" si="159"/>
        <v>0</v>
      </c>
      <c r="T190" s="22" t="str">
        <f>IFERROR(INDEX('US Food'!$S$11:$S$197,MATCH('Calculations - US Food'!$D190,'US Food'!$N$11:$N$197,0)),"")</f>
        <v/>
      </c>
      <c r="U190" s="22" t="str">
        <f>IFERROR(INDEX('US Food'!$T$11:$T$197,MATCH('Calculations - US Food'!$D190,'US Food'!$N$11:$N$197,0)),"")</f>
        <v/>
      </c>
      <c r="V190" s="16" t="e">
        <f t="shared" si="160"/>
        <v>#VALUE!</v>
      </c>
      <c r="W190" s="16" t="e">
        <f t="shared" si="177"/>
        <v>#VALUE!</v>
      </c>
      <c r="X190" s="16" t="e">
        <f t="shared" si="178"/>
        <v>#VALUE!</v>
      </c>
      <c r="Y190" s="10" t="str">
        <f t="shared" si="161"/>
        <v>-</v>
      </c>
      <c r="Z190" s="10" t="str">
        <f t="shared" si="162"/>
        <v>-</v>
      </c>
      <c r="AA190" s="13" t="str">
        <f t="shared" si="179"/>
        <v>-</v>
      </c>
      <c r="AB190" s="9" t="str">
        <f t="shared" si="163"/>
        <v>-</v>
      </c>
      <c r="AC190" s="16" t="str">
        <f t="shared" si="180"/>
        <v>-</v>
      </c>
      <c r="AD190" s="16" t="str">
        <f t="shared" si="164"/>
        <v>-</v>
      </c>
      <c r="AE190" s="16" t="str">
        <f t="shared" si="165"/>
        <v>-</v>
      </c>
      <c r="AF190" s="16" t="str">
        <f t="shared" si="181"/>
        <v>-</v>
      </c>
      <c r="AG190" s="16"/>
      <c r="AH190" s="32" t="str">
        <f>IFERROR(INDEX('US Food'!$R$11:$R$197,MATCH('Calculations - US Food'!D190,'US Food'!$N$11:$N$197,0)),"")</f>
        <v/>
      </c>
      <c r="AI190" s="23" t="str">
        <f t="shared" si="182"/>
        <v/>
      </c>
      <c r="AJ190" s="23" t="str">
        <f t="shared" si="183"/>
        <v/>
      </c>
      <c r="AK190" s="9" t="str">
        <f t="shared" si="166"/>
        <v/>
      </c>
      <c r="AL190" s="4" t="str">
        <f t="shared" si="167"/>
        <v/>
      </c>
      <c r="AM190" s="4"/>
      <c r="AN190" s="4"/>
      <c r="AO190" s="4"/>
      <c r="AP190" s="4"/>
      <c r="AQ190" s="4"/>
      <c r="AR190" s="20" t="str">
        <f t="shared" si="168"/>
        <v>-</v>
      </c>
      <c r="AS190" s="13" t="str">
        <f t="shared" si="184"/>
        <v>-</v>
      </c>
      <c r="AT190" s="13" t="str">
        <f t="shared" si="185"/>
        <v>-</v>
      </c>
      <c r="AU190" s="13" t="str">
        <f t="shared" si="169"/>
        <v>-</v>
      </c>
      <c r="AV190" s="16" t="str">
        <f t="shared" si="186"/>
        <v>-</v>
      </c>
      <c r="AW190" s="16" t="str">
        <f t="shared" si="170"/>
        <v>-</v>
      </c>
      <c r="AX190" s="16" t="str">
        <f t="shared" si="171"/>
        <v>-</v>
      </c>
      <c r="AY190" s="16" t="str">
        <f t="shared" si="187"/>
        <v>-</v>
      </c>
      <c r="AZ190" s="13" t="str">
        <f t="shared" si="188"/>
        <v>-</v>
      </c>
      <c r="BA190" s="10" t="str">
        <f t="shared" si="189"/>
        <v>-</v>
      </c>
      <c r="BB190" s="9" t="str">
        <f t="shared" si="190"/>
        <v>-</v>
      </c>
      <c r="BC190" s="13" t="str">
        <f t="shared" si="191"/>
        <v>-</v>
      </c>
      <c r="BD190" s="10" t="str">
        <f t="shared" si="192"/>
        <v>-</v>
      </c>
      <c r="BE190" s="13" t="str">
        <f t="shared" si="193"/>
        <v>-</v>
      </c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</row>
    <row r="191" spans="2:70" x14ac:dyDescent="0.3">
      <c r="B191" s="96" t="str">
        <f t="shared" si="172"/>
        <v/>
      </c>
      <c r="C191" s="96" t="str">
        <f t="shared" si="173"/>
        <v/>
      </c>
      <c r="D191" s="96" t="str">
        <f t="shared" si="174"/>
        <v/>
      </c>
      <c r="E191" s="3"/>
      <c r="F191" s="3"/>
      <c r="G191" s="3"/>
      <c r="H191" s="3"/>
      <c r="I191" s="20">
        <f>IFERROR(INDEX('Input - US Food'!G$2:G$200,MATCH('Calculations - US Food'!$D191,'Input - US Food'!$B$2:$B$200,0)),"")</f>
        <v>0</v>
      </c>
      <c r="J191" s="20">
        <f>IFERROR(INDEX('Input - US Food'!H$2:H$200,MATCH('Calculations - US Food'!$D191,'Input - US Food'!$B$2:$B$200,0)),"")</f>
        <v>0</v>
      </c>
      <c r="K191" s="21">
        <f>IFERROR(INDEX('Input - US Food'!I$2:I$200,MATCH('Calculations - US Food'!$D191,'Input - US Food'!$B$2:$B$200,0)),"")</f>
        <v>0</v>
      </c>
      <c r="L191" s="21">
        <f>IFERROR(INDEX('Input - US Food'!J$2:J$200,MATCH('Calculations - US Food'!$D191,'Input - US Food'!$B$2:$B$200,0)),"")</f>
        <v>0</v>
      </c>
      <c r="M191" s="20">
        <f>IFERROR(INDEX('Input - US Food'!K$2:K$200,MATCH('Calculations - US Food'!$D191,'Input - US Food'!$B$2:$B$200,0)),"")</f>
        <v>6055363851.4215012</v>
      </c>
      <c r="N191" s="20">
        <f>IFERROR(INDEX('Input - US Food'!L$2:L$200,MATCH('Calculations - US Food'!$D191,'Input - US Food'!$B$2:$B$200,0)),"")</f>
        <v>1982155918.8720999</v>
      </c>
      <c r="O191" s="21" t="str">
        <f t="shared" si="175"/>
        <v/>
      </c>
      <c r="P191" s="21">
        <f t="shared" si="157"/>
        <v>3.0549382083257943</v>
      </c>
      <c r="Q191" s="21">
        <f t="shared" si="176"/>
        <v>0</v>
      </c>
      <c r="R191" s="9">
        <f t="shared" si="158"/>
        <v>0</v>
      </c>
      <c r="S191" s="9">
        <f t="shared" si="159"/>
        <v>0</v>
      </c>
      <c r="T191" s="22" t="str">
        <f>IFERROR(INDEX('US Food'!$S$11:$S$197,MATCH('Calculations - US Food'!$D191,'US Food'!$N$11:$N$197,0)),"")</f>
        <v/>
      </c>
      <c r="U191" s="22" t="str">
        <f>IFERROR(INDEX('US Food'!$T$11:$T$197,MATCH('Calculations - US Food'!$D191,'US Food'!$N$11:$N$197,0)),"")</f>
        <v/>
      </c>
      <c r="V191" s="16" t="e">
        <f t="shared" si="160"/>
        <v>#VALUE!</v>
      </c>
      <c r="W191" s="16" t="e">
        <f t="shared" si="177"/>
        <v>#VALUE!</v>
      </c>
      <c r="X191" s="16" t="e">
        <f t="shared" si="178"/>
        <v>#VALUE!</v>
      </c>
      <c r="Y191" s="10" t="str">
        <f t="shared" si="161"/>
        <v>-</v>
      </c>
      <c r="Z191" s="10" t="str">
        <f t="shared" si="162"/>
        <v>-</v>
      </c>
      <c r="AA191" s="13" t="str">
        <f t="shared" si="179"/>
        <v>-</v>
      </c>
      <c r="AB191" s="9" t="str">
        <f t="shared" si="163"/>
        <v>-</v>
      </c>
      <c r="AC191" s="16" t="str">
        <f t="shared" si="180"/>
        <v>-</v>
      </c>
      <c r="AD191" s="16" t="str">
        <f t="shared" si="164"/>
        <v>-</v>
      </c>
      <c r="AE191" s="16" t="str">
        <f t="shared" si="165"/>
        <v>-</v>
      </c>
      <c r="AF191" s="16" t="str">
        <f t="shared" si="181"/>
        <v>-</v>
      </c>
      <c r="AG191" s="16"/>
      <c r="AH191" s="32" t="str">
        <f>IFERROR(INDEX('US Food'!$R$11:$R$197,MATCH('Calculations - US Food'!D191,'US Food'!$N$11:$N$197,0)),"")</f>
        <v/>
      </c>
      <c r="AI191" s="23" t="str">
        <f t="shared" si="182"/>
        <v/>
      </c>
      <c r="AJ191" s="23" t="str">
        <f t="shared" si="183"/>
        <v/>
      </c>
      <c r="AK191" s="9" t="str">
        <f t="shared" si="166"/>
        <v/>
      </c>
      <c r="AL191" s="4" t="str">
        <f t="shared" si="167"/>
        <v/>
      </c>
      <c r="AM191" s="4"/>
      <c r="AN191" s="4"/>
      <c r="AO191" s="4"/>
      <c r="AP191" s="4"/>
      <c r="AQ191" s="4"/>
      <c r="AR191" s="20" t="str">
        <f t="shared" si="168"/>
        <v>-</v>
      </c>
      <c r="AS191" s="13" t="str">
        <f t="shared" si="184"/>
        <v>-</v>
      </c>
      <c r="AT191" s="13" t="str">
        <f t="shared" si="185"/>
        <v>-</v>
      </c>
      <c r="AU191" s="13" t="str">
        <f t="shared" si="169"/>
        <v>-</v>
      </c>
      <c r="AV191" s="16" t="str">
        <f t="shared" si="186"/>
        <v>-</v>
      </c>
      <c r="AW191" s="16" t="str">
        <f t="shared" si="170"/>
        <v>-</v>
      </c>
      <c r="AX191" s="16" t="str">
        <f t="shared" si="171"/>
        <v>-</v>
      </c>
      <c r="AY191" s="16" t="str">
        <f t="shared" si="187"/>
        <v>-</v>
      </c>
      <c r="AZ191" s="13" t="str">
        <f t="shared" si="188"/>
        <v>-</v>
      </c>
      <c r="BA191" s="10" t="str">
        <f t="shared" si="189"/>
        <v>-</v>
      </c>
      <c r="BB191" s="9" t="str">
        <f t="shared" si="190"/>
        <v>-</v>
      </c>
      <c r="BC191" s="13" t="str">
        <f t="shared" si="191"/>
        <v>-</v>
      </c>
      <c r="BD191" s="10" t="str">
        <f t="shared" si="192"/>
        <v>-</v>
      </c>
      <c r="BE191" s="13" t="str">
        <f t="shared" si="193"/>
        <v>-</v>
      </c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</row>
    <row r="192" spans="2:70" x14ac:dyDescent="0.3">
      <c r="B192" s="96" t="str">
        <f t="shared" si="172"/>
        <v/>
      </c>
      <c r="C192" s="96" t="str">
        <f t="shared" si="173"/>
        <v/>
      </c>
      <c r="D192" s="96" t="str">
        <f t="shared" si="174"/>
        <v/>
      </c>
      <c r="E192" s="3"/>
      <c r="F192" s="3"/>
      <c r="G192" s="3"/>
      <c r="H192" s="3"/>
      <c r="I192" s="20">
        <f>IFERROR(INDEX('Input - US Food'!G$2:G$200,MATCH('Calculations - US Food'!$D192,'Input - US Food'!$B$2:$B$200,0)),"")</f>
        <v>0</v>
      </c>
      <c r="J192" s="20">
        <f>IFERROR(INDEX('Input - US Food'!H$2:H$200,MATCH('Calculations - US Food'!$D192,'Input - US Food'!$B$2:$B$200,0)),"")</f>
        <v>0</v>
      </c>
      <c r="K192" s="21">
        <f>IFERROR(INDEX('Input - US Food'!I$2:I$200,MATCH('Calculations - US Food'!$D192,'Input - US Food'!$B$2:$B$200,0)),"")</f>
        <v>0</v>
      </c>
      <c r="L192" s="21">
        <f>IFERROR(INDEX('Input - US Food'!J$2:J$200,MATCH('Calculations - US Food'!$D192,'Input - US Food'!$B$2:$B$200,0)),"")</f>
        <v>0</v>
      </c>
      <c r="M192" s="20">
        <f>IFERROR(INDEX('Input - US Food'!K$2:K$200,MATCH('Calculations - US Food'!$D192,'Input - US Food'!$B$2:$B$200,0)),"")</f>
        <v>6055363851.4215012</v>
      </c>
      <c r="N192" s="20">
        <f>IFERROR(INDEX('Input - US Food'!L$2:L$200,MATCH('Calculations - US Food'!$D192,'Input - US Food'!$B$2:$B$200,0)),"")</f>
        <v>1982155918.8720999</v>
      </c>
      <c r="O192" s="21" t="str">
        <f t="shared" si="175"/>
        <v/>
      </c>
      <c r="P192" s="21">
        <f t="shared" ref="P192:P223" si="194">IFERROR(M192/N192,"")</f>
        <v>3.0549382083257943</v>
      </c>
      <c r="Q192" s="21">
        <f t="shared" si="176"/>
        <v>0</v>
      </c>
      <c r="R192" s="9">
        <f t="shared" ref="R192:R223" si="195">I192/SUM(I$32:I$229)</f>
        <v>0</v>
      </c>
      <c r="S192" s="9">
        <f t="shared" ref="S192:S223" si="196">J192/SUM(J$32:J$229)</f>
        <v>0</v>
      </c>
      <c r="T192" s="22" t="str">
        <f>IFERROR(INDEX('US Food'!$S$11:$S$197,MATCH('Calculations - US Food'!$D192,'US Food'!$N$11:$N$197,0)),"")</f>
        <v/>
      </c>
      <c r="U192" s="22" t="str">
        <f>IFERROR(INDEX('US Food'!$T$11:$T$197,MATCH('Calculations - US Food'!$D192,'US Food'!$N$11:$N$197,0)),"")</f>
        <v/>
      </c>
      <c r="V192" s="16" t="e">
        <f t="shared" ref="V192:V223" si="197">T192*I192</f>
        <v>#VALUE!</v>
      </c>
      <c r="W192" s="16" t="e">
        <f t="shared" si="177"/>
        <v>#VALUE!</v>
      </c>
      <c r="X192" s="16" t="e">
        <f t="shared" si="178"/>
        <v>#VALUE!</v>
      </c>
      <c r="Y192" s="10" t="str">
        <f t="shared" ref="Y192:Y223" si="198">IFERROR(X192/J192,"-")</f>
        <v>-</v>
      </c>
      <c r="Z192" s="10" t="str">
        <f t="shared" ref="Z192:Z223" si="199">IFERROR((L192+O192)*J192*0.5,"-")</f>
        <v>-</v>
      </c>
      <c r="AA192" s="13" t="str">
        <f t="shared" si="179"/>
        <v>-</v>
      </c>
      <c r="AB192" s="9" t="str">
        <f t="shared" ref="AB192:AB223" si="200">IFERROR(AA192-R192,"-")</f>
        <v>-</v>
      </c>
      <c r="AC192" s="16" t="str">
        <f t="shared" si="180"/>
        <v>-</v>
      </c>
      <c r="AD192" s="16" t="str">
        <f t="shared" ref="AD192:AD223" si="201">IFERROR(AC192/O192,"-")</f>
        <v>-</v>
      </c>
      <c r="AE192" s="16" t="str">
        <f t="shared" ref="AE192:AE223" si="202">IFERROR(T192*AC192,"-")</f>
        <v>-</v>
      </c>
      <c r="AF192" s="16" t="str">
        <f t="shared" si="181"/>
        <v>-</v>
      </c>
      <c r="AG192" s="16"/>
      <c r="AH192" s="32" t="str">
        <f>IFERROR(INDEX('US Food'!$R$11:$R$197,MATCH('Calculations - US Food'!D192,'US Food'!$N$11:$N$197,0)),"")</f>
        <v/>
      </c>
      <c r="AI192" s="23" t="str">
        <f t="shared" si="182"/>
        <v/>
      </c>
      <c r="AJ192" s="23" t="str">
        <f t="shared" si="183"/>
        <v/>
      </c>
      <c r="AK192" s="9" t="str">
        <f t="shared" ref="AK192:AK223" si="203">IFERROR((AH192-O192)/O192,"")</f>
        <v/>
      </c>
      <c r="AL192" s="4" t="str">
        <f t="shared" ref="AL192:AL223" si="204">IFERROR(MAX((1+AK192*Q192/5)*J192,0),"")</f>
        <v/>
      </c>
      <c r="AM192" s="4"/>
      <c r="AN192" s="4"/>
      <c r="AO192" s="4"/>
      <c r="AP192" s="4"/>
      <c r="AQ192" s="4"/>
      <c r="AR192" s="20" t="str">
        <f t="shared" ref="AR192:AR223" si="205">IFERROR(0.5*(L192+AH192)*AL192,"-")</f>
        <v>-</v>
      </c>
      <c r="AS192" s="13" t="str">
        <f t="shared" si="184"/>
        <v>-</v>
      </c>
      <c r="AT192" s="13" t="str">
        <f t="shared" si="185"/>
        <v>-</v>
      </c>
      <c r="AU192" s="13" t="str">
        <f t="shared" ref="AU192:AU223" si="206">IFERROR(AT192-R192,"-")</f>
        <v>-</v>
      </c>
      <c r="AV192" s="16" t="str">
        <f t="shared" si="186"/>
        <v>-</v>
      </c>
      <c r="AW192" s="16" t="str">
        <f t="shared" ref="AW192:AW223" si="207">IFERROR(AV192/AH192,"-")</f>
        <v>-</v>
      </c>
      <c r="AX192" s="16" t="str">
        <f t="shared" ref="AX192:AX223" si="208">IFERROR(AI192*AV192,"-")</f>
        <v>-</v>
      </c>
      <c r="AY192" s="16" t="str">
        <f t="shared" si="187"/>
        <v>-</v>
      </c>
      <c r="AZ192" s="13" t="str">
        <f t="shared" si="188"/>
        <v>-</v>
      </c>
      <c r="BA192" s="10" t="str">
        <f t="shared" si="189"/>
        <v>-</v>
      </c>
      <c r="BB192" s="9" t="str">
        <f t="shared" si="190"/>
        <v>-</v>
      </c>
      <c r="BC192" s="13" t="str">
        <f t="shared" si="191"/>
        <v>-</v>
      </c>
      <c r="BD192" s="10" t="str">
        <f t="shared" si="192"/>
        <v>-</v>
      </c>
      <c r="BE192" s="13" t="str">
        <f t="shared" si="193"/>
        <v>-</v>
      </c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</row>
    <row r="193" spans="2:70" x14ac:dyDescent="0.3">
      <c r="B193" s="96" t="str">
        <f t="shared" si="172"/>
        <v/>
      </c>
      <c r="C193" s="96" t="str">
        <f t="shared" si="173"/>
        <v/>
      </c>
      <c r="D193" s="96" t="str">
        <f t="shared" si="174"/>
        <v/>
      </c>
      <c r="E193" s="3"/>
      <c r="F193" s="3"/>
      <c r="G193" s="3"/>
      <c r="H193" s="3"/>
      <c r="I193" s="20">
        <f>IFERROR(INDEX('Input - US Food'!G$2:G$200,MATCH('Calculations - US Food'!$D193,'Input - US Food'!$B$2:$B$200,0)),"")</f>
        <v>0</v>
      </c>
      <c r="J193" s="20">
        <f>IFERROR(INDEX('Input - US Food'!H$2:H$200,MATCH('Calculations - US Food'!$D193,'Input - US Food'!$B$2:$B$200,0)),"")</f>
        <v>0</v>
      </c>
      <c r="K193" s="21">
        <f>IFERROR(INDEX('Input - US Food'!I$2:I$200,MATCH('Calculations - US Food'!$D193,'Input - US Food'!$B$2:$B$200,0)),"")</f>
        <v>0</v>
      </c>
      <c r="L193" s="21">
        <f>IFERROR(INDEX('Input - US Food'!J$2:J$200,MATCH('Calculations - US Food'!$D193,'Input - US Food'!$B$2:$B$200,0)),"")</f>
        <v>0</v>
      </c>
      <c r="M193" s="20">
        <f>IFERROR(INDEX('Input - US Food'!K$2:K$200,MATCH('Calculations - US Food'!$D193,'Input - US Food'!$B$2:$B$200,0)),"")</f>
        <v>6055363851.4215012</v>
      </c>
      <c r="N193" s="20">
        <f>IFERROR(INDEX('Input - US Food'!L$2:L$200,MATCH('Calculations - US Food'!$D193,'Input - US Food'!$B$2:$B$200,0)),"")</f>
        <v>1982155918.8720999</v>
      </c>
      <c r="O193" s="21" t="str">
        <f t="shared" si="175"/>
        <v/>
      </c>
      <c r="P193" s="21">
        <f t="shared" si="194"/>
        <v>3.0549382083257943</v>
      </c>
      <c r="Q193" s="21">
        <f t="shared" si="176"/>
        <v>0</v>
      </c>
      <c r="R193" s="9">
        <f t="shared" si="195"/>
        <v>0</v>
      </c>
      <c r="S193" s="9">
        <f t="shared" si="196"/>
        <v>0</v>
      </c>
      <c r="T193" s="22" t="str">
        <f>IFERROR(INDEX('US Food'!$S$11:$S$197,MATCH('Calculations - US Food'!$D193,'US Food'!$N$11:$N$197,0)),"")</f>
        <v/>
      </c>
      <c r="U193" s="22" t="str">
        <f>IFERROR(INDEX('US Food'!$T$11:$T$197,MATCH('Calculations - US Food'!$D193,'US Food'!$N$11:$N$197,0)),"")</f>
        <v/>
      </c>
      <c r="V193" s="16" t="e">
        <f t="shared" si="197"/>
        <v>#VALUE!</v>
      </c>
      <c r="W193" s="16" t="e">
        <f t="shared" si="177"/>
        <v>#VALUE!</v>
      </c>
      <c r="X193" s="16" t="e">
        <f t="shared" si="178"/>
        <v>#VALUE!</v>
      </c>
      <c r="Y193" s="10" t="str">
        <f t="shared" si="198"/>
        <v>-</v>
      </c>
      <c r="Z193" s="10" t="str">
        <f t="shared" si="199"/>
        <v>-</v>
      </c>
      <c r="AA193" s="13" t="str">
        <f t="shared" si="179"/>
        <v>-</v>
      </c>
      <c r="AB193" s="9" t="str">
        <f t="shared" si="200"/>
        <v>-</v>
      </c>
      <c r="AC193" s="16" t="str">
        <f t="shared" si="180"/>
        <v>-</v>
      </c>
      <c r="AD193" s="16" t="str">
        <f t="shared" si="201"/>
        <v>-</v>
      </c>
      <c r="AE193" s="16" t="str">
        <f t="shared" si="202"/>
        <v>-</v>
      </c>
      <c r="AF193" s="16" t="str">
        <f t="shared" si="181"/>
        <v>-</v>
      </c>
      <c r="AG193" s="16"/>
      <c r="AH193" s="32" t="str">
        <f>IFERROR(INDEX('US Food'!$R$11:$R$197,MATCH('Calculations - US Food'!D193,'US Food'!$N$11:$N$197,0)),"")</f>
        <v/>
      </c>
      <c r="AI193" s="23" t="str">
        <f t="shared" si="182"/>
        <v/>
      </c>
      <c r="AJ193" s="23" t="str">
        <f t="shared" si="183"/>
        <v/>
      </c>
      <c r="AK193" s="9" t="str">
        <f t="shared" si="203"/>
        <v/>
      </c>
      <c r="AL193" s="4" t="str">
        <f t="shared" si="204"/>
        <v/>
      </c>
      <c r="AM193" s="4"/>
      <c r="AN193" s="4"/>
      <c r="AO193" s="4"/>
      <c r="AP193" s="4"/>
      <c r="AQ193" s="4"/>
      <c r="AR193" s="20" t="str">
        <f t="shared" si="205"/>
        <v>-</v>
      </c>
      <c r="AS193" s="13" t="str">
        <f t="shared" si="184"/>
        <v>-</v>
      </c>
      <c r="AT193" s="13" t="str">
        <f t="shared" si="185"/>
        <v>-</v>
      </c>
      <c r="AU193" s="13" t="str">
        <f t="shared" si="206"/>
        <v>-</v>
      </c>
      <c r="AV193" s="16" t="str">
        <f t="shared" si="186"/>
        <v>-</v>
      </c>
      <c r="AW193" s="16" t="str">
        <f t="shared" si="207"/>
        <v>-</v>
      </c>
      <c r="AX193" s="16" t="str">
        <f t="shared" si="208"/>
        <v>-</v>
      </c>
      <c r="AY193" s="16" t="str">
        <f t="shared" si="187"/>
        <v>-</v>
      </c>
      <c r="AZ193" s="13" t="str">
        <f t="shared" si="188"/>
        <v>-</v>
      </c>
      <c r="BA193" s="10" t="str">
        <f t="shared" si="189"/>
        <v>-</v>
      </c>
      <c r="BB193" s="9" t="str">
        <f t="shared" si="190"/>
        <v>-</v>
      </c>
      <c r="BC193" s="13" t="str">
        <f t="shared" si="191"/>
        <v>-</v>
      </c>
      <c r="BD193" s="10" t="str">
        <f t="shared" si="192"/>
        <v>-</v>
      </c>
      <c r="BE193" s="13" t="str">
        <f t="shared" si="193"/>
        <v>-</v>
      </c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</row>
    <row r="194" spans="2:70" x14ac:dyDescent="0.3">
      <c r="B194" s="96" t="str">
        <f t="shared" si="172"/>
        <v/>
      </c>
      <c r="C194" s="96" t="str">
        <f t="shared" si="173"/>
        <v/>
      </c>
      <c r="D194" s="96" t="str">
        <f t="shared" si="174"/>
        <v/>
      </c>
      <c r="E194" s="3"/>
      <c r="F194" s="3"/>
      <c r="G194" s="3"/>
      <c r="H194" s="3"/>
      <c r="I194" s="20">
        <f>IFERROR(INDEX('Input - US Food'!G$2:G$200,MATCH('Calculations - US Food'!$D194,'Input - US Food'!$B$2:$B$200,0)),"")</f>
        <v>0</v>
      </c>
      <c r="J194" s="20">
        <f>IFERROR(INDEX('Input - US Food'!H$2:H$200,MATCH('Calculations - US Food'!$D194,'Input - US Food'!$B$2:$B$200,0)),"")</f>
        <v>0</v>
      </c>
      <c r="K194" s="21">
        <f>IFERROR(INDEX('Input - US Food'!I$2:I$200,MATCH('Calculations - US Food'!$D194,'Input - US Food'!$B$2:$B$200,0)),"")</f>
        <v>0</v>
      </c>
      <c r="L194" s="21">
        <f>IFERROR(INDEX('Input - US Food'!J$2:J$200,MATCH('Calculations - US Food'!$D194,'Input - US Food'!$B$2:$B$200,0)),"")</f>
        <v>0</v>
      </c>
      <c r="M194" s="20">
        <f>IFERROR(INDEX('Input - US Food'!K$2:K$200,MATCH('Calculations - US Food'!$D194,'Input - US Food'!$B$2:$B$200,0)),"")</f>
        <v>6055363851.4215012</v>
      </c>
      <c r="N194" s="20">
        <f>IFERROR(INDEX('Input - US Food'!L$2:L$200,MATCH('Calculations - US Food'!$D194,'Input - US Food'!$B$2:$B$200,0)),"")</f>
        <v>1982155918.8720999</v>
      </c>
      <c r="O194" s="21" t="str">
        <f t="shared" si="175"/>
        <v/>
      </c>
      <c r="P194" s="21">
        <f t="shared" si="194"/>
        <v>3.0549382083257943</v>
      </c>
      <c r="Q194" s="21">
        <f t="shared" si="176"/>
        <v>0</v>
      </c>
      <c r="R194" s="9">
        <f t="shared" si="195"/>
        <v>0</v>
      </c>
      <c r="S194" s="9">
        <f t="shared" si="196"/>
        <v>0</v>
      </c>
      <c r="T194" s="22" t="str">
        <f>IFERROR(INDEX('US Food'!$S$11:$S$197,MATCH('Calculations - US Food'!$D194,'US Food'!$N$11:$N$197,0)),"")</f>
        <v/>
      </c>
      <c r="U194" s="22" t="str">
        <f>IFERROR(INDEX('US Food'!$T$11:$T$197,MATCH('Calculations - US Food'!$D194,'US Food'!$N$11:$N$197,0)),"")</f>
        <v/>
      </c>
      <c r="V194" s="16" t="e">
        <f t="shared" si="197"/>
        <v>#VALUE!</v>
      </c>
      <c r="W194" s="16" t="e">
        <f t="shared" si="177"/>
        <v>#VALUE!</v>
      </c>
      <c r="X194" s="16" t="e">
        <f t="shared" si="178"/>
        <v>#VALUE!</v>
      </c>
      <c r="Y194" s="10" t="str">
        <f t="shared" si="198"/>
        <v>-</v>
      </c>
      <c r="Z194" s="10" t="str">
        <f t="shared" si="199"/>
        <v>-</v>
      </c>
      <c r="AA194" s="13" t="str">
        <f t="shared" si="179"/>
        <v>-</v>
      </c>
      <c r="AB194" s="9" t="str">
        <f t="shared" si="200"/>
        <v>-</v>
      </c>
      <c r="AC194" s="16" t="str">
        <f t="shared" si="180"/>
        <v>-</v>
      </c>
      <c r="AD194" s="16" t="str">
        <f t="shared" si="201"/>
        <v>-</v>
      </c>
      <c r="AE194" s="16" t="str">
        <f t="shared" si="202"/>
        <v>-</v>
      </c>
      <c r="AF194" s="16" t="str">
        <f t="shared" si="181"/>
        <v>-</v>
      </c>
      <c r="AG194" s="16"/>
      <c r="AH194" s="32" t="str">
        <f>IFERROR(INDEX('US Food'!$R$11:$R$197,MATCH('Calculations - US Food'!D194,'US Food'!$N$11:$N$197,0)),"")</f>
        <v/>
      </c>
      <c r="AI194" s="23" t="str">
        <f t="shared" si="182"/>
        <v/>
      </c>
      <c r="AJ194" s="23" t="str">
        <f t="shared" si="183"/>
        <v/>
      </c>
      <c r="AK194" s="9" t="str">
        <f t="shared" si="203"/>
        <v/>
      </c>
      <c r="AL194" s="4" t="str">
        <f t="shared" si="204"/>
        <v/>
      </c>
      <c r="AM194" s="4"/>
      <c r="AN194" s="4"/>
      <c r="AO194" s="4"/>
      <c r="AP194" s="4"/>
      <c r="AQ194" s="4"/>
      <c r="AR194" s="20" t="str">
        <f t="shared" si="205"/>
        <v>-</v>
      </c>
      <c r="AS194" s="13" t="str">
        <f t="shared" si="184"/>
        <v>-</v>
      </c>
      <c r="AT194" s="13" t="str">
        <f t="shared" si="185"/>
        <v>-</v>
      </c>
      <c r="AU194" s="13" t="str">
        <f t="shared" si="206"/>
        <v>-</v>
      </c>
      <c r="AV194" s="16" t="str">
        <f t="shared" si="186"/>
        <v>-</v>
      </c>
      <c r="AW194" s="16" t="str">
        <f t="shared" si="207"/>
        <v>-</v>
      </c>
      <c r="AX194" s="16" t="str">
        <f t="shared" si="208"/>
        <v>-</v>
      </c>
      <c r="AY194" s="16" t="str">
        <f t="shared" si="187"/>
        <v>-</v>
      </c>
      <c r="AZ194" s="13" t="str">
        <f t="shared" si="188"/>
        <v>-</v>
      </c>
      <c r="BA194" s="10" t="str">
        <f t="shared" si="189"/>
        <v>-</v>
      </c>
      <c r="BB194" s="9" t="str">
        <f t="shared" si="190"/>
        <v>-</v>
      </c>
      <c r="BC194" s="13" t="str">
        <f t="shared" si="191"/>
        <v>-</v>
      </c>
      <c r="BD194" s="10" t="str">
        <f t="shared" si="192"/>
        <v>-</v>
      </c>
      <c r="BE194" s="13" t="str">
        <f t="shared" si="193"/>
        <v>-</v>
      </c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</row>
    <row r="195" spans="2:70" x14ac:dyDescent="0.3">
      <c r="B195" s="96" t="str">
        <f t="shared" si="172"/>
        <v/>
      </c>
      <c r="C195" s="96" t="str">
        <f t="shared" si="173"/>
        <v/>
      </c>
      <c r="D195" s="96" t="str">
        <f t="shared" si="174"/>
        <v/>
      </c>
      <c r="E195" s="3"/>
      <c r="F195" s="3"/>
      <c r="G195" s="3"/>
      <c r="H195" s="3"/>
      <c r="I195" s="20">
        <f>IFERROR(INDEX('Input - US Food'!G$2:G$200,MATCH('Calculations - US Food'!$D195,'Input - US Food'!$B$2:$B$200,0)),"")</f>
        <v>0</v>
      </c>
      <c r="J195" s="20">
        <f>IFERROR(INDEX('Input - US Food'!H$2:H$200,MATCH('Calculations - US Food'!$D195,'Input - US Food'!$B$2:$B$200,0)),"")</f>
        <v>0</v>
      </c>
      <c r="K195" s="21">
        <f>IFERROR(INDEX('Input - US Food'!I$2:I$200,MATCH('Calculations - US Food'!$D195,'Input - US Food'!$B$2:$B$200,0)),"")</f>
        <v>0</v>
      </c>
      <c r="L195" s="21">
        <f>IFERROR(INDEX('Input - US Food'!J$2:J$200,MATCH('Calculations - US Food'!$D195,'Input - US Food'!$B$2:$B$200,0)),"")</f>
        <v>0</v>
      </c>
      <c r="M195" s="20">
        <f>IFERROR(INDEX('Input - US Food'!K$2:K$200,MATCH('Calculations - US Food'!$D195,'Input - US Food'!$B$2:$B$200,0)),"")</f>
        <v>6055363851.4215012</v>
      </c>
      <c r="N195" s="20">
        <f>IFERROR(INDEX('Input - US Food'!L$2:L$200,MATCH('Calculations - US Food'!$D195,'Input - US Food'!$B$2:$B$200,0)),"")</f>
        <v>1982155918.8720999</v>
      </c>
      <c r="O195" s="21" t="str">
        <f t="shared" si="175"/>
        <v/>
      </c>
      <c r="P195" s="21">
        <f t="shared" si="194"/>
        <v>3.0549382083257943</v>
      </c>
      <c r="Q195" s="21">
        <f t="shared" si="176"/>
        <v>0</v>
      </c>
      <c r="R195" s="9">
        <f t="shared" si="195"/>
        <v>0</v>
      </c>
      <c r="S195" s="9">
        <f t="shared" si="196"/>
        <v>0</v>
      </c>
      <c r="T195" s="22" t="str">
        <f>IFERROR(INDEX('US Food'!$S$11:$S$197,MATCH('Calculations - US Food'!$D195,'US Food'!$N$11:$N$197,0)),"")</f>
        <v/>
      </c>
      <c r="U195" s="22" t="str">
        <f>IFERROR(INDEX('US Food'!$T$11:$T$197,MATCH('Calculations - US Food'!$D195,'US Food'!$N$11:$N$197,0)),"")</f>
        <v/>
      </c>
      <c r="V195" s="16" t="e">
        <f t="shared" si="197"/>
        <v>#VALUE!</v>
      </c>
      <c r="W195" s="16" t="e">
        <f t="shared" si="177"/>
        <v>#VALUE!</v>
      </c>
      <c r="X195" s="16" t="e">
        <f t="shared" si="178"/>
        <v>#VALUE!</v>
      </c>
      <c r="Y195" s="10" t="str">
        <f t="shared" si="198"/>
        <v>-</v>
      </c>
      <c r="Z195" s="10" t="str">
        <f t="shared" si="199"/>
        <v>-</v>
      </c>
      <c r="AA195" s="13" t="str">
        <f t="shared" si="179"/>
        <v>-</v>
      </c>
      <c r="AB195" s="9" t="str">
        <f t="shared" si="200"/>
        <v>-</v>
      </c>
      <c r="AC195" s="16" t="str">
        <f t="shared" si="180"/>
        <v>-</v>
      </c>
      <c r="AD195" s="16" t="str">
        <f t="shared" si="201"/>
        <v>-</v>
      </c>
      <c r="AE195" s="16" t="str">
        <f t="shared" si="202"/>
        <v>-</v>
      </c>
      <c r="AF195" s="16" t="str">
        <f t="shared" si="181"/>
        <v>-</v>
      </c>
      <c r="AG195" s="16"/>
      <c r="AH195" s="32" t="str">
        <f>IFERROR(INDEX('US Food'!$R$11:$R$197,MATCH('Calculations - US Food'!D195,'US Food'!$N$11:$N$197,0)),"")</f>
        <v/>
      </c>
      <c r="AI195" s="23" t="str">
        <f t="shared" si="182"/>
        <v/>
      </c>
      <c r="AJ195" s="23" t="str">
        <f t="shared" si="183"/>
        <v/>
      </c>
      <c r="AK195" s="9" t="str">
        <f t="shared" si="203"/>
        <v/>
      </c>
      <c r="AL195" s="4" t="str">
        <f t="shared" si="204"/>
        <v/>
      </c>
      <c r="AM195" s="4"/>
      <c r="AN195" s="4"/>
      <c r="AO195" s="4"/>
      <c r="AP195" s="4"/>
      <c r="AQ195" s="4"/>
      <c r="AR195" s="20" t="str">
        <f t="shared" si="205"/>
        <v>-</v>
      </c>
      <c r="AS195" s="13" t="str">
        <f t="shared" si="184"/>
        <v>-</v>
      </c>
      <c r="AT195" s="13" t="str">
        <f t="shared" si="185"/>
        <v>-</v>
      </c>
      <c r="AU195" s="13" t="str">
        <f t="shared" si="206"/>
        <v>-</v>
      </c>
      <c r="AV195" s="16" t="str">
        <f t="shared" si="186"/>
        <v>-</v>
      </c>
      <c r="AW195" s="16" t="str">
        <f t="shared" si="207"/>
        <v>-</v>
      </c>
      <c r="AX195" s="16" t="str">
        <f t="shared" si="208"/>
        <v>-</v>
      </c>
      <c r="AY195" s="16" t="str">
        <f t="shared" si="187"/>
        <v>-</v>
      </c>
      <c r="AZ195" s="13" t="str">
        <f t="shared" si="188"/>
        <v>-</v>
      </c>
      <c r="BA195" s="10" t="str">
        <f t="shared" si="189"/>
        <v>-</v>
      </c>
      <c r="BB195" s="9" t="str">
        <f t="shared" si="190"/>
        <v>-</v>
      </c>
      <c r="BC195" s="13" t="str">
        <f t="shared" si="191"/>
        <v>-</v>
      </c>
      <c r="BD195" s="10" t="str">
        <f t="shared" si="192"/>
        <v>-</v>
      </c>
      <c r="BE195" s="13" t="str">
        <f t="shared" si="193"/>
        <v>-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</row>
    <row r="196" spans="2:70" x14ac:dyDescent="0.3">
      <c r="B196" s="96" t="str">
        <f t="shared" si="172"/>
        <v/>
      </c>
      <c r="C196" s="96" t="str">
        <f t="shared" si="173"/>
        <v/>
      </c>
      <c r="D196" s="96" t="str">
        <f t="shared" si="174"/>
        <v/>
      </c>
      <c r="E196" s="3"/>
      <c r="F196" s="3"/>
      <c r="G196" s="3"/>
      <c r="H196" s="3"/>
      <c r="I196" s="20">
        <f>IFERROR(INDEX('Input - US Food'!G$2:G$200,MATCH('Calculations - US Food'!$D196,'Input - US Food'!$B$2:$B$200,0)),"")</f>
        <v>0</v>
      </c>
      <c r="J196" s="20">
        <f>IFERROR(INDEX('Input - US Food'!H$2:H$200,MATCH('Calculations - US Food'!$D196,'Input - US Food'!$B$2:$B$200,0)),"")</f>
        <v>0</v>
      </c>
      <c r="K196" s="21">
        <f>IFERROR(INDEX('Input - US Food'!I$2:I$200,MATCH('Calculations - US Food'!$D196,'Input - US Food'!$B$2:$B$200,0)),"")</f>
        <v>0</v>
      </c>
      <c r="L196" s="21">
        <f>IFERROR(INDEX('Input - US Food'!J$2:J$200,MATCH('Calculations - US Food'!$D196,'Input - US Food'!$B$2:$B$200,0)),"")</f>
        <v>0</v>
      </c>
      <c r="M196" s="20">
        <f>IFERROR(INDEX('Input - US Food'!K$2:K$200,MATCH('Calculations - US Food'!$D196,'Input - US Food'!$B$2:$B$200,0)),"")</f>
        <v>6055363851.4215012</v>
      </c>
      <c r="N196" s="20">
        <f>IFERROR(INDEX('Input - US Food'!L$2:L$200,MATCH('Calculations - US Food'!$D196,'Input - US Food'!$B$2:$B$200,0)),"")</f>
        <v>1982155918.8720999</v>
      </c>
      <c r="O196" s="21" t="str">
        <f t="shared" si="175"/>
        <v/>
      </c>
      <c r="P196" s="21">
        <f t="shared" si="194"/>
        <v>3.0549382083257943</v>
      </c>
      <c r="Q196" s="21">
        <f t="shared" si="176"/>
        <v>0</v>
      </c>
      <c r="R196" s="9">
        <f t="shared" si="195"/>
        <v>0</v>
      </c>
      <c r="S196" s="9">
        <f t="shared" si="196"/>
        <v>0</v>
      </c>
      <c r="T196" s="22" t="str">
        <f>IFERROR(INDEX('US Food'!$S$11:$S$197,MATCH('Calculations - US Food'!$D196,'US Food'!$N$11:$N$197,0)),"")</f>
        <v/>
      </c>
      <c r="U196" s="22" t="str">
        <f>IFERROR(INDEX('US Food'!$T$11:$T$197,MATCH('Calculations - US Food'!$D196,'US Food'!$N$11:$N$197,0)),"")</f>
        <v/>
      </c>
      <c r="V196" s="16" t="e">
        <f t="shared" si="197"/>
        <v>#VALUE!</v>
      </c>
      <c r="W196" s="16" t="e">
        <f t="shared" si="177"/>
        <v>#VALUE!</v>
      </c>
      <c r="X196" s="16" t="e">
        <f t="shared" si="178"/>
        <v>#VALUE!</v>
      </c>
      <c r="Y196" s="10" t="str">
        <f t="shared" si="198"/>
        <v>-</v>
      </c>
      <c r="Z196" s="10" t="str">
        <f t="shared" si="199"/>
        <v>-</v>
      </c>
      <c r="AA196" s="13" t="str">
        <f t="shared" si="179"/>
        <v>-</v>
      </c>
      <c r="AB196" s="9" t="str">
        <f t="shared" si="200"/>
        <v>-</v>
      </c>
      <c r="AC196" s="16" t="str">
        <f t="shared" si="180"/>
        <v>-</v>
      </c>
      <c r="AD196" s="16" t="str">
        <f t="shared" si="201"/>
        <v>-</v>
      </c>
      <c r="AE196" s="16" t="str">
        <f t="shared" si="202"/>
        <v>-</v>
      </c>
      <c r="AF196" s="16" t="str">
        <f t="shared" si="181"/>
        <v>-</v>
      </c>
      <c r="AG196" s="16"/>
      <c r="AH196" s="32" t="str">
        <f>IFERROR(INDEX('US Food'!$R$11:$R$197,MATCH('Calculations - US Food'!D196,'US Food'!$N$11:$N$197,0)),"")</f>
        <v/>
      </c>
      <c r="AI196" s="23" t="str">
        <f t="shared" si="182"/>
        <v/>
      </c>
      <c r="AJ196" s="23" t="str">
        <f t="shared" si="183"/>
        <v/>
      </c>
      <c r="AK196" s="9" t="str">
        <f t="shared" si="203"/>
        <v/>
      </c>
      <c r="AL196" s="4" t="str">
        <f t="shared" si="204"/>
        <v/>
      </c>
      <c r="AM196" s="4"/>
      <c r="AN196" s="4"/>
      <c r="AO196" s="4"/>
      <c r="AP196" s="4"/>
      <c r="AQ196" s="4"/>
      <c r="AR196" s="20" t="str">
        <f t="shared" si="205"/>
        <v>-</v>
      </c>
      <c r="AS196" s="13" t="str">
        <f t="shared" si="184"/>
        <v>-</v>
      </c>
      <c r="AT196" s="13" t="str">
        <f t="shared" si="185"/>
        <v>-</v>
      </c>
      <c r="AU196" s="13" t="str">
        <f t="shared" si="206"/>
        <v>-</v>
      </c>
      <c r="AV196" s="16" t="str">
        <f t="shared" si="186"/>
        <v>-</v>
      </c>
      <c r="AW196" s="16" t="str">
        <f t="shared" si="207"/>
        <v>-</v>
      </c>
      <c r="AX196" s="16" t="str">
        <f t="shared" si="208"/>
        <v>-</v>
      </c>
      <c r="AY196" s="16" t="str">
        <f t="shared" si="187"/>
        <v>-</v>
      </c>
      <c r="AZ196" s="13" t="str">
        <f t="shared" si="188"/>
        <v>-</v>
      </c>
      <c r="BA196" s="10" t="str">
        <f t="shared" si="189"/>
        <v>-</v>
      </c>
      <c r="BB196" s="9" t="str">
        <f t="shared" si="190"/>
        <v>-</v>
      </c>
      <c r="BC196" s="13" t="str">
        <f t="shared" si="191"/>
        <v>-</v>
      </c>
      <c r="BD196" s="10" t="str">
        <f t="shared" si="192"/>
        <v>-</v>
      </c>
      <c r="BE196" s="13" t="str">
        <f t="shared" si="193"/>
        <v>-</v>
      </c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</row>
    <row r="197" spans="2:70" x14ac:dyDescent="0.3">
      <c r="B197" s="96" t="str">
        <f t="shared" si="172"/>
        <v/>
      </c>
      <c r="C197" s="96" t="str">
        <f t="shared" si="173"/>
        <v/>
      </c>
      <c r="D197" s="96" t="str">
        <f t="shared" si="174"/>
        <v/>
      </c>
      <c r="E197" s="3"/>
      <c r="F197" s="3"/>
      <c r="G197" s="3"/>
      <c r="H197" s="3"/>
      <c r="I197" s="20">
        <f>IFERROR(INDEX('Input - US Food'!G$2:G$200,MATCH('Calculations - US Food'!$D197,'Input - US Food'!$B$2:$B$200,0)),"")</f>
        <v>0</v>
      </c>
      <c r="J197" s="20">
        <f>IFERROR(INDEX('Input - US Food'!H$2:H$200,MATCH('Calculations - US Food'!$D197,'Input - US Food'!$B$2:$B$200,0)),"")</f>
        <v>0</v>
      </c>
      <c r="K197" s="21">
        <f>IFERROR(INDEX('Input - US Food'!I$2:I$200,MATCH('Calculations - US Food'!$D197,'Input - US Food'!$B$2:$B$200,0)),"")</f>
        <v>0</v>
      </c>
      <c r="L197" s="21">
        <f>IFERROR(INDEX('Input - US Food'!J$2:J$200,MATCH('Calculations - US Food'!$D197,'Input - US Food'!$B$2:$B$200,0)),"")</f>
        <v>0</v>
      </c>
      <c r="M197" s="20">
        <f>IFERROR(INDEX('Input - US Food'!K$2:K$200,MATCH('Calculations - US Food'!$D197,'Input - US Food'!$B$2:$B$200,0)),"")</f>
        <v>6055363851.4215012</v>
      </c>
      <c r="N197" s="20">
        <f>IFERROR(INDEX('Input - US Food'!L$2:L$200,MATCH('Calculations - US Food'!$D197,'Input - US Food'!$B$2:$B$200,0)),"")</f>
        <v>1982155918.8720999</v>
      </c>
      <c r="O197" s="21" t="str">
        <f t="shared" si="175"/>
        <v/>
      </c>
      <c r="P197" s="21">
        <f t="shared" si="194"/>
        <v>3.0549382083257943</v>
      </c>
      <c r="Q197" s="21">
        <f t="shared" si="176"/>
        <v>0</v>
      </c>
      <c r="R197" s="9">
        <f t="shared" si="195"/>
        <v>0</v>
      </c>
      <c r="S197" s="9">
        <f t="shared" si="196"/>
        <v>0</v>
      </c>
      <c r="T197" s="22" t="str">
        <f>IFERROR(INDEX('US Food'!$S$11:$S$197,MATCH('Calculations - US Food'!$D197,'US Food'!$N$11:$N$197,0)),"")</f>
        <v/>
      </c>
      <c r="U197" s="22" t="str">
        <f>IFERROR(INDEX('US Food'!$T$11:$T$197,MATCH('Calculations - US Food'!$D197,'US Food'!$N$11:$N$197,0)),"")</f>
        <v/>
      </c>
      <c r="V197" s="16" t="e">
        <f t="shared" si="197"/>
        <v>#VALUE!</v>
      </c>
      <c r="W197" s="16" t="e">
        <f t="shared" si="177"/>
        <v>#VALUE!</v>
      </c>
      <c r="X197" s="16" t="e">
        <f t="shared" si="178"/>
        <v>#VALUE!</v>
      </c>
      <c r="Y197" s="10" t="str">
        <f t="shared" si="198"/>
        <v>-</v>
      </c>
      <c r="Z197" s="10" t="str">
        <f t="shared" si="199"/>
        <v>-</v>
      </c>
      <c r="AA197" s="13" t="str">
        <f t="shared" si="179"/>
        <v>-</v>
      </c>
      <c r="AB197" s="9" t="str">
        <f t="shared" si="200"/>
        <v>-</v>
      </c>
      <c r="AC197" s="16" t="str">
        <f t="shared" si="180"/>
        <v>-</v>
      </c>
      <c r="AD197" s="16" t="str">
        <f t="shared" si="201"/>
        <v>-</v>
      </c>
      <c r="AE197" s="16" t="str">
        <f t="shared" si="202"/>
        <v>-</v>
      </c>
      <c r="AF197" s="16" t="str">
        <f t="shared" si="181"/>
        <v>-</v>
      </c>
      <c r="AG197" s="16"/>
      <c r="AH197" s="32" t="str">
        <f>IFERROR(INDEX('US Food'!$R$11:$R$197,MATCH('Calculations - US Food'!D197,'US Food'!$N$11:$N$197,0)),"")</f>
        <v/>
      </c>
      <c r="AI197" s="23" t="str">
        <f t="shared" si="182"/>
        <v/>
      </c>
      <c r="AJ197" s="23" t="str">
        <f t="shared" si="183"/>
        <v/>
      </c>
      <c r="AK197" s="9" t="str">
        <f t="shared" si="203"/>
        <v/>
      </c>
      <c r="AL197" s="4" t="str">
        <f t="shared" si="204"/>
        <v/>
      </c>
      <c r="AM197" s="4"/>
      <c r="AN197" s="4"/>
      <c r="AO197" s="4"/>
      <c r="AP197" s="4"/>
      <c r="AQ197" s="4"/>
      <c r="AR197" s="20" t="str">
        <f t="shared" si="205"/>
        <v>-</v>
      </c>
      <c r="AS197" s="13" t="str">
        <f t="shared" si="184"/>
        <v>-</v>
      </c>
      <c r="AT197" s="13" t="str">
        <f t="shared" si="185"/>
        <v>-</v>
      </c>
      <c r="AU197" s="13" t="str">
        <f t="shared" si="206"/>
        <v>-</v>
      </c>
      <c r="AV197" s="16" t="str">
        <f t="shared" si="186"/>
        <v>-</v>
      </c>
      <c r="AW197" s="16" t="str">
        <f t="shared" si="207"/>
        <v>-</v>
      </c>
      <c r="AX197" s="16" t="str">
        <f t="shared" si="208"/>
        <v>-</v>
      </c>
      <c r="AY197" s="16" t="str">
        <f t="shared" si="187"/>
        <v>-</v>
      </c>
      <c r="AZ197" s="13" t="str">
        <f t="shared" si="188"/>
        <v>-</v>
      </c>
      <c r="BA197" s="10" t="str">
        <f t="shared" si="189"/>
        <v>-</v>
      </c>
      <c r="BB197" s="9" t="str">
        <f t="shared" si="190"/>
        <v>-</v>
      </c>
      <c r="BC197" s="13" t="str">
        <f t="shared" si="191"/>
        <v>-</v>
      </c>
      <c r="BD197" s="10" t="str">
        <f t="shared" si="192"/>
        <v>-</v>
      </c>
      <c r="BE197" s="13" t="str">
        <f t="shared" si="193"/>
        <v>-</v>
      </c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</row>
    <row r="198" spans="2:70" x14ac:dyDescent="0.3">
      <c r="B198" s="96" t="str">
        <f t="shared" si="172"/>
        <v/>
      </c>
      <c r="C198" s="96" t="str">
        <f t="shared" si="173"/>
        <v/>
      </c>
      <c r="D198" s="96" t="str">
        <f t="shared" si="174"/>
        <v/>
      </c>
      <c r="E198" s="3"/>
      <c r="F198" s="3"/>
      <c r="G198" s="3"/>
      <c r="H198" s="3"/>
      <c r="I198" s="20">
        <f>IFERROR(INDEX('Input - US Food'!G$2:G$200,MATCH('Calculations - US Food'!$D198,'Input - US Food'!$B$2:$B$200,0)),"")</f>
        <v>0</v>
      </c>
      <c r="J198" s="20">
        <f>IFERROR(INDEX('Input - US Food'!H$2:H$200,MATCH('Calculations - US Food'!$D198,'Input - US Food'!$B$2:$B$200,0)),"")</f>
        <v>0</v>
      </c>
      <c r="K198" s="21">
        <f>IFERROR(INDEX('Input - US Food'!I$2:I$200,MATCH('Calculations - US Food'!$D198,'Input - US Food'!$B$2:$B$200,0)),"")</f>
        <v>0</v>
      </c>
      <c r="L198" s="21">
        <f>IFERROR(INDEX('Input - US Food'!J$2:J$200,MATCH('Calculations - US Food'!$D198,'Input - US Food'!$B$2:$B$200,0)),"")</f>
        <v>0</v>
      </c>
      <c r="M198" s="20">
        <f>IFERROR(INDEX('Input - US Food'!K$2:K$200,MATCH('Calculations - US Food'!$D198,'Input - US Food'!$B$2:$B$200,0)),"")</f>
        <v>6055363851.4215012</v>
      </c>
      <c r="N198" s="20">
        <f>IFERROR(INDEX('Input - US Food'!L$2:L$200,MATCH('Calculations - US Food'!$D198,'Input - US Food'!$B$2:$B$200,0)),"")</f>
        <v>1982155918.8720999</v>
      </c>
      <c r="O198" s="21" t="str">
        <f t="shared" si="175"/>
        <v/>
      </c>
      <c r="P198" s="21">
        <f t="shared" si="194"/>
        <v>3.0549382083257943</v>
      </c>
      <c r="Q198" s="21">
        <f t="shared" si="176"/>
        <v>0</v>
      </c>
      <c r="R198" s="9">
        <f t="shared" si="195"/>
        <v>0</v>
      </c>
      <c r="S198" s="9">
        <f t="shared" si="196"/>
        <v>0</v>
      </c>
      <c r="T198" s="22" t="str">
        <f>IFERROR(INDEX('US Food'!$S$11:$S$197,MATCH('Calculations - US Food'!$D198,'US Food'!$N$11:$N$197,0)),"")</f>
        <v/>
      </c>
      <c r="U198" s="22" t="str">
        <f>IFERROR(INDEX('US Food'!$T$11:$T$197,MATCH('Calculations - US Food'!$D198,'US Food'!$N$11:$N$197,0)),"")</f>
        <v/>
      </c>
      <c r="V198" s="16" t="e">
        <f t="shared" si="197"/>
        <v>#VALUE!</v>
      </c>
      <c r="W198" s="16" t="e">
        <f t="shared" si="177"/>
        <v>#VALUE!</v>
      </c>
      <c r="X198" s="16" t="e">
        <f t="shared" si="178"/>
        <v>#VALUE!</v>
      </c>
      <c r="Y198" s="10" t="str">
        <f t="shared" si="198"/>
        <v>-</v>
      </c>
      <c r="Z198" s="10" t="str">
        <f t="shared" si="199"/>
        <v>-</v>
      </c>
      <c r="AA198" s="13" t="str">
        <f t="shared" si="179"/>
        <v>-</v>
      </c>
      <c r="AB198" s="9" t="str">
        <f t="shared" si="200"/>
        <v>-</v>
      </c>
      <c r="AC198" s="16" t="str">
        <f t="shared" si="180"/>
        <v>-</v>
      </c>
      <c r="AD198" s="16" t="str">
        <f t="shared" si="201"/>
        <v>-</v>
      </c>
      <c r="AE198" s="16" t="str">
        <f t="shared" si="202"/>
        <v>-</v>
      </c>
      <c r="AF198" s="16" t="str">
        <f t="shared" si="181"/>
        <v>-</v>
      </c>
      <c r="AG198" s="16"/>
      <c r="AH198" s="32" t="str">
        <f>IFERROR(INDEX('US Food'!$R$11:$R$197,MATCH('Calculations - US Food'!D198,'US Food'!$N$11:$N$197,0)),"")</f>
        <v/>
      </c>
      <c r="AI198" s="23" t="str">
        <f t="shared" si="182"/>
        <v/>
      </c>
      <c r="AJ198" s="23" t="str">
        <f t="shared" si="183"/>
        <v/>
      </c>
      <c r="AK198" s="9" t="str">
        <f t="shared" si="203"/>
        <v/>
      </c>
      <c r="AL198" s="4" t="str">
        <f t="shared" si="204"/>
        <v/>
      </c>
      <c r="AM198" s="4"/>
      <c r="AN198" s="4"/>
      <c r="AO198" s="4"/>
      <c r="AP198" s="4"/>
      <c r="AQ198" s="4"/>
      <c r="AR198" s="20" t="str">
        <f t="shared" si="205"/>
        <v>-</v>
      </c>
      <c r="AS198" s="13" t="str">
        <f t="shared" si="184"/>
        <v>-</v>
      </c>
      <c r="AT198" s="13" t="str">
        <f t="shared" si="185"/>
        <v>-</v>
      </c>
      <c r="AU198" s="13" t="str">
        <f t="shared" si="206"/>
        <v>-</v>
      </c>
      <c r="AV198" s="16" t="str">
        <f t="shared" si="186"/>
        <v>-</v>
      </c>
      <c r="AW198" s="16" t="str">
        <f t="shared" si="207"/>
        <v>-</v>
      </c>
      <c r="AX198" s="16" t="str">
        <f t="shared" si="208"/>
        <v>-</v>
      </c>
      <c r="AY198" s="16" t="str">
        <f t="shared" si="187"/>
        <v>-</v>
      </c>
      <c r="AZ198" s="13" t="str">
        <f t="shared" si="188"/>
        <v>-</v>
      </c>
      <c r="BA198" s="10" t="str">
        <f t="shared" si="189"/>
        <v>-</v>
      </c>
      <c r="BB198" s="9" t="str">
        <f t="shared" si="190"/>
        <v>-</v>
      </c>
      <c r="BC198" s="13" t="str">
        <f t="shared" si="191"/>
        <v>-</v>
      </c>
      <c r="BD198" s="10" t="str">
        <f t="shared" si="192"/>
        <v>-</v>
      </c>
      <c r="BE198" s="13" t="str">
        <f t="shared" si="193"/>
        <v>-</v>
      </c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</row>
    <row r="199" spans="2:70" x14ac:dyDescent="0.3">
      <c r="B199" s="96" t="str">
        <f t="shared" si="172"/>
        <v/>
      </c>
      <c r="C199" s="96" t="str">
        <f t="shared" si="173"/>
        <v/>
      </c>
      <c r="D199" s="96" t="str">
        <f t="shared" si="174"/>
        <v/>
      </c>
      <c r="E199" s="3"/>
      <c r="F199" s="3"/>
      <c r="G199" s="3"/>
      <c r="H199" s="3"/>
      <c r="I199" s="20">
        <f>IFERROR(INDEX('Input - US Food'!G$2:G$200,MATCH('Calculations - US Food'!$D199,'Input - US Food'!$B$2:$B$200,0)),"")</f>
        <v>0</v>
      </c>
      <c r="J199" s="20">
        <f>IFERROR(INDEX('Input - US Food'!H$2:H$200,MATCH('Calculations - US Food'!$D199,'Input - US Food'!$B$2:$B$200,0)),"")</f>
        <v>0</v>
      </c>
      <c r="K199" s="21">
        <f>IFERROR(INDEX('Input - US Food'!I$2:I$200,MATCH('Calculations - US Food'!$D199,'Input - US Food'!$B$2:$B$200,0)),"")</f>
        <v>0</v>
      </c>
      <c r="L199" s="21">
        <f>IFERROR(INDEX('Input - US Food'!J$2:J$200,MATCH('Calculations - US Food'!$D199,'Input - US Food'!$B$2:$B$200,0)),"")</f>
        <v>0</v>
      </c>
      <c r="M199" s="20">
        <f>IFERROR(INDEX('Input - US Food'!K$2:K$200,MATCH('Calculations - US Food'!$D199,'Input - US Food'!$B$2:$B$200,0)),"")</f>
        <v>6055363851.4215012</v>
      </c>
      <c r="N199" s="20">
        <f>IFERROR(INDEX('Input - US Food'!L$2:L$200,MATCH('Calculations - US Food'!$D199,'Input - US Food'!$B$2:$B$200,0)),"")</f>
        <v>1982155918.8720999</v>
      </c>
      <c r="O199" s="21" t="str">
        <f t="shared" si="175"/>
        <v/>
      </c>
      <c r="P199" s="21">
        <f t="shared" si="194"/>
        <v>3.0549382083257943</v>
      </c>
      <c r="Q199" s="21">
        <f t="shared" si="176"/>
        <v>0</v>
      </c>
      <c r="R199" s="9">
        <f t="shared" si="195"/>
        <v>0</v>
      </c>
      <c r="S199" s="9">
        <f t="shared" si="196"/>
        <v>0</v>
      </c>
      <c r="T199" s="22" t="str">
        <f>IFERROR(INDEX('US Food'!$S$11:$S$197,MATCH('Calculations - US Food'!$D199,'US Food'!$N$11:$N$197,0)),"")</f>
        <v/>
      </c>
      <c r="U199" s="22" t="str">
        <f>IFERROR(INDEX('US Food'!$T$11:$T$197,MATCH('Calculations - US Food'!$D199,'US Food'!$N$11:$N$197,0)),"")</f>
        <v/>
      </c>
      <c r="V199" s="16" t="e">
        <f t="shared" si="197"/>
        <v>#VALUE!</v>
      </c>
      <c r="W199" s="16" t="e">
        <f t="shared" si="177"/>
        <v>#VALUE!</v>
      </c>
      <c r="X199" s="16" t="e">
        <f t="shared" si="178"/>
        <v>#VALUE!</v>
      </c>
      <c r="Y199" s="10" t="str">
        <f t="shared" si="198"/>
        <v>-</v>
      </c>
      <c r="Z199" s="10" t="str">
        <f t="shared" si="199"/>
        <v>-</v>
      </c>
      <c r="AA199" s="13" t="str">
        <f t="shared" si="179"/>
        <v>-</v>
      </c>
      <c r="AB199" s="9" t="str">
        <f t="shared" si="200"/>
        <v>-</v>
      </c>
      <c r="AC199" s="16" t="str">
        <f t="shared" si="180"/>
        <v>-</v>
      </c>
      <c r="AD199" s="16" t="str">
        <f t="shared" si="201"/>
        <v>-</v>
      </c>
      <c r="AE199" s="16" t="str">
        <f t="shared" si="202"/>
        <v>-</v>
      </c>
      <c r="AF199" s="16" t="str">
        <f t="shared" si="181"/>
        <v>-</v>
      </c>
      <c r="AG199" s="16"/>
      <c r="AH199" s="32" t="str">
        <f>IFERROR(INDEX('US Food'!$R$11:$R$197,MATCH('Calculations - US Food'!D199,'US Food'!$N$11:$N$197,0)),"")</f>
        <v/>
      </c>
      <c r="AI199" s="23" t="str">
        <f t="shared" si="182"/>
        <v/>
      </c>
      <c r="AJ199" s="23" t="str">
        <f t="shared" si="183"/>
        <v/>
      </c>
      <c r="AK199" s="9" t="str">
        <f t="shared" si="203"/>
        <v/>
      </c>
      <c r="AL199" s="4" t="str">
        <f t="shared" si="204"/>
        <v/>
      </c>
      <c r="AM199" s="4"/>
      <c r="AN199" s="4"/>
      <c r="AO199" s="4"/>
      <c r="AP199" s="4"/>
      <c r="AQ199" s="4"/>
      <c r="AR199" s="20" t="str">
        <f t="shared" si="205"/>
        <v>-</v>
      </c>
      <c r="AS199" s="13" t="str">
        <f t="shared" si="184"/>
        <v>-</v>
      </c>
      <c r="AT199" s="13" t="str">
        <f t="shared" si="185"/>
        <v>-</v>
      </c>
      <c r="AU199" s="13" t="str">
        <f t="shared" si="206"/>
        <v>-</v>
      </c>
      <c r="AV199" s="16" t="str">
        <f t="shared" si="186"/>
        <v>-</v>
      </c>
      <c r="AW199" s="16" t="str">
        <f t="shared" si="207"/>
        <v>-</v>
      </c>
      <c r="AX199" s="16" t="str">
        <f t="shared" si="208"/>
        <v>-</v>
      </c>
      <c r="AY199" s="16" t="str">
        <f t="shared" si="187"/>
        <v>-</v>
      </c>
      <c r="AZ199" s="13" t="str">
        <f t="shared" si="188"/>
        <v>-</v>
      </c>
      <c r="BA199" s="10" t="str">
        <f t="shared" si="189"/>
        <v>-</v>
      </c>
      <c r="BB199" s="9" t="str">
        <f t="shared" si="190"/>
        <v>-</v>
      </c>
      <c r="BC199" s="13" t="str">
        <f t="shared" si="191"/>
        <v>-</v>
      </c>
      <c r="BD199" s="10" t="str">
        <f t="shared" si="192"/>
        <v>-</v>
      </c>
      <c r="BE199" s="13" t="str">
        <f t="shared" si="193"/>
        <v>-</v>
      </c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</row>
    <row r="200" spans="2:70" x14ac:dyDescent="0.3">
      <c r="B200" s="96" t="str">
        <f t="shared" si="172"/>
        <v/>
      </c>
      <c r="C200" s="96" t="str">
        <f t="shared" si="173"/>
        <v/>
      </c>
      <c r="D200" s="96" t="str">
        <f t="shared" si="174"/>
        <v/>
      </c>
      <c r="E200" s="3"/>
      <c r="F200" s="3"/>
      <c r="G200" s="3"/>
      <c r="H200" s="3"/>
      <c r="I200" s="20">
        <f>IFERROR(INDEX('Input - US Food'!G$2:G$200,MATCH('Calculations - US Food'!$D200,'Input - US Food'!$B$2:$B$200,0)),"")</f>
        <v>0</v>
      </c>
      <c r="J200" s="20">
        <f>IFERROR(INDEX('Input - US Food'!H$2:H$200,MATCH('Calculations - US Food'!$D200,'Input - US Food'!$B$2:$B$200,0)),"")</f>
        <v>0</v>
      </c>
      <c r="K200" s="21">
        <f>IFERROR(INDEX('Input - US Food'!I$2:I$200,MATCH('Calculations - US Food'!$D200,'Input - US Food'!$B$2:$B$200,0)),"")</f>
        <v>0</v>
      </c>
      <c r="L200" s="21">
        <f>IFERROR(INDEX('Input - US Food'!J$2:J$200,MATCH('Calculations - US Food'!$D200,'Input - US Food'!$B$2:$B$200,0)),"")</f>
        <v>0</v>
      </c>
      <c r="M200" s="20">
        <f>IFERROR(INDEX('Input - US Food'!K$2:K$200,MATCH('Calculations - US Food'!$D200,'Input - US Food'!$B$2:$B$200,0)),"")</f>
        <v>6055363851.4215012</v>
      </c>
      <c r="N200" s="20">
        <f>IFERROR(INDEX('Input - US Food'!L$2:L$200,MATCH('Calculations - US Food'!$D200,'Input - US Food'!$B$2:$B$200,0)),"")</f>
        <v>1982155918.8720999</v>
      </c>
      <c r="O200" s="21" t="str">
        <f t="shared" si="175"/>
        <v/>
      </c>
      <c r="P200" s="21">
        <f t="shared" si="194"/>
        <v>3.0549382083257943</v>
      </c>
      <c r="Q200" s="21">
        <f t="shared" si="176"/>
        <v>0</v>
      </c>
      <c r="R200" s="9">
        <f t="shared" si="195"/>
        <v>0</v>
      </c>
      <c r="S200" s="9">
        <f t="shared" si="196"/>
        <v>0</v>
      </c>
      <c r="T200" s="22" t="str">
        <f>IFERROR(INDEX('US Food'!$S$11:$S$197,MATCH('Calculations - US Food'!$D200,'US Food'!$N$11:$N$197,0)),"")</f>
        <v/>
      </c>
      <c r="U200" s="22" t="str">
        <f>IFERROR(INDEX('US Food'!$T$11:$T$197,MATCH('Calculations - US Food'!$D200,'US Food'!$N$11:$N$197,0)),"")</f>
        <v/>
      </c>
      <c r="V200" s="16" t="e">
        <f t="shared" si="197"/>
        <v>#VALUE!</v>
      </c>
      <c r="W200" s="16" t="e">
        <f t="shared" si="177"/>
        <v>#VALUE!</v>
      </c>
      <c r="X200" s="16" t="e">
        <f t="shared" si="178"/>
        <v>#VALUE!</v>
      </c>
      <c r="Y200" s="10" t="str">
        <f t="shared" si="198"/>
        <v>-</v>
      </c>
      <c r="Z200" s="10" t="str">
        <f t="shared" si="199"/>
        <v>-</v>
      </c>
      <c r="AA200" s="13" t="str">
        <f t="shared" si="179"/>
        <v>-</v>
      </c>
      <c r="AB200" s="9" t="str">
        <f t="shared" si="200"/>
        <v>-</v>
      </c>
      <c r="AC200" s="16" t="str">
        <f t="shared" si="180"/>
        <v>-</v>
      </c>
      <c r="AD200" s="16" t="str">
        <f t="shared" si="201"/>
        <v>-</v>
      </c>
      <c r="AE200" s="16" t="str">
        <f t="shared" si="202"/>
        <v>-</v>
      </c>
      <c r="AF200" s="16" t="str">
        <f t="shared" si="181"/>
        <v>-</v>
      </c>
      <c r="AG200" s="16"/>
      <c r="AH200" s="32" t="str">
        <f>IFERROR(INDEX('US Food'!$R$11:$R$197,MATCH('Calculations - US Food'!D200,'US Food'!$N$11:$N$197,0)),"")</f>
        <v/>
      </c>
      <c r="AI200" s="23" t="str">
        <f t="shared" si="182"/>
        <v/>
      </c>
      <c r="AJ200" s="23" t="str">
        <f t="shared" si="183"/>
        <v/>
      </c>
      <c r="AK200" s="9" t="str">
        <f t="shared" si="203"/>
        <v/>
      </c>
      <c r="AL200" s="4" t="str">
        <f t="shared" si="204"/>
        <v/>
      </c>
      <c r="AM200" s="4"/>
      <c r="AN200" s="4"/>
      <c r="AO200" s="4"/>
      <c r="AP200" s="4"/>
      <c r="AQ200" s="4"/>
      <c r="AR200" s="20" t="str">
        <f t="shared" si="205"/>
        <v>-</v>
      </c>
      <c r="AS200" s="13" t="str">
        <f t="shared" si="184"/>
        <v>-</v>
      </c>
      <c r="AT200" s="13" t="str">
        <f t="shared" si="185"/>
        <v>-</v>
      </c>
      <c r="AU200" s="13" t="str">
        <f t="shared" si="206"/>
        <v>-</v>
      </c>
      <c r="AV200" s="16" t="str">
        <f t="shared" si="186"/>
        <v>-</v>
      </c>
      <c r="AW200" s="16" t="str">
        <f t="shared" si="207"/>
        <v>-</v>
      </c>
      <c r="AX200" s="16" t="str">
        <f t="shared" si="208"/>
        <v>-</v>
      </c>
      <c r="AY200" s="16" t="str">
        <f t="shared" si="187"/>
        <v>-</v>
      </c>
      <c r="AZ200" s="13" t="str">
        <f t="shared" si="188"/>
        <v>-</v>
      </c>
      <c r="BA200" s="10" t="str">
        <f t="shared" si="189"/>
        <v>-</v>
      </c>
      <c r="BB200" s="9" t="str">
        <f t="shared" si="190"/>
        <v>-</v>
      </c>
      <c r="BC200" s="13" t="str">
        <f t="shared" si="191"/>
        <v>-</v>
      </c>
      <c r="BD200" s="10" t="str">
        <f t="shared" si="192"/>
        <v>-</v>
      </c>
      <c r="BE200" s="13" t="str">
        <f t="shared" si="193"/>
        <v>-</v>
      </c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</row>
    <row r="201" spans="2:70" x14ac:dyDescent="0.3">
      <c r="B201" s="96" t="str">
        <f t="shared" si="172"/>
        <v/>
      </c>
      <c r="C201" s="96" t="str">
        <f t="shared" si="173"/>
        <v/>
      </c>
      <c r="D201" s="96" t="str">
        <f t="shared" si="174"/>
        <v/>
      </c>
      <c r="E201" s="3"/>
      <c r="F201" s="3"/>
      <c r="G201" s="3"/>
      <c r="H201" s="3"/>
      <c r="I201" s="20">
        <f>IFERROR(INDEX('Input - US Food'!G$2:G$200,MATCH('Calculations - US Food'!$D201,'Input - US Food'!$B$2:$B$200,0)),"")</f>
        <v>0</v>
      </c>
      <c r="J201" s="20">
        <f>IFERROR(INDEX('Input - US Food'!H$2:H$200,MATCH('Calculations - US Food'!$D201,'Input - US Food'!$B$2:$B$200,0)),"")</f>
        <v>0</v>
      </c>
      <c r="K201" s="21">
        <f>IFERROR(INDEX('Input - US Food'!I$2:I$200,MATCH('Calculations - US Food'!$D201,'Input - US Food'!$B$2:$B$200,0)),"")</f>
        <v>0</v>
      </c>
      <c r="L201" s="21">
        <f>IFERROR(INDEX('Input - US Food'!J$2:J$200,MATCH('Calculations - US Food'!$D201,'Input - US Food'!$B$2:$B$200,0)),"")</f>
        <v>0</v>
      </c>
      <c r="M201" s="20">
        <f>IFERROR(INDEX('Input - US Food'!K$2:K$200,MATCH('Calculations - US Food'!$D201,'Input - US Food'!$B$2:$B$200,0)),"")</f>
        <v>6055363851.4215012</v>
      </c>
      <c r="N201" s="20">
        <f>IFERROR(INDEX('Input - US Food'!L$2:L$200,MATCH('Calculations - US Food'!$D201,'Input - US Food'!$B$2:$B$200,0)),"")</f>
        <v>1982155918.8720999</v>
      </c>
      <c r="O201" s="21" t="str">
        <f t="shared" si="175"/>
        <v/>
      </c>
      <c r="P201" s="21">
        <f t="shared" si="194"/>
        <v>3.0549382083257943</v>
      </c>
      <c r="Q201" s="21">
        <f t="shared" si="176"/>
        <v>0</v>
      </c>
      <c r="R201" s="9">
        <f t="shared" si="195"/>
        <v>0</v>
      </c>
      <c r="S201" s="9">
        <f t="shared" si="196"/>
        <v>0</v>
      </c>
      <c r="T201" s="22" t="str">
        <f>IFERROR(INDEX('US Food'!$S$11:$S$197,MATCH('Calculations - US Food'!$D201,'US Food'!$N$11:$N$197,0)),"")</f>
        <v/>
      </c>
      <c r="U201" s="22" t="str">
        <f>IFERROR(INDEX('US Food'!$T$11:$T$197,MATCH('Calculations - US Food'!$D201,'US Food'!$N$11:$N$197,0)),"")</f>
        <v/>
      </c>
      <c r="V201" s="16" t="e">
        <f t="shared" si="197"/>
        <v>#VALUE!</v>
      </c>
      <c r="W201" s="16" t="e">
        <f t="shared" si="177"/>
        <v>#VALUE!</v>
      </c>
      <c r="X201" s="16" t="e">
        <f t="shared" si="178"/>
        <v>#VALUE!</v>
      </c>
      <c r="Y201" s="10" t="str">
        <f t="shared" si="198"/>
        <v>-</v>
      </c>
      <c r="Z201" s="10" t="str">
        <f t="shared" si="199"/>
        <v>-</v>
      </c>
      <c r="AA201" s="13" t="str">
        <f t="shared" si="179"/>
        <v>-</v>
      </c>
      <c r="AB201" s="9" t="str">
        <f t="shared" si="200"/>
        <v>-</v>
      </c>
      <c r="AC201" s="16" t="str">
        <f t="shared" si="180"/>
        <v>-</v>
      </c>
      <c r="AD201" s="16" t="str">
        <f t="shared" si="201"/>
        <v>-</v>
      </c>
      <c r="AE201" s="16" t="str">
        <f t="shared" si="202"/>
        <v>-</v>
      </c>
      <c r="AF201" s="16" t="str">
        <f t="shared" si="181"/>
        <v>-</v>
      </c>
      <c r="AG201" s="16"/>
      <c r="AH201" s="32" t="str">
        <f>IFERROR(INDEX('US Food'!$R$11:$R$197,MATCH('Calculations - US Food'!D201,'US Food'!$N$11:$N$197,0)),"")</f>
        <v/>
      </c>
      <c r="AI201" s="23" t="str">
        <f t="shared" si="182"/>
        <v/>
      </c>
      <c r="AJ201" s="23" t="str">
        <f t="shared" si="183"/>
        <v/>
      </c>
      <c r="AK201" s="9" t="str">
        <f t="shared" si="203"/>
        <v/>
      </c>
      <c r="AL201" s="4" t="str">
        <f t="shared" si="204"/>
        <v/>
      </c>
      <c r="AM201" s="4"/>
      <c r="AN201" s="4"/>
      <c r="AO201" s="4"/>
      <c r="AP201" s="4"/>
      <c r="AQ201" s="4"/>
      <c r="AR201" s="20" t="str">
        <f t="shared" si="205"/>
        <v>-</v>
      </c>
      <c r="AS201" s="13" t="str">
        <f t="shared" si="184"/>
        <v>-</v>
      </c>
      <c r="AT201" s="13" t="str">
        <f t="shared" si="185"/>
        <v>-</v>
      </c>
      <c r="AU201" s="13" t="str">
        <f t="shared" si="206"/>
        <v>-</v>
      </c>
      <c r="AV201" s="16" t="str">
        <f t="shared" si="186"/>
        <v>-</v>
      </c>
      <c r="AW201" s="16" t="str">
        <f t="shared" si="207"/>
        <v>-</v>
      </c>
      <c r="AX201" s="16" t="str">
        <f t="shared" si="208"/>
        <v>-</v>
      </c>
      <c r="AY201" s="16" t="str">
        <f t="shared" si="187"/>
        <v>-</v>
      </c>
      <c r="AZ201" s="13" t="str">
        <f t="shared" si="188"/>
        <v>-</v>
      </c>
      <c r="BA201" s="10" t="str">
        <f t="shared" si="189"/>
        <v>-</v>
      </c>
      <c r="BB201" s="9" t="str">
        <f t="shared" si="190"/>
        <v>-</v>
      </c>
      <c r="BC201" s="13" t="str">
        <f t="shared" si="191"/>
        <v>-</v>
      </c>
      <c r="BD201" s="10" t="str">
        <f t="shared" si="192"/>
        <v>-</v>
      </c>
      <c r="BE201" s="13" t="str">
        <f t="shared" si="193"/>
        <v>-</v>
      </c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</row>
    <row r="202" spans="2:70" x14ac:dyDescent="0.3">
      <c r="B202" s="96" t="str">
        <f t="shared" si="172"/>
        <v/>
      </c>
      <c r="C202" s="96" t="str">
        <f t="shared" si="173"/>
        <v/>
      </c>
      <c r="D202" s="96" t="str">
        <f t="shared" si="174"/>
        <v/>
      </c>
      <c r="E202" s="3"/>
      <c r="F202" s="3"/>
      <c r="G202" s="3"/>
      <c r="H202" s="3"/>
      <c r="I202" s="20">
        <f>IFERROR(INDEX('Input - US Food'!G$2:G$200,MATCH('Calculations - US Food'!$D202,'Input - US Food'!$B$2:$B$200,0)),"")</f>
        <v>0</v>
      </c>
      <c r="J202" s="20">
        <f>IFERROR(INDEX('Input - US Food'!H$2:H$200,MATCH('Calculations - US Food'!$D202,'Input - US Food'!$B$2:$B$200,0)),"")</f>
        <v>0</v>
      </c>
      <c r="K202" s="21">
        <f>IFERROR(INDEX('Input - US Food'!I$2:I$200,MATCH('Calculations - US Food'!$D202,'Input - US Food'!$B$2:$B$200,0)),"")</f>
        <v>0</v>
      </c>
      <c r="L202" s="21">
        <f>IFERROR(INDEX('Input - US Food'!J$2:J$200,MATCH('Calculations - US Food'!$D202,'Input - US Food'!$B$2:$B$200,0)),"")</f>
        <v>0</v>
      </c>
      <c r="M202" s="20">
        <f>IFERROR(INDEX('Input - US Food'!K$2:K$200,MATCH('Calculations - US Food'!$D202,'Input - US Food'!$B$2:$B$200,0)),"")</f>
        <v>6055363851.4215012</v>
      </c>
      <c r="N202" s="20">
        <f>IFERROR(INDEX('Input - US Food'!L$2:L$200,MATCH('Calculations - US Food'!$D202,'Input - US Food'!$B$2:$B$200,0)),"")</f>
        <v>1982155918.8720999</v>
      </c>
      <c r="O202" s="21" t="str">
        <f t="shared" si="175"/>
        <v/>
      </c>
      <c r="P202" s="21">
        <f t="shared" si="194"/>
        <v>3.0549382083257943</v>
      </c>
      <c r="Q202" s="21">
        <f t="shared" si="176"/>
        <v>0</v>
      </c>
      <c r="R202" s="9">
        <f t="shared" si="195"/>
        <v>0</v>
      </c>
      <c r="S202" s="9">
        <f t="shared" si="196"/>
        <v>0</v>
      </c>
      <c r="T202" s="22" t="str">
        <f>IFERROR(INDEX('US Food'!$S$11:$S$197,MATCH('Calculations - US Food'!$D202,'US Food'!$N$11:$N$197,0)),"")</f>
        <v/>
      </c>
      <c r="U202" s="22" t="str">
        <f>IFERROR(INDEX('US Food'!$T$11:$T$197,MATCH('Calculations - US Food'!$D202,'US Food'!$N$11:$N$197,0)),"")</f>
        <v/>
      </c>
      <c r="V202" s="16" t="e">
        <f t="shared" si="197"/>
        <v>#VALUE!</v>
      </c>
      <c r="W202" s="16" t="e">
        <f t="shared" si="177"/>
        <v>#VALUE!</v>
      </c>
      <c r="X202" s="16" t="e">
        <f t="shared" si="178"/>
        <v>#VALUE!</v>
      </c>
      <c r="Y202" s="10" t="str">
        <f t="shared" si="198"/>
        <v>-</v>
      </c>
      <c r="Z202" s="10" t="str">
        <f t="shared" si="199"/>
        <v>-</v>
      </c>
      <c r="AA202" s="13" t="str">
        <f t="shared" si="179"/>
        <v>-</v>
      </c>
      <c r="AB202" s="9" t="str">
        <f t="shared" si="200"/>
        <v>-</v>
      </c>
      <c r="AC202" s="16" t="str">
        <f t="shared" si="180"/>
        <v>-</v>
      </c>
      <c r="AD202" s="16" t="str">
        <f t="shared" si="201"/>
        <v>-</v>
      </c>
      <c r="AE202" s="16" t="str">
        <f t="shared" si="202"/>
        <v>-</v>
      </c>
      <c r="AF202" s="16" t="str">
        <f t="shared" si="181"/>
        <v>-</v>
      </c>
      <c r="AG202" s="16"/>
      <c r="AH202" s="32" t="str">
        <f>IFERROR(INDEX('US Food'!$R$11:$R$197,MATCH('Calculations - US Food'!D202,'US Food'!$N$11:$N$197,0)),"")</f>
        <v/>
      </c>
      <c r="AI202" s="23" t="str">
        <f t="shared" si="182"/>
        <v/>
      </c>
      <c r="AJ202" s="23" t="str">
        <f t="shared" si="183"/>
        <v/>
      </c>
      <c r="AK202" s="9" t="str">
        <f t="shared" si="203"/>
        <v/>
      </c>
      <c r="AL202" s="4" t="str">
        <f t="shared" si="204"/>
        <v/>
      </c>
      <c r="AM202" s="4"/>
      <c r="AN202" s="4"/>
      <c r="AO202" s="4"/>
      <c r="AP202" s="4"/>
      <c r="AQ202" s="4"/>
      <c r="AR202" s="20" t="str">
        <f t="shared" si="205"/>
        <v>-</v>
      </c>
      <c r="AS202" s="13" t="str">
        <f t="shared" si="184"/>
        <v>-</v>
      </c>
      <c r="AT202" s="13" t="str">
        <f t="shared" si="185"/>
        <v>-</v>
      </c>
      <c r="AU202" s="13" t="str">
        <f t="shared" si="206"/>
        <v>-</v>
      </c>
      <c r="AV202" s="16" t="str">
        <f t="shared" si="186"/>
        <v>-</v>
      </c>
      <c r="AW202" s="16" t="str">
        <f t="shared" si="207"/>
        <v>-</v>
      </c>
      <c r="AX202" s="16" t="str">
        <f t="shared" si="208"/>
        <v>-</v>
      </c>
      <c r="AY202" s="16" t="str">
        <f t="shared" si="187"/>
        <v>-</v>
      </c>
      <c r="AZ202" s="13" t="str">
        <f t="shared" si="188"/>
        <v>-</v>
      </c>
      <c r="BA202" s="10" t="str">
        <f t="shared" si="189"/>
        <v>-</v>
      </c>
      <c r="BB202" s="9" t="str">
        <f t="shared" si="190"/>
        <v>-</v>
      </c>
      <c r="BC202" s="13" t="str">
        <f t="shared" si="191"/>
        <v>-</v>
      </c>
      <c r="BD202" s="10" t="str">
        <f t="shared" si="192"/>
        <v>-</v>
      </c>
      <c r="BE202" s="13" t="str">
        <f t="shared" si="193"/>
        <v>-</v>
      </c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</row>
    <row r="203" spans="2:70" x14ac:dyDescent="0.3">
      <c r="B203" s="96" t="str">
        <f t="shared" si="172"/>
        <v/>
      </c>
      <c r="C203" s="96" t="str">
        <f t="shared" si="173"/>
        <v/>
      </c>
      <c r="D203" s="96" t="str">
        <f t="shared" si="174"/>
        <v/>
      </c>
      <c r="E203" s="3"/>
      <c r="F203" s="3"/>
      <c r="G203" s="3"/>
      <c r="H203" s="3"/>
      <c r="I203" s="20">
        <f>IFERROR(INDEX('Input - US Food'!G$2:G$200,MATCH('Calculations - US Food'!$D203,'Input - US Food'!$B$2:$B$200,0)),"")</f>
        <v>0</v>
      </c>
      <c r="J203" s="20">
        <f>IFERROR(INDEX('Input - US Food'!H$2:H$200,MATCH('Calculations - US Food'!$D203,'Input - US Food'!$B$2:$B$200,0)),"")</f>
        <v>0</v>
      </c>
      <c r="K203" s="21">
        <f>IFERROR(INDEX('Input - US Food'!I$2:I$200,MATCH('Calculations - US Food'!$D203,'Input - US Food'!$B$2:$B$200,0)),"")</f>
        <v>0</v>
      </c>
      <c r="L203" s="21">
        <f>IFERROR(INDEX('Input - US Food'!J$2:J$200,MATCH('Calculations - US Food'!$D203,'Input - US Food'!$B$2:$B$200,0)),"")</f>
        <v>0</v>
      </c>
      <c r="M203" s="20">
        <f>IFERROR(INDEX('Input - US Food'!K$2:K$200,MATCH('Calculations - US Food'!$D203,'Input - US Food'!$B$2:$B$200,0)),"")</f>
        <v>6055363851.4215012</v>
      </c>
      <c r="N203" s="20">
        <f>IFERROR(INDEX('Input - US Food'!L$2:L$200,MATCH('Calculations - US Food'!$D203,'Input - US Food'!$B$2:$B$200,0)),"")</f>
        <v>1982155918.8720999</v>
      </c>
      <c r="O203" s="21" t="str">
        <f t="shared" si="175"/>
        <v/>
      </c>
      <c r="P203" s="21">
        <f t="shared" si="194"/>
        <v>3.0549382083257943</v>
      </c>
      <c r="Q203" s="21">
        <f t="shared" si="176"/>
        <v>0</v>
      </c>
      <c r="R203" s="9">
        <f t="shared" si="195"/>
        <v>0</v>
      </c>
      <c r="S203" s="9">
        <f t="shared" si="196"/>
        <v>0</v>
      </c>
      <c r="T203" s="22" t="str">
        <f>IFERROR(INDEX('US Food'!$S$11:$S$197,MATCH('Calculations - US Food'!$D203,'US Food'!$N$11:$N$197,0)),"")</f>
        <v/>
      </c>
      <c r="U203" s="22" t="str">
        <f>IFERROR(INDEX('US Food'!$T$11:$T$197,MATCH('Calculations - US Food'!$D203,'US Food'!$N$11:$N$197,0)),"")</f>
        <v/>
      </c>
      <c r="V203" s="16" t="e">
        <f t="shared" si="197"/>
        <v>#VALUE!</v>
      </c>
      <c r="W203" s="16" t="e">
        <f t="shared" si="177"/>
        <v>#VALUE!</v>
      </c>
      <c r="X203" s="16" t="e">
        <f t="shared" si="178"/>
        <v>#VALUE!</v>
      </c>
      <c r="Y203" s="10" t="str">
        <f t="shared" si="198"/>
        <v>-</v>
      </c>
      <c r="Z203" s="10" t="str">
        <f t="shared" si="199"/>
        <v>-</v>
      </c>
      <c r="AA203" s="13" t="str">
        <f t="shared" si="179"/>
        <v>-</v>
      </c>
      <c r="AB203" s="9" t="str">
        <f t="shared" si="200"/>
        <v>-</v>
      </c>
      <c r="AC203" s="16" t="str">
        <f t="shared" si="180"/>
        <v>-</v>
      </c>
      <c r="AD203" s="16" t="str">
        <f t="shared" si="201"/>
        <v>-</v>
      </c>
      <c r="AE203" s="16" t="str">
        <f t="shared" si="202"/>
        <v>-</v>
      </c>
      <c r="AF203" s="16" t="str">
        <f t="shared" si="181"/>
        <v>-</v>
      </c>
      <c r="AG203" s="16"/>
      <c r="AH203" s="32" t="str">
        <f>IFERROR(INDEX('US Food'!$R$11:$R$197,MATCH('Calculations - US Food'!D203,'US Food'!$N$11:$N$197,0)),"")</f>
        <v/>
      </c>
      <c r="AI203" s="23" t="str">
        <f t="shared" si="182"/>
        <v/>
      </c>
      <c r="AJ203" s="23" t="str">
        <f t="shared" si="183"/>
        <v/>
      </c>
      <c r="AK203" s="9" t="str">
        <f t="shared" si="203"/>
        <v/>
      </c>
      <c r="AL203" s="4" t="str">
        <f t="shared" si="204"/>
        <v/>
      </c>
      <c r="AM203" s="4"/>
      <c r="AN203" s="4"/>
      <c r="AO203" s="4"/>
      <c r="AP203" s="4"/>
      <c r="AQ203" s="4"/>
      <c r="AR203" s="20" t="str">
        <f t="shared" si="205"/>
        <v>-</v>
      </c>
      <c r="AS203" s="13" t="str">
        <f t="shared" si="184"/>
        <v>-</v>
      </c>
      <c r="AT203" s="13" t="str">
        <f t="shared" si="185"/>
        <v>-</v>
      </c>
      <c r="AU203" s="13" t="str">
        <f t="shared" si="206"/>
        <v>-</v>
      </c>
      <c r="AV203" s="16" t="str">
        <f t="shared" si="186"/>
        <v>-</v>
      </c>
      <c r="AW203" s="16" t="str">
        <f t="shared" si="207"/>
        <v>-</v>
      </c>
      <c r="AX203" s="16" t="str">
        <f t="shared" si="208"/>
        <v>-</v>
      </c>
      <c r="AY203" s="16" t="str">
        <f t="shared" si="187"/>
        <v>-</v>
      </c>
      <c r="AZ203" s="13" t="str">
        <f t="shared" si="188"/>
        <v>-</v>
      </c>
      <c r="BA203" s="10" t="str">
        <f t="shared" si="189"/>
        <v>-</v>
      </c>
      <c r="BB203" s="9" t="str">
        <f t="shared" si="190"/>
        <v>-</v>
      </c>
      <c r="BC203" s="13" t="str">
        <f t="shared" si="191"/>
        <v>-</v>
      </c>
      <c r="BD203" s="10" t="str">
        <f t="shared" si="192"/>
        <v>-</v>
      </c>
      <c r="BE203" s="13" t="str">
        <f t="shared" si="193"/>
        <v>-</v>
      </c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</row>
    <row r="204" spans="2:70" x14ac:dyDescent="0.3">
      <c r="B204" s="96" t="str">
        <f t="shared" si="172"/>
        <v/>
      </c>
      <c r="C204" s="96" t="str">
        <f t="shared" si="173"/>
        <v/>
      </c>
      <c r="D204" s="96" t="str">
        <f t="shared" si="174"/>
        <v/>
      </c>
      <c r="E204" s="3"/>
      <c r="F204" s="3"/>
      <c r="G204" s="3"/>
      <c r="H204" s="3"/>
      <c r="I204" s="20">
        <f>IFERROR(INDEX('Input - US Food'!G$2:G$200,MATCH('Calculations - US Food'!$D204,'Input - US Food'!$B$2:$B$200,0)),"")</f>
        <v>0</v>
      </c>
      <c r="J204" s="20">
        <f>IFERROR(INDEX('Input - US Food'!H$2:H$200,MATCH('Calculations - US Food'!$D204,'Input - US Food'!$B$2:$B$200,0)),"")</f>
        <v>0</v>
      </c>
      <c r="K204" s="21">
        <f>IFERROR(INDEX('Input - US Food'!I$2:I$200,MATCH('Calculations - US Food'!$D204,'Input - US Food'!$B$2:$B$200,0)),"")</f>
        <v>0</v>
      </c>
      <c r="L204" s="21">
        <f>IFERROR(INDEX('Input - US Food'!J$2:J$200,MATCH('Calculations - US Food'!$D204,'Input - US Food'!$B$2:$B$200,0)),"")</f>
        <v>0</v>
      </c>
      <c r="M204" s="20">
        <f>IFERROR(INDEX('Input - US Food'!K$2:K$200,MATCH('Calculations - US Food'!$D204,'Input - US Food'!$B$2:$B$200,0)),"")</f>
        <v>6055363851.4215012</v>
      </c>
      <c r="N204" s="20">
        <f>IFERROR(INDEX('Input - US Food'!L$2:L$200,MATCH('Calculations - US Food'!$D204,'Input - US Food'!$B$2:$B$200,0)),"")</f>
        <v>1982155918.8720999</v>
      </c>
      <c r="O204" s="21" t="str">
        <f t="shared" si="175"/>
        <v/>
      </c>
      <c r="P204" s="21">
        <f t="shared" si="194"/>
        <v>3.0549382083257943</v>
      </c>
      <c r="Q204" s="21">
        <f t="shared" si="176"/>
        <v>0</v>
      </c>
      <c r="R204" s="9">
        <f t="shared" si="195"/>
        <v>0</v>
      </c>
      <c r="S204" s="9">
        <f t="shared" si="196"/>
        <v>0</v>
      </c>
      <c r="T204" s="22" t="str">
        <f>IFERROR(INDEX('US Food'!$S$11:$S$197,MATCH('Calculations - US Food'!$D204,'US Food'!$N$11:$N$197,0)),"")</f>
        <v/>
      </c>
      <c r="U204" s="22" t="str">
        <f>IFERROR(INDEX('US Food'!$T$11:$T$197,MATCH('Calculations - US Food'!$D204,'US Food'!$N$11:$N$197,0)),"")</f>
        <v/>
      </c>
      <c r="V204" s="16" t="e">
        <f t="shared" si="197"/>
        <v>#VALUE!</v>
      </c>
      <c r="W204" s="16" t="e">
        <f t="shared" si="177"/>
        <v>#VALUE!</v>
      </c>
      <c r="X204" s="16" t="e">
        <f t="shared" si="178"/>
        <v>#VALUE!</v>
      </c>
      <c r="Y204" s="10" t="str">
        <f t="shared" si="198"/>
        <v>-</v>
      </c>
      <c r="Z204" s="10" t="str">
        <f t="shared" si="199"/>
        <v>-</v>
      </c>
      <c r="AA204" s="13" t="str">
        <f t="shared" si="179"/>
        <v>-</v>
      </c>
      <c r="AB204" s="9" t="str">
        <f t="shared" si="200"/>
        <v>-</v>
      </c>
      <c r="AC204" s="16" t="str">
        <f t="shared" si="180"/>
        <v>-</v>
      </c>
      <c r="AD204" s="16" t="str">
        <f t="shared" si="201"/>
        <v>-</v>
      </c>
      <c r="AE204" s="16" t="str">
        <f t="shared" si="202"/>
        <v>-</v>
      </c>
      <c r="AF204" s="16" t="str">
        <f t="shared" si="181"/>
        <v>-</v>
      </c>
      <c r="AG204" s="16"/>
      <c r="AH204" s="32" t="str">
        <f>IFERROR(INDEX('US Food'!$R$11:$R$197,MATCH('Calculations - US Food'!D204,'US Food'!$N$11:$N$197,0)),"")</f>
        <v/>
      </c>
      <c r="AI204" s="23" t="str">
        <f t="shared" si="182"/>
        <v/>
      </c>
      <c r="AJ204" s="23" t="str">
        <f t="shared" si="183"/>
        <v/>
      </c>
      <c r="AK204" s="9" t="str">
        <f t="shared" si="203"/>
        <v/>
      </c>
      <c r="AL204" s="4" t="str">
        <f t="shared" si="204"/>
        <v/>
      </c>
      <c r="AM204" s="4"/>
      <c r="AN204" s="4"/>
      <c r="AO204" s="4"/>
      <c r="AP204" s="4"/>
      <c r="AQ204" s="4"/>
      <c r="AR204" s="20" t="str">
        <f t="shared" si="205"/>
        <v>-</v>
      </c>
      <c r="AS204" s="13" t="str">
        <f t="shared" si="184"/>
        <v>-</v>
      </c>
      <c r="AT204" s="13" t="str">
        <f t="shared" si="185"/>
        <v>-</v>
      </c>
      <c r="AU204" s="13" t="str">
        <f t="shared" si="206"/>
        <v>-</v>
      </c>
      <c r="AV204" s="16" t="str">
        <f t="shared" si="186"/>
        <v>-</v>
      </c>
      <c r="AW204" s="16" t="str">
        <f t="shared" si="207"/>
        <v>-</v>
      </c>
      <c r="AX204" s="16" t="str">
        <f t="shared" si="208"/>
        <v>-</v>
      </c>
      <c r="AY204" s="16" t="str">
        <f t="shared" si="187"/>
        <v>-</v>
      </c>
      <c r="AZ204" s="13" t="str">
        <f t="shared" si="188"/>
        <v>-</v>
      </c>
      <c r="BA204" s="10" t="str">
        <f t="shared" si="189"/>
        <v>-</v>
      </c>
      <c r="BB204" s="9" t="str">
        <f t="shared" si="190"/>
        <v>-</v>
      </c>
      <c r="BC204" s="13" t="str">
        <f t="shared" si="191"/>
        <v>-</v>
      </c>
      <c r="BD204" s="10" t="str">
        <f t="shared" si="192"/>
        <v>-</v>
      </c>
      <c r="BE204" s="13" t="str">
        <f t="shared" si="193"/>
        <v>-</v>
      </c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</row>
    <row r="205" spans="2:70" x14ac:dyDescent="0.3">
      <c r="B205" s="96" t="str">
        <f t="shared" si="172"/>
        <v/>
      </c>
      <c r="C205" s="96" t="str">
        <f t="shared" si="173"/>
        <v/>
      </c>
      <c r="D205" s="96" t="str">
        <f t="shared" si="174"/>
        <v/>
      </c>
      <c r="E205" s="3"/>
      <c r="F205" s="3"/>
      <c r="G205" s="3"/>
      <c r="H205" s="3"/>
      <c r="I205" s="20">
        <f>IFERROR(INDEX('Input - US Food'!G$2:G$200,MATCH('Calculations - US Food'!$D205,'Input - US Food'!$B$2:$B$200,0)),"")</f>
        <v>0</v>
      </c>
      <c r="J205" s="20">
        <f>IFERROR(INDEX('Input - US Food'!H$2:H$200,MATCH('Calculations - US Food'!$D205,'Input - US Food'!$B$2:$B$200,0)),"")</f>
        <v>0</v>
      </c>
      <c r="K205" s="21">
        <f>IFERROR(INDEX('Input - US Food'!I$2:I$200,MATCH('Calculations - US Food'!$D205,'Input - US Food'!$B$2:$B$200,0)),"")</f>
        <v>0</v>
      </c>
      <c r="L205" s="21">
        <f>IFERROR(INDEX('Input - US Food'!J$2:J$200,MATCH('Calculations - US Food'!$D205,'Input - US Food'!$B$2:$B$200,0)),"")</f>
        <v>0</v>
      </c>
      <c r="M205" s="20">
        <f>IFERROR(INDEX('Input - US Food'!K$2:K$200,MATCH('Calculations - US Food'!$D205,'Input - US Food'!$B$2:$B$200,0)),"")</f>
        <v>6055363851.4215012</v>
      </c>
      <c r="N205" s="20">
        <f>IFERROR(INDEX('Input - US Food'!L$2:L$200,MATCH('Calculations - US Food'!$D205,'Input - US Food'!$B$2:$B$200,0)),"")</f>
        <v>1982155918.8720999</v>
      </c>
      <c r="O205" s="21" t="str">
        <f t="shared" si="175"/>
        <v/>
      </c>
      <c r="P205" s="21">
        <f t="shared" si="194"/>
        <v>3.0549382083257943</v>
      </c>
      <c r="Q205" s="21">
        <f t="shared" si="176"/>
        <v>0</v>
      </c>
      <c r="R205" s="9">
        <f t="shared" si="195"/>
        <v>0</v>
      </c>
      <c r="S205" s="9">
        <f t="shared" si="196"/>
        <v>0</v>
      </c>
      <c r="T205" s="22" t="str">
        <f>IFERROR(INDEX('US Food'!$S$11:$S$197,MATCH('Calculations - US Food'!$D205,'US Food'!$N$11:$N$197,0)),"")</f>
        <v/>
      </c>
      <c r="U205" s="22" t="str">
        <f>IFERROR(INDEX('US Food'!$T$11:$T$197,MATCH('Calculations - US Food'!$D205,'US Food'!$N$11:$N$197,0)),"")</f>
        <v/>
      </c>
      <c r="V205" s="16" t="e">
        <f t="shared" si="197"/>
        <v>#VALUE!</v>
      </c>
      <c r="W205" s="16" t="e">
        <f t="shared" si="177"/>
        <v>#VALUE!</v>
      </c>
      <c r="X205" s="16" t="e">
        <f t="shared" si="178"/>
        <v>#VALUE!</v>
      </c>
      <c r="Y205" s="10" t="str">
        <f t="shared" si="198"/>
        <v>-</v>
      </c>
      <c r="Z205" s="10" t="str">
        <f t="shared" si="199"/>
        <v>-</v>
      </c>
      <c r="AA205" s="13" t="str">
        <f t="shared" si="179"/>
        <v>-</v>
      </c>
      <c r="AB205" s="9" t="str">
        <f t="shared" si="200"/>
        <v>-</v>
      </c>
      <c r="AC205" s="16" t="str">
        <f t="shared" si="180"/>
        <v>-</v>
      </c>
      <c r="AD205" s="16" t="str">
        <f t="shared" si="201"/>
        <v>-</v>
      </c>
      <c r="AE205" s="16" t="str">
        <f t="shared" si="202"/>
        <v>-</v>
      </c>
      <c r="AF205" s="16" t="str">
        <f t="shared" si="181"/>
        <v>-</v>
      </c>
      <c r="AG205" s="16"/>
      <c r="AH205" s="32" t="str">
        <f>IFERROR(INDEX('US Food'!$R$11:$R$197,MATCH('Calculations - US Food'!D205,'US Food'!$N$11:$N$197,0)),"")</f>
        <v/>
      </c>
      <c r="AI205" s="23" t="str">
        <f t="shared" si="182"/>
        <v/>
      </c>
      <c r="AJ205" s="23" t="str">
        <f t="shared" si="183"/>
        <v/>
      </c>
      <c r="AK205" s="9" t="str">
        <f t="shared" si="203"/>
        <v/>
      </c>
      <c r="AL205" s="4" t="str">
        <f t="shared" si="204"/>
        <v/>
      </c>
      <c r="AM205" s="4"/>
      <c r="AN205" s="4"/>
      <c r="AO205" s="4"/>
      <c r="AP205" s="4"/>
      <c r="AQ205" s="4"/>
      <c r="AR205" s="20" t="str">
        <f t="shared" si="205"/>
        <v>-</v>
      </c>
      <c r="AS205" s="13" t="str">
        <f t="shared" si="184"/>
        <v>-</v>
      </c>
      <c r="AT205" s="13" t="str">
        <f t="shared" si="185"/>
        <v>-</v>
      </c>
      <c r="AU205" s="13" t="str">
        <f t="shared" si="206"/>
        <v>-</v>
      </c>
      <c r="AV205" s="16" t="str">
        <f t="shared" si="186"/>
        <v>-</v>
      </c>
      <c r="AW205" s="16" t="str">
        <f t="shared" si="207"/>
        <v>-</v>
      </c>
      <c r="AX205" s="16" t="str">
        <f t="shared" si="208"/>
        <v>-</v>
      </c>
      <c r="AY205" s="16" t="str">
        <f t="shared" si="187"/>
        <v>-</v>
      </c>
      <c r="AZ205" s="13" t="str">
        <f t="shared" si="188"/>
        <v>-</v>
      </c>
      <c r="BA205" s="10" t="str">
        <f t="shared" si="189"/>
        <v>-</v>
      </c>
      <c r="BB205" s="9" t="str">
        <f t="shared" si="190"/>
        <v>-</v>
      </c>
      <c r="BC205" s="13" t="str">
        <f t="shared" si="191"/>
        <v>-</v>
      </c>
      <c r="BD205" s="10" t="str">
        <f t="shared" si="192"/>
        <v>-</v>
      </c>
      <c r="BE205" s="13" t="str">
        <f t="shared" si="193"/>
        <v>-</v>
      </c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</row>
    <row r="206" spans="2:70" x14ac:dyDescent="0.3">
      <c r="B206" s="96" t="str">
        <f t="shared" si="172"/>
        <v/>
      </c>
      <c r="C206" s="96" t="str">
        <f t="shared" si="173"/>
        <v/>
      </c>
      <c r="D206" s="96" t="str">
        <f t="shared" si="174"/>
        <v/>
      </c>
      <c r="E206" s="3"/>
      <c r="F206" s="3"/>
      <c r="G206" s="3"/>
      <c r="H206" s="3"/>
      <c r="I206" s="20">
        <f>IFERROR(INDEX('Input - US Food'!G$2:G$200,MATCH('Calculations - US Food'!$D206,'Input - US Food'!$B$2:$B$200,0)),"")</f>
        <v>0</v>
      </c>
      <c r="J206" s="20">
        <f>IFERROR(INDEX('Input - US Food'!H$2:H$200,MATCH('Calculations - US Food'!$D206,'Input - US Food'!$B$2:$B$200,0)),"")</f>
        <v>0</v>
      </c>
      <c r="K206" s="21">
        <f>IFERROR(INDEX('Input - US Food'!I$2:I$200,MATCH('Calculations - US Food'!$D206,'Input - US Food'!$B$2:$B$200,0)),"")</f>
        <v>0</v>
      </c>
      <c r="L206" s="21">
        <f>IFERROR(INDEX('Input - US Food'!J$2:J$200,MATCH('Calculations - US Food'!$D206,'Input - US Food'!$B$2:$B$200,0)),"")</f>
        <v>0</v>
      </c>
      <c r="M206" s="20">
        <f>IFERROR(INDEX('Input - US Food'!K$2:K$200,MATCH('Calculations - US Food'!$D206,'Input - US Food'!$B$2:$B$200,0)),"")</f>
        <v>6055363851.4215012</v>
      </c>
      <c r="N206" s="20">
        <f>IFERROR(INDEX('Input - US Food'!L$2:L$200,MATCH('Calculations - US Food'!$D206,'Input - US Food'!$B$2:$B$200,0)),"")</f>
        <v>1982155918.8720999</v>
      </c>
      <c r="O206" s="21" t="str">
        <f t="shared" si="175"/>
        <v/>
      </c>
      <c r="P206" s="21">
        <f t="shared" si="194"/>
        <v>3.0549382083257943</v>
      </c>
      <c r="Q206" s="21">
        <f t="shared" si="176"/>
        <v>0</v>
      </c>
      <c r="R206" s="9">
        <f t="shared" si="195"/>
        <v>0</v>
      </c>
      <c r="S206" s="9">
        <f t="shared" si="196"/>
        <v>0</v>
      </c>
      <c r="T206" s="22" t="str">
        <f>IFERROR(INDEX('US Food'!$S$11:$S$197,MATCH('Calculations - US Food'!$D206,'US Food'!$N$11:$N$197,0)),"")</f>
        <v/>
      </c>
      <c r="U206" s="22" t="str">
        <f>IFERROR(INDEX('US Food'!$T$11:$T$197,MATCH('Calculations - US Food'!$D206,'US Food'!$N$11:$N$197,0)),"")</f>
        <v/>
      </c>
      <c r="V206" s="16" t="e">
        <f t="shared" si="197"/>
        <v>#VALUE!</v>
      </c>
      <c r="W206" s="16" t="e">
        <f t="shared" si="177"/>
        <v>#VALUE!</v>
      </c>
      <c r="X206" s="16" t="e">
        <f t="shared" si="178"/>
        <v>#VALUE!</v>
      </c>
      <c r="Y206" s="10" t="str">
        <f t="shared" si="198"/>
        <v>-</v>
      </c>
      <c r="Z206" s="10" t="str">
        <f t="shared" si="199"/>
        <v>-</v>
      </c>
      <c r="AA206" s="13" t="str">
        <f t="shared" si="179"/>
        <v>-</v>
      </c>
      <c r="AB206" s="9" t="str">
        <f t="shared" si="200"/>
        <v>-</v>
      </c>
      <c r="AC206" s="16" t="str">
        <f t="shared" si="180"/>
        <v>-</v>
      </c>
      <c r="AD206" s="16" t="str">
        <f t="shared" si="201"/>
        <v>-</v>
      </c>
      <c r="AE206" s="16" t="str">
        <f t="shared" si="202"/>
        <v>-</v>
      </c>
      <c r="AF206" s="16" t="str">
        <f t="shared" si="181"/>
        <v>-</v>
      </c>
      <c r="AG206" s="16"/>
      <c r="AH206" s="32" t="str">
        <f>IFERROR(INDEX('US Food'!$R$11:$R$197,MATCH('Calculations - US Food'!D206,'US Food'!$N$11:$N$197,0)),"")</f>
        <v/>
      </c>
      <c r="AI206" s="23" t="str">
        <f t="shared" si="182"/>
        <v/>
      </c>
      <c r="AJ206" s="23" t="str">
        <f t="shared" si="183"/>
        <v/>
      </c>
      <c r="AK206" s="9" t="str">
        <f t="shared" si="203"/>
        <v/>
      </c>
      <c r="AL206" s="4" t="str">
        <f t="shared" si="204"/>
        <v/>
      </c>
      <c r="AM206" s="4"/>
      <c r="AN206" s="4"/>
      <c r="AO206" s="4"/>
      <c r="AP206" s="4"/>
      <c r="AQ206" s="4"/>
      <c r="AR206" s="20" t="str">
        <f t="shared" si="205"/>
        <v>-</v>
      </c>
      <c r="AS206" s="13" t="str">
        <f t="shared" si="184"/>
        <v>-</v>
      </c>
      <c r="AT206" s="13" t="str">
        <f t="shared" si="185"/>
        <v>-</v>
      </c>
      <c r="AU206" s="13" t="str">
        <f t="shared" si="206"/>
        <v>-</v>
      </c>
      <c r="AV206" s="16" t="str">
        <f t="shared" si="186"/>
        <v>-</v>
      </c>
      <c r="AW206" s="16" t="str">
        <f t="shared" si="207"/>
        <v>-</v>
      </c>
      <c r="AX206" s="16" t="str">
        <f t="shared" si="208"/>
        <v>-</v>
      </c>
      <c r="AY206" s="16" t="str">
        <f t="shared" si="187"/>
        <v>-</v>
      </c>
      <c r="AZ206" s="13" t="str">
        <f t="shared" si="188"/>
        <v>-</v>
      </c>
      <c r="BA206" s="10" t="str">
        <f t="shared" si="189"/>
        <v>-</v>
      </c>
      <c r="BB206" s="9" t="str">
        <f t="shared" si="190"/>
        <v>-</v>
      </c>
      <c r="BC206" s="13" t="str">
        <f t="shared" si="191"/>
        <v>-</v>
      </c>
      <c r="BD206" s="10" t="str">
        <f t="shared" si="192"/>
        <v>-</v>
      </c>
      <c r="BE206" s="13" t="str">
        <f t="shared" si="193"/>
        <v>-</v>
      </c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</row>
    <row r="207" spans="2:70" x14ac:dyDescent="0.3">
      <c r="B207" s="96" t="str">
        <f t="shared" si="172"/>
        <v/>
      </c>
      <c r="C207" s="96" t="str">
        <f t="shared" si="173"/>
        <v/>
      </c>
      <c r="D207" s="96" t="str">
        <f t="shared" si="174"/>
        <v/>
      </c>
      <c r="E207" s="3"/>
      <c r="F207" s="3"/>
      <c r="G207" s="3"/>
      <c r="H207" s="3"/>
      <c r="I207" s="20">
        <f>IFERROR(INDEX('Input - US Food'!G$2:G$200,MATCH('Calculations - US Food'!$D207,'Input - US Food'!$B$2:$B$200,0)),"")</f>
        <v>0</v>
      </c>
      <c r="J207" s="20">
        <f>IFERROR(INDEX('Input - US Food'!H$2:H$200,MATCH('Calculations - US Food'!$D207,'Input - US Food'!$B$2:$B$200,0)),"")</f>
        <v>0</v>
      </c>
      <c r="K207" s="21">
        <f>IFERROR(INDEX('Input - US Food'!I$2:I$200,MATCH('Calculations - US Food'!$D207,'Input - US Food'!$B$2:$B$200,0)),"")</f>
        <v>0</v>
      </c>
      <c r="L207" s="21">
        <f>IFERROR(INDEX('Input - US Food'!J$2:J$200,MATCH('Calculations - US Food'!$D207,'Input - US Food'!$B$2:$B$200,0)),"")</f>
        <v>0</v>
      </c>
      <c r="M207" s="20">
        <f>IFERROR(INDEX('Input - US Food'!K$2:K$200,MATCH('Calculations - US Food'!$D207,'Input - US Food'!$B$2:$B$200,0)),"")</f>
        <v>6055363851.4215012</v>
      </c>
      <c r="N207" s="20">
        <f>IFERROR(INDEX('Input - US Food'!L$2:L$200,MATCH('Calculations - US Food'!$D207,'Input - US Food'!$B$2:$B$200,0)),"")</f>
        <v>1982155918.8720999</v>
      </c>
      <c r="O207" s="21" t="str">
        <f t="shared" si="175"/>
        <v/>
      </c>
      <c r="P207" s="21">
        <f t="shared" si="194"/>
        <v>3.0549382083257943</v>
      </c>
      <c r="Q207" s="21">
        <f t="shared" si="176"/>
        <v>0</v>
      </c>
      <c r="R207" s="9">
        <f t="shared" si="195"/>
        <v>0</v>
      </c>
      <c r="S207" s="9">
        <f t="shared" si="196"/>
        <v>0</v>
      </c>
      <c r="T207" s="22" t="str">
        <f>IFERROR(INDEX('US Food'!$S$11:$S$197,MATCH('Calculations - US Food'!$D207,'US Food'!$N$11:$N$197,0)),"")</f>
        <v/>
      </c>
      <c r="U207" s="22" t="str">
        <f>IFERROR(INDEX('US Food'!$T$11:$T$197,MATCH('Calculations - US Food'!$D207,'US Food'!$N$11:$N$197,0)),"")</f>
        <v/>
      </c>
      <c r="V207" s="16" t="e">
        <f t="shared" si="197"/>
        <v>#VALUE!</v>
      </c>
      <c r="W207" s="16" t="e">
        <f t="shared" si="177"/>
        <v>#VALUE!</v>
      </c>
      <c r="X207" s="16" t="e">
        <f t="shared" si="178"/>
        <v>#VALUE!</v>
      </c>
      <c r="Y207" s="10" t="str">
        <f t="shared" si="198"/>
        <v>-</v>
      </c>
      <c r="Z207" s="10" t="str">
        <f t="shared" si="199"/>
        <v>-</v>
      </c>
      <c r="AA207" s="13" t="str">
        <f t="shared" si="179"/>
        <v>-</v>
      </c>
      <c r="AB207" s="9" t="str">
        <f t="shared" si="200"/>
        <v>-</v>
      </c>
      <c r="AC207" s="16" t="str">
        <f t="shared" si="180"/>
        <v>-</v>
      </c>
      <c r="AD207" s="16" t="str">
        <f t="shared" si="201"/>
        <v>-</v>
      </c>
      <c r="AE207" s="16" t="str">
        <f t="shared" si="202"/>
        <v>-</v>
      </c>
      <c r="AF207" s="16" t="str">
        <f t="shared" si="181"/>
        <v>-</v>
      </c>
      <c r="AG207" s="16"/>
      <c r="AH207" s="32" t="str">
        <f>IFERROR(INDEX('US Food'!$R$11:$R$197,MATCH('Calculations - US Food'!D207,'US Food'!$N$11:$N$197,0)),"")</f>
        <v/>
      </c>
      <c r="AI207" s="23" t="str">
        <f t="shared" si="182"/>
        <v/>
      </c>
      <c r="AJ207" s="23" t="str">
        <f t="shared" si="183"/>
        <v/>
      </c>
      <c r="AK207" s="9" t="str">
        <f t="shared" si="203"/>
        <v/>
      </c>
      <c r="AL207" s="4" t="str">
        <f t="shared" si="204"/>
        <v/>
      </c>
      <c r="AM207" s="4"/>
      <c r="AN207" s="4"/>
      <c r="AO207" s="4"/>
      <c r="AP207" s="4"/>
      <c r="AQ207" s="4"/>
      <c r="AR207" s="20" t="str">
        <f t="shared" si="205"/>
        <v>-</v>
      </c>
      <c r="AS207" s="13" t="str">
        <f t="shared" si="184"/>
        <v>-</v>
      </c>
      <c r="AT207" s="13" t="str">
        <f t="shared" si="185"/>
        <v>-</v>
      </c>
      <c r="AU207" s="13" t="str">
        <f t="shared" si="206"/>
        <v>-</v>
      </c>
      <c r="AV207" s="16" t="str">
        <f t="shared" si="186"/>
        <v>-</v>
      </c>
      <c r="AW207" s="16" t="str">
        <f t="shared" si="207"/>
        <v>-</v>
      </c>
      <c r="AX207" s="16" t="str">
        <f t="shared" si="208"/>
        <v>-</v>
      </c>
      <c r="AY207" s="16" t="str">
        <f t="shared" si="187"/>
        <v>-</v>
      </c>
      <c r="AZ207" s="13" t="str">
        <f t="shared" si="188"/>
        <v>-</v>
      </c>
      <c r="BA207" s="10" t="str">
        <f t="shared" si="189"/>
        <v>-</v>
      </c>
      <c r="BB207" s="9" t="str">
        <f t="shared" si="190"/>
        <v>-</v>
      </c>
      <c r="BC207" s="13" t="str">
        <f t="shared" si="191"/>
        <v>-</v>
      </c>
      <c r="BD207" s="10" t="str">
        <f t="shared" si="192"/>
        <v>-</v>
      </c>
      <c r="BE207" s="13" t="str">
        <f t="shared" si="193"/>
        <v>-</v>
      </c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</row>
    <row r="208" spans="2:70" x14ac:dyDescent="0.3">
      <c r="B208" s="96" t="str">
        <f t="shared" si="172"/>
        <v/>
      </c>
      <c r="C208" s="96" t="str">
        <f t="shared" si="173"/>
        <v/>
      </c>
      <c r="D208" s="96" t="str">
        <f t="shared" si="174"/>
        <v/>
      </c>
      <c r="E208" s="3"/>
      <c r="F208" s="3"/>
      <c r="G208" s="3"/>
      <c r="H208" s="3"/>
      <c r="I208" s="20">
        <f>IFERROR(INDEX('Input - US Food'!G$2:G$200,MATCH('Calculations - US Food'!$D208,'Input - US Food'!$B$2:$B$200,0)),"")</f>
        <v>0</v>
      </c>
      <c r="J208" s="20">
        <f>IFERROR(INDEX('Input - US Food'!H$2:H$200,MATCH('Calculations - US Food'!$D208,'Input - US Food'!$B$2:$B$200,0)),"")</f>
        <v>0</v>
      </c>
      <c r="K208" s="21">
        <f>IFERROR(INDEX('Input - US Food'!I$2:I$200,MATCH('Calculations - US Food'!$D208,'Input - US Food'!$B$2:$B$200,0)),"")</f>
        <v>0</v>
      </c>
      <c r="L208" s="21">
        <f>IFERROR(INDEX('Input - US Food'!J$2:J$200,MATCH('Calculations - US Food'!$D208,'Input - US Food'!$B$2:$B$200,0)),"")</f>
        <v>0</v>
      </c>
      <c r="M208" s="20">
        <f>IFERROR(INDEX('Input - US Food'!K$2:K$200,MATCH('Calculations - US Food'!$D208,'Input - US Food'!$B$2:$B$200,0)),"")</f>
        <v>6055363851.4215012</v>
      </c>
      <c r="N208" s="20">
        <f>IFERROR(INDEX('Input - US Food'!L$2:L$200,MATCH('Calculations - US Food'!$D208,'Input - US Food'!$B$2:$B$200,0)),"")</f>
        <v>1982155918.8720999</v>
      </c>
      <c r="O208" s="21" t="str">
        <f t="shared" si="175"/>
        <v/>
      </c>
      <c r="P208" s="21">
        <f t="shared" si="194"/>
        <v>3.0549382083257943</v>
      </c>
      <c r="Q208" s="21">
        <f t="shared" si="176"/>
        <v>0</v>
      </c>
      <c r="R208" s="9">
        <f t="shared" si="195"/>
        <v>0</v>
      </c>
      <c r="S208" s="9">
        <f t="shared" si="196"/>
        <v>0</v>
      </c>
      <c r="T208" s="22" t="str">
        <f>IFERROR(INDEX('US Food'!$S$11:$S$197,MATCH('Calculations - US Food'!$D208,'US Food'!$N$11:$N$197,0)),"")</f>
        <v/>
      </c>
      <c r="U208" s="22" t="str">
        <f>IFERROR(INDEX('US Food'!$T$11:$T$197,MATCH('Calculations - US Food'!$D208,'US Food'!$N$11:$N$197,0)),"")</f>
        <v/>
      </c>
      <c r="V208" s="16" t="e">
        <f t="shared" si="197"/>
        <v>#VALUE!</v>
      </c>
      <c r="W208" s="16" t="e">
        <f t="shared" si="177"/>
        <v>#VALUE!</v>
      </c>
      <c r="X208" s="16" t="e">
        <f t="shared" si="178"/>
        <v>#VALUE!</v>
      </c>
      <c r="Y208" s="10" t="str">
        <f t="shared" si="198"/>
        <v>-</v>
      </c>
      <c r="Z208" s="10" t="str">
        <f t="shared" si="199"/>
        <v>-</v>
      </c>
      <c r="AA208" s="13" t="str">
        <f t="shared" si="179"/>
        <v>-</v>
      </c>
      <c r="AB208" s="9" t="str">
        <f t="shared" si="200"/>
        <v>-</v>
      </c>
      <c r="AC208" s="16" t="str">
        <f t="shared" si="180"/>
        <v>-</v>
      </c>
      <c r="AD208" s="16" t="str">
        <f t="shared" si="201"/>
        <v>-</v>
      </c>
      <c r="AE208" s="16" t="str">
        <f t="shared" si="202"/>
        <v>-</v>
      </c>
      <c r="AF208" s="16" t="str">
        <f t="shared" si="181"/>
        <v>-</v>
      </c>
      <c r="AG208" s="16"/>
      <c r="AH208" s="32" t="str">
        <f>IFERROR(INDEX('US Food'!$R$11:$R$197,MATCH('Calculations - US Food'!D208,'US Food'!$N$11:$N$197,0)),"")</f>
        <v/>
      </c>
      <c r="AI208" s="23" t="str">
        <f t="shared" si="182"/>
        <v/>
      </c>
      <c r="AJ208" s="23" t="str">
        <f t="shared" si="183"/>
        <v/>
      </c>
      <c r="AK208" s="9" t="str">
        <f t="shared" si="203"/>
        <v/>
      </c>
      <c r="AL208" s="4" t="str">
        <f t="shared" si="204"/>
        <v/>
      </c>
      <c r="AM208" s="4"/>
      <c r="AN208" s="4"/>
      <c r="AO208" s="4"/>
      <c r="AP208" s="4"/>
      <c r="AQ208" s="4"/>
      <c r="AR208" s="20" t="str">
        <f t="shared" si="205"/>
        <v>-</v>
      </c>
      <c r="AS208" s="13" t="str">
        <f t="shared" si="184"/>
        <v>-</v>
      </c>
      <c r="AT208" s="13" t="str">
        <f t="shared" si="185"/>
        <v>-</v>
      </c>
      <c r="AU208" s="13" t="str">
        <f t="shared" si="206"/>
        <v>-</v>
      </c>
      <c r="AV208" s="16" t="str">
        <f t="shared" si="186"/>
        <v>-</v>
      </c>
      <c r="AW208" s="16" t="str">
        <f t="shared" si="207"/>
        <v>-</v>
      </c>
      <c r="AX208" s="16" t="str">
        <f t="shared" si="208"/>
        <v>-</v>
      </c>
      <c r="AY208" s="16" t="str">
        <f t="shared" si="187"/>
        <v>-</v>
      </c>
      <c r="AZ208" s="13" t="str">
        <f t="shared" si="188"/>
        <v>-</v>
      </c>
      <c r="BA208" s="10" t="str">
        <f t="shared" si="189"/>
        <v>-</v>
      </c>
      <c r="BB208" s="9" t="str">
        <f t="shared" si="190"/>
        <v>-</v>
      </c>
      <c r="BC208" s="13" t="str">
        <f t="shared" si="191"/>
        <v>-</v>
      </c>
      <c r="BD208" s="10" t="str">
        <f t="shared" si="192"/>
        <v>-</v>
      </c>
      <c r="BE208" s="13" t="str">
        <f t="shared" si="193"/>
        <v>-</v>
      </c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</row>
    <row r="209" spans="2:70" x14ac:dyDescent="0.3">
      <c r="B209" s="96" t="str">
        <f t="shared" si="172"/>
        <v/>
      </c>
      <c r="C209" s="96" t="str">
        <f t="shared" si="173"/>
        <v/>
      </c>
      <c r="D209" s="96" t="str">
        <f t="shared" si="174"/>
        <v/>
      </c>
      <c r="E209" s="3"/>
      <c r="F209" s="3"/>
      <c r="G209" s="3"/>
      <c r="H209" s="3"/>
      <c r="I209" s="20">
        <f>IFERROR(INDEX('Input - US Food'!G$2:G$200,MATCH('Calculations - US Food'!$D209,'Input - US Food'!$B$2:$B$200,0)),"")</f>
        <v>0</v>
      </c>
      <c r="J209" s="20">
        <f>IFERROR(INDEX('Input - US Food'!H$2:H$200,MATCH('Calculations - US Food'!$D209,'Input - US Food'!$B$2:$B$200,0)),"")</f>
        <v>0</v>
      </c>
      <c r="K209" s="21">
        <f>IFERROR(INDEX('Input - US Food'!I$2:I$200,MATCH('Calculations - US Food'!$D209,'Input - US Food'!$B$2:$B$200,0)),"")</f>
        <v>0</v>
      </c>
      <c r="L209" s="21">
        <f>IFERROR(INDEX('Input - US Food'!J$2:J$200,MATCH('Calculations - US Food'!$D209,'Input - US Food'!$B$2:$B$200,0)),"")</f>
        <v>0</v>
      </c>
      <c r="M209" s="20">
        <f>IFERROR(INDEX('Input - US Food'!K$2:K$200,MATCH('Calculations - US Food'!$D209,'Input - US Food'!$B$2:$B$200,0)),"")</f>
        <v>6055363851.4215012</v>
      </c>
      <c r="N209" s="20">
        <f>IFERROR(INDEX('Input - US Food'!L$2:L$200,MATCH('Calculations - US Food'!$D209,'Input - US Food'!$B$2:$B$200,0)),"")</f>
        <v>1982155918.8720999</v>
      </c>
      <c r="O209" s="21" t="str">
        <f t="shared" si="175"/>
        <v/>
      </c>
      <c r="P209" s="21">
        <f t="shared" si="194"/>
        <v>3.0549382083257943</v>
      </c>
      <c r="Q209" s="21">
        <f t="shared" si="176"/>
        <v>0</v>
      </c>
      <c r="R209" s="9">
        <f t="shared" si="195"/>
        <v>0</v>
      </c>
      <c r="S209" s="9">
        <f t="shared" si="196"/>
        <v>0</v>
      </c>
      <c r="T209" s="22" t="str">
        <f>IFERROR(INDEX('US Food'!$S$11:$S$197,MATCH('Calculations - US Food'!$D209,'US Food'!$N$11:$N$197,0)),"")</f>
        <v/>
      </c>
      <c r="U209" s="22" t="str">
        <f>IFERROR(INDEX('US Food'!$T$11:$T$197,MATCH('Calculations - US Food'!$D209,'US Food'!$N$11:$N$197,0)),"")</f>
        <v/>
      </c>
      <c r="V209" s="16" t="e">
        <f t="shared" si="197"/>
        <v>#VALUE!</v>
      </c>
      <c r="W209" s="16" t="e">
        <f t="shared" si="177"/>
        <v>#VALUE!</v>
      </c>
      <c r="X209" s="16" t="e">
        <f t="shared" si="178"/>
        <v>#VALUE!</v>
      </c>
      <c r="Y209" s="10" t="str">
        <f t="shared" si="198"/>
        <v>-</v>
      </c>
      <c r="Z209" s="10" t="str">
        <f t="shared" si="199"/>
        <v>-</v>
      </c>
      <c r="AA209" s="13" t="str">
        <f t="shared" si="179"/>
        <v>-</v>
      </c>
      <c r="AB209" s="9" t="str">
        <f t="shared" si="200"/>
        <v>-</v>
      </c>
      <c r="AC209" s="16" t="str">
        <f t="shared" si="180"/>
        <v>-</v>
      </c>
      <c r="AD209" s="16" t="str">
        <f t="shared" si="201"/>
        <v>-</v>
      </c>
      <c r="AE209" s="16" t="str">
        <f t="shared" si="202"/>
        <v>-</v>
      </c>
      <c r="AF209" s="16" t="str">
        <f t="shared" si="181"/>
        <v>-</v>
      </c>
      <c r="AG209" s="16"/>
      <c r="AH209" s="32" t="str">
        <f>IFERROR(INDEX('US Food'!$R$11:$R$197,MATCH('Calculations - US Food'!D209,'US Food'!$N$11:$N$197,0)),"")</f>
        <v/>
      </c>
      <c r="AI209" s="23" t="str">
        <f t="shared" si="182"/>
        <v/>
      </c>
      <c r="AJ209" s="23" t="str">
        <f t="shared" si="183"/>
        <v/>
      </c>
      <c r="AK209" s="9" t="str">
        <f t="shared" si="203"/>
        <v/>
      </c>
      <c r="AL209" s="4" t="str">
        <f t="shared" si="204"/>
        <v/>
      </c>
      <c r="AM209" s="4"/>
      <c r="AN209" s="4"/>
      <c r="AO209" s="4"/>
      <c r="AP209" s="4"/>
      <c r="AQ209" s="4"/>
      <c r="AR209" s="20" t="str">
        <f t="shared" si="205"/>
        <v>-</v>
      </c>
      <c r="AS209" s="13" t="str">
        <f t="shared" si="184"/>
        <v>-</v>
      </c>
      <c r="AT209" s="13" t="str">
        <f t="shared" si="185"/>
        <v>-</v>
      </c>
      <c r="AU209" s="13" t="str">
        <f t="shared" si="206"/>
        <v>-</v>
      </c>
      <c r="AV209" s="16" t="str">
        <f t="shared" si="186"/>
        <v>-</v>
      </c>
      <c r="AW209" s="16" t="str">
        <f t="shared" si="207"/>
        <v>-</v>
      </c>
      <c r="AX209" s="16" t="str">
        <f t="shared" si="208"/>
        <v>-</v>
      </c>
      <c r="AY209" s="16" t="str">
        <f t="shared" si="187"/>
        <v>-</v>
      </c>
      <c r="AZ209" s="13" t="str">
        <f t="shared" si="188"/>
        <v>-</v>
      </c>
      <c r="BA209" s="10" t="str">
        <f t="shared" si="189"/>
        <v>-</v>
      </c>
      <c r="BB209" s="9" t="str">
        <f t="shared" si="190"/>
        <v>-</v>
      </c>
      <c r="BC209" s="13" t="str">
        <f t="shared" si="191"/>
        <v>-</v>
      </c>
      <c r="BD209" s="10" t="str">
        <f t="shared" si="192"/>
        <v>-</v>
      </c>
      <c r="BE209" s="13" t="str">
        <f t="shared" si="193"/>
        <v>-</v>
      </c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</row>
    <row r="210" spans="2:70" x14ac:dyDescent="0.3">
      <c r="B210" s="96" t="str">
        <f t="shared" si="172"/>
        <v/>
      </c>
      <c r="C210" s="96" t="str">
        <f t="shared" si="173"/>
        <v/>
      </c>
      <c r="D210" s="96" t="str">
        <f t="shared" si="174"/>
        <v/>
      </c>
      <c r="E210" s="3"/>
      <c r="F210" s="3"/>
      <c r="G210" s="3"/>
      <c r="H210" s="3"/>
      <c r="I210" s="20">
        <f>IFERROR(INDEX('Input - US Food'!G$2:G$200,MATCH('Calculations - US Food'!$D210,'Input - US Food'!$B$2:$B$200,0)),"")</f>
        <v>0</v>
      </c>
      <c r="J210" s="20">
        <f>IFERROR(INDEX('Input - US Food'!H$2:H$200,MATCH('Calculations - US Food'!$D210,'Input - US Food'!$B$2:$B$200,0)),"")</f>
        <v>0</v>
      </c>
      <c r="K210" s="21">
        <f>IFERROR(INDEX('Input - US Food'!I$2:I$200,MATCH('Calculations - US Food'!$D210,'Input - US Food'!$B$2:$B$200,0)),"")</f>
        <v>0</v>
      </c>
      <c r="L210" s="21">
        <f>IFERROR(INDEX('Input - US Food'!J$2:J$200,MATCH('Calculations - US Food'!$D210,'Input - US Food'!$B$2:$B$200,0)),"")</f>
        <v>0</v>
      </c>
      <c r="M210" s="20">
        <f>IFERROR(INDEX('Input - US Food'!K$2:K$200,MATCH('Calculations - US Food'!$D210,'Input - US Food'!$B$2:$B$200,0)),"")</f>
        <v>6055363851.4215012</v>
      </c>
      <c r="N210" s="20">
        <f>IFERROR(INDEX('Input - US Food'!L$2:L$200,MATCH('Calculations - US Food'!$D210,'Input - US Food'!$B$2:$B$200,0)),"")</f>
        <v>1982155918.8720999</v>
      </c>
      <c r="O210" s="21" t="str">
        <f t="shared" si="175"/>
        <v/>
      </c>
      <c r="P210" s="21">
        <f t="shared" si="194"/>
        <v>3.0549382083257943</v>
      </c>
      <c r="Q210" s="21">
        <f t="shared" si="176"/>
        <v>0</v>
      </c>
      <c r="R210" s="9">
        <f t="shared" si="195"/>
        <v>0</v>
      </c>
      <c r="S210" s="9">
        <f t="shared" si="196"/>
        <v>0</v>
      </c>
      <c r="T210" s="22" t="str">
        <f>IFERROR(INDEX('US Food'!$S$11:$S$197,MATCH('Calculations - US Food'!$D210,'US Food'!$N$11:$N$197,0)),"")</f>
        <v/>
      </c>
      <c r="U210" s="22" t="str">
        <f>IFERROR(INDEX('US Food'!$T$11:$T$197,MATCH('Calculations - US Food'!$D210,'US Food'!$N$11:$N$197,0)),"")</f>
        <v/>
      </c>
      <c r="V210" s="16" t="e">
        <f t="shared" si="197"/>
        <v>#VALUE!</v>
      </c>
      <c r="W210" s="16" t="e">
        <f t="shared" si="177"/>
        <v>#VALUE!</v>
      </c>
      <c r="X210" s="16" t="e">
        <f t="shared" si="178"/>
        <v>#VALUE!</v>
      </c>
      <c r="Y210" s="10" t="str">
        <f t="shared" si="198"/>
        <v>-</v>
      </c>
      <c r="Z210" s="10" t="str">
        <f t="shared" si="199"/>
        <v>-</v>
      </c>
      <c r="AA210" s="13" t="str">
        <f t="shared" si="179"/>
        <v>-</v>
      </c>
      <c r="AB210" s="9" t="str">
        <f t="shared" si="200"/>
        <v>-</v>
      </c>
      <c r="AC210" s="16" t="str">
        <f t="shared" si="180"/>
        <v>-</v>
      </c>
      <c r="AD210" s="16" t="str">
        <f t="shared" si="201"/>
        <v>-</v>
      </c>
      <c r="AE210" s="16" t="str">
        <f t="shared" si="202"/>
        <v>-</v>
      </c>
      <c r="AF210" s="16" t="str">
        <f t="shared" si="181"/>
        <v>-</v>
      </c>
      <c r="AG210" s="16"/>
      <c r="AH210" s="32" t="str">
        <f>IFERROR(INDEX('US Food'!$R$11:$R$197,MATCH('Calculations - US Food'!D210,'US Food'!$N$11:$N$197,0)),"")</f>
        <v/>
      </c>
      <c r="AI210" s="23" t="str">
        <f t="shared" si="182"/>
        <v/>
      </c>
      <c r="AJ210" s="23" t="str">
        <f t="shared" si="183"/>
        <v/>
      </c>
      <c r="AK210" s="9" t="str">
        <f t="shared" si="203"/>
        <v/>
      </c>
      <c r="AL210" s="4" t="str">
        <f t="shared" si="204"/>
        <v/>
      </c>
      <c r="AM210" s="4"/>
      <c r="AN210" s="4"/>
      <c r="AO210" s="4"/>
      <c r="AP210" s="4"/>
      <c r="AQ210" s="4"/>
      <c r="AR210" s="20" t="str">
        <f t="shared" si="205"/>
        <v>-</v>
      </c>
      <c r="AS210" s="13" t="str">
        <f t="shared" si="184"/>
        <v>-</v>
      </c>
      <c r="AT210" s="13" t="str">
        <f t="shared" si="185"/>
        <v>-</v>
      </c>
      <c r="AU210" s="13" t="str">
        <f t="shared" si="206"/>
        <v>-</v>
      </c>
      <c r="AV210" s="16" t="str">
        <f t="shared" si="186"/>
        <v>-</v>
      </c>
      <c r="AW210" s="16" t="str">
        <f t="shared" si="207"/>
        <v>-</v>
      </c>
      <c r="AX210" s="16" t="str">
        <f t="shared" si="208"/>
        <v>-</v>
      </c>
      <c r="AY210" s="16" t="str">
        <f t="shared" si="187"/>
        <v>-</v>
      </c>
      <c r="AZ210" s="13" t="str">
        <f t="shared" si="188"/>
        <v>-</v>
      </c>
      <c r="BA210" s="10" t="str">
        <f t="shared" si="189"/>
        <v>-</v>
      </c>
      <c r="BB210" s="9" t="str">
        <f t="shared" si="190"/>
        <v>-</v>
      </c>
      <c r="BC210" s="13" t="str">
        <f t="shared" si="191"/>
        <v>-</v>
      </c>
      <c r="BD210" s="10" t="str">
        <f t="shared" si="192"/>
        <v>-</v>
      </c>
      <c r="BE210" s="13" t="str">
        <f t="shared" si="193"/>
        <v>-</v>
      </c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</row>
    <row r="211" spans="2:70" x14ac:dyDescent="0.3">
      <c r="B211" s="96" t="str">
        <f t="shared" si="172"/>
        <v/>
      </c>
      <c r="C211" s="96" t="str">
        <f t="shared" si="173"/>
        <v/>
      </c>
      <c r="D211" s="96" t="str">
        <f t="shared" si="174"/>
        <v/>
      </c>
      <c r="E211" s="3"/>
      <c r="F211" s="3"/>
      <c r="G211" s="3"/>
      <c r="H211" s="3"/>
      <c r="I211" s="20">
        <f>IFERROR(INDEX('Input - US Food'!G$2:G$200,MATCH('Calculations - US Food'!$D211,'Input - US Food'!$B$2:$B$200,0)),"")</f>
        <v>0</v>
      </c>
      <c r="J211" s="20">
        <f>IFERROR(INDEX('Input - US Food'!H$2:H$200,MATCH('Calculations - US Food'!$D211,'Input - US Food'!$B$2:$B$200,0)),"")</f>
        <v>0</v>
      </c>
      <c r="K211" s="21">
        <f>IFERROR(INDEX('Input - US Food'!I$2:I$200,MATCH('Calculations - US Food'!$D211,'Input - US Food'!$B$2:$B$200,0)),"")</f>
        <v>0</v>
      </c>
      <c r="L211" s="21">
        <f>IFERROR(INDEX('Input - US Food'!J$2:J$200,MATCH('Calculations - US Food'!$D211,'Input - US Food'!$B$2:$B$200,0)),"")</f>
        <v>0</v>
      </c>
      <c r="M211" s="20">
        <f>IFERROR(INDEX('Input - US Food'!K$2:K$200,MATCH('Calculations - US Food'!$D211,'Input - US Food'!$B$2:$B$200,0)),"")</f>
        <v>6055363851.4215012</v>
      </c>
      <c r="N211" s="20">
        <f>IFERROR(INDEX('Input - US Food'!L$2:L$200,MATCH('Calculations - US Food'!$D211,'Input - US Food'!$B$2:$B$200,0)),"")</f>
        <v>1982155918.8720999</v>
      </c>
      <c r="O211" s="21" t="str">
        <f t="shared" si="175"/>
        <v/>
      </c>
      <c r="P211" s="21">
        <f t="shared" si="194"/>
        <v>3.0549382083257943</v>
      </c>
      <c r="Q211" s="21">
        <f t="shared" si="176"/>
        <v>0</v>
      </c>
      <c r="R211" s="9">
        <f t="shared" si="195"/>
        <v>0</v>
      </c>
      <c r="S211" s="9">
        <f t="shared" si="196"/>
        <v>0</v>
      </c>
      <c r="T211" s="22" t="str">
        <f>IFERROR(INDEX('US Food'!$S$11:$S$197,MATCH('Calculations - US Food'!$D211,'US Food'!$N$11:$N$197,0)),"")</f>
        <v/>
      </c>
      <c r="U211" s="22" t="str">
        <f>IFERROR(INDEX('US Food'!$T$11:$T$197,MATCH('Calculations - US Food'!$D211,'US Food'!$N$11:$N$197,0)),"")</f>
        <v/>
      </c>
      <c r="V211" s="16" t="e">
        <f t="shared" si="197"/>
        <v>#VALUE!</v>
      </c>
      <c r="W211" s="16" t="e">
        <f t="shared" si="177"/>
        <v>#VALUE!</v>
      </c>
      <c r="X211" s="16" t="e">
        <f t="shared" si="178"/>
        <v>#VALUE!</v>
      </c>
      <c r="Y211" s="10" t="str">
        <f t="shared" si="198"/>
        <v>-</v>
      </c>
      <c r="Z211" s="10" t="str">
        <f t="shared" si="199"/>
        <v>-</v>
      </c>
      <c r="AA211" s="13" t="str">
        <f t="shared" si="179"/>
        <v>-</v>
      </c>
      <c r="AB211" s="9" t="str">
        <f t="shared" si="200"/>
        <v>-</v>
      </c>
      <c r="AC211" s="16" t="str">
        <f t="shared" si="180"/>
        <v>-</v>
      </c>
      <c r="AD211" s="16" t="str">
        <f t="shared" si="201"/>
        <v>-</v>
      </c>
      <c r="AE211" s="16" t="str">
        <f t="shared" si="202"/>
        <v>-</v>
      </c>
      <c r="AF211" s="16" t="str">
        <f t="shared" si="181"/>
        <v>-</v>
      </c>
      <c r="AG211" s="16"/>
      <c r="AH211" s="32" t="str">
        <f>IFERROR(INDEX('US Food'!$R$11:$R$197,MATCH('Calculations - US Food'!D211,'US Food'!$N$11:$N$197,0)),"")</f>
        <v/>
      </c>
      <c r="AI211" s="23" t="str">
        <f t="shared" si="182"/>
        <v/>
      </c>
      <c r="AJ211" s="23" t="str">
        <f t="shared" si="183"/>
        <v/>
      </c>
      <c r="AK211" s="9" t="str">
        <f t="shared" si="203"/>
        <v/>
      </c>
      <c r="AL211" s="4" t="str">
        <f t="shared" si="204"/>
        <v/>
      </c>
      <c r="AM211" s="4"/>
      <c r="AN211" s="4"/>
      <c r="AO211" s="4"/>
      <c r="AP211" s="4"/>
      <c r="AQ211" s="4"/>
      <c r="AR211" s="20" t="str">
        <f t="shared" si="205"/>
        <v>-</v>
      </c>
      <c r="AS211" s="13" t="str">
        <f t="shared" si="184"/>
        <v>-</v>
      </c>
      <c r="AT211" s="13" t="str">
        <f t="shared" si="185"/>
        <v>-</v>
      </c>
      <c r="AU211" s="13" t="str">
        <f t="shared" si="206"/>
        <v>-</v>
      </c>
      <c r="AV211" s="16" t="str">
        <f t="shared" si="186"/>
        <v>-</v>
      </c>
      <c r="AW211" s="16" t="str">
        <f t="shared" si="207"/>
        <v>-</v>
      </c>
      <c r="AX211" s="16" t="str">
        <f t="shared" si="208"/>
        <v>-</v>
      </c>
      <c r="AY211" s="16" t="str">
        <f t="shared" si="187"/>
        <v>-</v>
      </c>
      <c r="AZ211" s="13" t="str">
        <f t="shared" si="188"/>
        <v>-</v>
      </c>
      <c r="BA211" s="10" t="str">
        <f t="shared" si="189"/>
        <v>-</v>
      </c>
      <c r="BB211" s="9" t="str">
        <f t="shared" si="190"/>
        <v>-</v>
      </c>
      <c r="BC211" s="13" t="str">
        <f t="shared" si="191"/>
        <v>-</v>
      </c>
      <c r="BD211" s="10" t="str">
        <f t="shared" si="192"/>
        <v>-</v>
      </c>
      <c r="BE211" s="13" t="str">
        <f t="shared" si="193"/>
        <v>-</v>
      </c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</row>
    <row r="212" spans="2:70" x14ac:dyDescent="0.3">
      <c r="B212" s="96" t="str">
        <f t="shared" si="172"/>
        <v/>
      </c>
      <c r="C212" s="96" t="str">
        <f t="shared" si="173"/>
        <v/>
      </c>
      <c r="D212" s="96" t="str">
        <f t="shared" si="174"/>
        <v/>
      </c>
      <c r="E212" s="3"/>
      <c r="F212" s="3"/>
      <c r="G212" s="3"/>
      <c r="H212" s="3"/>
      <c r="I212" s="20">
        <f>IFERROR(INDEX('Input - US Food'!G$2:G$200,MATCH('Calculations - US Food'!$D212,'Input - US Food'!$B$2:$B$200,0)),"")</f>
        <v>0</v>
      </c>
      <c r="J212" s="20">
        <f>IFERROR(INDEX('Input - US Food'!H$2:H$200,MATCH('Calculations - US Food'!$D212,'Input - US Food'!$B$2:$B$200,0)),"")</f>
        <v>0</v>
      </c>
      <c r="K212" s="21">
        <f>IFERROR(INDEX('Input - US Food'!I$2:I$200,MATCH('Calculations - US Food'!$D212,'Input - US Food'!$B$2:$B$200,0)),"")</f>
        <v>0</v>
      </c>
      <c r="L212" s="21">
        <f>IFERROR(INDEX('Input - US Food'!J$2:J$200,MATCH('Calculations - US Food'!$D212,'Input - US Food'!$B$2:$B$200,0)),"")</f>
        <v>0</v>
      </c>
      <c r="M212" s="20">
        <f>IFERROR(INDEX('Input - US Food'!K$2:K$200,MATCH('Calculations - US Food'!$D212,'Input - US Food'!$B$2:$B$200,0)),"")</f>
        <v>6055363851.4215012</v>
      </c>
      <c r="N212" s="20">
        <f>IFERROR(INDEX('Input - US Food'!L$2:L$200,MATCH('Calculations - US Food'!$D212,'Input - US Food'!$B$2:$B$200,0)),"")</f>
        <v>1982155918.8720999</v>
      </c>
      <c r="O212" s="21" t="str">
        <f t="shared" si="175"/>
        <v/>
      </c>
      <c r="P212" s="21">
        <f t="shared" si="194"/>
        <v>3.0549382083257943</v>
      </c>
      <c r="Q212" s="21">
        <f t="shared" si="176"/>
        <v>0</v>
      </c>
      <c r="R212" s="9">
        <f t="shared" si="195"/>
        <v>0</v>
      </c>
      <c r="S212" s="9">
        <f t="shared" si="196"/>
        <v>0</v>
      </c>
      <c r="T212" s="22" t="str">
        <f>IFERROR(INDEX('US Food'!$S$11:$S$197,MATCH('Calculations - US Food'!$D212,'US Food'!$N$11:$N$197,0)),"")</f>
        <v/>
      </c>
      <c r="U212" s="22" t="str">
        <f>IFERROR(INDEX('US Food'!$T$11:$T$197,MATCH('Calculations - US Food'!$D212,'US Food'!$N$11:$N$197,0)),"")</f>
        <v/>
      </c>
      <c r="V212" s="16" t="e">
        <f t="shared" si="197"/>
        <v>#VALUE!</v>
      </c>
      <c r="W212" s="16" t="e">
        <f t="shared" si="177"/>
        <v>#VALUE!</v>
      </c>
      <c r="X212" s="16" t="e">
        <f t="shared" si="178"/>
        <v>#VALUE!</v>
      </c>
      <c r="Y212" s="10" t="str">
        <f t="shared" si="198"/>
        <v>-</v>
      </c>
      <c r="Z212" s="10" t="str">
        <f t="shared" si="199"/>
        <v>-</v>
      </c>
      <c r="AA212" s="13" t="str">
        <f t="shared" si="179"/>
        <v>-</v>
      </c>
      <c r="AB212" s="9" t="str">
        <f t="shared" si="200"/>
        <v>-</v>
      </c>
      <c r="AC212" s="16" t="str">
        <f t="shared" si="180"/>
        <v>-</v>
      </c>
      <c r="AD212" s="16" t="str">
        <f t="shared" si="201"/>
        <v>-</v>
      </c>
      <c r="AE212" s="16" t="str">
        <f t="shared" si="202"/>
        <v>-</v>
      </c>
      <c r="AF212" s="16" t="str">
        <f t="shared" si="181"/>
        <v>-</v>
      </c>
      <c r="AG212" s="16"/>
      <c r="AH212" s="32" t="str">
        <f>IFERROR(INDEX('US Food'!$R$11:$R$197,MATCH('Calculations - US Food'!D212,'US Food'!$N$11:$N$197,0)),"")</f>
        <v/>
      </c>
      <c r="AI212" s="23" t="str">
        <f t="shared" si="182"/>
        <v/>
      </c>
      <c r="AJ212" s="23" t="str">
        <f t="shared" si="183"/>
        <v/>
      </c>
      <c r="AK212" s="9" t="str">
        <f t="shared" si="203"/>
        <v/>
      </c>
      <c r="AL212" s="4" t="str">
        <f t="shared" si="204"/>
        <v/>
      </c>
      <c r="AM212" s="4"/>
      <c r="AN212" s="4"/>
      <c r="AO212" s="4"/>
      <c r="AP212" s="4"/>
      <c r="AQ212" s="4"/>
      <c r="AR212" s="20" t="str">
        <f t="shared" si="205"/>
        <v>-</v>
      </c>
      <c r="AS212" s="13" t="str">
        <f t="shared" si="184"/>
        <v>-</v>
      </c>
      <c r="AT212" s="13" t="str">
        <f t="shared" si="185"/>
        <v>-</v>
      </c>
      <c r="AU212" s="13" t="str">
        <f t="shared" si="206"/>
        <v>-</v>
      </c>
      <c r="AV212" s="16" t="str">
        <f t="shared" si="186"/>
        <v>-</v>
      </c>
      <c r="AW212" s="16" t="str">
        <f t="shared" si="207"/>
        <v>-</v>
      </c>
      <c r="AX212" s="16" t="str">
        <f t="shared" si="208"/>
        <v>-</v>
      </c>
      <c r="AY212" s="16" t="str">
        <f t="shared" si="187"/>
        <v>-</v>
      </c>
      <c r="AZ212" s="13" t="str">
        <f t="shared" si="188"/>
        <v>-</v>
      </c>
      <c r="BA212" s="10" t="str">
        <f t="shared" si="189"/>
        <v>-</v>
      </c>
      <c r="BB212" s="9" t="str">
        <f t="shared" si="190"/>
        <v>-</v>
      </c>
      <c r="BC212" s="13" t="str">
        <f t="shared" si="191"/>
        <v>-</v>
      </c>
      <c r="BD212" s="10" t="str">
        <f t="shared" si="192"/>
        <v>-</v>
      </c>
      <c r="BE212" s="13" t="str">
        <f t="shared" si="193"/>
        <v>-</v>
      </c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</row>
    <row r="213" spans="2:70" x14ac:dyDescent="0.3">
      <c r="B213" s="96" t="str">
        <f t="shared" si="172"/>
        <v/>
      </c>
      <c r="C213" s="96" t="str">
        <f t="shared" si="173"/>
        <v/>
      </c>
      <c r="D213" s="96" t="str">
        <f t="shared" si="174"/>
        <v/>
      </c>
      <c r="E213" s="3"/>
      <c r="F213" s="3"/>
      <c r="G213" s="3"/>
      <c r="H213" s="3"/>
      <c r="I213" s="20">
        <f>IFERROR(INDEX('Input - US Food'!G$2:G$200,MATCH('Calculations - US Food'!$D213,'Input - US Food'!$B$2:$B$200,0)),"")</f>
        <v>0</v>
      </c>
      <c r="J213" s="20">
        <f>IFERROR(INDEX('Input - US Food'!H$2:H$200,MATCH('Calculations - US Food'!$D213,'Input - US Food'!$B$2:$B$200,0)),"")</f>
        <v>0</v>
      </c>
      <c r="K213" s="21">
        <f>IFERROR(INDEX('Input - US Food'!I$2:I$200,MATCH('Calculations - US Food'!$D213,'Input - US Food'!$B$2:$B$200,0)),"")</f>
        <v>0</v>
      </c>
      <c r="L213" s="21">
        <f>IFERROR(INDEX('Input - US Food'!J$2:J$200,MATCH('Calculations - US Food'!$D213,'Input - US Food'!$B$2:$B$200,0)),"")</f>
        <v>0</v>
      </c>
      <c r="M213" s="20">
        <f>IFERROR(INDEX('Input - US Food'!K$2:K$200,MATCH('Calculations - US Food'!$D213,'Input - US Food'!$B$2:$B$200,0)),"")</f>
        <v>6055363851.4215012</v>
      </c>
      <c r="N213" s="20">
        <f>IFERROR(INDEX('Input - US Food'!L$2:L$200,MATCH('Calculations - US Food'!$D213,'Input - US Food'!$B$2:$B$200,0)),"")</f>
        <v>1982155918.8720999</v>
      </c>
      <c r="O213" s="21" t="str">
        <f t="shared" si="175"/>
        <v/>
      </c>
      <c r="P213" s="21">
        <f t="shared" si="194"/>
        <v>3.0549382083257943</v>
      </c>
      <c r="Q213" s="21">
        <f t="shared" si="176"/>
        <v>0</v>
      </c>
      <c r="R213" s="9">
        <f t="shared" si="195"/>
        <v>0</v>
      </c>
      <c r="S213" s="9">
        <f t="shared" si="196"/>
        <v>0</v>
      </c>
      <c r="T213" s="22" t="str">
        <f>IFERROR(INDEX('US Food'!$S$11:$S$197,MATCH('Calculations - US Food'!$D213,'US Food'!$N$11:$N$197,0)),"")</f>
        <v/>
      </c>
      <c r="U213" s="22" t="str">
        <f>IFERROR(INDEX('US Food'!$T$11:$T$197,MATCH('Calculations - US Food'!$D213,'US Food'!$N$11:$N$197,0)),"")</f>
        <v/>
      </c>
      <c r="V213" s="16" t="e">
        <f t="shared" si="197"/>
        <v>#VALUE!</v>
      </c>
      <c r="W213" s="16" t="e">
        <f t="shared" si="177"/>
        <v>#VALUE!</v>
      </c>
      <c r="X213" s="16" t="e">
        <f t="shared" si="178"/>
        <v>#VALUE!</v>
      </c>
      <c r="Y213" s="10" t="str">
        <f t="shared" si="198"/>
        <v>-</v>
      </c>
      <c r="Z213" s="10" t="str">
        <f t="shared" si="199"/>
        <v>-</v>
      </c>
      <c r="AA213" s="13" t="str">
        <f t="shared" si="179"/>
        <v>-</v>
      </c>
      <c r="AB213" s="9" t="str">
        <f t="shared" si="200"/>
        <v>-</v>
      </c>
      <c r="AC213" s="16" t="str">
        <f t="shared" si="180"/>
        <v>-</v>
      </c>
      <c r="AD213" s="16" t="str">
        <f t="shared" si="201"/>
        <v>-</v>
      </c>
      <c r="AE213" s="16" t="str">
        <f t="shared" si="202"/>
        <v>-</v>
      </c>
      <c r="AF213" s="16" t="str">
        <f t="shared" si="181"/>
        <v>-</v>
      </c>
      <c r="AG213" s="16"/>
      <c r="AH213" s="32" t="str">
        <f>IFERROR(INDEX('US Food'!$R$11:$R$197,MATCH('Calculations - US Food'!D213,'US Food'!$N$11:$N$197,0)),"")</f>
        <v/>
      </c>
      <c r="AI213" s="23" t="str">
        <f t="shared" si="182"/>
        <v/>
      </c>
      <c r="AJ213" s="23" t="str">
        <f t="shared" si="183"/>
        <v/>
      </c>
      <c r="AK213" s="9" t="str">
        <f t="shared" si="203"/>
        <v/>
      </c>
      <c r="AL213" s="4" t="str">
        <f t="shared" si="204"/>
        <v/>
      </c>
      <c r="AM213" s="4"/>
      <c r="AN213" s="4"/>
      <c r="AO213" s="4"/>
      <c r="AP213" s="4"/>
      <c r="AQ213" s="4"/>
      <c r="AR213" s="20" t="str">
        <f t="shared" si="205"/>
        <v>-</v>
      </c>
      <c r="AS213" s="13" t="str">
        <f t="shared" si="184"/>
        <v>-</v>
      </c>
      <c r="AT213" s="13" t="str">
        <f t="shared" si="185"/>
        <v>-</v>
      </c>
      <c r="AU213" s="13" t="str">
        <f t="shared" si="206"/>
        <v>-</v>
      </c>
      <c r="AV213" s="16" t="str">
        <f t="shared" si="186"/>
        <v>-</v>
      </c>
      <c r="AW213" s="16" t="str">
        <f t="shared" si="207"/>
        <v>-</v>
      </c>
      <c r="AX213" s="16" t="str">
        <f t="shared" si="208"/>
        <v>-</v>
      </c>
      <c r="AY213" s="16" t="str">
        <f t="shared" si="187"/>
        <v>-</v>
      </c>
      <c r="AZ213" s="13" t="str">
        <f t="shared" si="188"/>
        <v>-</v>
      </c>
      <c r="BA213" s="10" t="str">
        <f t="shared" si="189"/>
        <v>-</v>
      </c>
      <c r="BB213" s="9" t="str">
        <f t="shared" si="190"/>
        <v>-</v>
      </c>
      <c r="BC213" s="13" t="str">
        <f t="shared" si="191"/>
        <v>-</v>
      </c>
      <c r="BD213" s="10" t="str">
        <f t="shared" si="192"/>
        <v>-</v>
      </c>
      <c r="BE213" s="13" t="str">
        <f t="shared" si="193"/>
        <v>-</v>
      </c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</row>
    <row r="214" spans="2:70" x14ac:dyDescent="0.3">
      <c r="B214" s="96" t="str">
        <f t="shared" si="172"/>
        <v/>
      </c>
      <c r="C214" s="96" t="str">
        <f t="shared" si="173"/>
        <v/>
      </c>
      <c r="D214" s="96" t="str">
        <f t="shared" si="174"/>
        <v/>
      </c>
      <c r="E214" s="3"/>
      <c r="F214" s="3"/>
      <c r="G214" s="3"/>
      <c r="H214" s="3"/>
      <c r="I214" s="20">
        <f>IFERROR(INDEX('Input - US Food'!G$2:G$200,MATCH('Calculations - US Food'!$D214,'Input - US Food'!$B$2:$B$200,0)),"")</f>
        <v>0</v>
      </c>
      <c r="J214" s="20">
        <f>IFERROR(INDEX('Input - US Food'!H$2:H$200,MATCH('Calculations - US Food'!$D214,'Input - US Food'!$B$2:$B$200,0)),"")</f>
        <v>0</v>
      </c>
      <c r="K214" s="21">
        <f>IFERROR(INDEX('Input - US Food'!I$2:I$200,MATCH('Calculations - US Food'!$D214,'Input - US Food'!$B$2:$B$200,0)),"")</f>
        <v>0</v>
      </c>
      <c r="L214" s="21">
        <f>IFERROR(INDEX('Input - US Food'!J$2:J$200,MATCH('Calculations - US Food'!$D214,'Input - US Food'!$B$2:$B$200,0)),"")</f>
        <v>0</v>
      </c>
      <c r="M214" s="20">
        <f>IFERROR(INDEX('Input - US Food'!K$2:K$200,MATCH('Calculations - US Food'!$D214,'Input - US Food'!$B$2:$B$200,0)),"")</f>
        <v>6055363851.4215012</v>
      </c>
      <c r="N214" s="20">
        <f>IFERROR(INDEX('Input - US Food'!L$2:L$200,MATCH('Calculations - US Food'!$D214,'Input - US Food'!$B$2:$B$200,0)),"")</f>
        <v>1982155918.8720999</v>
      </c>
      <c r="O214" s="21" t="str">
        <f t="shared" si="175"/>
        <v/>
      </c>
      <c r="P214" s="21">
        <f t="shared" si="194"/>
        <v>3.0549382083257943</v>
      </c>
      <c r="Q214" s="21">
        <f t="shared" si="176"/>
        <v>0</v>
      </c>
      <c r="R214" s="9">
        <f t="shared" si="195"/>
        <v>0</v>
      </c>
      <c r="S214" s="9">
        <f t="shared" si="196"/>
        <v>0</v>
      </c>
      <c r="T214" s="22" t="str">
        <f>IFERROR(INDEX('US Food'!$S$11:$S$197,MATCH('Calculations - US Food'!$D214,'US Food'!$N$11:$N$197,0)),"")</f>
        <v/>
      </c>
      <c r="U214" s="22" t="str">
        <f>IFERROR(INDEX('US Food'!$T$11:$T$197,MATCH('Calculations - US Food'!$D214,'US Food'!$N$11:$N$197,0)),"")</f>
        <v/>
      </c>
      <c r="V214" s="16" t="e">
        <f t="shared" si="197"/>
        <v>#VALUE!</v>
      </c>
      <c r="W214" s="16" t="e">
        <f t="shared" si="177"/>
        <v>#VALUE!</v>
      </c>
      <c r="X214" s="16" t="e">
        <f t="shared" si="178"/>
        <v>#VALUE!</v>
      </c>
      <c r="Y214" s="10" t="str">
        <f t="shared" si="198"/>
        <v>-</v>
      </c>
      <c r="Z214" s="10" t="str">
        <f t="shared" si="199"/>
        <v>-</v>
      </c>
      <c r="AA214" s="13" t="str">
        <f t="shared" si="179"/>
        <v>-</v>
      </c>
      <c r="AB214" s="9" t="str">
        <f t="shared" si="200"/>
        <v>-</v>
      </c>
      <c r="AC214" s="16" t="str">
        <f t="shared" si="180"/>
        <v>-</v>
      </c>
      <c r="AD214" s="16" t="str">
        <f t="shared" si="201"/>
        <v>-</v>
      </c>
      <c r="AE214" s="16" t="str">
        <f t="shared" si="202"/>
        <v>-</v>
      </c>
      <c r="AF214" s="16" t="str">
        <f t="shared" si="181"/>
        <v>-</v>
      </c>
      <c r="AG214" s="16"/>
      <c r="AH214" s="32" t="str">
        <f>IFERROR(INDEX('US Food'!$R$11:$R$197,MATCH('Calculations - US Food'!D214,'US Food'!$N$11:$N$197,0)),"")</f>
        <v/>
      </c>
      <c r="AI214" s="23" t="str">
        <f t="shared" si="182"/>
        <v/>
      </c>
      <c r="AJ214" s="23" t="str">
        <f t="shared" si="183"/>
        <v/>
      </c>
      <c r="AK214" s="9" t="str">
        <f t="shared" si="203"/>
        <v/>
      </c>
      <c r="AL214" s="4" t="str">
        <f t="shared" si="204"/>
        <v/>
      </c>
      <c r="AM214" s="4"/>
      <c r="AN214" s="4"/>
      <c r="AO214" s="4"/>
      <c r="AP214" s="4"/>
      <c r="AQ214" s="4"/>
      <c r="AR214" s="20" t="str">
        <f t="shared" si="205"/>
        <v>-</v>
      </c>
      <c r="AS214" s="13" t="str">
        <f t="shared" si="184"/>
        <v>-</v>
      </c>
      <c r="AT214" s="13" t="str">
        <f t="shared" si="185"/>
        <v>-</v>
      </c>
      <c r="AU214" s="13" t="str">
        <f t="shared" si="206"/>
        <v>-</v>
      </c>
      <c r="AV214" s="16" t="str">
        <f t="shared" si="186"/>
        <v>-</v>
      </c>
      <c r="AW214" s="16" t="str">
        <f t="shared" si="207"/>
        <v>-</v>
      </c>
      <c r="AX214" s="16" t="str">
        <f t="shared" si="208"/>
        <v>-</v>
      </c>
      <c r="AY214" s="16" t="str">
        <f t="shared" si="187"/>
        <v>-</v>
      </c>
      <c r="AZ214" s="13" t="str">
        <f t="shared" si="188"/>
        <v>-</v>
      </c>
      <c r="BA214" s="10" t="str">
        <f t="shared" si="189"/>
        <v>-</v>
      </c>
      <c r="BB214" s="9" t="str">
        <f t="shared" si="190"/>
        <v>-</v>
      </c>
      <c r="BC214" s="13" t="str">
        <f t="shared" si="191"/>
        <v>-</v>
      </c>
      <c r="BD214" s="10" t="str">
        <f t="shared" si="192"/>
        <v>-</v>
      </c>
      <c r="BE214" s="13" t="str">
        <f t="shared" si="193"/>
        <v>-</v>
      </c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</row>
    <row r="215" spans="2:70" x14ac:dyDescent="0.3">
      <c r="B215" s="96" t="str">
        <f t="shared" si="172"/>
        <v/>
      </c>
      <c r="C215" s="96" t="str">
        <f t="shared" si="173"/>
        <v/>
      </c>
      <c r="D215" s="96" t="str">
        <f t="shared" si="174"/>
        <v/>
      </c>
      <c r="E215" s="3"/>
      <c r="F215" s="3"/>
      <c r="G215" s="3"/>
      <c r="H215" s="3"/>
      <c r="I215" s="20">
        <f>IFERROR(INDEX('Input - US Food'!G$2:G$200,MATCH('Calculations - US Food'!$D215,'Input - US Food'!$B$2:$B$200,0)),"")</f>
        <v>0</v>
      </c>
      <c r="J215" s="20">
        <f>IFERROR(INDEX('Input - US Food'!H$2:H$200,MATCH('Calculations - US Food'!$D215,'Input - US Food'!$B$2:$B$200,0)),"")</f>
        <v>0</v>
      </c>
      <c r="K215" s="21">
        <f>IFERROR(INDEX('Input - US Food'!I$2:I$200,MATCH('Calculations - US Food'!$D215,'Input - US Food'!$B$2:$B$200,0)),"")</f>
        <v>0</v>
      </c>
      <c r="L215" s="21">
        <f>IFERROR(INDEX('Input - US Food'!J$2:J$200,MATCH('Calculations - US Food'!$D215,'Input - US Food'!$B$2:$B$200,0)),"")</f>
        <v>0</v>
      </c>
      <c r="M215" s="20">
        <f>IFERROR(INDEX('Input - US Food'!K$2:K$200,MATCH('Calculations - US Food'!$D215,'Input - US Food'!$B$2:$B$200,0)),"")</f>
        <v>6055363851.4215012</v>
      </c>
      <c r="N215" s="20">
        <f>IFERROR(INDEX('Input - US Food'!L$2:L$200,MATCH('Calculations - US Food'!$D215,'Input - US Food'!$B$2:$B$200,0)),"")</f>
        <v>1982155918.8720999</v>
      </c>
      <c r="O215" s="21" t="str">
        <f t="shared" si="175"/>
        <v/>
      </c>
      <c r="P215" s="21">
        <f t="shared" si="194"/>
        <v>3.0549382083257943</v>
      </c>
      <c r="Q215" s="21">
        <f t="shared" si="176"/>
        <v>0</v>
      </c>
      <c r="R215" s="9">
        <f t="shared" si="195"/>
        <v>0</v>
      </c>
      <c r="S215" s="9">
        <f t="shared" si="196"/>
        <v>0</v>
      </c>
      <c r="T215" s="22" t="str">
        <f>IFERROR(INDEX('US Food'!$S$11:$S$197,MATCH('Calculations - US Food'!$D215,'US Food'!$N$11:$N$197,0)),"")</f>
        <v/>
      </c>
      <c r="U215" s="22" t="str">
        <f>IFERROR(INDEX('US Food'!$T$11:$T$197,MATCH('Calculations - US Food'!$D215,'US Food'!$N$11:$N$197,0)),"")</f>
        <v/>
      </c>
      <c r="V215" s="16" t="e">
        <f t="shared" si="197"/>
        <v>#VALUE!</v>
      </c>
      <c r="W215" s="16" t="e">
        <f t="shared" si="177"/>
        <v>#VALUE!</v>
      </c>
      <c r="X215" s="16" t="e">
        <f t="shared" si="178"/>
        <v>#VALUE!</v>
      </c>
      <c r="Y215" s="10" t="str">
        <f t="shared" si="198"/>
        <v>-</v>
      </c>
      <c r="Z215" s="10" t="str">
        <f t="shared" si="199"/>
        <v>-</v>
      </c>
      <c r="AA215" s="13" t="str">
        <f t="shared" si="179"/>
        <v>-</v>
      </c>
      <c r="AB215" s="9" t="str">
        <f t="shared" si="200"/>
        <v>-</v>
      </c>
      <c r="AC215" s="16" t="str">
        <f t="shared" si="180"/>
        <v>-</v>
      </c>
      <c r="AD215" s="16" t="str">
        <f t="shared" si="201"/>
        <v>-</v>
      </c>
      <c r="AE215" s="16" t="str">
        <f t="shared" si="202"/>
        <v>-</v>
      </c>
      <c r="AF215" s="16" t="str">
        <f t="shared" si="181"/>
        <v>-</v>
      </c>
      <c r="AG215" s="16"/>
      <c r="AH215" s="32" t="str">
        <f>IFERROR(INDEX('US Food'!$R$11:$R$197,MATCH('Calculations - US Food'!D215,'US Food'!$N$11:$N$197,0)),"")</f>
        <v/>
      </c>
      <c r="AI215" s="23" t="str">
        <f t="shared" si="182"/>
        <v/>
      </c>
      <c r="AJ215" s="23" t="str">
        <f t="shared" si="183"/>
        <v/>
      </c>
      <c r="AK215" s="9" t="str">
        <f t="shared" si="203"/>
        <v/>
      </c>
      <c r="AL215" s="4" t="str">
        <f t="shared" si="204"/>
        <v/>
      </c>
      <c r="AM215" s="4"/>
      <c r="AN215" s="4"/>
      <c r="AO215" s="4"/>
      <c r="AP215" s="4"/>
      <c r="AQ215" s="4"/>
      <c r="AR215" s="20" t="str">
        <f t="shared" si="205"/>
        <v>-</v>
      </c>
      <c r="AS215" s="13" t="str">
        <f t="shared" si="184"/>
        <v>-</v>
      </c>
      <c r="AT215" s="13" t="str">
        <f t="shared" si="185"/>
        <v>-</v>
      </c>
      <c r="AU215" s="13" t="str">
        <f t="shared" si="206"/>
        <v>-</v>
      </c>
      <c r="AV215" s="16" t="str">
        <f t="shared" si="186"/>
        <v>-</v>
      </c>
      <c r="AW215" s="16" t="str">
        <f t="shared" si="207"/>
        <v>-</v>
      </c>
      <c r="AX215" s="16" t="str">
        <f t="shared" si="208"/>
        <v>-</v>
      </c>
      <c r="AY215" s="16" t="str">
        <f t="shared" si="187"/>
        <v>-</v>
      </c>
      <c r="AZ215" s="13" t="str">
        <f t="shared" si="188"/>
        <v>-</v>
      </c>
      <c r="BA215" s="10" t="str">
        <f t="shared" si="189"/>
        <v>-</v>
      </c>
      <c r="BB215" s="9" t="str">
        <f t="shared" si="190"/>
        <v>-</v>
      </c>
      <c r="BC215" s="13" t="str">
        <f t="shared" si="191"/>
        <v>-</v>
      </c>
      <c r="BD215" s="10" t="str">
        <f t="shared" si="192"/>
        <v>-</v>
      </c>
      <c r="BE215" s="13" t="str">
        <f t="shared" si="193"/>
        <v>-</v>
      </c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</row>
    <row r="216" spans="2:70" x14ac:dyDescent="0.3">
      <c r="B216" s="96" t="str">
        <f t="shared" si="172"/>
        <v/>
      </c>
      <c r="C216" s="96" t="str">
        <f t="shared" si="173"/>
        <v/>
      </c>
      <c r="D216" s="96" t="str">
        <f t="shared" si="174"/>
        <v/>
      </c>
      <c r="E216" s="3"/>
      <c r="F216" s="3"/>
      <c r="G216" s="3"/>
      <c r="H216" s="3"/>
      <c r="I216" s="20">
        <f>IFERROR(INDEX('Input - US Food'!G$2:G$200,MATCH('Calculations - US Food'!$D216,'Input - US Food'!$B$2:$B$200,0)),"")</f>
        <v>0</v>
      </c>
      <c r="J216" s="20">
        <f>IFERROR(INDEX('Input - US Food'!H$2:H$200,MATCH('Calculations - US Food'!$D216,'Input - US Food'!$B$2:$B$200,0)),"")</f>
        <v>0</v>
      </c>
      <c r="K216" s="21">
        <f>IFERROR(INDEX('Input - US Food'!I$2:I$200,MATCH('Calculations - US Food'!$D216,'Input - US Food'!$B$2:$B$200,0)),"")</f>
        <v>0</v>
      </c>
      <c r="L216" s="21">
        <f>IFERROR(INDEX('Input - US Food'!J$2:J$200,MATCH('Calculations - US Food'!$D216,'Input - US Food'!$B$2:$B$200,0)),"")</f>
        <v>0</v>
      </c>
      <c r="M216" s="20">
        <f>IFERROR(INDEX('Input - US Food'!K$2:K$200,MATCH('Calculations - US Food'!$D216,'Input - US Food'!$B$2:$B$200,0)),"")</f>
        <v>6055363851.4215012</v>
      </c>
      <c r="N216" s="20">
        <f>IFERROR(INDEX('Input - US Food'!L$2:L$200,MATCH('Calculations - US Food'!$D216,'Input - US Food'!$B$2:$B$200,0)),"")</f>
        <v>1982155918.8720999</v>
      </c>
      <c r="O216" s="21" t="str">
        <f t="shared" si="175"/>
        <v/>
      </c>
      <c r="P216" s="21">
        <f t="shared" si="194"/>
        <v>3.0549382083257943</v>
      </c>
      <c r="Q216" s="21">
        <f t="shared" si="176"/>
        <v>0</v>
      </c>
      <c r="R216" s="9">
        <f t="shared" si="195"/>
        <v>0</v>
      </c>
      <c r="S216" s="9">
        <f t="shared" si="196"/>
        <v>0</v>
      </c>
      <c r="T216" s="22" t="str">
        <f>IFERROR(INDEX('US Food'!$S$11:$S$197,MATCH('Calculations - US Food'!$D216,'US Food'!$N$11:$N$197,0)),"")</f>
        <v/>
      </c>
      <c r="U216" s="22" t="str">
        <f>IFERROR(INDEX('US Food'!$T$11:$T$197,MATCH('Calculations - US Food'!$D216,'US Food'!$N$11:$N$197,0)),"")</f>
        <v/>
      </c>
      <c r="V216" s="16" t="e">
        <f t="shared" si="197"/>
        <v>#VALUE!</v>
      </c>
      <c r="W216" s="16" t="e">
        <f t="shared" si="177"/>
        <v>#VALUE!</v>
      </c>
      <c r="X216" s="16" t="e">
        <f t="shared" si="178"/>
        <v>#VALUE!</v>
      </c>
      <c r="Y216" s="10" t="str">
        <f t="shared" si="198"/>
        <v>-</v>
      </c>
      <c r="Z216" s="10" t="str">
        <f t="shared" si="199"/>
        <v>-</v>
      </c>
      <c r="AA216" s="13" t="str">
        <f t="shared" si="179"/>
        <v>-</v>
      </c>
      <c r="AB216" s="9" t="str">
        <f t="shared" si="200"/>
        <v>-</v>
      </c>
      <c r="AC216" s="16" t="str">
        <f t="shared" si="180"/>
        <v>-</v>
      </c>
      <c r="AD216" s="16" t="str">
        <f t="shared" si="201"/>
        <v>-</v>
      </c>
      <c r="AE216" s="16" t="str">
        <f t="shared" si="202"/>
        <v>-</v>
      </c>
      <c r="AF216" s="16" t="str">
        <f t="shared" si="181"/>
        <v>-</v>
      </c>
      <c r="AG216" s="16"/>
      <c r="AH216" s="32" t="str">
        <f>IFERROR(INDEX('US Food'!$R$11:$R$197,MATCH('Calculations - US Food'!D216,'US Food'!$N$11:$N$197,0)),"")</f>
        <v/>
      </c>
      <c r="AI216" s="23" t="str">
        <f t="shared" si="182"/>
        <v/>
      </c>
      <c r="AJ216" s="23" t="str">
        <f t="shared" si="183"/>
        <v/>
      </c>
      <c r="AK216" s="9" t="str">
        <f t="shared" si="203"/>
        <v/>
      </c>
      <c r="AL216" s="4" t="str">
        <f t="shared" si="204"/>
        <v/>
      </c>
      <c r="AM216" s="4"/>
      <c r="AN216" s="4"/>
      <c r="AO216" s="4"/>
      <c r="AP216" s="4"/>
      <c r="AQ216" s="4"/>
      <c r="AR216" s="20" t="str">
        <f t="shared" si="205"/>
        <v>-</v>
      </c>
      <c r="AS216" s="13" t="str">
        <f t="shared" si="184"/>
        <v>-</v>
      </c>
      <c r="AT216" s="13" t="str">
        <f t="shared" si="185"/>
        <v>-</v>
      </c>
      <c r="AU216" s="13" t="str">
        <f t="shared" si="206"/>
        <v>-</v>
      </c>
      <c r="AV216" s="16" t="str">
        <f t="shared" si="186"/>
        <v>-</v>
      </c>
      <c r="AW216" s="16" t="str">
        <f t="shared" si="207"/>
        <v>-</v>
      </c>
      <c r="AX216" s="16" t="str">
        <f t="shared" si="208"/>
        <v>-</v>
      </c>
      <c r="AY216" s="16" t="str">
        <f t="shared" si="187"/>
        <v>-</v>
      </c>
      <c r="AZ216" s="13" t="str">
        <f t="shared" si="188"/>
        <v>-</v>
      </c>
      <c r="BA216" s="10" t="str">
        <f t="shared" si="189"/>
        <v>-</v>
      </c>
      <c r="BB216" s="9" t="str">
        <f t="shared" si="190"/>
        <v>-</v>
      </c>
      <c r="BC216" s="13" t="str">
        <f t="shared" si="191"/>
        <v>-</v>
      </c>
      <c r="BD216" s="10" t="str">
        <f t="shared" si="192"/>
        <v>-</v>
      </c>
      <c r="BE216" s="13" t="str">
        <f t="shared" si="193"/>
        <v>-</v>
      </c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</row>
    <row r="217" spans="2:70" x14ac:dyDescent="0.3">
      <c r="B217" s="96" t="str">
        <f t="shared" si="172"/>
        <v/>
      </c>
      <c r="C217" s="96" t="str">
        <f t="shared" si="173"/>
        <v/>
      </c>
      <c r="D217" s="96" t="str">
        <f t="shared" si="174"/>
        <v/>
      </c>
      <c r="E217" s="3"/>
      <c r="F217" s="3"/>
      <c r="G217" s="3"/>
      <c r="H217" s="3"/>
      <c r="I217" s="20">
        <f>IFERROR(INDEX('Input - US Food'!G$2:G$200,MATCH('Calculations - US Food'!$D217,'Input - US Food'!$B$2:$B$200,0)),"")</f>
        <v>0</v>
      </c>
      <c r="J217" s="20">
        <f>IFERROR(INDEX('Input - US Food'!H$2:H$200,MATCH('Calculations - US Food'!$D217,'Input - US Food'!$B$2:$B$200,0)),"")</f>
        <v>0</v>
      </c>
      <c r="K217" s="21">
        <f>IFERROR(INDEX('Input - US Food'!I$2:I$200,MATCH('Calculations - US Food'!$D217,'Input - US Food'!$B$2:$B$200,0)),"")</f>
        <v>0</v>
      </c>
      <c r="L217" s="21">
        <f>IFERROR(INDEX('Input - US Food'!J$2:J$200,MATCH('Calculations - US Food'!$D217,'Input - US Food'!$B$2:$B$200,0)),"")</f>
        <v>0</v>
      </c>
      <c r="M217" s="20">
        <f>IFERROR(INDEX('Input - US Food'!K$2:K$200,MATCH('Calculations - US Food'!$D217,'Input - US Food'!$B$2:$B$200,0)),"")</f>
        <v>6055363851.4215012</v>
      </c>
      <c r="N217" s="20">
        <f>IFERROR(INDEX('Input - US Food'!L$2:L$200,MATCH('Calculations - US Food'!$D217,'Input - US Food'!$B$2:$B$200,0)),"")</f>
        <v>1982155918.8720999</v>
      </c>
      <c r="O217" s="21" t="str">
        <f t="shared" si="175"/>
        <v/>
      </c>
      <c r="P217" s="21">
        <f t="shared" si="194"/>
        <v>3.0549382083257943</v>
      </c>
      <c r="Q217" s="21">
        <f t="shared" si="176"/>
        <v>0</v>
      </c>
      <c r="R217" s="9">
        <f t="shared" si="195"/>
        <v>0</v>
      </c>
      <c r="S217" s="9">
        <f t="shared" si="196"/>
        <v>0</v>
      </c>
      <c r="T217" s="22" t="str">
        <f>IFERROR(INDEX('US Food'!$S$11:$S$197,MATCH('Calculations - US Food'!$D217,'US Food'!$N$11:$N$197,0)),"")</f>
        <v/>
      </c>
      <c r="U217" s="22" t="str">
        <f>IFERROR(INDEX('US Food'!$T$11:$T$197,MATCH('Calculations - US Food'!$D217,'US Food'!$N$11:$N$197,0)),"")</f>
        <v/>
      </c>
      <c r="V217" s="16" t="e">
        <f t="shared" si="197"/>
        <v>#VALUE!</v>
      </c>
      <c r="W217" s="16" t="e">
        <f t="shared" si="177"/>
        <v>#VALUE!</v>
      </c>
      <c r="X217" s="16" t="e">
        <f t="shared" si="178"/>
        <v>#VALUE!</v>
      </c>
      <c r="Y217" s="10" t="str">
        <f t="shared" si="198"/>
        <v>-</v>
      </c>
      <c r="Z217" s="10" t="str">
        <f t="shared" si="199"/>
        <v>-</v>
      </c>
      <c r="AA217" s="13" t="str">
        <f t="shared" si="179"/>
        <v>-</v>
      </c>
      <c r="AB217" s="9" t="str">
        <f t="shared" si="200"/>
        <v>-</v>
      </c>
      <c r="AC217" s="16" t="str">
        <f t="shared" si="180"/>
        <v>-</v>
      </c>
      <c r="AD217" s="16" t="str">
        <f t="shared" si="201"/>
        <v>-</v>
      </c>
      <c r="AE217" s="16" t="str">
        <f t="shared" si="202"/>
        <v>-</v>
      </c>
      <c r="AF217" s="16" t="str">
        <f t="shared" si="181"/>
        <v>-</v>
      </c>
      <c r="AG217" s="16"/>
      <c r="AH217" s="32" t="str">
        <f>IFERROR(INDEX('US Food'!$R$11:$R$197,MATCH('Calculations - US Food'!D217,'US Food'!$N$11:$N$197,0)),"")</f>
        <v/>
      </c>
      <c r="AI217" s="23" t="str">
        <f t="shared" si="182"/>
        <v/>
      </c>
      <c r="AJ217" s="23" t="str">
        <f t="shared" si="183"/>
        <v/>
      </c>
      <c r="AK217" s="9" t="str">
        <f t="shared" si="203"/>
        <v/>
      </c>
      <c r="AL217" s="4" t="str">
        <f t="shared" si="204"/>
        <v/>
      </c>
      <c r="AM217" s="4"/>
      <c r="AN217" s="4"/>
      <c r="AO217" s="4"/>
      <c r="AP217" s="4"/>
      <c r="AQ217" s="4"/>
      <c r="AR217" s="20" t="str">
        <f t="shared" si="205"/>
        <v>-</v>
      </c>
      <c r="AS217" s="13" t="str">
        <f t="shared" si="184"/>
        <v>-</v>
      </c>
      <c r="AT217" s="13" t="str">
        <f t="shared" si="185"/>
        <v>-</v>
      </c>
      <c r="AU217" s="13" t="str">
        <f t="shared" si="206"/>
        <v>-</v>
      </c>
      <c r="AV217" s="16" t="str">
        <f t="shared" si="186"/>
        <v>-</v>
      </c>
      <c r="AW217" s="16" t="str">
        <f t="shared" si="207"/>
        <v>-</v>
      </c>
      <c r="AX217" s="16" t="str">
        <f t="shared" si="208"/>
        <v>-</v>
      </c>
      <c r="AY217" s="16" t="str">
        <f t="shared" si="187"/>
        <v>-</v>
      </c>
      <c r="AZ217" s="13" t="str">
        <f t="shared" si="188"/>
        <v>-</v>
      </c>
      <c r="BA217" s="10" t="str">
        <f t="shared" si="189"/>
        <v>-</v>
      </c>
      <c r="BB217" s="9" t="str">
        <f t="shared" si="190"/>
        <v>-</v>
      </c>
      <c r="BC217" s="13" t="str">
        <f t="shared" si="191"/>
        <v>-</v>
      </c>
      <c r="BD217" s="10" t="str">
        <f t="shared" si="192"/>
        <v>-</v>
      </c>
      <c r="BE217" s="13" t="str">
        <f t="shared" si="193"/>
        <v>-</v>
      </c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</row>
    <row r="218" spans="2:70" x14ac:dyDescent="0.3">
      <c r="B218" s="96" t="str">
        <f t="shared" si="172"/>
        <v/>
      </c>
      <c r="C218" s="96" t="str">
        <f t="shared" si="173"/>
        <v/>
      </c>
      <c r="D218" s="96" t="str">
        <f t="shared" si="174"/>
        <v/>
      </c>
      <c r="E218" s="3"/>
      <c r="F218" s="3"/>
      <c r="G218" s="3"/>
      <c r="H218" s="3"/>
      <c r="I218" s="20">
        <f>IFERROR(INDEX('Input - US Food'!G$2:G$200,MATCH('Calculations - US Food'!$D218,'Input - US Food'!$B$2:$B$200,0)),"")</f>
        <v>0</v>
      </c>
      <c r="J218" s="20">
        <f>IFERROR(INDEX('Input - US Food'!H$2:H$200,MATCH('Calculations - US Food'!$D218,'Input - US Food'!$B$2:$B$200,0)),"")</f>
        <v>0</v>
      </c>
      <c r="K218" s="21">
        <f>IFERROR(INDEX('Input - US Food'!I$2:I$200,MATCH('Calculations - US Food'!$D218,'Input - US Food'!$B$2:$B$200,0)),"")</f>
        <v>0</v>
      </c>
      <c r="L218" s="21">
        <f>IFERROR(INDEX('Input - US Food'!J$2:J$200,MATCH('Calculations - US Food'!$D218,'Input - US Food'!$B$2:$B$200,0)),"")</f>
        <v>0</v>
      </c>
      <c r="M218" s="20">
        <f>IFERROR(INDEX('Input - US Food'!K$2:K$200,MATCH('Calculations - US Food'!$D218,'Input - US Food'!$B$2:$B$200,0)),"")</f>
        <v>6055363851.4215012</v>
      </c>
      <c r="N218" s="20">
        <f>IFERROR(INDEX('Input - US Food'!L$2:L$200,MATCH('Calculations - US Food'!$D218,'Input - US Food'!$B$2:$B$200,0)),"")</f>
        <v>1982155918.8720999</v>
      </c>
      <c r="O218" s="21" t="str">
        <f t="shared" si="175"/>
        <v/>
      </c>
      <c r="P218" s="21">
        <f t="shared" si="194"/>
        <v>3.0549382083257943</v>
      </c>
      <c r="Q218" s="21">
        <f t="shared" si="176"/>
        <v>0</v>
      </c>
      <c r="R218" s="9">
        <f t="shared" si="195"/>
        <v>0</v>
      </c>
      <c r="S218" s="9">
        <f t="shared" si="196"/>
        <v>0</v>
      </c>
      <c r="T218" s="22" t="str">
        <f>IFERROR(INDEX('US Food'!$S$11:$S$197,MATCH('Calculations - US Food'!$D218,'US Food'!$N$11:$N$197,0)),"")</f>
        <v/>
      </c>
      <c r="U218" s="22" t="str">
        <f>IFERROR(INDEX('US Food'!$T$11:$T$197,MATCH('Calculations - US Food'!$D218,'US Food'!$N$11:$N$197,0)),"")</f>
        <v/>
      </c>
      <c r="V218" s="16" t="e">
        <f t="shared" si="197"/>
        <v>#VALUE!</v>
      </c>
      <c r="W218" s="16" t="e">
        <f t="shared" si="177"/>
        <v>#VALUE!</v>
      </c>
      <c r="X218" s="16" t="e">
        <f t="shared" si="178"/>
        <v>#VALUE!</v>
      </c>
      <c r="Y218" s="10" t="str">
        <f t="shared" si="198"/>
        <v>-</v>
      </c>
      <c r="Z218" s="10" t="str">
        <f t="shared" si="199"/>
        <v>-</v>
      </c>
      <c r="AA218" s="13" t="str">
        <f t="shared" si="179"/>
        <v>-</v>
      </c>
      <c r="AB218" s="9" t="str">
        <f t="shared" si="200"/>
        <v>-</v>
      </c>
      <c r="AC218" s="16" t="str">
        <f t="shared" si="180"/>
        <v>-</v>
      </c>
      <c r="AD218" s="16" t="str">
        <f t="shared" si="201"/>
        <v>-</v>
      </c>
      <c r="AE218" s="16" t="str">
        <f t="shared" si="202"/>
        <v>-</v>
      </c>
      <c r="AF218" s="16" t="str">
        <f t="shared" si="181"/>
        <v>-</v>
      </c>
      <c r="AG218" s="16"/>
      <c r="AH218" s="32" t="str">
        <f>IFERROR(INDEX('US Food'!$R$11:$R$197,MATCH('Calculations - US Food'!D218,'US Food'!$N$11:$N$197,0)),"")</f>
        <v/>
      </c>
      <c r="AI218" s="23" t="str">
        <f t="shared" si="182"/>
        <v/>
      </c>
      <c r="AJ218" s="23" t="str">
        <f t="shared" si="183"/>
        <v/>
      </c>
      <c r="AK218" s="9" t="str">
        <f t="shared" si="203"/>
        <v/>
      </c>
      <c r="AL218" s="4" t="str">
        <f t="shared" si="204"/>
        <v/>
      </c>
      <c r="AM218" s="4"/>
      <c r="AN218" s="4"/>
      <c r="AO218" s="4"/>
      <c r="AP218" s="4"/>
      <c r="AQ218" s="4"/>
      <c r="AR218" s="20" t="str">
        <f t="shared" si="205"/>
        <v>-</v>
      </c>
      <c r="AS218" s="13" t="str">
        <f t="shared" si="184"/>
        <v>-</v>
      </c>
      <c r="AT218" s="13" t="str">
        <f t="shared" si="185"/>
        <v>-</v>
      </c>
      <c r="AU218" s="13" t="str">
        <f t="shared" si="206"/>
        <v>-</v>
      </c>
      <c r="AV218" s="16" t="str">
        <f t="shared" si="186"/>
        <v>-</v>
      </c>
      <c r="AW218" s="16" t="str">
        <f t="shared" si="207"/>
        <v>-</v>
      </c>
      <c r="AX218" s="16" t="str">
        <f t="shared" si="208"/>
        <v>-</v>
      </c>
      <c r="AY218" s="16" t="str">
        <f t="shared" si="187"/>
        <v>-</v>
      </c>
      <c r="AZ218" s="13" t="str">
        <f t="shared" si="188"/>
        <v>-</v>
      </c>
      <c r="BA218" s="10" t="str">
        <f t="shared" si="189"/>
        <v>-</v>
      </c>
      <c r="BB218" s="9" t="str">
        <f t="shared" si="190"/>
        <v>-</v>
      </c>
      <c r="BC218" s="13" t="str">
        <f t="shared" si="191"/>
        <v>-</v>
      </c>
      <c r="BD218" s="10" t="str">
        <f t="shared" si="192"/>
        <v>-</v>
      </c>
      <c r="BE218" s="13" t="str">
        <f t="shared" si="193"/>
        <v>-</v>
      </c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</row>
    <row r="219" spans="2:70" x14ac:dyDescent="0.3">
      <c r="B219" s="96" t="str">
        <f t="shared" si="172"/>
        <v/>
      </c>
      <c r="C219" s="96" t="str">
        <f t="shared" si="173"/>
        <v/>
      </c>
      <c r="D219" s="96" t="str">
        <f t="shared" si="174"/>
        <v/>
      </c>
      <c r="E219" s="3"/>
      <c r="F219" s="3"/>
      <c r="G219" s="3"/>
      <c r="H219" s="3"/>
      <c r="I219" s="20">
        <f>IFERROR(INDEX('Input - US Food'!G$2:G$200,MATCH('Calculations - US Food'!$D219,'Input - US Food'!$B$2:$B$200,0)),"")</f>
        <v>0</v>
      </c>
      <c r="J219" s="20">
        <f>IFERROR(INDEX('Input - US Food'!H$2:H$200,MATCH('Calculations - US Food'!$D219,'Input - US Food'!$B$2:$B$200,0)),"")</f>
        <v>0</v>
      </c>
      <c r="K219" s="21">
        <f>IFERROR(INDEX('Input - US Food'!I$2:I$200,MATCH('Calculations - US Food'!$D219,'Input - US Food'!$B$2:$B$200,0)),"")</f>
        <v>0</v>
      </c>
      <c r="L219" s="21">
        <f>IFERROR(INDEX('Input - US Food'!J$2:J$200,MATCH('Calculations - US Food'!$D219,'Input - US Food'!$B$2:$B$200,0)),"")</f>
        <v>0</v>
      </c>
      <c r="M219" s="20">
        <f>IFERROR(INDEX('Input - US Food'!K$2:K$200,MATCH('Calculations - US Food'!$D219,'Input - US Food'!$B$2:$B$200,0)),"")</f>
        <v>6055363851.4215012</v>
      </c>
      <c r="N219" s="20">
        <f>IFERROR(INDEX('Input - US Food'!L$2:L$200,MATCH('Calculations - US Food'!$D219,'Input - US Food'!$B$2:$B$200,0)),"")</f>
        <v>1982155918.8720999</v>
      </c>
      <c r="O219" s="21" t="str">
        <f t="shared" si="175"/>
        <v/>
      </c>
      <c r="P219" s="21">
        <f t="shared" si="194"/>
        <v>3.0549382083257943</v>
      </c>
      <c r="Q219" s="21">
        <f t="shared" si="176"/>
        <v>0</v>
      </c>
      <c r="R219" s="9">
        <f t="shared" si="195"/>
        <v>0</v>
      </c>
      <c r="S219" s="9">
        <f t="shared" si="196"/>
        <v>0</v>
      </c>
      <c r="T219" s="22" t="str">
        <f>IFERROR(INDEX('US Food'!$S$11:$S$197,MATCH('Calculations - US Food'!$D219,'US Food'!$N$11:$N$197,0)),"")</f>
        <v/>
      </c>
      <c r="U219" s="22" t="str">
        <f>IFERROR(INDEX('US Food'!$T$11:$T$197,MATCH('Calculations - US Food'!$D219,'US Food'!$N$11:$N$197,0)),"")</f>
        <v/>
      </c>
      <c r="V219" s="16" t="e">
        <f t="shared" si="197"/>
        <v>#VALUE!</v>
      </c>
      <c r="W219" s="16" t="e">
        <f t="shared" si="177"/>
        <v>#VALUE!</v>
      </c>
      <c r="X219" s="16" t="e">
        <f t="shared" si="178"/>
        <v>#VALUE!</v>
      </c>
      <c r="Y219" s="10" t="str">
        <f t="shared" si="198"/>
        <v>-</v>
      </c>
      <c r="Z219" s="10" t="str">
        <f t="shared" si="199"/>
        <v>-</v>
      </c>
      <c r="AA219" s="13" t="str">
        <f t="shared" si="179"/>
        <v>-</v>
      </c>
      <c r="AB219" s="9" t="str">
        <f t="shared" si="200"/>
        <v>-</v>
      </c>
      <c r="AC219" s="16" t="str">
        <f t="shared" si="180"/>
        <v>-</v>
      </c>
      <c r="AD219" s="16" t="str">
        <f t="shared" si="201"/>
        <v>-</v>
      </c>
      <c r="AE219" s="16" t="str">
        <f t="shared" si="202"/>
        <v>-</v>
      </c>
      <c r="AF219" s="16" t="str">
        <f t="shared" si="181"/>
        <v>-</v>
      </c>
      <c r="AG219" s="16"/>
      <c r="AH219" s="32" t="str">
        <f>IFERROR(INDEX('US Food'!$R$11:$R$197,MATCH('Calculations - US Food'!D219,'US Food'!$N$11:$N$197,0)),"")</f>
        <v/>
      </c>
      <c r="AI219" s="23" t="str">
        <f t="shared" si="182"/>
        <v/>
      </c>
      <c r="AJ219" s="23" t="str">
        <f t="shared" si="183"/>
        <v/>
      </c>
      <c r="AK219" s="9" t="str">
        <f t="shared" si="203"/>
        <v/>
      </c>
      <c r="AL219" s="4" t="str">
        <f t="shared" si="204"/>
        <v/>
      </c>
      <c r="AM219" s="4"/>
      <c r="AN219" s="4"/>
      <c r="AO219" s="4"/>
      <c r="AP219" s="4"/>
      <c r="AQ219" s="4"/>
      <c r="AR219" s="20" t="str">
        <f t="shared" si="205"/>
        <v>-</v>
      </c>
      <c r="AS219" s="13" t="str">
        <f t="shared" si="184"/>
        <v>-</v>
      </c>
      <c r="AT219" s="13" t="str">
        <f t="shared" si="185"/>
        <v>-</v>
      </c>
      <c r="AU219" s="13" t="str">
        <f t="shared" si="206"/>
        <v>-</v>
      </c>
      <c r="AV219" s="16" t="str">
        <f t="shared" si="186"/>
        <v>-</v>
      </c>
      <c r="AW219" s="16" t="str">
        <f t="shared" si="207"/>
        <v>-</v>
      </c>
      <c r="AX219" s="16" t="str">
        <f t="shared" si="208"/>
        <v>-</v>
      </c>
      <c r="AY219" s="16" t="str">
        <f t="shared" si="187"/>
        <v>-</v>
      </c>
      <c r="AZ219" s="13" t="str">
        <f t="shared" si="188"/>
        <v>-</v>
      </c>
      <c r="BA219" s="10" t="str">
        <f t="shared" si="189"/>
        <v>-</v>
      </c>
      <c r="BB219" s="9" t="str">
        <f t="shared" si="190"/>
        <v>-</v>
      </c>
      <c r="BC219" s="13" t="str">
        <f t="shared" si="191"/>
        <v>-</v>
      </c>
      <c r="BD219" s="10" t="str">
        <f t="shared" si="192"/>
        <v>-</v>
      </c>
      <c r="BE219" s="13" t="str">
        <f t="shared" si="193"/>
        <v>-</v>
      </c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</row>
    <row r="220" spans="2:70" x14ac:dyDescent="0.3">
      <c r="B220" s="96" t="str">
        <f t="shared" si="172"/>
        <v/>
      </c>
      <c r="C220" s="96" t="str">
        <f t="shared" si="173"/>
        <v/>
      </c>
      <c r="D220" s="96" t="str">
        <f t="shared" si="174"/>
        <v/>
      </c>
      <c r="E220" s="3"/>
      <c r="F220" s="3"/>
      <c r="G220" s="3"/>
      <c r="H220" s="3"/>
      <c r="I220" s="20">
        <f>IFERROR(INDEX('Input - US Food'!G$2:G$200,MATCH('Calculations - US Food'!$D220,'Input - US Food'!$B$2:$B$200,0)),"")</f>
        <v>0</v>
      </c>
      <c r="J220" s="20">
        <f>IFERROR(INDEX('Input - US Food'!H$2:H$200,MATCH('Calculations - US Food'!$D220,'Input - US Food'!$B$2:$B$200,0)),"")</f>
        <v>0</v>
      </c>
      <c r="K220" s="21">
        <f>IFERROR(INDEX('Input - US Food'!I$2:I$200,MATCH('Calculations - US Food'!$D220,'Input - US Food'!$B$2:$B$200,0)),"")</f>
        <v>0</v>
      </c>
      <c r="L220" s="21">
        <f>IFERROR(INDEX('Input - US Food'!J$2:J$200,MATCH('Calculations - US Food'!$D220,'Input - US Food'!$B$2:$B$200,0)),"")</f>
        <v>0</v>
      </c>
      <c r="M220" s="20">
        <f>IFERROR(INDEX('Input - US Food'!K$2:K$200,MATCH('Calculations - US Food'!$D220,'Input - US Food'!$B$2:$B$200,0)),"")</f>
        <v>6055363851.4215012</v>
      </c>
      <c r="N220" s="20">
        <f>IFERROR(INDEX('Input - US Food'!L$2:L$200,MATCH('Calculations - US Food'!$D220,'Input - US Food'!$B$2:$B$200,0)),"")</f>
        <v>1982155918.8720999</v>
      </c>
      <c r="O220" s="21" t="str">
        <f t="shared" si="175"/>
        <v/>
      </c>
      <c r="P220" s="21">
        <f t="shared" si="194"/>
        <v>3.0549382083257943</v>
      </c>
      <c r="Q220" s="21">
        <f t="shared" si="176"/>
        <v>0</v>
      </c>
      <c r="R220" s="9">
        <f t="shared" si="195"/>
        <v>0</v>
      </c>
      <c r="S220" s="9">
        <f t="shared" si="196"/>
        <v>0</v>
      </c>
      <c r="T220" s="22" t="str">
        <f>IFERROR(INDEX('US Food'!$S$11:$S$197,MATCH('Calculations - US Food'!$D220,'US Food'!$N$11:$N$197,0)),"")</f>
        <v/>
      </c>
      <c r="U220" s="22" t="str">
        <f>IFERROR(INDEX('US Food'!$T$11:$T$197,MATCH('Calculations - US Food'!$D220,'US Food'!$N$11:$N$197,0)),"")</f>
        <v/>
      </c>
      <c r="V220" s="16" t="e">
        <f t="shared" si="197"/>
        <v>#VALUE!</v>
      </c>
      <c r="W220" s="16" t="e">
        <f t="shared" si="177"/>
        <v>#VALUE!</v>
      </c>
      <c r="X220" s="16" t="e">
        <f t="shared" si="178"/>
        <v>#VALUE!</v>
      </c>
      <c r="Y220" s="10" t="str">
        <f t="shared" si="198"/>
        <v>-</v>
      </c>
      <c r="Z220" s="10" t="str">
        <f t="shared" si="199"/>
        <v>-</v>
      </c>
      <c r="AA220" s="13" t="str">
        <f t="shared" si="179"/>
        <v>-</v>
      </c>
      <c r="AB220" s="9" t="str">
        <f t="shared" si="200"/>
        <v>-</v>
      </c>
      <c r="AC220" s="16" t="str">
        <f t="shared" si="180"/>
        <v>-</v>
      </c>
      <c r="AD220" s="16" t="str">
        <f t="shared" si="201"/>
        <v>-</v>
      </c>
      <c r="AE220" s="16" t="str">
        <f t="shared" si="202"/>
        <v>-</v>
      </c>
      <c r="AF220" s="16" t="str">
        <f t="shared" si="181"/>
        <v>-</v>
      </c>
      <c r="AG220" s="16"/>
      <c r="AH220" s="32" t="str">
        <f>IFERROR(INDEX('US Food'!$R$11:$R$197,MATCH('Calculations - US Food'!D220,'US Food'!$N$11:$N$197,0)),"")</f>
        <v/>
      </c>
      <c r="AI220" s="23" t="str">
        <f t="shared" si="182"/>
        <v/>
      </c>
      <c r="AJ220" s="23" t="str">
        <f t="shared" si="183"/>
        <v/>
      </c>
      <c r="AK220" s="9" t="str">
        <f t="shared" si="203"/>
        <v/>
      </c>
      <c r="AL220" s="4" t="str">
        <f t="shared" si="204"/>
        <v/>
      </c>
      <c r="AM220" s="4"/>
      <c r="AN220" s="4"/>
      <c r="AO220" s="4"/>
      <c r="AP220" s="4"/>
      <c r="AQ220" s="4"/>
      <c r="AR220" s="20" t="str">
        <f t="shared" si="205"/>
        <v>-</v>
      </c>
      <c r="AS220" s="13" t="str">
        <f t="shared" si="184"/>
        <v>-</v>
      </c>
      <c r="AT220" s="13" t="str">
        <f t="shared" si="185"/>
        <v>-</v>
      </c>
      <c r="AU220" s="13" t="str">
        <f t="shared" si="206"/>
        <v>-</v>
      </c>
      <c r="AV220" s="16" t="str">
        <f t="shared" si="186"/>
        <v>-</v>
      </c>
      <c r="AW220" s="16" t="str">
        <f t="shared" si="207"/>
        <v>-</v>
      </c>
      <c r="AX220" s="16" t="str">
        <f t="shared" si="208"/>
        <v>-</v>
      </c>
      <c r="AY220" s="16" t="str">
        <f t="shared" si="187"/>
        <v>-</v>
      </c>
      <c r="AZ220" s="13" t="str">
        <f t="shared" si="188"/>
        <v>-</v>
      </c>
      <c r="BA220" s="10" t="str">
        <f t="shared" si="189"/>
        <v>-</v>
      </c>
      <c r="BB220" s="9" t="str">
        <f t="shared" si="190"/>
        <v>-</v>
      </c>
      <c r="BC220" s="13" t="str">
        <f t="shared" si="191"/>
        <v>-</v>
      </c>
      <c r="BD220" s="10" t="str">
        <f t="shared" si="192"/>
        <v>-</v>
      </c>
      <c r="BE220" s="13" t="str">
        <f t="shared" si="193"/>
        <v>-</v>
      </c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</row>
    <row r="221" spans="2:70" x14ac:dyDescent="0.3">
      <c r="B221" s="96" t="str">
        <f t="shared" si="172"/>
        <v/>
      </c>
      <c r="C221" s="96" t="str">
        <f t="shared" si="173"/>
        <v/>
      </c>
      <c r="D221" s="96" t="str">
        <f t="shared" si="174"/>
        <v/>
      </c>
      <c r="E221" s="3"/>
      <c r="F221" s="3"/>
      <c r="G221" s="3"/>
      <c r="H221" s="3"/>
      <c r="I221" s="20">
        <f>IFERROR(INDEX('Input - US Food'!G$2:G$200,MATCH('Calculations - US Food'!$D221,'Input - US Food'!$B$2:$B$200,0)),"")</f>
        <v>0</v>
      </c>
      <c r="J221" s="20">
        <f>IFERROR(INDEX('Input - US Food'!H$2:H$200,MATCH('Calculations - US Food'!$D221,'Input - US Food'!$B$2:$B$200,0)),"")</f>
        <v>0</v>
      </c>
      <c r="K221" s="21">
        <f>IFERROR(INDEX('Input - US Food'!I$2:I$200,MATCH('Calculations - US Food'!$D221,'Input - US Food'!$B$2:$B$200,0)),"")</f>
        <v>0</v>
      </c>
      <c r="L221" s="21">
        <f>IFERROR(INDEX('Input - US Food'!J$2:J$200,MATCH('Calculations - US Food'!$D221,'Input - US Food'!$B$2:$B$200,0)),"")</f>
        <v>0</v>
      </c>
      <c r="M221" s="20">
        <f>IFERROR(INDEX('Input - US Food'!K$2:K$200,MATCH('Calculations - US Food'!$D221,'Input - US Food'!$B$2:$B$200,0)),"")</f>
        <v>6055363851.4215012</v>
      </c>
      <c r="N221" s="20">
        <f>IFERROR(INDEX('Input - US Food'!L$2:L$200,MATCH('Calculations - US Food'!$D221,'Input - US Food'!$B$2:$B$200,0)),"")</f>
        <v>1982155918.8720999</v>
      </c>
      <c r="O221" s="21" t="str">
        <f t="shared" si="175"/>
        <v/>
      </c>
      <c r="P221" s="21">
        <f t="shared" si="194"/>
        <v>3.0549382083257943</v>
      </c>
      <c r="Q221" s="21">
        <f t="shared" si="176"/>
        <v>0</v>
      </c>
      <c r="R221" s="9">
        <f t="shared" si="195"/>
        <v>0</v>
      </c>
      <c r="S221" s="9">
        <f t="shared" si="196"/>
        <v>0</v>
      </c>
      <c r="T221" s="22" t="str">
        <f>IFERROR(INDEX('US Food'!$S$11:$S$197,MATCH('Calculations - US Food'!$D221,'US Food'!$N$11:$N$197,0)),"")</f>
        <v/>
      </c>
      <c r="U221" s="22" t="str">
        <f>IFERROR(INDEX('US Food'!$T$11:$T$197,MATCH('Calculations - US Food'!$D221,'US Food'!$N$11:$N$197,0)),"")</f>
        <v/>
      </c>
      <c r="V221" s="16" t="e">
        <f t="shared" si="197"/>
        <v>#VALUE!</v>
      </c>
      <c r="W221" s="16" t="e">
        <f t="shared" si="177"/>
        <v>#VALUE!</v>
      </c>
      <c r="X221" s="16" t="e">
        <f t="shared" si="178"/>
        <v>#VALUE!</v>
      </c>
      <c r="Y221" s="10" t="str">
        <f t="shared" si="198"/>
        <v>-</v>
      </c>
      <c r="Z221" s="10" t="str">
        <f t="shared" si="199"/>
        <v>-</v>
      </c>
      <c r="AA221" s="13" t="str">
        <f t="shared" si="179"/>
        <v>-</v>
      </c>
      <c r="AB221" s="9" t="str">
        <f t="shared" si="200"/>
        <v>-</v>
      </c>
      <c r="AC221" s="16" t="str">
        <f t="shared" si="180"/>
        <v>-</v>
      </c>
      <c r="AD221" s="16" t="str">
        <f t="shared" si="201"/>
        <v>-</v>
      </c>
      <c r="AE221" s="16" t="str">
        <f t="shared" si="202"/>
        <v>-</v>
      </c>
      <c r="AF221" s="16" t="str">
        <f t="shared" si="181"/>
        <v>-</v>
      </c>
      <c r="AG221" s="16"/>
      <c r="AH221" s="32" t="str">
        <f>IFERROR(INDEX('US Food'!$R$11:$R$197,MATCH('Calculations - US Food'!D221,'US Food'!$N$11:$N$197,0)),"")</f>
        <v/>
      </c>
      <c r="AI221" s="23" t="str">
        <f t="shared" si="182"/>
        <v/>
      </c>
      <c r="AJ221" s="23" t="str">
        <f t="shared" si="183"/>
        <v/>
      </c>
      <c r="AK221" s="9" t="str">
        <f t="shared" si="203"/>
        <v/>
      </c>
      <c r="AL221" s="4" t="str">
        <f t="shared" si="204"/>
        <v/>
      </c>
      <c r="AM221" s="4"/>
      <c r="AN221" s="4"/>
      <c r="AO221" s="4"/>
      <c r="AP221" s="4"/>
      <c r="AQ221" s="4"/>
      <c r="AR221" s="20" t="str">
        <f t="shared" si="205"/>
        <v>-</v>
      </c>
      <c r="AS221" s="13" t="str">
        <f t="shared" si="184"/>
        <v>-</v>
      </c>
      <c r="AT221" s="13" t="str">
        <f t="shared" si="185"/>
        <v>-</v>
      </c>
      <c r="AU221" s="13" t="str">
        <f t="shared" si="206"/>
        <v>-</v>
      </c>
      <c r="AV221" s="16" t="str">
        <f t="shared" si="186"/>
        <v>-</v>
      </c>
      <c r="AW221" s="16" t="str">
        <f t="shared" si="207"/>
        <v>-</v>
      </c>
      <c r="AX221" s="16" t="str">
        <f t="shared" si="208"/>
        <v>-</v>
      </c>
      <c r="AY221" s="16" t="str">
        <f t="shared" si="187"/>
        <v>-</v>
      </c>
      <c r="AZ221" s="13" t="str">
        <f t="shared" si="188"/>
        <v>-</v>
      </c>
      <c r="BA221" s="10" t="str">
        <f t="shared" si="189"/>
        <v>-</v>
      </c>
      <c r="BB221" s="9" t="str">
        <f t="shared" si="190"/>
        <v>-</v>
      </c>
      <c r="BC221" s="13" t="str">
        <f t="shared" si="191"/>
        <v>-</v>
      </c>
      <c r="BD221" s="10" t="str">
        <f t="shared" si="192"/>
        <v>-</v>
      </c>
      <c r="BE221" s="13" t="str">
        <f t="shared" si="193"/>
        <v>-</v>
      </c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</row>
    <row r="222" spans="2:70" x14ac:dyDescent="0.3">
      <c r="B222" s="96" t="str">
        <f t="shared" si="172"/>
        <v/>
      </c>
      <c r="C222" s="96" t="str">
        <f t="shared" si="173"/>
        <v/>
      </c>
      <c r="D222" s="96" t="str">
        <f t="shared" si="174"/>
        <v/>
      </c>
      <c r="E222" s="3"/>
      <c r="F222" s="3"/>
      <c r="G222" s="3"/>
      <c r="H222" s="3"/>
      <c r="I222" s="20">
        <f>IFERROR(INDEX('Input - US Food'!G$2:G$200,MATCH('Calculations - US Food'!$D222,'Input - US Food'!$B$2:$B$200,0)),"")</f>
        <v>0</v>
      </c>
      <c r="J222" s="20">
        <f>IFERROR(INDEX('Input - US Food'!H$2:H$200,MATCH('Calculations - US Food'!$D222,'Input - US Food'!$B$2:$B$200,0)),"")</f>
        <v>0</v>
      </c>
      <c r="K222" s="21">
        <f>IFERROR(INDEX('Input - US Food'!I$2:I$200,MATCH('Calculations - US Food'!$D222,'Input - US Food'!$B$2:$B$200,0)),"")</f>
        <v>0</v>
      </c>
      <c r="L222" s="21">
        <f>IFERROR(INDEX('Input - US Food'!J$2:J$200,MATCH('Calculations - US Food'!$D222,'Input - US Food'!$B$2:$B$200,0)),"")</f>
        <v>0</v>
      </c>
      <c r="M222" s="20">
        <f>IFERROR(INDEX('Input - US Food'!K$2:K$200,MATCH('Calculations - US Food'!$D222,'Input - US Food'!$B$2:$B$200,0)),"")</f>
        <v>6055363851.4215012</v>
      </c>
      <c r="N222" s="20">
        <f>IFERROR(INDEX('Input - US Food'!L$2:L$200,MATCH('Calculations - US Food'!$D222,'Input - US Food'!$B$2:$B$200,0)),"")</f>
        <v>1982155918.8720999</v>
      </c>
      <c r="O222" s="21" t="str">
        <f t="shared" si="175"/>
        <v/>
      </c>
      <c r="P222" s="21">
        <f t="shared" si="194"/>
        <v>3.0549382083257943</v>
      </c>
      <c r="Q222" s="21">
        <f t="shared" si="176"/>
        <v>0</v>
      </c>
      <c r="R222" s="9">
        <f t="shared" si="195"/>
        <v>0</v>
      </c>
      <c r="S222" s="9">
        <f t="shared" si="196"/>
        <v>0</v>
      </c>
      <c r="T222" s="22" t="str">
        <f>IFERROR(INDEX('US Food'!$S$11:$S$197,MATCH('Calculations - US Food'!$D222,'US Food'!$N$11:$N$197,0)),"")</f>
        <v/>
      </c>
      <c r="U222" s="22" t="str">
        <f>IFERROR(INDEX('US Food'!$T$11:$T$197,MATCH('Calculations - US Food'!$D222,'US Food'!$N$11:$N$197,0)),"")</f>
        <v/>
      </c>
      <c r="V222" s="16" t="e">
        <f t="shared" si="197"/>
        <v>#VALUE!</v>
      </c>
      <c r="W222" s="16" t="e">
        <f t="shared" si="177"/>
        <v>#VALUE!</v>
      </c>
      <c r="X222" s="16" t="e">
        <f t="shared" si="178"/>
        <v>#VALUE!</v>
      </c>
      <c r="Y222" s="10" t="str">
        <f t="shared" si="198"/>
        <v>-</v>
      </c>
      <c r="Z222" s="10" t="str">
        <f t="shared" si="199"/>
        <v>-</v>
      </c>
      <c r="AA222" s="13" t="str">
        <f t="shared" si="179"/>
        <v>-</v>
      </c>
      <c r="AB222" s="9" t="str">
        <f t="shared" si="200"/>
        <v>-</v>
      </c>
      <c r="AC222" s="16" t="str">
        <f t="shared" si="180"/>
        <v>-</v>
      </c>
      <c r="AD222" s="16" t="str">
        <f t="shared" si="201"/>
        <v>-</v>
      </c>
      <c r="AE222" s="16" t="str">
        <f t="shared" si="202"/>
        <v>-</v>
      </c>
      <c r="AF222" s="16" t="str">
        <f t="shared" si="181"/>
        <v>-</v>
      </c>
      <c r="AG222" s="16"/>
      <c r="AH222" s="32" t="str">
        <f>IFERROR(INDEX('US Food'!$R$11:$R$197,MATCH('Calculations - US Food'!D222,'US Food'!$N$11:$N$197,0)),"")</f>
        <v/>
      </c>
      <c r="AI222" s="23" t="str">
        <f t="shared" si="182"/>
        <v/>
      </c>
      <c r="AJ222" s="23" t="str">
        <f t="shared" si="183"/>
        <v/>
      </c>
      <c r="AK222" s="9" t="str">
        <f t="shared" si="203"/>
        <v/>
      </c>
      <c r="AL222" s="4" t="str">
        <f t="shared" si="204"/>
        <v/>
      </c>
      <c r="AM222" s="4"/>
      <c r="AN222" s="4"/>
      <c r="AO222" s="4"/>
      <c r="AP222" s="4"/>
      <c r="AQ222" s="4"/>
      <c r="AR222" s="20" t="str">
        <f t="shared" si="205"/>
        <v>-</v>
      </c>
      <c r="AS222" s="13" t="str">
        <f t="shared" si="184"/>
        <v>-</v>
      </c>
      <c r="AT222" s="13" t="str">
        <f t="shared" si="185"/>
        <v>-</v>
      </c>
      <c r="AU222" s="13" t="str">
        <f t="shared" si="206"/>
        <v>-</v>
      </c>
      <c r="AV222" s="16" t="str">
        <f t="shared" si="186"/>
        <v>-</v>
      </c>
      <c r="AW222" s="16" t="str">
        <f t="shared" si="207"/>
        <v>-</v>
      </c>
      <c r="AX222" s="16" t="str">
        <f t="shared" si="208"/>
        <v>-</v>
      </c>
      <c r="AY222" s="16" t="str">
        <f t="shared" si="187"/>
        <v>-</v>
      </c>
      <c r="AZ222" s="13" t="str">
        <f t="shared" si="188"/>
        <v>-</v>
      </c>
      <c r="BA222" s="10" t="str">
        <f t="shared" si="189"/>
        <v>-</v>
      </c>
      <c r="BB222" s="9" t="str">
        <f t="shared" si="190"/>
        <v>-</v>
      </c>
      <c r="BC222" s="13" t="str">
        <f t="shared" si="191"/>
        <v>-</v>
      </c>
      <c r="BD222" s="10" t="str">
        <f t="shared" si="192"/>
        <v>-</v>
      </c>
      <c r="BE222" s="13" t="str">
        <f t="shared" si="193"/>
        <v>-</v>
      </c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</row>
    <row r="223" spans="2:70" x14ac:dyDescent="0.3">
      <c r="B223" s="96" t="str">
        <f t="shared" si="172"/>
        <v/>
      </c>
      <c r="C223" s="96" t="str">
        <f t="shared" si="173"/>
        <v/>
      </c>
      <c r="D223" s="96" t="str">
        <f t="shared" si="174"/>
        <v/>
      </c>
      <c r="E223" s="3"/>
      <c r="F223" s="3"/>
      <c r="G223" s="3"/>
      <c r="H223" s="3"/>
      <c r="I223" s="20">
        <f>IFERROR(INDEX('Input - US Food'!G$2:G$200,MATCH('Calculations - US Food'!$D223,'Input - US Food'!$B$2:$B$200,0)),"")</f>
        <v>0</v>
      </c>
      <c r="J223" s="20">
        <f>IFERROR(INDEX('Input - US Food'!H$2:H$200,MATCH('Calculations - US Food'!$D223,'Input - US Food'!$B$2:$B$200,0)),"")</f>
        <v>0</v>
      </c>
      <c r="K223" s="21">
        <f>IFERROR(INDEX('Input - US Food'!I$2:I$200,MATCH('Calculations - US Food'!$D223,'Input - US Food'!$B$2:$B$200,0)),"")</f>
        <v>0</v>
      </c>
      <c r="L223" s="21">
        <f>IFERROR(INDEX('Input - US Food'!J$2:J$200,MATCH('Calculations - US Food'!$D223,'Input - US Food'!$B$2:$B$200,0)),"")</f>
        <v>0</v>
      </c>
      <c r="M223" s="20">
        <f>IFERROR(INDEX('Input - US Food'!K$2:K$200,MATCH('Calculations - US Food'!$D223,'Input - US Food'!$B$2:$B$200,0)),"")</f>
        <v>6055363851.4215012</v>
      </c>
      <c r="N223" s="20">
        <f>IFERROR(INDEX('Input - US Food'!L$2:L$200,MATCH('Calculations - US Food'!$D223,'Input - US Food'!$B$2:$B$200,0)),"")</f>
        <v>1982155918.8720999</v>
      </c>
      <c r="O223" s="21" t="str">
        <f t="shared" si="175"/>
        <v/>
      </c>
      <c r="P223" s="21">
        <f t="shared" si="194"/>
        <v>3.0549382083257943</v>
      </c>
      <c r="Q223" s="21">
        <f t="shared" si="176"/>
        <v>0</v>
      </c>
      <c r="R223" s="9">
        <f t="shared" si="195"/>
        <v>0</v>
      </c>
      <c r="S223" s="9">
        <f t="shared" si="196"/>
        <v>0</v>
      </c>
      <c r="T223" s="22" t="str">
        <f>IFERROR(INDEX('US Food'!$S$11:$S$197,MATCH('Calculations - US Food'!$D223,'US Food'!$N$11:$N$197,0)),"")</f>
        <v/>
      </c>
      <c r="U223" s="22" t="str">
        <f>IFERROR(INDEX('US Food'!$T$11:$T$197,MATCH('Calculations - US Food'!$D223,'US Food'!$N$11:$N$197,0)),"")</f>
        <v/>
      </c>
      <c r="V223" s="16" t="e">
        <f t="shared" si="197"/>
        <v>#VALUE!</v>
      </c>
      <c r="W223" s="16" t="e">
        <f t="shared" si="177"/>
        <v>#VALUE!</v>
      </c>
      <c r="X223" s="16" t="e">
        <f t="shared" si="178"/>
        <v>#VALUE!</v>
      </c>
      <c r="Y223" s="10" t="str">
        <f t="shared" si="198"/>
        <v>-</v>
      </c>
      <c r="Z223" s="10" t="str">
        <f t="shared" si="199"/>
        <v>-</v>
      </c>
      <c r="AA223" s="13" t="str">
        <f t="shared" si="179"/>
        <v>-</v>
      </c>
      <c r="AB223" s="9" t="str">
        <f t="shared" si="200"/>
        <v>-</v>
      </c>
      <c r="AC223" s="16" t="str">
        <f t="shared" si="180"/>
        <v>-</v>
      </c>
      <c r="AD223" s="16" t="str">
        <f t="shared" si="201"/>
        <v>-</v>
      </c>
      <c r="AE223" s="16" t="str">
        <f t="shared" si="202"/>
        <v>-</v>
      </c>
      <c r="AF223" s="16" t="str">
        <f t="shared" si="181"/>
        <v>-</v>
      </c>
      <c r="AG223" s="16"/>
      <c r="AH223" s="32" t="str">
        <f>IFERROR(INDEX('US Food'!$R$11:$R$197,MATCH('Calculations - US Food'!D223,'US Food'!$N$11:$N$197,0)),"")</f>
        <v/>
      </c>
      <c r="AI223" s="23" t="str">
        <f t="shared" si="182"/>
        <v/>
      </c>
      <c r="AJ223" s="23" t="str">
        <f t="shared" si="183"/>
        <v/>
      </c>
      <c r="AK223" s="9" t="str">
        <f t="shared" si="203"/>
        <v/>
      </c>
      <c r="AL223" s="4" t="str">
        <f t="shared" si="204"/>
        <v/>
      </c>
      <c r="AM223" s="4"/>
      <c r="AN223" s="4"/>
      <c r="AO223" s="4"/>
      <c r="AP223" s="4"/>
      <c r="AQ223" s="4"/>
      <c r="AR223" s="20" t="str">
        <f t="shared" si="205"/>
        <v>-</v>
      </c>
      <c r="AS223" s="13" t="str">
        <f t="shared" si="184"/>
        <v>-</v>
      </c>
      <c r="AT223" s="13" t="str">
        <f t="shared" si="185"/>
        <v>-</v>
      </c>
      <c r="AU223" s="13" t="str">
        <f t="shared" si="206"/>
        <v>-</v>
      </c>
      <c r="AV223" s="16" t="str">
        <f t="shared" si="186"/>
        <v>-</v>
      </c>
      <c r="AW223" s="16" t="str">
        <f t="shared" si="207"/>
        <v>-</v>
      </c>
      <c r="AX223" s="16" t="str">
        <f t="shared" si="208"/>
        <v>-</v>
      </c>
      <c r="AY223" s="16" t="str">
        <f t="shared" si="187"/>
        <v>-</v>
      </c>
      <c r="AZ223" s="13" t="str">
        <f t="shared" si="188"/>
        <v>-</v>
      </c>
      <c r="BA223" s="10" t="str">
        <f t="shared" si="189"/>
        <v>-</v>
      </c>
      <c r="BB223" s="9" t="str">
        <f t="shared" si="190"/>
        <v>-</v>
      </c>
      <c r="BC223" s="13" t="str">
        <f t="shared" si="191"/>
        <v>-</v>
      </c>
      <c r="BD223" s="10" t="str">
        <f t="shared" si="192"/>
        <v>-</v>
      </c>
      <c r="BE223" s="13" t="str">
        <f t="shared" si="193"/>
        <v>-</v>
      </c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</row>
    <row r="224" spans="2:70" x14ac:dyDescent="0.3">
      <c r="B224" s="96" t="str">
        <f t="shared" si="172"/>
        <v/>
      </c>
      <c r="C224" s="96" t="str">
        <f t="shared" si="173"/>
        <v/>
      </c>
      <c r="D224" s="96" t="str">
        <f t="shared" si="174"/>
        <v/>
      </c>
      <c r="E224" s="3"/>
      <c r="F224" s="3"/>
      <c r="G224" s="3"/>
      <c r="H224" s="3"/>
      <c r="I224" s="20">
        <f>IFERROR(INDEX('Input - US Food'!G$2:G$200,MATCH('Calculations - US Food'!$D224,'Input - US Food'!$B$2:$B$200,0)),"")</f>
        <v>0</v>
      </c>
      <c r="J224" s="20">
        <f>IFERROR(INDEX('Input - US Food'!H$2:H$200,MATCH('Calculations - US Food'!$D224,'Input - US Food'!$B$2:$B$200,0)),"")</f>
        <v>0</v>
      </c>
      <c r="K224" s="21">
        <f>IFERROR(INDEX('Input - US Food'!I$2:I$200,MATCH('Calculations - US Food'!$D224,'Input - US Food'!$B$2:$B$200,0)),"")</f>
        <v>0</v>
      </c>
      <c r="L224" s="21">
        <f>IFERROR(INDEX('Input - US Food'!J$2:J$200,MATCH('Calculations - US Food'!$D224,'Input - US Food'!$B$2:$B$200,0)),"")</f>
        <v>0</v>
      </c>
      <c r="M224" s="20">
        <f>IFERROR(INDEX('Input - US Food'!K$2:K$200,MATCH('Calculations - US Food'!$D224,'Input - US Food'!$B$2:$B$200,0)),"")</f>
        <v>6055363851.4215012</v>
      </c>
      <c r="N224" s="20">
        <f>IFERROR(INDEX('Input - US Food'!L$2:L$200,MATCH('Calculations - US Food'!$D224,'Input - US Food'!$B$2:$B$200,0)),"")</f>
        <v>1982155918.8720999</v>
      </c>
      <c r="O224" s="21" t="str">
        <f t="shared" si="175"/>
        <v/>
      </c>
      <c r="P224" s="21">
        <f t="shared" ref="P224:P229" si="209">IFERROR(M224/N224,"")</f>
        <v>3.0549382083257943</v>
      </c>
      <c r="Q224" s="21">
        <f t="shared" si="176"/>
        <v>0</v>
      </c>
      <c r="R224" s="9">
        <f t="shared" ref="R224:R229" si="210">I224/SUM(I$32:I$229)</f>
        <v>0</v>
      </c>
      <c r="S224" s="9">
        <f t="shared" ref="S224:S229" si="211">J224/SUM(J$32:J$229)</f>
        <v>0</v>
      </c>
      <c r="T224" s="22" t="str">
        <f>IFERROR(INDEX('US Food'!$S$11:$S$197,MATCH('Calculations - US Food'!$D224,'US Food'!$N$11:$N$197,0)),"")</f>
        <v/>
      </c>
      <c r="U224" s="22" t="str">
        <f>IFERROR(INDEX('US Food'!$T$11:$T$197,MATCH('Calculations - US Food'!$D224,'US Food'!$N$11:$N$197,0)),"")</f>
        <v/>
      </c>
      <c r="V224" s="16" t="e">
        <f t="shared" ref="V224:V229" si="212">T224*I224</f>
        <v>#VALUE!</v>
      </c>
      <c r="W224" s="16" t="e">
        <f t="shared" si="177"/>
        <v>#VALUE!</v>
      </c>
      <c r="X224" s="16" t="e">
        <f t="shared" si="178"/>
        <v>#VALUE!</v>
      </c>
      <c r="Y224" s="10" t="str">
        <f t="shared" ref="Y224:Y229" si="213">IFERROR(X224/J224,"-")</f>
        <v>-</v>
      </c>
      <c r="Z224" s="10" t="str">
        <f t="shared" ref="Z224:Z229" si="214">IFERROR((L224+O224)*J224*0.5,"-")</f>
        <v>-</v>
      </c>
      <c r="AA224" s="13" t="str">
        <f t="shared" si="179"/>
        <v>-</v>
      </c>
      <c r="AB224" s="9" t="str">
        <f t="shared" ref="AB224:AB229" si="215">IFERROR(AA224-R224,"-")</f>
        <v>-</v>
      </c>
      <c r="AC224" s="16" t="str">
        <f t="shared" si="180"/>
        <v>-</v>
      </c>
      <c r="AD224" s="16" t="str">
        <f t="shared" ref="AD224:AD229" si="216">IFERROR(AC224/O224,"-")</f>
        <v>-</v>
      </c>
      <c r="AE224" s="16" t="str">
        <f t="shared" ref="AE224:AE229" si="217">IFERROR(T224*AC224,"-")</f>
        <v>-</v>
      </c>
      <c r="AF224" s="16" t="str">
        <f t="shared" si="181"/>
        <v>-</v>
      </c>
      <c r="AG224" s="16"/>
      <c r="AH224" s="32" t="str">
        <f>IFERROR(INDEX('US Food'!$R$11:$R$197,MATCH('Calculations - US Food'!D224,'US Food'!$N$11:$N$197,0)),"")</f>
        <v/>
      </c>
      <c r="AI224" s="23" t="str">
        <f t="shared" si="182"/>
        <v/>
      </c>
      <c r="AJ224" s="23" t="str">
        <f t="shared" si="183"/>
        <v/>
      </c>
      <c r="AK224" s="9" t="str">
        <f t="shared" ref="AK224:AK229" si="218">IFERROR((AH224-O224)/O224,"")</f>
        <v/>
      </c>
      <c r="AL224" s="4" t="str">
        <f t="shared" ref="AL224:AL229" si="219">IFERROR(MAX((1+AK224*Q224/5)*J224,0),"")</f>
        <v/>
      </c>
      <c r="AM224" s="4"/>
      <c r="AN224" s="4"/>
      <c r="AO224" s="4"/>
      <c r="AP224" s="4"/>
      <c r="AQ224" s="4"/>
      <c r="AR224" s="20" t="str">
        <f t="shared" ref="AR224:AR229" si="220">IFERROR(0.5*(L224+AH224)*AL224,"-")</f>
        <v>-</v>
      </c>
      <c r="AS224" s="13" t="str">
        <f t="shared" si="184"/>
        <v>-</v>
      </c>
      <c r="AT224" s="13" t="str">
        <f t="shared" si="185"/>
        <v>-</v>
      </c>
      <c r="AU224" s="13" t="str">
        <f t="shared" ref="AU224:AU229" si="221">IFERROR(AT224-R224,"-")</f>
        <v>-</v>
      </c>
      <c r="AV224" s="16" t="str">
        <f t="shared" si="186"/>
        <v>-</v>
      </c>
      <c r="AW224" s="16" t="str">
        <f t="shared" ref="AW224:AW229" si="222">IFERROR(AV224/AH224,"-")</f>
        <v>-</v>
      </c>
      <c r="AX224" s="16" t="str">
        <f t="shared" ref="AX224:AX229" si="223">IFERROR(AI224*AV224,"-")</f>
        <v>-</v>
      </c>
      <c r="AY224" s="16" t="str">
        <f t="shared" si="187"/>
        <v>-</v>
      </c>
      <c r="AZ224" s="13" t="str">
        <f t="shared" si="188"/>
        <v>-</v>
      </c>
      <c r="BA224" s="10" t="str">
        <f t="shared" si="189"/>
        <v>-</v>
      </c>
      <c r="BB224" s="9" t="str">
        <f t="shared" si="190"/>
        <v>-</v>
      </c>
      <c r="BC224" s="13" t="str">
        <f t="shared" si="191"/>
        <v>-</v>
      </c>
      <c r="BD224" s="10" t="str">
        <f t="shared" si="192"/>
        <v>-</v>
      </c>
      <c r="BE224" s="13" t="str">
        <f t="shared" si="193"/>
        <v>-</v>
      </c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</row>
    <row r="225" spans="2:70" x14ac:dyDescent="0.3">
      <c r="B225" s="96" t="str">
        <f t="shared" ref="B225:B229" si="224">IFERROR(E225&amp;F225,"")</f>
        <v/>
      </c>
      <c r="C225" s="96" t="str">
        <f t="shared" ref="C225:C229" si="225">E225&amp;F225&amp;G225</f>
        <v/>
      </c>
      <c r="D225" s="96" t="str">
        <f t="shared" ref="D225:D229" si="226">IFERROR(E225&amp;F225&amp;G225&amp;H225,"")</f>
        <v/>
      </c>
      <c r="E225" s="3"/>
      <c r="F225" s="3"/>
      <c r="G225" s="3"/>
      <c r="H225" s="3"/>
      <c r="I225" s="20">
        <f>IFERROR(INDEX('Input - US Food'!G$2:G$200,MATCH('Calculations - US Food'!$D225,'Input - US Food'!$B$2:$B$200,0)),"")</f>
        <v>0</v>
      </c>
      <c r="J225" s="20">
        <f>IFERROR(INDEX('Input - US Food'!H$2:H$200,MATCH('Calculations - US Food'!$D225,'Input - US Food'!$B$2:$B$200,0)),"")</f>
        <v>0</v>
      </c>
      <c r="K225" s="21">
        <f>IFERROR(INDEX('Input - US Food'!I$2:I$200,MATCH('Calculations - US Food'!$D225,'Input - US Food'!$B$2:$B$200,0)),"")</f>
        <v>0</v>
      </c>
      <c r="L225" s="21">
        <f>IFERROR(INDEX('Input - US Food'!J$2:J$200,MATCH('Calculations - US Food'!$D225,'Input - US Food'!$B$2:$B$200,0)),"")</f>
        <v>0</v>
      </c>
      <c r="M225" s="20">
        <f>IFERROR(INDEX('Input - US Food'!K$2:K$200,MATCH('Calculations - US Food'!$D225,'Input - US Food'!$B$2:$B$200,0)),"")</f>
        <v>6055363851.4215012</v>
      </c>
      <c r="N225" s="20">
        <f>IFERROR(INDEX('Input - US Food'!L$2:L$200,MATCH('Calculations - US Food'!$D225,'Input - US Food'!$B$2:$B$200,0)),"")</f>
        <v>1982155918.8720999</v>
      </c>
      <c r="O225" s="21" t="str">
        <f t="shared" ref="O225:O229" si="227">IFERROR(I225/J225,"")</f>
        <v/>
      </c>
      <c r="P225" s="21">
        <f t="shared" si="209"/>
        <v>3.0549382083257943</v>
      </c>
      <c r="Q225" s="21">
        <f t="shared" ref="Q225:Q229" si="228">IFERROR((O225/(O225-L225)*5),0)</f>
        <v>0</v>
      </c>
      <c r="R225" s="9">
        <f t="shared" si="210"/>
        <v>0</v>
      </c>
      <c r="S225" s="9">
        <f t="shared" si="211"/>
        <v>0</v>
      </c>
      <c r="T225" s="22" t="str">
        <f>IFERROR(INDEX('US Food'!$S$11:$S$197,MATCH('Calculations - US Food'!$D225,'US Food'!$N$11:$N$197,0)),"")</f>
        <v/>
      </c>
      <c r="U225" s="22" t="str">
        <f>IFERROR(INDEX('US Food'!$T$11:$T$197,MATCH('Calculations - US Food'!$D225,'US Food'!$N$11:$N$197,0)),"")</f>
        <v/>
      </c>
      <c r="V225" s="16" t="e">
        <f t="shared" si="212"/>
        <v>#VALUE!</v>
      </c>
      <c r="W225" s="16" t="e">
        <f t="shared" ref="W225:W229" si="229">U225*V225</f>
        <v>#VALUE!</v>
      </c>
      <c r="X225" s="16" t="e">
        <f t="shared" ref="X225:X229" si="230">V225-W225</f>
        <v>#VALUE!</v>
      </c>
      <c r="Y225" s="10" t="str">
        <f t="shared" si="213"/>
        <v>-</v>
      </c>
      <c r="Z225" s="10" t="str">
        <f t="shared" si="214"/>
        <v>-</v>
      </c>
      <c r="AA225" s="13" t="str">
        <f t="shared" ref="AA225:AA229" si="231">IFERROR(Z225/$Z$30,"-")</f>
        <v>-</v>
      </c>
      <c r="AB225" s="9" t="str">
        <f t="shared" si="215"/>
        <v>-</v>
      </c>
      <c r="AC225" s="16" t="str">
        <f t="shared" ref="AC225:AC229" si="232">IFERROR(AA225*$I$30,"-")</f>
        <v>-</v>
      </c>
      <c r="AD225" s="16" t="str">
        <f t="shared" si="216"/>
        <v>-</v>
      </c>
      <c r="AE225" s="16" t="str">
        <f t="shared" si="217"/>
        <v>-</v>
      </c>
      <c r="AF225" s="16" t="str">
        <f t="shared" ref="AF225:AF229" si="233">IFERROR(AE225-(Y225)*AD225,"-")</f>
        <v>-</v>
      </c>
      <c r="AG225" s="16"/>
      <c r="AH225" s="32" t="str">
        <f>IFERROR(INDEX('US Food'!$R$11:$R$197,MATCH('Calculations - US Food'!D225,'US Food'!$N$11:$N$197,0)),"")</f>
        <v/>
      </c>
      <c r="AI225" s="23" t="str">
        <f t="shared" ref="AI225:AI229" si="234">T225</f>
        <v/>
      </c>
      <c r="AJ225" s="23" t="str">
        <f t="shared" ref="AJ225:AJ229" si="235">U225</f>
        <v/>
      </c>
      <c r="AK225" s="9" t="str">
        <f t="shared" si="218"/>
        <v/>
      </c>
      <c r="AL225" s="4" t="str">
        <f t="shared" si="219"/>
        <v/>
      </c>
      <c r="AM225" s="4"/>
      <c r="AN225" s="4"/>
      <c r="AO225" s="4"/>
      <c r="AP225" s="4"/>
      <c r="AQ225" s="4"/>
      <c r="AR225" s="20" t="str">
        <f t="shared" si="220"/>
        <v>-</v>
      </c>
      <c r="AS225" s="13" t="str">
        <f t="shared" ref="AS225:AS229" si="236">IFERROR(AR225/AR$30,"-")</f>
        <v>-</v>
      </c>
      <c r="AT225" s="13" t="str">
        <f t="shared" ref="AT225:AT229" si="237">IFERROR(AS225*$R$30,"-")</f>
        <v>-</v>
      </c>
      <c r="AU225" s="13" t="str">
        <f t="shared" si="221"/>
        <v>-</v>
      </c>
      <c r="AV225" s="16" t="str">
        <f t="shared" ref="AV225:AV229" si="238">IFERROR(AT225*AQ$32,"-")</f>
        <v>-</v>
      </c>
      <c r="AW225" s="16" t="str">
        <f t="shared" si="222"/>
        <v>-</v>
      </c>
      <c r="AX225" s="16" t="str">
        <f t="shared" si="223"/>
        <v>-</v>
      </c>
      <c r="AY225" s="16" t="str">
        <f t="shared" ref="AY225:AY229" si="239">IFERROR(AX225-(Y225*AW225),"-")</f>
        <v>-</v>
      </c>
      <c r="AZ225" s="13" t="str">
        <f t="shared" ref="AZ225:AZ229" si="240">IFERROR(AW225/SUMIFS($AW$32:$AW$229,$B$32:$B$229,B225),"-")</f>
        <v>-</v>
      </c>
      <c r="BA225" s="10" t="str">
        <f t="shared" ref="BA225:BA229" si="241">IFERROR(AZ225*INDEX($AU$4:$AU$24,MATCH($B225,$D$4:$D$24,0)),"-")</f>
        <v>-</v>
      </c>
      <c r="BB225" s="9" t="str">
        <f t="shared" ref="BB225:BB229" si="242">IFERROR(BA225/SUM($BA$32:$BA$229),"-")</f>
        <v>-</v>
      </c>
      <c r="BC225" s="13" t="str">
        <f t="shared" ref="BC225:BC229" si="243">IFERROR(AV225/SUMIFS($AV$32:$AV$229,$B$32:$B$229,B225),"-")</f>
        <v>-</v>
      </c>
      <c r="BD225" s="10" t="str">
        <f t="shared" ref="BD225:BD229" si="244">IFERROR(BC225*INDEX($AT$4:$AT$24,MATCH($B225,$D$4:$D$24,0)),"-")</f>
        <v>-</v>
      </c>
      <c r="BE225" s="13" t="str">
        <f t="shared" ref="BE225:BE229" si="245">IFERROR(BD225/SUM($BD$32:$BD$229),"-")</f>
        <v>-</v>
      </c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</row>
    <row r="226" spans="2:70" x14ac:dyDescent="0.3">
      <c r="B226" s="96" t="str">
        <f t="shared" si="224"/>
        <v/>
      </c>
      <c r="C226" s="96" t="str">
        <f t="shared" si="225"/>
        <v/>
      </c>
      <c r="D226" s="96" t="str">
        <f t="shared" si="226"/>
        <v/>
      </c>
      <c r="E226" s="3"/>
      <c r="F226" s="3"/>
      <c r="G226" s="3"/>
      <c r="H226" s="3"/>
      <c r="I226" s="20">
        <f>IFERROR(INDEX('Input - US Food'!G$2:G$200,MATCH('Calculations - US Food'!$D226,'Input - US Food'!$B$2:$B$200,0)),"")</f>
        <v>0</v>
      </c>
      <c r="J226" s="20">
        <f>IFERROR(INDEX('Input - US Food'!H$2:H$200,MATCH('Calculations - US Food'!$D226,'Input - US Food'!$B$2:$B$200,0)),"")</f>
        <v>0</v>
      </c>
      <c r="K226" s="21">
        <f>IFERROR(INDEX('Input - US Food'!I$2:I$200,MATCH('Calculations - US Food'!$D226,'Input - US Food'!$B$2:$B$200,0)),"")</f>
        <v>0</v>
      </c>
      <c r="L226" s="21">
        <f>IFERROR(INDEX('Input - US Food'!J$2:J$200,MATCH('Calculations - US Food'!$D226,'Input - US Food'!$B$2:$B$200,0)),"")</f>
        <v>0</v>
      </c>
      <c r="M226" s="20">
        <f>IFERROR(INDEX('Input - US Food'!K$2:K$200,MATCH('Calculations - US Food'!$D226,'Input - US Food'!$B$2:$B$200,0)),"")</f>
        <v>6055363851.4215012</v>
      </c>
      <c r="N226" s="20">
        <f>IFERROR(INDEX('Input - US Food'!L$2:L$200,MATCH('Calculations - US Food'!$D226,'Input - US Food'!$B$2:$B$200,0)),"")</f>
        <v>1982155918.8720999</v>
      </c>
      <c r="O226" s="21" t="str">
        <f t="shared" si="227"/>
        <v/>
      </c>
      <c r="P226" s="21">
        <f t="shared" si="209"/>
        <v>3.0549382083257943</v>
      </c>
      <c r="Q226" s="21">
        <f t="shared" si="228"/>
        <v>0</v>
      </c>
      <c r="R226" s="9">
        <f t="shared" si="210"/>
        <v>0</v>
      </c>
      <c r="S226" s="9">
        <f t="shared" si="211"/>
        <v>0</v>
      </c>
      <c r="T226" s="22" t="str">
        <f>IFERROR(INDEX('US Food'!$S$11:$S$197,MATCH('Calculations - US Food'!$D226,'US Food'!$N$11:$N$197,0)),"")</f>
        <v/>
      </c>
      <c r="U226" s="22" t="str">
        <f>IFERROR(INDEX('US Food'!$T$11:$T$197,MATCH('Calculations - US Food'!$D226,'US Food'!$N$11:$N$197,0)),"")</f>
        <v/>
      </c>
      <c r="V226" s="16" t="e">
        <f t="shared" si="212"/>
        <v>#VALUE!</v>
      </c>
      <c r="W226" s="16" t="e">
        <f t="shared" si="229"/>
        <v>#VALUE!</v>
      </c>
      <c r="X226" s="16" t="e">
        <f t="shared" si="230"/>
        <v>#VALUE!</v>
      </c>
      <c r="Y226" s="10" t="str">
        <f t="shared" si="213"/>
        <v>-</v>
      </c>
      <c r="Z226" s="10" t="str">
        <f t="shared" si="214"/>
        <v>-</v>
      </c>
      <c r="AA226" s="13" t="str">
        <f t="shared" si="231"/>
        <v>-</v>
      </c>
      <c r="AB226" s="9" t="str">
        <f t="shared" si="215"/>
        <v>-</v>
      </c>
      <c r="AC226" s="16" t="str">
        <f t="shared" si="232"/>
        <v>-</v>
      </c>
      <c r="AD226" s="16" t="str">
        <f t="shared" si="216"/>
        <v>-</v>
      </c>
      <c r="AE226" s="16" t="str">
        <f t="shared" si="217"/>
        <v>-</v>
      </c>
      <c r="AF226" s="16" t="str">
        <f t="shared" si="233"/>
        <v>-</v>
      </c>
      <c r="AG226" s="16"/>
      <c r="AH226" s="32" t="str">
        <f>IFERROR(INDEX('US Food'!$R$11:$R$197,MATCH('Calculations - US Food'!D226,'US Food'!$N$11:$N$197,0)),"")</f>
        <v/>
      </c>
      <c r="AI226" s="23" t="str">
        <f t="shared" si="234"/>
        <v/>
      </c>
      <c r="AJ226" s="23" t="str">
        <f t="shared" si="235"/>
        <v/>
      </c>
      <c r="AK226" s="9" t="str">
        <f t="shared" si="218"/>
        <v/>
      </c>
      <c r="AL226" s="4" t="str">
        <f t="shared" si="219"/>
        <v/>
      </c>
      <c r="AM226" s="4"/>
      <c r="AN226" s="4"/>
      <c r="AO226" s="4"/>
      <c r="AP226" s="4"/>
      <c r="AQ226" s="4"/>
      <c r="AR226" s="20" t="str">
        <f t="shared" si="220"/>
        <v>-</v>
      </c>
      <c r="AS226" s="13" t="str">
        <f t="shared" si="236"/>
        <v>-</v>
      </c>
      <c r="AT226" s="13" t="str">
        <f t="shared" si="237"/>
        <v>-</v>
      </c>
      <c r="AU226" s="13" t="str">
        <f t="shared" si="221"/>
        <v>-</v>
      </c>
      <c r="AV226" s="16" t="str">
        <f t="shared" si="238"/>
        <v>-</v>
      </c>
      <c r="AW226" s="16" t="str">
        <f t="shared" si="222"/>
        <v>-</v>
      </c>
      <c r="AX226" s="16" t="str">
        <f t="shared" si="223"/>
        <v>-</v>
      </c>
      <c r="AY226" s="16" t="str">
        <f t="shared" si="239"/>
        <v>-</v>
      </c>
      <c r="AZ226" s="13" t="str">
        <f t="shared" si="240"/>
        <v>-</v>
      </c>
      <c r="BA226" s="10" t="str">
        <f t="shared" si="241"/>
        <v>-</v>
      </c>
      <c r="BB226" s="9" t="str">
        <f t="shared" si="242"/>
        <v>-</v>
      </c>
      <c r="BC226" s="13" t="str">
        <f t="shared" si="243"/>
        <v>-</v>
      </c>
      <c r="BD226" s="10" t="str">
        <f t="shared" si="244"/>
        <v>-</v>
      </c>
      <c r="BE226" s="13" t="str">
        <f t="shared" si="245"/>
        <v>-</v>
      </c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</row>
    <row r="227" spans="2:70" x14ac:dyDescent="0.3">
      <c r="B227" s="96" t="str">
        <f t="shared" si="224"/>
        <v/>
      </c>
      <c r="C227" s="96" t="str">
        <f t="shared" si="225"/>
        <v/>
      </c>
      <c r="D227" s="96" t="str">
        <f t="shared" si="226"/>
        <v/>
      </c>
      <c r="E227" s="3"/>
      <c r="F227" s="3"/>
      <c r="G227" s="3"/>
      <c r="H227" s="3"/>
      <c r="I227" s="20">
        <f>IFERROR(INDEX('Input - US Food'!G$2:G$200,MATCH('Calculations - US Food'!$D227,'Input - US Food'!$B$2:$B$200,0)),"")</f>
        <v>0</v>
      </c>
      <c r="J227" s="20">
        <f>IFERROR(INDEX('Input - US Food'!H$2:H$200,MATCH('Calculations - US Food'!$D227,'Input - US Food'!$B$2:$B$200,0)),"")</f>
        <v>0</v>
      </c>
      <c r="K227" s="21">
        <f>IFERROR(INDEX('Input - US Food'!I$2:I$200,MATCH('Calculations - US Food'!$D227,'Input - US Food'!$B$2:$B$200,0)),"")</f>
        <v>0</v>
      </c>
      <c r="L227" s="21">
        <f>IFERROR(INDEX('Input - US Food'!J$2:J$200,MATCH('Calculations - US Food'!$D227,'Input - US Food'!$B$2:$B$200,0)),"")</f>
        <v>0</v>
      </c>
      <c r="M227" s="20">
        <f>IFERROR(INDEX('Input - US Food'!K$2:K$200,MATCH('Calculations - US Food'!$D227,'Input - US Food'!$B$2:$B$200,0)),"")</f>
        <v>6055363851.4215012</v>
      </c>
      <c r="N227" s="20">
        <f>IFERROR(INDEX('Input - US Food'!L$2:L$200,MATCH('Calculations - US Food'!$D227,'Input - US Food'!$B$2:$B$200,0)),"")</f>
        <v>1982155918.8720999</v>
      </c>
      <c r="O227" s="21" t="str">
        <f t="shared" si="227"/>
        <v/>
      </c>
      <c r="P227" s="21">
        <f t="shared" si="209"/>
        <v>3.0549382083257943</v>
      </c>
      <c r="Q227" s="21">
        <f t="shared" si="228"/>
        <v>0</v>
      </c>
      <c r="R227" s="9">
        <f t="shared" si="210"/>
        <v>0</v>
      </c>
      <c r="S227" s="9">
        <f t="shared" si="211"/>
        <v>0</v>
      </c>
      <c r="T227" s="22" t="str">
        <f>IFERROR(INDEX('US Food'!$S$11:$S$197,MATCH('Calculations - US Food'!$D227,'US Food'!$N$11:$N$197,0)),"")</f>
        <v/>
      </c>
      <c r="U227" s="22" t="str">
        <f>IFERROR(INDEX('US Food'!$T$11:$T$197,MATCH('Calculations - US Food'!$D227,'US Food'!$N$11:$N$197,0)),"")</f>
        <v/>
      </c>
      <c r="V227" s="16" t="e">
        <f t="shared" si="212"/>
        <v>#VALUE!</v>
      </c>
      <c r="W227" s="16" t="e">
        <f t="shared" si="229"/>
        <v>#VALUE!</v>
      </c>
      <c r="X227" s="16" t="e">
        <f t="shared" si="230"/>
        <v>#VALUE!</v>
      </c>
      <c r="Y227" s="10" t="str">
        <f t="shared" si="213"/>
        <v>-</v>
      </c>
      <c r="Z227" s="10" t="str">
        <f t="shared" si="214"/>
        <v>-</v>
      </c>
      <c r="AA227" s="13" t="str">
        <f t="shared" si="231"/>
        <v>-</v>
      </c>
      <c r="AB227" s="9" t="str">
        <f t="shared" si="215"/>
        <v>-</v>
      </c>
      <c r="AC227" s="16" t="str">
        <f t="shared" si="232"/>
        <v>-</v>
      </c>
      <c r="AD227" s="16" t="str">
        <f t="shared" si="216"/>
        <v>-</v>
      </c>
      <c r="AE227" s="16" t="str">
        <f t="shared" si="217"/>
        <v>-</v>
      </c>
      <c r="AF227" s="16" t="str">
        <f t="shared" si="233"/>
        <v>-</v>
      </c>
      <c r="AG227" s="16"/>
      <c r="AH227" s="32" t="str">
        <f>IFERROR(INDEX('US Food'!$R$11:$R$197,MATCH('Calculations - US Food'!D227,'US Food'!$N$11:$N$197,0)),"")</f>
        <v/>
      </c>
      <c r="AI227" s="23" t="str">
        <f t="shared" si="234"/>
        <v/>
      </c>
      <c r="AJ227" s="23" t="str">
        <f t="shared" si="235"/>
        <v/>
      </c>
      <c r="AK227" s="9" t="str">
        <f t="shared" si="218"/>
        <v/>
      </c>
      <c r="AL227" s="4" t="str">
        <f t="shared" si="219"/>
        <v/>
      </c>
      <c r="AM227" s="4"/>
      <c r="AN227" s="4"/>
      <c r="AO227" s="4"/>
      <c r="AP227" s="4"/>
      <c r="AQ227" s="4"/>
      <c r="AR227" s="20" t="str">
        <f t="shared" si="220"/>
        <v>-</v>
      </c>
      <c r="AS227" s="13" t="str">
        <f t="shared" si="236"/>
        <v>-</v>
      </c>
      <c r="AT227" s="13" t="str">
        <f t="shared" si="237"/>
        <v>-</v>
      </c>
      <c r="AU227" s="13" t="str">
        <f t="shared" si="221"/>
        <v>-</v>
      </c>
      <c r="AV227" s="16" t="str">
        <f t="shared" si="238"/>
        <v>-</v>
      </c>
      <c r="AW227" s="16" t="str">
        <f t="shared" si="222"/>
        <v>-</v>
      </c>
      <c r="AX227" s="16" t="str">
        <f t="shared" si="223"/>
        <v>-</v>
      </c>
      <c r="AY227" s="16" t="str">
        <f t="shared" si="239"/>
        <v>-</v>
      </c>
      <c r="AZ227" s="13" t="str">
        <f t="shared" si="240"/>
        <v>-</v>
      </c>
      <c r="BA227" s="10" t="str">
        <f t="shared" si="241"/>
        <v>-</v>
      </c>
      <c r="BB227" s="9" t="str">
        <f t="shared" si="242"/>
        <v>-</v>
      </c>
      <c r="BC227" s="13" t="str">
        <f t="shared" si="243"/>
        <v>-</v>
      </c>
      <c r="BD227" s="10" t="str">
        <f t="shared" si="244"/>
        <v>-</v>
      </c>
      <c r="BE227" s="13" t="str">
        <f t="shared" si="245"/>
        <v>-</v>
      </c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</row>
    <row r="228" spans="2:70" x14ac:dyDescent="0.3">
      <c r="B228" s="96" t="str">
        <f t="shared" si="224"/>
        <v/>
      </c>
      <c r="C228" s="96" t="str">
        <f t="shared" si="225"/>
        <v/>
      </c>
      <c r="D228" s="96" t="str">
        <f t="shared" si="226"/>
        <v/>
      </c>
      <c r="E228" s="3"/>
      <c r="F228" s="3"/>
      <c r="G228" s="3"/>
      <c r="H228" s="3"/>
      <c r="I228" s="20">
        <f>IFERROR(INDEX('Input - US Food'!G$2:G$200,MATCH('Calculations - US Food'!$D228,'Input - US Food'!$B$2:$B$200,0)),"")</f>
        <v>0</v>
      </c>
      <c r="J228" s="20">
        <f>IFERROR(INDEX('Input - US Food'!H$2:H$200,MATCH('Calculations - US Food'!$D228,'Input - US Food'!$B$2:$B$200,0)),"")</f>
        <v>0</v>
      </c>
      <c r="K228" s="21">
        <f>IFERROR(INDEX('Input - US Food'!I$2:I$200,MATCH('Calculations - US Food'!$D228,'Input - US Food'!$B$2:$B$200,0)),"")</f>
        <v>0</v>
      </c>
      <c r="L228" s="21">
        <f>IFERROR(INDEX('Input - US Food'!J$2:J$200,MATCH('Calculations - US Food'!$D228,'Input - US Food'!$B$2:$B$200,0)),"")</f>
        <v>0</v>
      </c>
      <c r="M228" s="20">
        <f>IFERROR(INDEX('Input - US Food'!K$2:K$200,MATCH('Calculations - US Food'!$D228,'Input - US Food'!$B$2:$B$200,0)),"")</f>
        <v>6055363851.4215012</v>
      </c>
      <c r="N228" s="20">
        <f>IFERROR(INDEX('Input - US Food'!L$2:L$200,MATCH('Calculations - US Food'!$D228,'Input - US Food'!$B$2:$B$200,0)),"")</f>
        <v>1982155918.8720999</v>
      </c>
      <c r="O228" s="21" t="str">
        <f t="shared" si="227"/>
        <v/>
      </c>
      <c r="P228" s="21">
        <f t="shared" si="209"/>
        <v>3.0549382083257943</v>
      </c>
      <c r="Q228" s="21">
        <f t="shared" si="228"/>
        <v>0</v>
      </c>
      <c r="R228" s="9">
        <f t="shared" si="210"/>
        <v>0</v>
      </c>
      <c r="S228" s="9">
        <f t="shared" si="211"/>
        <v>0</v>
      </c>
      <c r="T228" s="22" t="str">
        <f>IFERROR(INDEX('US Food'!$S$11:$S$197,MATCH('Calculations - US Food'!$D228,'US Food'!$N$11:$N$197,0)),"")</f>
        <v/>
      </c>
      <c r="U228" s="22" t="str">
        <f>IFERROR(INDEX('US Food'!$T$11:$T$197,MATCH('Calculations - US Food'!$D228,'US Food'!$N$11:$N$197,0)),"")</f>
        <v/>
      </c>
      <c r="V228" s="16" t="e">
        <f t="shared" si="212"/>
        <v>#VALUE!</v>
      </c>
      <c r="W228" s="16" t="e">
        <f t="shared" si="229"/>
        <v>#VALUE!</v>
      </c>
      <c r="X228" s="16" t="e">
        <f t="shared" si="230"/>
        <v>#VALUE!</v>
      </c>
      <c r="Y228" s="10" t="str">
        <f t="shared" si="213"/>
        <v>-</v>
      </c>
      <c r="Z228" s="10" t="str">
        <f t="shared" si="214"/>
        <v>-</v>
      </c>
      <c r="AA228" s="13" t="str">
        <f t="shared" si="231"/>
        <v>-</v>
      </c>
      <c r="AB228" s="9" t="str">
        <f t="shared" si="215"/>
        <v>-</v>
      </c>
      <c r="AC228" s="16" t="str">
        <f t="shared" si="232"/>
        <v>-</v>
      </c>
      <c r="AD228" s="16" t="str">
        <f t="shared" si="216"/>
        <v>-</v>
      </c>
      <c r="AE228" s="16" t="str">
        <f t="shared" si="217"/>
        <v>-</v>
      </c>
      <c r="AF228" s="16" t="str">
        <f t="shared" si="233"/>
        <v>-</v>
      </c>
      <c r="AG228" s="16"/>
      <c r="AH228" s="32" t="str">
        <f>IFERROR(INDEX('US Food'!$R$11:$R$197,MATCH('Calculations - US Food'!D228,'US Food'!$N$11:$N$197,0)),"")</f>
        <v/>
      </c>
      <c r="AI228" s="23" t="str">
        <f t="shared" si="234"/>
        <v/>
      </c>
      <c r="AJ228" s="23" t="str">
        <f t="shared" si="235"/>
        <v/>
      </c>
      <c r="AK228" s="9" t="str">
        <f t="shared" si="218"/>
        <v/>
      </c>
      <c r="AL228" s="4" t="str">
        <f t="shared" si="219"/>
        <v/>
      </c>
      <c r="AM228" s="4"/>
      <c r="AN228" s="4"/>
      <c r="AO228" s="4"/>
      <c r="AP228" s="4"/>
      <c r="AQ228" s="4"/>
      <c r="AR228" s="20" t="str">
        <f t="shared" si="220"/>
        <v>-</v>
      </c>
      <c r="AS228" s="13" t="str">
        <f t="shared" si="236"/>
        <v>-</v>
      </c>
      <c r="AT228" s="13" t="str">
        <f t="shared" si="237"/>
        <v>-</v>
      </c>
      <c r="AU228" s="13" t="str">
        <f t="shared" si="221"/>
        <v>-</v>
      </c>
      <c r="AV228" s="16" t="str">
        <f t="shared" si="238"/>
        <v>-</v>
      </c>
      <c r="AW228" s="16" t="str">
        <f t="shared" si="222"/>
        <v>-</v>
      </c>
      <c r="AX228" s="16" t="str">
        <f t="shared" si="223"/>
        <v>-</v>
      </c>
      <c r="AY228" s="16" t="str">
        <f t="shared" si="239"/>
        <v>-</v>
      </c>
      <c r="AZ228" s="13" t="str">
        <f t="shared" si="240"/>
        <v>-</v>
      </c>
      <c r="BA228" s="10" t="str">
        <f t="shared" si="241"/>
        <v>-</v>
      </c>
      <c r="BB228" s="9" t="str">
        <f t="shared" si="242"/>
        <v>-</v>
      </c>
      <c r="BC228" s="13" t="str">
        <f t="shared" si="243"/>
        <v>-</v>
      </c>
      <c r="BD228" s="10" t="str">
        <f t="shared" si="244"/>
        <v>-</v>
      </c>
      <c r="BE228" s="13" t="str">
        <f t="shared" si="245"/>
        <v>-</v>
      </c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</row>
    <row r="229" spans="2:70" x14ac:dyDescent="0.3">
      <c r="B229" s="96" t="str">
        <f t="shared" si="224"/>
        <v/>
      </c>
      <c r="C229" s="96" t="str">
        <f t="shared" si="225"/>
        <v/>
      </c>
      <c r="D229" s="96" t="str">
        <f t="shared" si="226"/>
        <v/>
      </c>
      <c r="E229" s="3"/>
      <c r="F229" s="3"/>
      <c r="G229" s="3"/>
      <c r="H229" s="3"/>
      <c r="I229" s="20">
        <f>IFERROR(INDEX('Input - US Food'!G$2:G$200,MATCH('Calculations - US Food'!$D229,'Input - US Food'!$B$2:$B$200,0)),"")</f>
        <v>0</v>
      </c>
      <c r="J229" s="20">
        <f>IFERROR(INDEX('Input - US Food'!H$2:H$200,MATCH('Calculations - US Food'!$D229,'Input - US Food'!$B$2:$B$200,0)),"")</f>
        <v>0</v>
      </c>
      <c r="K229" s="21">
        <f>IFERROR(INDEX('Input - US Food'!I$2:I$200,MATCH('Calculations - US Food'!$D229,'Input - US Food'!$B$2:$B$200,0)),"")</f>
        <v>0</v>
      </c>
      <c r="L229" s="21">
        <f>IFERROR(INDEX('Input - US Food'!J$2:J$200,MATCH('Calculations - US Food'!$D229,'Input - US Food'!$B$2:$B$200,0)),"")</f>
        <v>0</v>
      </c>
      <c r="M229" s="20">
        <f>IFERROR(INDEX('Input - US Food'!K$2:K$200,MATCH('Calculations - US Food'!$D229,'Input - US Food'!$B$2:$B$200,0)),"")</f>
        <v>6055363851.4215012</v>
      </c>
      <c r="N229" s="20">
        <f>IFERROR(INDEX('Input - US Food'!L$2:L$200,MATCH('Calculations - US Food'!$D229,'Input - US Food'!$B$2:$B$200,0)),"")</f>
        <v>1982155918.8720999</v>
      </c>
      <c r="O229" s="21" t="str">
        <f t="shared" si="227"/>
        <v/>
      </c>
      <c r="P229" s="21">
        <f t="shared" si="209"/>
        <v>3.0549382083257943</v>
      </c>
      <c r="Q229" s="21">
        <f t="shared" si="228"/>
        <v>0</v>
      </c>
      <c r="R229" s="9">
        <f t="shared" si="210"/>
        <v>0</v>
      </c>
      <c r="S229" s="9">
        <f t="shared" si="211"/>
        <v>0</v>
      </c>
      <c r="T229" s="22" t="str">
        <f>IFERROR(INDEX('US Food'!$S$11:$S$197,MATCH('Calculations - US Food'!$D229,'US Food'!$N$11:$N$197,0)),"")</f>
        <v/>
      </c>
      <c r="U229" s="22" t="str">
        <f>IFERROR(INDEX('US Food'!$T$11:$T$197,MATCH('Calculations - US Food'!$D229,'US Food'!$N$11:$N$197,0)),"")</f>
        <v/>
      </c>
      <c r="V229" s="16" t="e">
        <f t="shared" si="212"/>
        <v>#VALUE!</v>
      </c>
      <c r="W229" s="16" t="e">
        <f t="shared" si="229"/>
        <v>#VALUE!</v>
      </c>
      <c r="X229" s="16" t="e">
        <f t="shared" si="230"/>
        <v>#VALUE!</v>
      </c>
      <c r="Y229" s="10" t="str">
        <f t="shared" si="213"/>
        <v>-</v>
      </c>
      <c r="Z229" s="10" t="str">
        <f t="shared" si="214"/>
        <v>-</v>
      </c>
      <c r="AA229" s="13" t="str">
        <f t="shared" si="231"/>
        <v>-</v>
      </c>
      <c r="AB229" s="9" t="str">
        <f t="shared" si="215"/>
        <v>-</v>
      </c>
      <c r="AC229" s="16" t="str">
        <f t="shared" si="232"/>
        <v>-</v>
      </c>
      <c r="AD229" s="16" t="str">
        <f t="shared" si="216"/>
        <v>-</v>
      </c>
      <c r="AE229" s="16" t="str">
        <f t="shared" si="217"/>
        <v>-</v>
      </c>
      <c r="AF229" s="16" t="str">
        <f t="shared" si="233"/>
        <v>-</v>
      </c>
      <c r="AG229" s="16"/>
      <c r="AH229" s="32" t="str">
        <f>IFERROR(INDEX('US Food'!$R$11:$R$197,MATCH('Calculations - US Food'!D229,'US Food'!$N$11:$N$197,0)),"")</f>
        <v/>
      </c>
      <c r="AI229" s="23" t="str">
        <f t="shared" si="234"/>
        <v/>
      </c>
      <c r="AJ229" s="23" t="str">
        <f t="shared" si="235"/>
        <v/>
      </c>
      <c r="AK229" s="9" t="str">
        <f t="shared" si="218"/>
        <v/>
      </c>
      <c r="AL229" s="4" t="str">
        <f t="shared" si="219"/>
        <v/>
      </c>
      <c r="AM229" s="4"/>
      <c r="AN229" s="4"/>
      <c r="AO229" s="4"/>
      <c r="AP229" s="4"/>
      <c r="AQ229" s="4"/>
      <c r="AR229" s="20" t="str">
        <f t="shared" si="220"/>
        <v>-</v>
      </c>
      <c r="AS229" s="13" t="str">
        <f t="shared" si="236"/>
        <v>-</v>
      </c>
      <c r="AT229" s="13" t="str">
        <f t="shared" si="237"/>
        <v>-</v>
      </c>
      <c r="AU229" s="13" t="str">
        <f t="shared" si="221"/>
        <v>-</v>
      </c>
      <c r="AV229" s="16" t="str">
        <f t="shared" si="238"/>
        <v>-</v>
      </c>
      <c r="AW229" s="16" t="str">
        <f t="shared" si="222"/>
        <v>-</v>
      </c>
      <c r="AX229" s="16" t="str">
        <f t="shared" si="223"/>
        <v>-</v>
      </c>
      <c r="AY229" s="16" t="str">
        <f t="shared" si="239"/>
        <v>-</v>
      </c>
      <c r="AZ229" s="13" t="str">
        <f t="shared" si="240"/>
        <v>-</v>
      </c>
      <c r="BA229" s="10" t="str">
        <f t="shared" si="241"/>
        <v>-</v>
      </c>
      <c r="BB229" s="9" t="str">
        <f t="shared" si="242"/>
        <v>-</v>
      </c>
      <c r="BC229" s="13" t="str">
        <f t="shared" si="243"/>
        <v>-</v>
      </c>
      <c r="BD229" s="10" t="str">
        <f t="shared" si="244"/>
        <v>-</v>
      </c>
      <c r="BE229" s="13" t="str">
        <f t="shared" si="245"/>
        <v>-</v>
      </c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</row>
  </sheetData>
  <autoFilter ref="B29:BE229" xr:uid="{EBC5369C-27F8-43F4-AB6A-BF232DBC070F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66831-2FDA-446B-A68E-F1CE0A447F81}">
  <sheetPr codeName="Sheet3">
    <tabColor theme="5" tint="0.59999389629810485"/>
  </sheetPr>
  <dimension ref="A1:AH125"/>
  <sheetViews>
    <sheetView showGridLines="0" tabSelected="1" topLeftCell="A9" zoomScale="43" zoomScaleNormal="55" workbookViewId="0">
      <selection activeCell="B39" sqref="B39"/>
    </sheetView>
  </sheetViews>
  <sheetFormatPr defaultColWidth="15.77734375" defaultRowHeight="14.4" x14ac:dyDescent="0.3"/>
  <cols>
    <col min="1" max="1" width="8.88671875" style="92" customWidth="1"/>
    <col min="2" max="2" width="43.88671875" style="92" bestFit="1" customWidth="1"/>
    <col min="3" max="4" width="32.109375" style="92" bestFit="1" customWidth="1"/>
    <col min="5" max="5" width="34.88671875" style="92" bestFit="1" customWidth="1"/>
    <col min="6" max="6" width="23.5546875" style="92" bestFit="1" customWidth="1"/>
    <col min="7" max="7" width="29.33203125" style="92" bestFit="1" customWidth="1"/>
    <col min="8" max="8" width="25.77734375" style="92" customWidth="1"/>
    <col min="9" max="9" width="29.33203125" style="92" bestFit="1" customWidth="1"/>
    <col min="10" max="10" width="25.77734375" style="92" customWidth="1"/>
    <col min="11" max="11" width="29.33203125" style="92" bestFit="1" customWidth="1"/>
    <col min="12" max="12" width="25.77734375" style="92" customWidth="1"/>
    <col min="13" max="13" width="27.88671875" style="92" customWidth="1"/>
    <col min="14" max="15" width="23.5546875" style="92" hidden="1" customWidth="1"/>
    <col min="16" max="16" width="33.44140625" style="92" bestFit="1" customWidth="1"/>
    <col min="17" max="17" width="31.6640625" style="92" customWidth="1"/>
    <col min="18" max="18" width="35.21875" style="92" customWidth="1"/>
    <col min="19" max="19" width="26.88671875" style="92" customWidth="1"/>
    <col min="20" max="20" width="34.6640625" style="92" customWidth="1"/>
    <col min="21" max="21" width="30.77734375" style="92" customWidth="1"/>
    <col min="22" max="23" width="30.77734375" style="127" customWidth="1"/>
    <col min="24" max="24" width="30.77734375" style="92" customWidth="1"/>
    <col min="25" max="25" width="45.77734375" style="92" customWidth="1"/>
    <col min="26" max="29" width="29.33203125" style="92" bestFit="1" customWidth="1"/>
    <col min="30" max="30" width="34.88671875" style="92" bestFit="1" customWidth="1"/>
    <col min="31" max="31" width="25.77734375" style="92" customWidth="1"/>
    <col min="32" max="16384" width="15.77734375" style="92"/>
  </cols>
  <sheetData>
    <row r="1" spans="1:32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</row>
    <row r="2" spans="1:32" x14ac:dyDescent="0.3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</row>
    <row r="3" spans="1:32" x14ac:dyDescent="0.3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</row>
    <row r="4" spans="1:32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</row>
    <row r="5" spans="1:32" x14ac:dyDescent="0.3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</row>
    <row r="6" spans="1:32" ht="25.05" customHeight="1" x14ac:dyDescent="0.3">
      <c r="A6"/>
      <c r="B6" s="209" t="s">
        <v>136</v>
      </c>
      <c r="C6" s="209"/>
      <c r="D6"/>
      <c r="E6"/>
      <c r="F6"/>
      <c r="G6"/>
      <c r="H6"/>
      <c r="I6"/>
      <c r="J6"/>
      <c r="K6"/>
      <c r="L6"/>
      <c r="M6"/>
      <c r="N6"/>
      <c r="O6"/>
      <c r="P6" s="55" t="s">
        <v>64</v>
      </c>
      <c r="Q6" s="109" t="s">
        <v>104</v>
      </c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</row>
    <row r="7" spans="1:32" ht="25.05" customHeight="1" x14ac:dyDescent="0.3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</row>
    <row r="8" spans="1:32" ht="25.8" x14ac:dyDescent="0.5">
      <c r="A8"/>
      <c r="B8" s="200" t="s">
        <v>49</v>
      </c>
      <c r="C8" s="200"/>
      <c r="D8" s="200"/>
      <c r="E8" s="200"/>
      <c r="F8" s="200"/>
      <c r="G8" s="200"/>
      <c r="H8" s="200"/>
      <c r="I8" s="200"/>
      <c r="J8" s="200"/>
      <c r="K8" s="200"/>
      <c r="L8" s="200"/>
      <c r="M8" s="35"/>
      <c r="N8"/>
      <c r="O8"/>
      <c r="P8" s="200" t="s">
        <v>50</v>
      </c>
      <c r="Q8" s="200"/>
      <c r="R8" s="200"/>
      <c r="S8" s="200"/>
      <c r="T8" s="200"/>
      <c r="U8" s="200"/>
      <c r="V8" s="200"/>
      <c r="W8" s="200"/>
      <c r="X8"/>
      <c r="Y8" s="200" t="s">
        <v>65</v>
      </c>
      <c r="Z8" s="200"/>
      <c r="AA8" s="200"/>
      <c r="AB8" s="200"/>
      <c r="AC8" s="200"/>
      <c r="AD8" s="200"/>
      <c r="AE8" s="200"/>
      <c r="AF8"/>
    </row>
    <row r="9" spans="1:32" ht="60" customHeight="1" x14ac:dyDescent="0.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 s="111" t="s">
        <v>127</v>
      </c>
      <c r="W9" s="111" t="s">
        <v>127</v>
      </c>
      <c r="X9"/>
      <c r="Y9"/>
      <c r="Z9"/>
      <c r="AA9"/>
      <c r="AB9"/>
      <c r="AC9"/>
      <c r="AD9"/>
      <c r="AE9"/>
      <c r="AF9"/>
    </row>
    <row r="10" spans="1:32" ht="30" customHeight="1" x14ac:dyDescent="0.3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 s="41"/>
      <c r="Q10" s="33" t="s">
        <v>10</v>
      </c>
      <c r="R10" s="33" t="s">
        <v>51</v>
      </c>
      <c r="S10" s="33" t="s">
        <v>52</v>
      </c>
      <c r="T10" s="33" t="s">
        <v>53</v>
      </c>
      <c r="U10" s="33" t="s">
        <v>54</v>
      </c>
      <c r="V10" s="33" t="s">
        <v>19</v>
      </c>
      <c r="W10" s="33" t="s">
        <v>156</v>
      </c>
      <c r="X10"/>
      <c r="Y10"/>
      <c r="Z10"/>
      <c r="AA10"/>
      <c r="AB10"/>
      <c r="AC10"/>
      <c r="AD10"/>
      <c r="AE10"/>
      <c r="AF10"/>
    </row>
    <row r="11" spans="1:32" ht="25.05" customHeight="1" x14ac:dyDescent="0.4">
      <c r="A11"/>
      <c r="B11"/>
      <c r="C11"/>
      <c r="D11"/>
      <c r="E11"/>
      <c r="F11"/>
      <c r="G11"/>
      <c r="H11"/>
      <c r="I11"/>
      <c r="J11"/>
      <c r="K11"/>
      <c r="L11"/>
      <c r="M11"/>
      <c r="N11" s="46" t="s">
        <v>9</v>
      </c>
      <c r="O11" s="46"/>
      <c r="P11" s="41"/>
      <c r="Q11" s="213" t="str">
        <f>'Calculations - US Food'!F4</f>
        <v>KRAFT</v>
      </c>
      <c r="R11" s="213"/>
      <c r="S11" s="41"/>
      <c r="T11" s="41"/>
      <c r="U11" s="155">
        <f>R12/Q12-1</f>
        <v>0</v>
      </c>
      <c r="V11" s="135">
        <f>V13+V20</f>
        <v>9.4579897748849687E-2</v>
      </c>
      <c r="W11" s="135">
        <f>W13+W20</f>
        <v>9.3009611966128419E-2</v>
      </c>
      <c r="X11"/>
      <c r="Y11"/>
      <c r="Z11"/>
      <c r="AA11"/>
      <c r="AB11"/>
      <c r="AC11"/>
      <c r="AD11"/>
      <c r="AE11"/>
      <c r="AF11"/>
    </row>
    <row r="12" spans="1:32" ht="25.05" customHeight="1" x14ac:dyDescent="0.3">
      <c r="A12"/>
      <c r="B12"/>
      <c r="C12"/>
      <c r="D12"/>
      <c r="E12"/>
      <c r="F12"/>
      <c r="G12"/>
      <c r="H12"/>
      <c r="I12"/>
      <c r="J12"/>
      <c r="K12"/>
      <c r="L12"/>
      <c r="M12"/>
      <c r="N12" t="str">
        <f>$Q$6&amp;Q11&amp;P12</f>
        <v>US FOODKRAFT</v>
      </c>
      <c r="O12"/>
      <c r="P12" s="41"/>
      <c r="Q12" s="139">
        <f>INDEX('Calculations - US Food'!$M$3:$M$24,MATCH(N12,'Calculations - US Food'!$D$3:$D$24,0))</f>
        <v>3.3900130890297144</v>
      </c>
      <c r="R12" s="140">
        <f>INDEX('Calculations - US Food'!$AF$3:$AF$24,MATCH(N12,'Calculations - US Food'!$D$3:$D$24,0))</f>
        <v>3.390013089029714</v>
      </c>
      <c r="S12" s="51">
        <f>INDEX('Calculations - US Food'!$R$3:$R$24,MATCH('US Food'!$Q$6&amp;'US Food'!$Q11,'Calculations - US Food'!$D$3:$D$24,0))</f>
        <v>0.8</v>
      </c>
      <c r="T12" s="51">
        <f>INDEX('Calculations - US Food'!$S$3:$S$24,MATCH('US Food'!$Q$6&amp;'US Food'!$Q11,'Calculations - US Food'!$D$3:$D$24,0))</f>
        <v>0.29999999999999993</v>
      </c>
      <c r="U12" s="125"/>
      <c r="V12" s="125"/>
      <c r="W12" s="125"/>
      <c r="X12"/>
      <c r="Y12"/>
      <c r="Z12"/>
      <c r="AA12"/>
      <c r="AB12"/>
      <c r="AC12"/>
      <c r="AD12"/>
      <c r="AE12"/>
      <c r="AF12"/>
    </row>
    <row r="13" spans="1:32" ht="25.05" customHeight="1" x14ac:dyDescent="0.3">
      <c r="A13"/>
      <c r="B13"/>
      <c r="C13"/>
      <c r="D13"/>
      <c r="E13"/>
      <c r="F13"/>
      <c r="G13"/>
      <c r="H13"/>
      <c r="I13"/>
      <c r="J13"/>
      <c r="K13"/>
      <c r="L13"/>
      <c r="M13"/>
      <c r="N13" t="str">
        <f>$Q$6&amp;Q11&amp;P13</f>
        <v>US FOODKRAFTMayo</v>
      </c>
      <c r="O13" s="106" t="s">
        <v>102</v>
      </c>
      <c r="P13" s="107" t="s">
        <v>122</v>
      </c>
      <c r="Q13" s="139" cm="1">
        <f t="array" ref="Q13">SUM(_xlfn._xlws.FILTER('Calculations - US Food'!$O$32:$O$229*'Calculations - US Food'!$J$32:$J$229,'Calculations - US Food'!$C$32:$C$229=$N13))/SUM(_xlfn._xlws.FILTER('Calculations - US Food'!$J$32:$J$229,'Calculations - US Food'!$C$32:$C$229=$N13))</f>
        <v>3.2790479445401628</v>
      </c>
      <c r="R13" s="140" cm="1">
        <f t="array" ref="R13">SUM(_xlfn._xlws.FILTER('Calculations - US Food'!$AH$32:$AH$229*'Calculations - US Food'!$AL$32:$AL$229,'Calculations - US Food'!$C$32:$C$229=$N13))/SUM(_xlfn._xlws.FILTER('Calculations - US Food'!$AL$32:$AL$229,'Calculations - US Food'!$C$32:$C$229=$N13))</f>
        <v>3.2790479445401628</v>
      </c>
      <c r="S13" s="108"/>
      <c r="T13" s="108"/>
      <c r="U13" s="128">
        <f>IFERROR(R13/Q13-1,0)</f>
        <v>0</v>
      </c>
      <c r="V13" s="128">
        <f>SUM(V14:V19)</f>
        <v>9.0552942712376433E-2</v>
      </c>
      <c r="W13" s="128">
        <f>SUM(W14:W19)</f>
        <v>8.6092114956070914E-2</v>
      </c>
      <c r="X13"/>
      <c r="Y13"/>
      <c r="Z13"/>
      <c r="AA13"/>
      <c r="AB13"/>
      <c r="AC13"/>
      <c r="AD13"/>
      <c r="AE13"/>
      <c r="AF13"/>
    </row>
    <row r="14" spans="1:32" ht="25.05" customHeight="1" x14ac:dyDescent="0.3">
      <c r="A14"/>
      <c r="B14"/>
      <c r="C14"/>
      <c r="D14"/>
      <c r="E14"/>
      <c r="F14"/>
      <c r="G14"/>
      <c r="H14"/>
      <c r="I14"/>
      <c r="J14"/>
      <c r="K14"/>
      <c r="L14"/>
      <c r="M14"/>
      <c r="N14" t="str">
        <f>$Q$6&amp;Q11&amp;O14&amp;P14</f>
        <v>US FOODKRAFTMayoJAR 15OZ</v>
      </c>
      <c r="O14" s="106" t="s">
        <v>122</v>
      </c>
      <c r="P14" s="34" t="s">
        <v>116</v>
      </c>
      <c r="Q14" s="141">
        <f>IFERROR(INDEX('Calculations - US Food'!$O$32:$O$229,MATCH($N14,'Calculations - US Food'!$D$32:$D$229,0)),0)</f>
        <v>5.0125600786771995</v>
      </c>
      <c r="R14" s="142">
        <f t="shared" ref="R14:R19" si="0">Q14</f>
        <v>5.0125600786771995</v>
      </c>
      <c r="S14" s="52">
        <v>0.8</v>
      </c>
      <c r="T14" s="52">
        <v>0.3</v>
      </c>
      <c r="U14" s="155">
        <f>IFERROR(R14/Q14-1,0)</f>
        <v>0</v>
      </c>
      <c r="V14" s="124">
        <f>IFERROR(INDEX('Calculations - US Food'!$BB$32:$BB$229,MATCH('US Food'!$N14,'Calculations - US Food'!$D$32:$D$229,0)),"-")</f>
        <v>2.1984744150641742E-3</v>
      </c>
      <c r="W14" s="124">
        <f>IFERROR(INDEX('Calculations - US Food'!$BE$32:$BE$229,MATCH('US Food'!$N14,'Calculations - US Food'!$D$32:$D$229,0)),"-")</f>
        <v>3.1811664278733405E-3</v>
      </c>
      <c r="X14"/>
      <c r="Y14"/>
      <c r="Z14"/>
      <c r="AA14"/>
      <c r="AB14"/>
      <c r="AC14"/>
      <c r="AD14"/>
      <c r="AE14"/>
      <c r="AF14"/>
    </row>
    <row r="15" spans="1:32" ht="25.05" customHeight="1" x14ac:dyDescent="0.3">
      <c r="A15"/>
      <c r="B15"/>
      <c r="C15"/>
      <c r="D15"/>
      <c r="E15"/>
      <c r="F15"/>
      <c r="G15"/>
      <c r="H15"/>
      <c r="I15"/>
      <c r="J15"/>
      <c r="K15"/>
      <c r="L15"/>
      <c r="M15"/>
      <c r="N15" t="str">
        <f>$Q$6&amp;Q11&amp;O15&amp;P15</f>
        <v>US FOODKRAFTMayoJAR 30OZ</v>
      </c>
      <c r="O15" s="106" t="s">
        <v>122</v>
      </c>
      <c r="P15" s="34" t="s">
        <v>118</v>
      </c>
      <c r="Q15" s="141">
        <f>IFERROR(INDEX('Calculations - US Food'!$O$32:$O$229,MATCH($N15,'Calculations - US Food'!$D$32:$D$229,0)),0)</f>
        <v>2.6978679364639935</v>
      </c>
      <c r="R15" s="142">
        <f t="shared" si="0"/>
        <v>2.6978679364639935</v>
      </c>
      <c r="S15" s="52">
        <v>0.8</v>
      </c>
      <c r="T15" s="52">
        <v>0.3</v>
      </c>
      <c r="U15" s="155">
        <f t="shared" ref="U15:U23" si="1">IFERROR(R15/Q15-1,0)</f>
        <v>0</v>
      </c>
      <c r="V15" s="124">
        <f>IFERROR(INDEX('Calculations - US Food'!$BB$32:$BB$229,MATCH('US Food'!$N15,'Calculations - US Food'!$D$32:$D$229,0)),"-")</f>
        <v>5.9499000178669895E-2</v>
      </c>
      <c r="W15" s="124">
        <f>IFERROR(INDEX('Calculations - US Food'!$BE$32:$BE$229,MATCH('US Food'!$N15,'Calculations - US Food'!$D$32:$D$229,0)),"-")</f>
        <v>4.6337834948365741E-2</v>
      </c>
      <c r="X15"/>
      <c r="Y15"/>
      <c r="Z15"/>
      <c r="AA15"/>
      <c r="AB15"/>
      <c r="AC15"/>
      <c r="AD15"/>
      <c r="AE15"/>
      <c r="AF15"/>
    </row>
    <row r="16" spans="1:32" ht="25.05" customHeight="1" x14ac:dyDescent="0.3">
      <c r="A16"/>
      <c r="B16"/>
      <c r="C16"/>
      <c r="D16"/>
      <c r="E16"/>
      <c r="F16"/>
      <c r="G16"/>
      <c r="H16"/>
      <c r="I16"/>
      <c r="J16"/>
      <c r="K16"/>
      <c r="L16"/>
      <c r="M16"/>
      <c r="N16" t="str">
        <f>$Q$6&amp;Q11&amp;O16&amp;P16</f>
        <v>US FOODKRAFTMayoJAR 48OZ</v>
      </c>
      <c r="O16" s="106" t="s">
        <v>122</v>
      </c>
      <c r="P16" s="34" t="s">
        <v>121</v>
      </c>
      <c r="Q16" s="141">
        <f>IFERROR(INDEX('Calculations - US Food'!$O$32:$O$229,MATCH($N16,'Calculations - US Food'!$D$32:$D$229,0)),0)</f>
        <v>2.7426110864020674</v>
      </c>
      <c r="R16" s="142">
        <f t="shared" si="0"/>
        <v>2.7426110864020674</v>
      </c>
      <c r="S16" s="52">
        <v>0.8</v>
      </c>
      <c r="T16" s="52">
        <v>0.3</v>
      </c>
      <c r="U16" s="155">
        <f t="shared" si="1"/>
        <v>0</v>
      </c>
      <c r="V16" s="124">
        <f>IFERROR(INDEX('Calculations - US Food'!$BB$32:$BB$229,MATCH('US Food'!$N16,'Calculations - US Food'!$D$32:$D$229,0)),"-")</f>
        <v>1.1381327069956743E-3</v>
      </c>
      <c r="W16" s="124">
        <f>IFERROR(INDEX('Calculations - US Food'!$BE$32:$BE$229,MATCH('US Food'!$N16,'Calculations - US Food'!$D$32:$D$229,0)),"-")</f>
        <v>9.0107826667888734E-4</v>
      </c>
      <c r="X16"/>
      <c r="Y16"/>
      <c r="Z16"/>
      <c r="AA16"/>
      <c r="AB16"/>
      <c r="AC16"/>
      <c r="AD16"/>
      <c r="AE16"/>
      <c r="AF16"/>
    </row>
    <row r="17" spans="1:34" ht="25.05" customHeight="1" x14ac:dyDescent="0.3">
      <c r="A17"/>
      <c r="B17"/>
      <c r="C17"/>
      <c r="D17"/>
      <c r="E17"/>
      <c r="F17"/>
      <c r="G17"/>
      <c r="H17"/>
      <c r="I17"/>
      <c r="J17"/>
      <c r="K17"/>
      <c r="L17"/>
      <c r="M17"/>
      <c r="N17" t="str">
        <f>$Q$6&amp;Q11&amp;O17&amp;P17</f>
        <v>US FOODKRAFTMayoSQUEEZY 12OZ</v>
      </c>
      <c r="O17" s="106" t="s">
        <v>122</v>
      </c>
      <c r="P17" s="34" t="s">
        <v>117</v>
      </c>
      <c r="Q17" s="141">
        <f>IFERROR(INDEX('Calculations - US Food'!$O$32:$O$229,MATCH($N17,'Calculations - US Food'!$D$32:$D$229,0)),0)</f>
        <v>6.0052888744612956</v>
      </c>
      <c r="R17" s="142">
        <f t="shared" si="0"/>
        <v>6.0052888744612956</v>
      </c>
      <c r="S17" s="52">
        <v>0.8</v>
      </c>
      <c r="T17" s="52">
        <v>0.3</v>
      </c>
      <c r="U17" s="155">
        <f t="shared" si="1"/>
        <v>0</v>
      </c>
      <c r="V17" s="124">
        <f>IFERROR(INDEX('Calculations - US Food'!$BB$32:$BB$229,MATCH('US Food'!$N17,'Calculations - US Food'!$D$32:$D$229,0)),"-")</f>
        <v>7.7162305298788848E-3</v>
      </c>
      <c r="W17" s="124">
        <f>IFERROR(INDEX('Calculations - US Food'!$BE$32:$BE$229,MATCH('US Food'!$N17,'Calculations - US Food'!$D$32:$D$229,0)),"-")</f>
        <v>1.33765612078958E-2</v>
      </c>
      <c r="X17"/>
      <c r="Y17"/>
      <c r="Z17"/>
      <c r="AA17"/>
      <c r="AB17"/>
      <c r="AC17"/>
      <c r="AD17"/>
      <c r="AE17"/>
      <c r="AF17"/>
    </row>
    <row r="18" spans="1:34" ht="25.05" customHeight="1" x14ac:dyDescent="0.3">
      <c r="A18"/>
      <c r="B18"/>
      <c r="C18"/>
      <c r="D18"/>
      <c r="E18"/>
      <c r="F18"/>
      <c r="G18"/>
      <c r="H18"/>
      <c r="I18"/>
      <c r="J18"/>
      <c r="K18"/>
      <c r="L18"/>
      <c r="M18"/>
      <c r="N18" t="str">
        <f>$Q$6&amp;Q11&amp;O18&amp;P18</f>
        <v>US FOODKRAFTMayoSQUEEZY 18 TO 22OZ</v>
      </c>
      <c r="O18" s="106" t="s">
        <v>122</v>
      </c>
      <c r="P18" s="34" t="s">
        <v>120</v>
      </c>
      <c r="Q18" s="141">
        <f>IFERROR(INDEX('Calculations - US Food'!$O$32:$O$229,MATCH($N18,'Calculations - US Food'!$D$32:$D$229,0)),0)</f>
        <v>4.0124149315637805</v>
      </c>
      <c r="R18" s="142">
        <f t="shared" si="0"/>
        <v>4.0124149315637805</v>
      </c>
      <c r="S18" s="52">
        <v>0.8</v>
      </c>
      <c r="T18" s="52">
        <v>0.3</v>
      </c>
      <c r="U18" s="155">
        <f t="shared" si="1"/>
        <v>0</v>
      </c>
      <c r="V18" s="124">
        <f>IFERROR(INDEX('Calculations - US Food'!$BB$32:$BB$229,MATCH('US Food'!$N18,'Calculations - US Food'!$D$32:$D$229,0)),"-")</f>
        <v>1.8296678645051394E-2</v>
      </c>
      <c r="W18" s="124">
        <f>IFERROR(INDEX('Calculations - US Food'!$BE$32:$BE$229,MATCH('US Food'!$N18,'Calculations - US Food'!$D$32:$D$229,0)),"-")</f>
        <v>2.1192562957646741E-2</v>
      </c>
      <c r="X18"/>
      <c r="Y18"/>
      <c r="Z18"/>
      <c r="AA18"/>
      <c r="AB18"/>
      <c r="AC18"/>
      <c r="AD18"/>
      <c r="AE18"/>
      <c r="AF18"/>
    </row>
    <row r="19" spans="1:34" ht="25.05" customHeight="1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N19" t="str">
        <f>$Q$6&amp;Q11&amp;O19&amp;P19</f>
        <v>US FOODKRAFTMayoOTHER</v>
      </c>
      <c r="O19" s="106" t="s">
        <v>122</v>
      </c>
      <c r="P19" s="34" t="s">
        <v>115</v>
      </c>
      <c r="Q19" s="141">
        <f>IFERROR(INDEX('Calculations - US Food'!$O$32:$O$229,MATCH($N19,'Calculations - US Food'!$D$32:$D$229,0)),0)</f>
        <v>2.2415938779156352</v>
      </c>
      <c r="R19" s="142">
        <f t="shared" si="0"/>
        <v>2.2415938779156352</v>
      </c>
      <c r="S19" s="52">
        <v>0.8</v>
      </c>
      <c r="T19" s="52">
        <v>0.3</v>
      </c>
      <c r="U19" s="155">
        <f t="shared" si="1"/>
        <v>0</v>
      </c>
      <c r="V19" s="124">
        <f>IFERROR(INDEX('Calculations - US Food'!$BB$32:$BB$229,MATCH('US Food'!$N19,'Calculations - US Food'!$D$32:$D$229,0)),"-")</f>
        <v>1.7044262367164095E-3</v>
      </c>
      <c r="W19" s="124">
        <f>IFERROR(INDEX('Calculations - US Food'!$BE$32:$BE$229,MATCH('US Food'!$N19,'Calculations - US Food'!$D$32:$D$229,0)),"-")</f>
        <v>1.1029111476104118E-3</v>
      </c>
      <c r="X19"/>
      <c r="Y19"/>
      <c r="Z19"/>
      <c r="AA19"/>
      <c r="AB19"/>
      <c r="AC19"/>
      <c r="AD19"/>
      <c r="AE19"/>
      <c r="AF19"/>
    </row>
    <row r="20" spans="1:34" ht="25.05" customHeight="1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 t="str">
        <f>$Q$6&amp;Q11&amp;P20</f>
        <v>US FOODKRAFTAioli</v>
      </c>
      <c r="O20" s="106" t="s">
        <v>123</v>
      </c>
      <c r="P20" s="107" t="s">
        <v>124</v>
      </c>
      <c r="Q20" s="139" cm="1">
        <f t="array" ref="Q20">SUM(_xlfn._xlws.FILTER('Calculations - US Food'!$O$32:$O$229*'Calculations - US Food'!$J$32:$J$229,'Calculations - US Food'!$C$32:$C$229=$N20))/SUM(_xlfn._xlws.FILTER('Calculations - US Food'!$J$32:$J$229,'Calculations - US Food'!$C$32:$C$229=$N20))</f>
        <v>6.0381177491597251</v>
      </c>
      <c r="R20" s="142">
        <f t="shared" ref="R20" si="2">Q20</f>
        <v>6.0381177491597251</v>
      </c>
      <c r="S20" s="105"/>
      <c r="T20" s="105"/>
      <c r="U20" s="128">
        <f>IFERROR(R20/Q20-1,0)</f>
        <v>0</v>
      </c>
      <c r="V20" s="128">
        <f>SUM(V21:V23)</f>
        <v>4.0269550364732546E-3</v>
      </c>
      <c r="W20" s="128">
        <f>SUM(W21:W23)</f>
        <v>6.917497010057499E-3</v>
      </c>
      <c r="X20"/>
      <c r="Y20"/>
      <c r="Z20"/>
      <c r="AA20"/>
      <c r="AB20"/>
      <c r="AC20"/>
      <c r="AD20"/>
      <c r="AE20"/>
      <c r="AF20"/>
    </row>
    <row r="21" spans="1:34" ht="25.05" customHeight="1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 t="str">
        <f>$Q$6&amp;Q11&amp;O21&amp;P21</f>
        <v>US FOODKRAFTAioliJAR 30OZ</v>
      </c>
      <c r="O21" s="106" t="s">
        <v>124</v>
      </c>
      <c r="P21" s="34" t="s">
        <v>118</v>
      </c>
      <c r="Q21" s="141">
        <f>IFERROR(INDEX('Calculations - US Food'!$O$32:$O$229,MATCH($N21,'Calculations - US Food'!$D$32:$D$229,0)),0)</f>
        <v>2.5567202822876576</v>
      </c>
      <c r="R21" s="142">
        <f>Q21</f>
        <v>2.5567202822876576</v>
      </c>
      <c r="S21" s="52">
        <v>0.8</v>
      </c>
      <c r="T21" s="52">
        <v>0.3</v>
      </c>
      <c r="U21" s="155">
        <f t="shared" si="1"/>
        <v>0</v>
      </c>
      <c r="V21" s="124">
        <f>IFERROR(INDEX('Calculations - US Food'!$BB$32:$BB$229,MATCH('US Food'!$N21,'Calculations - US Food'!$D$32:$D$229,0)),"-")</f>
        <v>3.1935252946032477E-4</v>
      </c>
      <c r="W21" s="124">
        <f>IFERROR(INDEX('Calculations - US Food'!$BE$32:$BE$229,MATCH('US Food'!$N21,'Calculations - US Food'!$D$32:$D$229,0)),"-")</f>
        <v>2.3569966256940989E-4</v>
      </c>
      <c r="X21"/>
      <c r="Y21"/>
      <c r="Z21"/>
      <c r="AA21"/>
      <c r="AB21"/>
      <c r="AC21"/>
      <c r="AD21"/>
      <c r="AE21"/>
      <c r="AF21"/>
    </row>
    <row r="22" spans="1:34" ht="25.05" customHeight="1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 t="str">
        <f>$Q$6&amp;Q11&amp;O22&amp;P22</f>
        <v>US FOODKRAFTAioliSQUEEZY 12OZ</v>
      </c>
      <c r="O22" s="106" t="s">
        <v>124</v>
      </c>
      <c r="P22" s="34" t="s">
        <v>117</v>
      </c>
      <c r="Q22" s="141">
        <f>IFERROR(INDEX('Calculations - US Food'!$O$32:$O$229,MATCH($N22,'Calculations - US Food'!$D$32:$D$229,0)),0)</f>
        <v>6.6704861205877597</v>
      </c>
      <c r="R22" s="142">
        <f>Q22</f>
        <v>6.6704861205877597</v>
      </c>
      <c r="S22" s="52">
        <v>0.8</v>
      </c>
      <c r="T22" s="52">
        <v>0.3</v>
      </c>
      <c r="U22" s="155">
        <f t="shared" si="1"/>
        <v>0</v>
      </c>
      <c r="V22" s="124">
        <f>IFERROR(INDEX('Calculations - US Food'!$BB$32:$BB$229,MATCH('US Food'!$N22,'Calculations - US Food'!$D$32:$D$229,0)),"-")</f>
        <v>3.2092613138198518E-3</v>
      </c>
      <c r="W22" s="124">
        <f>IFERROR(INDEX('Calculations - US Food'!$BE$32:$BE$229,MATCH('US Food'!$N22,'Calculations - US Food'!$D$32:$D$229,0)),"-")</f>
        <v>6.1797079284057156E-3</v>
      </c>
      <c r="X22"/>
      <c r="Y22"/>
      <c r="Z22"/>
      <c r="AA22"/>
      <c r="AB22"/>
      <c r="AC22"/>
      <c r="AD22"/>
      <c r="AE22"/>
      <c r="AF22"/>
    </row>
    <row r="23" spans="1:34" ht="25.05" customHeight="1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 t="str">
        <f>$Q$6&amp;Q11&amp;O23&amp;P23</f>
        <v>US FOODKRAFTAioliOTHER</v>
      </c>
      <c r="O23" s="106" t="s">
        <v>124</v>
      </c>
      <c r="P23" s="34" t="s">
        <v>115</v>
      </c>
      <c r="Q23" s="141">
        <f>IFERROR(INDEX('Calculations - US Food'!$O$32:$O$229,MATCH($N23,'Calculations - US Food'!$D$32:$D$229,0)),0)</f>
        <v>3.4901886174278398</v>
      </c>
      <c r="R23" s="142">
        <f>Q23</f>
        <v>3.4901886174278398</v>
      </c>
      <c r="S23" s="52">
        <v>0.8</v>
      </c>
      <c r="T23" s="52">
        <v>0.3</v>
      </c>
      <c r="U23" s="155">
        <f t="shared" si="1"/>
        <v>0</v>
      </c>
      <c r="V23" s="124">
        <f>IFERROR(INDEX('Calculations - US Food'!$BB$32:$BB$229,MATCH('US Food'!$N23,'Calculations - US Food'!$D$32:$D$229,0)),"-")</f>
        <v>4.9834119319307787E-4</v>
      </c>
      <c r="W23" s="124">
        <f>IFERROR(INDEX('Calculations - US Food'!$BE$32:$BE$229,MATCH('US Food'!$N23,'Calculations - US Food'!$D$32:$D$229,0)),"-")</f>
        <v>5.0208941908237346E-4</v>
      </c>
      <c r="X23"/>
      <c r="Y23"/>
      <c r="Z23"/>
      <c r="AA23"/>
      <c r="AB23"/>
      <c r="AC23"/>
      <c r="AD23"/>
      <c r="AE23"/>
      <c r="AF23"/>
    </row>
    <row r="24" spans="1:34" ht="25.05" customHeight="1" x14ac:dyDescent="0.4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 s="49"/>
      <c r="R24" s="49"/>
      <c r="S24" s="49"/>
      <c r="T24" s="49"/>
      <c r="U24" s="126"/>
      <c r="V24" s="126"/>
      <c r="W24" s="126"/>
      <c r="X24"/>
      <c r="Y24"/>
      <c r="Z24"/>
      <c r="AA24"/>
      <c r="AB24"/>
      <c r="AC24"/>
      <c r="AD24"/>
      <c r="AE24"/>
      <c r="AF24"/>
    </row>
    <row r="25" spans="1:34" ht="25.05" customHeight="1" x14ac:dyDescent="0.4">
      <c r="A25"/>
      <c r="B25"/>
      <c r="C25"/>
      <c r="D25"/>
      <c r="E25"/>
      <c r="F25"/>
      <c r="G25"/>
      <c r="H25"/>
      <c r="I25"/>
      <c r="J25"/>
      <c r="K25"/>
      <c r="L25"/>
      <c r="M25"/>
      <c r="N25" s="46" t="s">
        <v>9</v>
      </c>
      <c r="O25" s="46"/>
      <c r="P25" s="41"/>
      <c r="Q25" s="212" t="str">
        <f>'Calculations - US Food'!F5</f>
        <v>MIRACLE WHIP</v>
      </c>
      <c r="R25" s="212"/>
      <c r="S25" s="41"/>
      <c r="T25" s="41"/>
      <c r="U25" s="155">
        <f>R26/Q26-1</f>
        <v>0</v>
      </c>
      <c r="V25" s="134">
        <f>V27</f>
        <v>0.10453880238144483</v>
      </c>
      <c r="W25" s="134">
        <f>W27</f>
        <v>0.11045428302687425</v>
      </c>
      <c r="X25"/>
      <c r="Y25"/>
      <c r="Z25"/>
      <c r="AA25"/>
      <c r="AB25"/>
      <c r="AC25"/>
      <c r="AD25"/>
      <c r="AE25"/>
      <c r="AF25"/>
    </row>
    <row r="26" spans="1:34" ht="25.05" customHeight="1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 t="str">
        <f>$Q$6&amp;Q25&amp;P26</f>
        <v>US FOODMIRACLE WHIP</v>
      </c>
      <c r="O26"/>
      <c r="P26" s="41"/>
      <c r="Q26" s="139">
        <f>INDEX('Calculations - US Food'!$M$3:$M$24,MATCH(N26,'Calculations - US Food'!$D$3:$D$24,0))</f>
        <v>3.6423143360690733</v>
      </c>
      <c r="R26" s="143">
        <f>INDEX('Calculations - US Food'!$AF$3:$AF$24,MATCH(N26,'Calculations - US Food'!$D$3:$D$24,0))</f>
        <v>3.6423143360690733</v>
      </c>
      <c r="S26" s="51">
        <f>INDEX('Calculations - US Food'!$R$3:$R$24,MATCH('US Food'!$Q$6&amp;'US Food'!$Q25,'Calculations - US Food'!$D$3:$D$24,0))</f>
        <v>0.8</v>
      </c>
      <c r="T26" s="51">
        <f>INDEX('Calculations - US Food'!$S$3:$S$24,MATCH('US Food'!$Q$6&amp;'US Food'!$Q25,'Calculations - US Food'!$D$3:$D$24,0))</f>
        <v>0.3</v>
      </c>
      <c r="U26" s="125"/>
      <c r="V26" s="125"/>
      <c r="W26" s="125"/>
      <c r="X26"/>
      <c r="Y26"/>
      <c r="Z26"/>
      <c r="AA26"/>
      <c r="AB26"/>
      <c r="AC26"/>
      <c r="AD26"/>
      <c r="AE26"/>
      <c r="AF26"/>
    </row>
    <row r="27" spans="1:34" ht="25.05" customHeight="1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 t="str">
        <f>$Q$6&amp;Q25&amp;P27</f>
        <v>US FOODMIRACLE WHIPWhipped Dressing</v>
      </c>
      <c r="O27" s="106" t="s">
        <v>102</v>
      </c>
      <c r="P27" s="107" t="s">
        <v>125</v>
      </c>
      <c r="Q27" s="139" cm="1">
        <f t="array" ref="Q27">SUM(_xlfn._xlws.FILTER('Calculations - US Food'!$O$32:$O$229*'Calculations - US Food'!$J$32:$J$229,'Calculations - US Food'!$C$32:$C$229=$N27))/SUM(_xlfn._xlws.FILTER('Calculations - US Food'!$J$32:$J$229,'Calculations - US Food'!$C$32:$C$229=$N27))</f>
        <v>3.6423143360690733</v>
      </c>
      <c r="R27" s="143" cm="1">
        <f t="array" ref="R27">SUM(_xlfn._xlws.FILTER('Calculations - US Food'!$AH$32:$AH$229*'Calculations - US Food'!$AL$32:$AL$229,'Calculations - US Food'!$C$32:$C$229=$N27))/SUM(_xlfn._xlws.FILTER('Calculations - US Food'!$AL$32:$AL$229,'Calculations - US Food'!$C$32:$C$229=$N27))</f>
        <v>3.6423143360690733</v>
      </c>
      <c r="S27" s="104"/>
      <c r="T27" s="104"/>
      <c r="U27" s="128">
        <f>IFERROR(R27/Q27-1,0)</f>
        <v>0</v>
      </c>
      <c r="V27" s="128">
        <f>SUM(V28:V33)</f>
        <v>0.10453880238144483</v>
      </c>
      <c r="W27" s="128">
        <f>SUM(W28:W33)</f>
        <v>0.11045428302687425</v>
      </c>
      <c r="X27"/>
      <c r="Y27"/>
      <c r="Z27"/>
      <c r="AA27"/>
      <c r="AB27"/>
      <c r="AC27"/>
      <c r="AD27"/>
      <c r="AE27"/>
      <c r="AF27"/>
    </row>
    <row r="28" spans="1:34" ht="25.05" customHeight="1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 t="str">
        <f>$Q$6&amp;Q25&amp;O28&amp;P28</f>
        <v>US FOODMIRACLE WHIPWhipped DressingJAR 15OZ</v>
      </c>
      <c r="O28" s="106" t="s">
        <v>125</v>
      </c>
      <c r="P28" s="34" t="s">
        <v>116</v>
      </c>
      <c r="Q28" s="141">
        <f>IFERROR(INDEX('Calculations - US Food'!$O$32:$O$229,MATCH($N28,'Calculations - US Food'!$D$32:$D$229,0)),0)</f>
        <v>5.829731202504429</v>
      </c>
      <c r="R28" s="144">
        <f t="shared" ref="R28:R33" si="3">Q28</f>
        <v>5.829731202504429</v>
      </c>
      <c r="S28" s="52">
        <v>0.8</v>
      </c>
      <c r="T28" s="52">
        <v>0.3</v>
      </c>
      <c r="U28" s="155">
        <f>IFERROR(R28/Q28-1,0)</f>
        <v>0</v>
      </c>
      <c r="V28" s="124">
        <f>IFERROR(INDEX('Calculations - US Food'!$BB$32:$BB$229,MATCH('US Food'!$N28,'Calculations - US Food'!$D$32:$D$229,0)),"-")</f>
        <v>8.6749271975841494E-3</v>
      </c>
      <c r="W28" s="124">
        <f>IFERROR(INDEX('Calculations - US Food'!$BE$32:$BE$229,MATCH('US Food'!$N28,'Calculations - US Food'!$D$32:$D$229,0)),"-")</f>
        <v>1.4659435257361251E-2</v>
      </c>
      <c r="X28"/>
      <c r="Y28"/>
      <c r="Z28"/>
      <c r="AA28"/>
      <c r="AB28"/>
      <c r="AC28"/>
      <c r="AD28"/>
      <c r="AE28"/>
      <c r="AF28"/>
    </row>
    <row r="29" spans="1:34" ht="25.05" customHeight="1" x14ac:dyDescent="0.5">
      <c r="A29"/>
      <c r="B29" s="200" t="s">
        <v>77</v>
      </c>
      <c r="C29" s="200"/>
      <c r="D29" s="200"/>
      <c r="E29" s="200"/>
      <c r="F29" s="200"/>
      <c r="G29" s="200"/>
      <c r="H29" s="200"/>
      <c r="I29" s="200"/>
      <c r="J29" s="200"/>
      <c r="K29" s="200"/>
      <c r="L29" s="200"/>
      <c r="M29" s="35"/>
      <c r="N29" t="str">
        <f>$Q$6&amp;Q25&amp;O29&amp;P29</f>
        <v>US FOODMIRACLE WHIPWhipped DressingJAR 30OZ</v>
      </c>
      <c r="O29" s="106" t="s">
        <v>125</v>
      </c>
      <c r="P29" s="34" t="s">
        <v>118</v>
      </c>
      <c r="Q29" s="141">
        <f>IFERROR(INDEX('Calculations - US Food'!$O$32:$O$229,MATCH($N29,'Calculations - US Food'!$D$32:$D$229,0)),0)</f>
        <v>3.0320812535926853</v>
      </c>
      <c r="R29" s="144">
        <f t="shared" si="3"/>
        <v>3.0320812535926853</v>
      </c>
      <c r="S29" s="52">
        <v>0.8</v>
      </c>
      <c r="T29" s="52">
        <v>0.3</v>
      </c>
      <c r="U29" s="155">
        <f t="shared" ref="U29:U33" si="4">IFERROR(R29/Q29-1,0)</f>
        <v>0</v>
      </c>
      <c r="V29" s="124">
        <f>IFERROR(INDEX('Calculations - US Food'!$BB$32:$BB$229,MATCH('US Food'!$N29,'Calculations - US Food'!$D$32:$D$229,0)),"-")</f>
        <v>8.059678265625761E-2</v>
      </c>
      <c r="W29" s="124">
        <f>IFERROR(INDEX('Calculations - US Food'!$BE$32:$BE$229,MATCH('US Food'!$N29,'Calculations - US Food'!$D$32:$D$229,0)),"-")</f>
        <v>7.0837204038612434E-2</v>
      </c>
      <c r="X29"/>
      <c r="Y29" s="208" t="s">
        <v>78</v>
      </c>
      <c r="Z29" s="208"/>
      <c r="AA29" s="208"/>
      <c r="AB29" s="208"/>
      <c r="AC29" s="208"/>
      <c r="AD29" s="208"/>
      <c r="AE29" s="208"/>
      <c r="AF29"/>
    </row>
    <row r="30" spans="1:34" ht="25.05" customHeight="1" x14ac:dyDescent="0.5">
      <c r="A30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/>
      <c r="N30" t="str">
        <f>$Q$6&amp;Q25&amp;O30&amp;P30</f>
        <v>US FOODMIRACLE WHIPWhipped DressingJAR 48OZ</v>
      </c>
      <c r="O30" s="106" t="s">
        <v>125</v>
      </c>
      <c r="P30" s="34" t="s">
        <v>121</v>
      </c>
      <c r="Q30" s="141">
        <f>IFERROR(INDEX('Calculations - US Food'!$O$32:$O$229,MATCH($N30,'Calculations - US Food'!$D$32:$D$229,0)),0)</f>
        <v>3.2307197640128487</v>
      </c>
      <c r="R30" s="144">
        <f t="shared" si="3"/>
        <v>3.2307197640128487</v>
      </c>
      <c r="S30" s="52">
        <v>0.8</v>
      </c>
      <c r="T30" s="52">
        <v>0.3</v>
      </c>
      <c r="U30" s="155">
        <f t="shared" si="4"/>
        <v>0</v>
      </c>
      <c r="V30" s="124">
        <f>IFERROR(INDEX('Calculations - US Food'!$BB$32:$BB$229,MATCH('US Food'!$N30,'Calculations - US Food'!$D$32:$D$229,0)),"-")</f>
        <v>2.0136264008603056E-3</v>
      </c>
      <c r="W30" s="124">
        <f>IFERROR(INDEX('Calculations - US Food'!$BE$32:$BE$229,MATCH('US Food'!$N30,'Calculations - US Food'!$D$32:$D$229,0)),"-")</f>
        <v>1.8857367090845865E-3</v>
      </c>
      <c r="X30"/>
      <c r="Y30" s="35"/>
      <c r="Z30" s="35"/>
      <c r="AA30" s="35"/>
      <c r="AB30" s="35"/>
      <c r="AC30" s="35"/>
      <c r="AD30" s="35"/>
      <c r="AE30" s="35"/>
      <c r="AF30" s="35"/>
      <c r="AG30" s="110"/>
      <c r="AH30" s="110"/>
    </row>
    <row r="31" spans="1:34" ht="25.05" customHeight="1" thickBot="1" x14ac:dyDescent="0.35">
      <c r="A31"/>
      <c r="B31"/>
      <c r="C31"/>
      <c r="D31"/>
      <c r="E31"/>
      <c r="F31"/>
      <c r="G31"/>
      <c r="H31"/>
      <c r="I31"/>
      <c r="J31"/>
      <c r="K31"/>
      <c r="L31"/>
      <c r="M31" s="42"/>
      <c r="N31" t="str">
        <f>$Q$6&amp;Q25&amp;O31&amp;P31</f>
        <v>US FOODMIRACLE WHIPWhipped DressingSQUEEZY 12OZ</v>
      </c>
      <c r="O31" s="106" t="s">
        <v>125</v>
      </c>
      <c r="P31" s="34" t="s">
        <v>117</v>
      </c>
      <c r="Q31" s="141">
        <f>IFERROR(INDEX('Calculations - US Food'!$O$32:$O$229,MATCH($N31,'Calculations - US Food'!$D$32:$D$229,0)),0)</f>
        <v>6.7352982941507058</v>
      </c>
      <c r="R31" s="144">
        <f t="shared" si="3"/>
        <v>6.7352982941507058</v>
      </c>
      <c r="S31" s="52">
        <v>0.8</v>
      </c>
      <c r="T31" s="52">
        <v>0.3</v>
      </c>
      <c r="U31" s="155">
        <f t="shared" si="4"/>
        <v>0</v>
      </c>
      <c r="V31" s="124">
        <f>IFERROR(INDEX('Calculations - US Food'!$BB$32:$BB$229,MATCH('US Food'!$N31,'Calculations - US Food'!$D$32:$D$229,0)),"-")</f>
        <v>6.6093259800691691E-3</v>
      </c>
      <c r="W31" s="124">
        <f>IFERROR(INDEX('Calculations - US Food'!$BE$32:$BE$229,MATCH('US Food'!$N31,'Calculations - US Food'!$D$32:$D$229,0)),"-")</f>
        <v>1.2903777836254168E-2</v>
      </c>
      <c r="X31"/>
      <c r="Y31"/>
      <c r="Z31"/>
      <c r="AA31"/>
      <c r="AB31"/>
      <c r="AC31"/>
      <c r="AD31"/>
      <c r="AE31"/>
      <c r="AF31"/>
    </row>
    <row r="32" spans="1:34" ht="25.05" customHeight="1" x14ac:dyDescent="0.3">
      <c r="A32"/>
      <c r="B32" s="210" t="s">
        <v>55</v>
      </c>
      <c r="C32" s="68" t="s">
        <v>107</v>
      </c>
      <c r="D32" s="77" t="s">
        <v>109</v>
      </c>
      <c r="E32" s="53" t="s">
        <v>133</v>
      </c>
      <c r="F32" s="50"/>
      <c r="G32" s="214" t="s">
        <v>107</v>
      </c>
      <c r="H32" s="215"/>
      <c r="I32" s="216" t="s">
        <v>109</v>
      </c>
      <c r="J32" s="217"/>
      <c r="K32" s="201" t="s">
        <v>133</v>
      </c>
      <c r="L32" s="202"/>
      <c r="M32" s="43"/>
      <c r="N32" t="str">
        <f>$Q$6&amp;Q25&amp;O32&amp;P32</f>
        <v>US FOODMIRACLE WHIPWhipped DressingSQUEEZY 18 TO 22OZ</v>
      </c>
      <c r="O32" s="106" t="s">
        <v>125</v>
      </c>
      <c r="P32" s="34" t="s">
        <v>120</v>
      </c>
      <c r="Q32" s="141">
        <f>IFERROR(INDEX('Calculations - US Food'!$O$32:$O$229,MATCH($N32,'Calculations - US Food'!$D$32:$D$229,0)),0)</f>
        <v>5.3288203392409805</v>
      </c>
      <c r="R32" s="144">
        <f t="shared" si="3"/>
        <v>5.3288203392409805</v>
      </c>
      <c r="S32" s="52">
        <v>0.8</v>
      </c>
      <c r="T32" s="52">
        <v>0.3</v>
      </c>
      <c r="U32" s="155">
        <f t="shared" si="4"/>
        <v>0</v>
      </c>
      <c r="V32" s="124">
        <f>IFERROR(INDEX('Calculations - US Food'!$BB$32:$BB$229,MATCH('US Food'!$N32,'Calculations - US Food'!$D$32:$D$229,0)),"-")</f>
        <v>6.4682357086544894E-3</v>
      </c>
      <c r="W32" s="124">
        <f>IFERROR(INDEX('Calculations - US Food'!$BE$32:$BE$229,MATCH('US Food'!$N32,'Calculations - US Food'!$D$32:$D$229,0)),"-")</f>
        <v>9.9912490846783362E-3</v>
      </c>
      <c r="X32"/>
      <c r="Y32" s="224" t="s">
        <v>67</v>
      </c>
      <c r="Z32" s="214" t="s">
        <v>107</v>
      </c>
      <c r="AA32" s="215"/>
      <c r="AB32" s="216" t="s">
        <v>109</v>
      </c>
      <c r="AC32" s="217"/>
      <c r="AD32" s="201" t="s">
        <v>133</v>
      </c>
      <c r="AE32" s="202"/>
      <c r="AF32"/>
    </row>
    <row r="33" spans="1:32" ht="25.05" customHeight="1" thickBot="1" x14ac:dyDescent="0.35">
      <c r="A33"/>
      <c r="B33" s="211"/>
      <c r="C33" s="63" t="s">
        <v>57</v>
      </c>
      <c r="D33" s="78" t="s">
        <v>57</v>
      </c>
      <c r="E33" s="54" t="s">
        <v>57</v>
      </c>
      <c r="F33" s="50"/>
      <c r="G33" s="62" t="s">
        <v>57</v>
      </c>
      <c r="H33" s="65" t="s">
        <v>66</v>
      </c>
      <c r="I33" s="66" t="s">
        <v>57</v>
      </c>
      <c r="J33" s="67" t="s">
        <v>66</v>
      </c>
      <c r="K33" s="138" t="s">
        <v>57</v>
      </c>
      <c r="L33" s="54" t="s">
        <v>66</v>
      </c>
      <c r="M33" s="36"/>
      <c r="N33" t="str">
        <f>$Q$6&amp;Q25&amp;O33&amp;P33</f>
        <v>US FOODMIRACLE WHIPWhipped DressingOTHER</v>
      </c>
      <c r="O33" s="106" t="s">
        <v>125</v>
      </c>
      <c r="P33" s="34" t="s">
        <v>115</v>
      </c>
      <c r="Q33" s="141">
        <f>IFERROR(INDEX('Calculations - US Food'!$O$32:$O$229,MATCH($N33,'Calculations - US Food'!$D$32:$D$229,0)),0)</f>
        <v>3.4689601451569083</v>
      </c>
      <c r="R33" s="144">
        <f t="shared" si="3"/>
        <v>3.4689601451569083</v>
      </c>
      <c r="S33" s="52">
        <v>0.8</v>
      </c>
      <c r="T33" s="52">
        <v>0.3</v>
      </c>
      <c r="U33" s="155">
        <f t="shared" si="4"/>
        <v>0</v>
      </c>
      <c r="V33" s="124">
        <f>IFERROR(INDEX('Calculations - US Food'!$BB$32:$BB$229,MATCH('US Food'!$N33,'Calculations - US Food'!$D$32:$D$229,0)),"-")</f>
        <v>1.7590443801912629E-4</v>
      </c>
      <c r="W33" s="124">
        <f>IFERROR(INDEX('Calculations - US Food'!$BE$32:$BE$229,MATCH('US Food'!$N33,'Calculations - US Food'!$D$32:$D$229,0)),"-")</f>
        <v>1.7688010088347776E-4</v>
      </c>
      <c r="X33"/>
      <c r="Y33" s="225"/>
      <c r="Z33" s="62" t="s">
        <v>57</v>
      </c>
      <c r="AA33" s="65" t="s">
        <v>66</v>
      </c>
      <c r="AB33" s="66" t="s">
        <v>57</v>
      </c>
      <c r="AC33" s="67" t="s">
        <v>66</v>
      </c>
      <c r="AD33" s="64" t="s">
        <v>57</v>
      </c>
      <c r="AE33" s="54" t="s">
        <v>66</v>
      </c>
      <c r="AF33"/>
    </row>
    <row r="34" spans="1:32" ht="25.05" customHeight="1" x14ac:dyDescent="0.3">
      <c r="A34"/>
      <c r="B34" s="112" t="s">
        <v>58</v>
      </c>
      <c r="C34" s="113">
        <f>INDEX('Calculations - US Food'!$H$4:$H$24,MATCH('US Food'!C$32,'Calculations - US Food'!$F$4:$F$24,0))</f>
        <v>50063777.629299998</v>
      </c>
      <c r="D34" s="114">
        <f>INDEX('Calculations - US Food'!$H$4:$H$24,MATCH('US Food'!D$32,'Calculations - US Food'!$F$4:$F$24,0))</f>
        <v>56269563.524599999</v>
      </c>
      <c r="E34" s="115">
        <f>C34+D34</f>
        <v>106333341.1539</v>
      </c>
      <c r="F34" s="37"/>
      <c r="G34" s="119">
        <f>INDEX('Calculations - US Food'!$AB$4:$AB$24,MATCH('US Food'!G$32,'Calculations - US Food'!$F$4:$F$24,0))</f>
        <v>48414273.249402605</v>
      </c>
      <c r="H34" s="159">
        <f>G34/C34-1</f>
        <v>-3.2948060614027996E-2</v>
      </c>
      <c r="I34" s="119">
        <f>INDEX('Calculations - US Food'!$AB$4:$AB$24,MATCH('US Food'!I$32,'Calculations - US Food'!$F$4:$F$24,0))</f>
        <v>53512112.659501456</v>
      </c>
      <c r="J34" s="159">
        <f>I34/D34-1</f>
        <v>-4.9004305211876042E-2</v>
      </c>
      <c r="K34" s="119">
        <f>G34+I34</f>
        <v>101926385.90890406</v>
      </c>
      <c r="L34" s="159">
        <f>K34/E34-1</f>
        <v>-4.1444717124214048E-2</v>
      </c>
      <c r="M34" s="36"/>
      <c r="N34"/>
      <c r="O34"/>
      <c r="P34" s="41"/>
      <c r="Q34" s="203"/>
      <c r="R34" s="203"/>
      <c r="S34" s="41"/>
      <c r="T34" s="41"/>
      <c r="U34" s="128"/>
      <c r="V34" s="124"/>
      <c r="W34" s="124"/>
      <c r="X34"/>
      <c r="Y34" s="121" t="s">
        <v>58</v>
      </c>
      <c r="Z34" s="119">
        <f>INDEX('Calculations - US Food'!$AU$4:$AU$24,MATCH('US Food'!Z$32,'Calculations - US Food'!$F$4:$F$24,0))</f>
        <v>48414273.249402612</v>
      </c>
      <c r="AA34" s="159">
        <f>Z34/C34-1</f>
        <v>-3.2948060614027774E-2</v>
      </c>
      <c r="AB34" s="119">
        <f>INDEX('Calculations - US Food'!$AU$4:$AU$24,MATCH('US Food'!AB$32,'Calculations - US Food'!$F$4:$F$24,0))</f>
        <v>53512112.659501456</v>
      </c>
      <c r="AC34" s="159">
        <f>AB34/D34-1</f>
        <v>-4.9004305211876042E-2</v>
      </c>
      <c r="AD34" s="119">
        <f>Z34+AB34</f>
        <v>101926385.90890408</v>
      </c>
      <c r="AE34" s="159">
        <f>AD34/E34-1</f>
        <v>-4.1444717124213937E-2</v>
      </c>
      <c r="AF34"/>
    </row>
    <row r="35" spans="1:32" ht="25.05" customHeight="1" x14ac:dyDescent="0.45">
      <c r="A35"/>
      <c r="B35" s="69" t="s">
        <v>3</v>
      </c>
      <c r="C35" s="71">
        <f>INDEX('Calculations - US Food'!$G$4:$G$24,MATCH('US Food'!C$32,'Calculations - US Food'!$F$4:$F$24,0))</f>
        <v>169716861.44960001</v>
      </c>
      <c r="D35" s="79">
        <f>INDEX('Calculations - US Food'!$G$4:$G$24,MATCH('US Food'!D$32,'Calculations - US Food'!$F$4:$F$24,0))</f>
        <v>204951437.91</v>
      </c>
      <c r="E35" s="75">
        <f t="shared" ref="E35:E36" si="5">C35+D35</f>
        <v>374668299.35960001</v>
      </c>
      <c r="F35" s="38"/>
      <c r="G35" s="58">
        <f>INDEX('Calculations - US Food'!$AA$4:$AA$24,MATCH('US Food'!G$32,'Calculations - US Food'!$F$4:$F$24,0))</f>
        <v>164125020.011336</v>
      </c>
      <c r="H35" s="160">
        <f>G35/C35-1</f>
        <v>-3.2948060614027996E-2</v>
      </c>
      <c r="I35" s="58">
        <f>INDEX('Calculations - US Food'!$AA$4:$AA$24,MATCH('US Food'!I$32,'Calculations - US Food'!$F$4:$F$24,0))</f>
        <v>194907935.0930455</v>
      </c>
      <c r="J35" s="160">
        <f>I35/D35-1</f>
        <v>-4.9004305211876042E-2</v>
      </c>
      <c r="K35" s="58">
        <f t="shared" ref="K35:K36" si="6">G35+I35</f>
        <v>359032955.1043815</v>
      </c>
      <c r="L35" s="160">
        <f t="shared" ref="L35:L36" si="7">K35/E35-1</f>
        <v>-4.1731164024133238E-2</v>
      </c>
      <c r="M35" s="36"/>
      <c r="N35" s="46" t="s">
        <v>9</v>
      </c>
      <c r="O35" s="46"/>
      <c r="P35" s="41"/>
      <c r="Q35" s="205" t="str">
        <f>'Calculations - US Food'!F6</f>
        <v>HELLMANNS BEST FOODS</v>
      </c>
      <c r="R35" s="205"/>
      <c r="S35" s="41"/>
      <c r="T35" s="41"/>
      <c r="U35" s="155">
        <f>R36/Q36-1</f>
        <v>0</v>
      </c>
      <c r="V35" s="133">
        <f>V37+V45</f>
        <v>0.43370436527767875</v>
      </c>
      <c r="W35" s="133">
        <f>W37+W45</f>
        <v>0.46584077544883712</v>
      </c>
      <c r="X35"/>
      <c r="Y35" s="56" t="s">
        <v>3</v>
      </c>
      <c r="Z35" s="58">
        <f>INDEX('Calculations - US Food'!$AT$4:$AT$24,MATCH('US Food'!Z$32,'Calculations - US Food'!$F$4:$F$24,0))</f>
        <v>164125020.011336</v>
      </c>
      <c r="AA35" s="160">
        <f>Z35/C35-1</f>
        <v>-3.2948060614027996E-2</v>
      </c>
      <c r="AB35" s="58">
        <f>INDEX('Calculations - US Food'!$AT$4:$AT$24,MATCH('US Food'!AB$32,'Calculations - US Food'!$F$4:$F$24,0))</f>
        <v>194907935.0930455</v>
      </c>
      <c r="AC35" s="160">
        <f>AB35/D35-1</f>
        <v>-4.9004305211876042E-2</v>
      </c>
      <c r="AD35" s="58">
        <f t="shared" ref="AD35:AD40" si="8">Z35+AB35</f>
        <v>359032955.1043815</v>
      </c>
      <c r="AE35" s="160">
        <f>AD35/E35-1</f>
        <v>-4.1731164024133238E-2</v>
      </c>
      <c r="AF35"/>
    </row>
    <row r="36" spans="1:32" ht="25.05" customHeight="1" x14ac:dyDescent="0.3">
      <c r="A36"/>
      <c r="B36" s="69" t="s">
        <v>59</v>
      </c>
      <c r="C36" s="71">
        <f>INDEX('Calculations - US Food'!$T$4:$T$24,MATCH('US Food'!C$32,'Calculations - US Food'!$F$4:$F$24,0))</f>
        <v>135773489.15968001</v>
      </c>
      <c r="D36" s="79">
        <f>INDEX('Calculations - US Food'!$T$4:$T$24,MATCH('US Food'!D$32,'Calculations - US Food'!$F$4:$F$24,0))</f>
        <v>163961150.32800001</v>
      </c>
      <c r="E36" s="75">
        <f t="shared" si="5"/>
        <v>299734639.48768002</v>
      </c>
      <c r="F36" s="39"/>
      <c r="G36" s="58">
        <f>INDEX('Calculations - US Food'!$AC$4:$AC$24,MATCH('US Food'!G$32,'Calculations - US Food'!$F$4:$F$24,0))</f>
        <v>131300016.0090688</v>
      </c>
      <c r="H36" s="160">
        <f>G36/C36-1</f>
        <v>-3.2948060614027996E-2</v>
      </c>
      <c r="I36" s="58">
        <f>INDEX('Calculations - US Food'!$AC$4:$AC$24,MATCH('US Food'!I$32,'Calculations - US Food'!$F$4:$F$24,0))</f>
        <v>155926348.0744364</v>
      </c>
      <c r="J36" s="160">
        <f>I36/D36-1</f>
        <v>-4.9004305211876154E-2</v>
      </c>
      <c r="K36" s="58">
        <f t="shared" si="6"/>
        <v>287226364.08350521</v>
      </c>
      <c r="L36" s="160">
        <f t="shared" si="7"/>
        <v>-4.1731164024133238E-2</v>
      </c>
      <c r="M36" s="44"/>
      <c r="N36" t="str">
        <f>$Q$6&amp;Q35&amp;P36</f>
        <v>US FOODHELLMANNS BEST FOODS</v>
      </c>
      <c r="O36"/>
      <c r="P36" s="41"/>
      <c r="Q36" s="139">
        <f>INDEX('Calculations - US Food'!$M$3:$M$24,MATCH(N36,'Calculations - US Food'!$D$3:$D$24,0))</f>
        <v>3.7026792248758067</v>
      </c>
      <c r="R36" s="145">
        <f>INDEX('Calculations - US Food'!$AF$3:$AF$24,MATCH(N36,'Calculations - US Food'!$D$3:$D$24,0))</f>
        <v>3.7026792248758063</v>
      </c>
      <c r="S36" s="104"/>
      <c r="T36" s="104"/>
      <c r="U36" s="125"/>
      <c r="V36" s="125"/>
      <c r="W36" s="125"/>
      <c r="X36"/>
      <c r="Y36" s="56" t="s">
        <v>59</v>
      </c>
      <c r="Z36" s="58">
        <f>INDEX('Calculations - US Food'!$AV$4:$AV$24,MATCH('US Food'!Z$32,'Calculations - US Food'!$F$4:$F$24,0))</f>
        <v>131300016.00906879</v>
      </c>
      <c r="AA36" s="160">
        <f>Z36/C36-1</f>
        <v>-3.2948060614028107E-2</v>
      </c>
      <c r="AB36" s="58">
        <f>INDEX('Calculations - US Food'!$AV$4:$AV$24,MATCH('US Food'!AB$32,'Calculations - US Food'!$F$4:$F$24,0))</f>
        <v>155926348.0744364</v>
      </c>
      <c r="AC36" s="160">
        <f>AB36/D36-1</f>
        <v>-4.9004305211876154E-2</v>
      </c>
      <c r="AD36" s="58">
        <f t="shared" si="8"/>
        <v>287226364.08350515</v>
      </c>
      <c r="AE36" s="160">
        <f>AD36/E36-1</f>
        <v>-4.1731164024133349E-2</v>
      </c>
      <c r="AF36"/>
    </row>
    <row r="37" spans="1:32" ht="25.05" customHeight="1" x14ac:dyDescent="0.3">
      <c r="A37"/>
      <c r="B37" s="69" t="s">
        <v>60</v>
      </c>
      <c r="C37" s="72">
        <f>C36/C34</f>
        <v>2.7120104712237718</v>
      </c>
      <c r="D37" s="80">
        <f>D36/D34</f>
        <v>2.9138514688552588</v>
      </c>
      <c r="E37" s="76" t="s">
        <v>62</v>
      </c>
      <c r="F37" s="39"/>
      <c r="G37" s="59">
        <f>G36/G34</f>
        <v>2.7120104712237718</v>
      </c>
      <c r="H37" s="160">
        <f>G37/C37-1</f>
        <v>0</v>
      </c>
      <c r="I37" s="59">
        <f>I36/I34</f>
        <v>2.9138514688552588</v>
      </c>
      <c r="J37" s="160">
        <f>I37/D37-1</f>
        <v>0</v>
      </c>
      <c r="K37" s="59" t="s">
        <v>62</v>
      </c>
      <c r="L37" s="160" t="s">
        <v>62</v>
      </c>
      <c r="M37" s="36"/>
      <c r="N37" t="str">
        <f>$Q$6&amp;Q35&amp;P37</f>
        <v>US FOODHELLMANNS BEST FOODSMayo</v>
      </c>
      <c r="O37" s="106" t="s">
        <v>102</v>
      </c>
      <c r="P37" s="107" t="s">
        <v>122</v>
      </c>
      <c r="Q37" s="139" cm="1">
        <f t="array" ref="Q37">SUM(_xlfn._xlws.FILTER('Calculations - US Food'!$O$32:$O$229*'Calculations - US Food'!$J$32:$J$229,'Calculations - US Food'!$C$32:$C$229=$N37))/SUM(_xlfn._xlws.FILTER('Calculations - US Food'!$J$32:$J$229,'Calculations - US Food'!$C$32:$C$229=$N37))</f>
        <v>3.6817498979424674</v>
      </c>
      <c r="R37" s="145" cm="1">
        <f t="array" ref="R37">SUM(_xlfn._xlws.FILTER('Calculations - US Food'!$AH$32:$AH$229*'Calculations - US Food'!$AL$32:$AL$229,'Calculations - US Food'!$C$32:$C$229=$N37))/SUM(_xlfn._xlws.FILTER('Calculations - US Food'!$AL$32:$AL$229,'Calculations - US Food'!$C$32:$C$229=$N37))</f>
        <v>3.6817498979424674</v>
      </c>
      <c r="S37" s="104"/>
      <c r="T37" s="104"/>
      <c r="U37" s="128">
        <f>IFERROR(R37/Q37-1,0)</f>
        <v>0</v>
      </c>
      <c r="V37" s="128">
        <f>SUM(V38:V44)</f>
        <v>0.43036382736491291</v>
      </c>
      <c r="W37" s="128">
        <f>SUM(W38:W44)</f>
        <v>0.45959088645243801</v>
      </c>
      <c r="X37"/>
      <c r="Y37" s="56" t="s">
        <v>60</v>
      </c>
      <c r="Z37" s="59">
        <f>Z36/Z34</f>
        <v>2.7120104712237709</v>
      </c>
      <c r="AA37" s="160">
        <f>Z37/C37-1</f>
        <v>0</v>
      </c>
      <c r="AB37" s="59">
        <f>AB36/AB34</f>
        <v>2.9138514688552588</v>
      </c>
      <c r="AC37" s="160">
        <f>AB37/D37-1</f>
        <v>0</v>
      </c>
      <c r="AD37" s="59" t="s">
        <v>62</v>
      </c>
      <c r="AE37" s="160" t="s">
        <v>62</v>
      </c>
      <c r="AF37"/>
    </row>
    <row r="38" spans="1:32" ht="25.05" customHeight="1" x14ac:dyDescent="0.3">
      <c r="A38"/>
      <c r="B38" s="69" t="s">
        <v>61</v>
      </c>
      <c r="C38" s="73">
        <f>INDEX('Calculations - US Food'!$U$4:$U$24,MATCH('US Food'!C$32,'Calculations - US Food'!$F$4:$F$24,0))/C36</f>
        <v>0.29999999999999993</v>
      </c>
      <c r="D38" s="81">
        <f>INDEX('Calculations - US Food'!$U$4:$U$24,MATCH('US Food'!D$32,'Calculations - US Food'!$F$4:$F$24,0))/D36</f>
        <v>0.3</v>
      </c>
      <c r="E38" s="75" t="s">
        <v>62</v>
      </c>
      <c r="F38" s="39"/>
      <c r="G38" s="60">
        <f>INDEX('Calculations - US Food'!$AD$4:$AD$24,MATCH('US Food'!G$32,'Calculations - US Food'!$F$4:$F$24,0))/G36</f>
        <v>0.3</v>
      </c>
      <c r="H38" s="161">
        <f>(G38-C38)*10000</f>
        <v>5.5511151231257827E-13</v>
      </c>
      <c r="I38" s="60">
        <f>INDEX('Calculations - US Food'!$AD$4:$AD$24,MATCH('US Food'!I$32,'Calculations - US Food'!$F$4:$F$24,0))/I36</f>
        <v>0.29999999999999988</v>
      </c>
      <c r="J38" s="161">
        <f>(I38-D38)*10000</f>
        <v>-1.1102230246251565E-12</v>
      </c>
      <c r="K38" s="60" t="s">
        <v>62</v>
      </c>
      <c r="L38" s="161" t="s">
        <v>62</v>
      </c>
      <c r="M38" s="45"/>
      <c r="N38" t="str">
        <f>$Q$6&amp;Q35&amp;O38&amp;P38</f>
        <v>US FOODHELLMANNS BEST FOODSMayoJAR 8OZ</v>
      </c>
      <c r="O38" s="106" t="s">
        <v>122</v>
      </c>
      <c r="P38" s="34" t="s">
        <v>119</v>
      </c>
      <c r="Q38" s="141">
        <f>IFERROR(INDEX('Calculations - US Food'!$O$32:$O$229,MATCH($N38,'Calculations - US Food'!$D$32:$D$229,0)),0)</f>
        <v>7.8307451854558492</v>
      </c>
      <c r="R38" s="146">
        <f t="shared" ref="R38:R44" si="9">Q38</f>
        <v>7.8307451854558492</v>
      </c>
      <c r="S38" s="105"/>
      <c r="T38" s="105"/>
      <c r="U38" s="155">
        <f>IFERROR(R38/Q38-1,0)</f>
        <v>0</v>
      </c>
      <c r="V38" s="124">
        <f>IFERROR(INDEX('Calculations - US Food'!$BB$32:$BB$229,MATCH('US Food'!$N38,'Calculations - US Food'!$D$32:$D$229,0)),"-")</f>
        <v>4.3523253204702369E-3</v>
      </c>
      <c r="W38" s="124">
        <f>IFERROR(INDEX('Calculations - US Food'!$BE$32:$BE$229,MATCH('US Food'!$N38,'Calculations - US Food'!$D$32:$D$229,0)),"-")</f>
        <v>9.8594737823865328E-3</v>
      </c>
      <c r="X38"/>
      <c r="Y38" s="56" t="s">
        <v>61</v>
      </c>
      <c r="Z38" s="60">
        <f>INDEX('Calculations - US Food'!$AH$4:$AH$24,MATCH('US Food'!Z$32,'Calculations - US Food'!$F$4:$F$24,0))</f>
        <v>0.29999999999999993</v>
      </c>
      <c r="AA38" s="161">
        <f>(Z38-C38)*10000</f>
        <v>0</v>
      </c>
      <c r="AB38" s="60">
        <f>INDEX('Calculations - US Food'!$AH$4:$AH$24,MATCH('US Food'!AB$32,'Calculations - US Food'!$F$4:$F$24,0))</f>
        <v>0.3</v>
      </c>
      <c r="AC38" s="161">
        <f>(AB38-D38)*10000</f>
        <v>0</v>
      </c>
      <c r="AD38" s="60" t="s">
        <v>62</v>
      </c>
      <c r="AE38" s="161" t="s">
        <v>62</v>
      </c>
      <c r="AF38"/>
    </row>
    <row r="39" spans="1:32" ht="25.05" customHeight="1" x14ac:dyDescent="0.3">
      <c r="A39"/>
      <c r="B39" s="69" t="s">
        <v>79</v>
      </c>
      <c r="C39" s="74">
        <f>INDEX('Calculations - US Food'!$P$4:$P$24,MATCH('US Food'!C$32,'Calculations - US Food'!$F$4:$F$24,0))</f>
        <v>9.6178507252862491E-2</v>
      </c>
      <c r="D39" s="82">
        <f>INDEX('Calculations - US Food'!$P$4:$P$24,MATCH('US Food'!D$32,'Calculations - US Food'!$F$4:$F$24,0))</f>
        <v>0.11614593381674858</v>
      </c>
      <c r="E39" s="137">
        <f t="shared" ref="E39:E40" si="10">C39+D39</f>
        <v>0.21232444106961107</v>
      </c>
      <c r="F39" s="39"/>
      <c r="G39" s="61">
        <f>INDEX('Calculations - US Food'!$Y$4:$Y$24,MATCH('US Food'!G$32,'Calculations - US Food'!$F$4:$F$24,0))</f>
        <v>9.3009611966128447E-2</v>
      </c>
      <c r="H39" s="161">
        <f t="shared" ref="H39:H40" si="11">(G39-C39)*10000</f>
        <v>-31.688952867340443</v>
      </c>
      <c r="I39" s="61">
        <f>INDEX('Calculations - US Food'!$Y$4:$Y$24,MATCH('US Food'!I$32,'Calculations - US Food'!$F$4:$F$24,0))</f>
        <v>0.11045428302687428</v>
      </c>
      <c r="J39" s="161">
        <f>(I39-D39)*10000</f>
        <v>-56.916507898742971</v>
      </c>
      <c r="K39" s="61">
        <f t="shared" ref="K39:K40" si="12">G39+I39</f>
        <v>0.20346389499300271</v>
      </c>
      <c r="L39" s="161">
        <f>(K39-E39)*10000</f>
        <v>-88.605460766083553</v>
      </c>
      <c r="M39" s="45"/>
      <c r="N39" t="str">
        <f>$Q$6&amp;Q35&amp;O39&amp;P39</f>
        <v>US FOODHELLMANNS BEST FOODSMayoJAR 15OZ</v>
      </c>
      <c r="O39" s="106" t="s">
        <v>122</v>
      </c>
      <c r="P39" s="34" t="s">
        <v>116</v>
      </c>
      <c r="Q39" s="141">
        <f>IFERROR(INDEX('Calculations - US Food'!$O$32:$O$229,MATCH($N39,'Calculations - US Food'!$D$32:$D$229,0)),0)</f>
        <v>5.0311149268512745</v>
      </c>
      <c r="R39" s="146">
        <f t="shared" si="9"/>
        <v>5.0311149268512745</v>
      </c>
      <c r="S39" s="105"/>
      <c r="T39" s="105"/>
      <c r="U39" s="155">
        <f t="shared" ref="U39:U47" si="13">IFERROR(R39/Q39-1,0)</f>
        <v>0</v>
      </c>
      <c r="V39" s="124">
        <f>IFERROR(INDEX('Calculations - US Food'!$BB$32:$BB$229,MATCH('US Food'!$N39,'Calculations - US Food'!$D$32:$D$229,0)),"-")</f>
        <v>2.4342709553644117E-2</v>
      </c>
      <c r="W39" s="124">
        <f>IFERROR(INDEX('Calculations - US Food'!$BE$32:$BE$229,MATCH('US Food'!$N39,'Calculations - US Food'!$D$32:$D$229,0)),"-")</f>
        <v>3.5429290061540296E-2</v>
      </c>
      <c r="X39"/>
      <c r="Y39" s="56" t="s">
        <v>79</v>
      </c>
      <c r="Z39" s="61">
        <f>INDEX('Calculations - US Food'!$AR$4:$AR$24,MATCH('US Food'!Z$32,'Calculations - US Food'!$F$4:$F$24,0))</f>
        <v>9.3009611966128447E-2</v>
      </c>
      <c r="AA39" s="161">
        <f>(Z39-C39)*10000</f>
        <v>-31.688952867340443</v>
      </c>
      <c r="AB39" s="61">
        <f>INDEX('Calculations - US Food'!$AR$4:$AR$24,MATCH('US Food'!AB$32,'Calculations - US Food'!$F$4:$F$24,0))</f>
        <v>0.11045428302687428</v>
      </c>
      <c r="AC39" s="161">
        <f>(AB39-D39)*10000</f>
        <v>-56.916507898742971</v>
      </c>
      <c r="AD39" s="61">
        <f t="shared" si="8"/>
        <v>0.20346389499300271</v>
      </c>
      <c r="AE39" s="161">
        <f>(AD39-E39)*10000</f>
        <v>-88.605460766083553</v>
      </c>
      <c r="AF39"/>
    </row>
    <row r="40" spans="1:32" ht="25.05" customHeight="1" x14ac:dyDescent="0.3">
      <c r="A40"/>
      <c r="B40" s="69" t="s">
        <v>80</v>
      </c>
      <c r="C40" s="74">
        <f>INDEX('Calculations - US Food'!$Q$4:$Q$24,MATCH('US Food'!C$32,'Calculations - US Food'!$F$4:$F$24,0))</f>
        <v>9.7885775776830108E-2</v>
      </c>
      <c r="D40" s="82">
        <f>INDEX('Calculations - US Food'!$Q$4:$Q$24,MATCH('US Food'!D$32,'Calculations - US Food'!$F$4:$F$24,0))</f>
        <v>0.11001946195537436</v>
      </c>
      <c r="E40" s="137">
        <f t="shared" si="10"/>
        <v>0.20790523773220448</v>
      </c>
      <c r="F40" s="39"/>
      <c r="G40" s="61">
        <f>INDEX('Calculations - US Food'!$AE$4:$AE$24,MATCH('US Food'!G$32,'Calculations - US Food'!$F$4:$F$24,0))</f>
        <v>9.4579897748849659E-2</v>
      </c>
      <c r="H40" s="161">
        <f t="shared" si="11"/>
        <v>-33.058780279804495</v>
      </c>
      <c r="I40" s="61">
        <f>INDEX('Calculations - US Food'!$AE$4:$AE$24,MATCH('US Food'!I$32,'Calculations - US Food'!$F$4:$F$24,0))</f>
        <v>0.10453880238144486</v>
      </c>
      <c r="J40" s="161">
        <f>(I40-D40)*10000</f>
        <v>-54.806595739294998</v>
      </c>
      <c r="K40" s="61">
        <f t="shared" si="12"/>
        <v>0.19911870013029453</v>
      </c>
      <c r="L40" s="161">
        <f>(K40-E40)*10000</f>
        <v>-87.8653760190995</v>
      </c>
      <c r="M40" s="44"/>
      <c r="N40" t="str">
        <f>$Q$6&amp;Q35&amp;O40&amp;P40</f>
        <v>US FOODHELLMANNS BEST FOODSMayoJAR 30OZ</v>
      </c>
      <c r="O40" s="106" t="s">
        <v>122</v>
      </c>
      <c r="P40" s="34" t="s">
        <v>118</v>
      </c>
      <c r="Q40" s="141">
        <f>IFERROR(INDEX('Calculations - US Food'!$O$32:$O$229,MATCH($N40,'Calculations - US Food'!$D$32:$D$229,0)),0)</f>
        <v>3.0613784546199847</v>
      </c>
      <c r="R40" s="146">
        <f t="shared" si="9"/>
        <v>3.0613784546199847</v>
      </c>
      <c r="S40" s="105"/>
      <c r="T40" s="105"/>
      <c r="U40" s="155">
        <f t="shared" si="13"/>
        <v>0</v>
      </c>
      <c r="V40" s="124">
        <f>IFERROR(INDEX('Calculations - US Food'!$BB$32:$BB$229,MATCH('US Food'!$N40,'Calculations - US Food'!$D$32:$D$229,0)),"-")</f>
        <v>0.27708889314276147</v>
      </c>
      <c r="W40" s="124">
        <f>IFERROR(INDEX('Calculations - US Food'!$BE$32:$BE$229,MATCH('US Food'!$N40,'Calculations - US Food'!$D$32:$D$229,0)),"-")</f>
        <v>0.24539484413280913</v>
      </c>
      <c r="X40"/>
      <c r="Y40" s="56" t="s">
        <v>80</v>
      </c>
      <c r="Z40" s="61">
        <f>INDEX('Calculations - US Food'!$AY$4:$AY$24,MATCH('US Food'!Z$32,'Calculations - US Food'!$F$4:$F$24,0))</f>
        <v>9.4579897748849659E-2</v>
      </c>
      <c r="AA40" s="161">
        <f>(Z40-C40)*10000</f>
        <v>-33.058780279804495</v>
      </c>
      <c r="AB40" s="61">
        <f>INDEX('Calculations - US Food'!$AY$4:$AY$24,MATCH('US Food'!AB$32,'Calculations - US Food'!$F$4:$F$24,0))</f>
        <v>0.10453880238144483</v>
      </c>
      <c r="AC40" s="161">
        <f>(AB40-D40)*10000</f>
        <v>-54.806595739295275</v>
      </c>
      <c r="AD40" s="61">
        <f t="shared" si="8"/>
        <v>0.19911870013029448</v>
      </c>
      <c r="AE40" s="161">
        <f>(AD40-E40)*10000</f>
        <v>-87.865376019100054</v>
      </c>
      <c r="AF40"/>
    </row>
    <row r="41" spans="1:32" ht="25.05" customHeight="1" thickBot="1" x14ac:dyDescent="0.35">
      <c r="A41"/>
      <c r="B41" s="70" t="s">
        <v>63</v>
      </c>
      <c r="C41" s="116">
        <f>C35/C34</f>
        <v>3.3900130890297144</v>
      </c>
      <c r="D41" s="117">
        <f>D35/D34</f>
        <v>3.6423143360690733</v>
      </c>
      <c r="E41" s="118" t="s">
        <v>62</v>
      </c>
      <c r="F41" s="40"/>
      <c r="G41" s="120">
        <f>G35/G34</f>
        <v>3.3900130890297144</v>
      </c>
      <c r="H41" s="162">
        <f t="shared" ref="H41" si="14">G41/C41-1</f>
        <v>0</v>
      </c>
      <c r="I41" s="120">
        <f>I35/I34</f>
        <v>3.6423143360690733</v>
      </c>
      <c r="J41" s="162">
        <f>I41/D41-1</f>
        <v>0</v>
      </c>
      <c r="K41" s="120" t="s">
        <v>62</v>
      </c>
      <c r="L41" s="162" t="s">
        <v>62</v>
      </c>
      <c r="M41" s="36"/>
      <c r="N41" t="str">
        <f>$Q$6&amp;Q35&amp;O41&amp;P41</f>
        <v>US FOODHELLMANNS BEST FOODSMayoJAR 48OZ</v>
      </c>
      <c r="O41" s="106" t="s">
        <v>122</v>
      </c>
      <c r="P41" s="34" t="s">
        <v>121</v>
      </c>
      <c r="Q41" s="141">
        <f>IFERROR(INDEX('Calculations - US Food'!$O$32:$O$229,MATCH($N41,'Calculations - US Food'!$D$32:$D$229,0)),0)</f>
        <v>2.9505868275061147</v>
      </c>
      <c r="R41" s="146">
        <f t="shared" si="9"/>
        <v>2.9505868275061147</v>
      </c>
      <c r="S41" s="105"/>
      <c r="T41" s="105"/>
      <c r="U41" s="155">
        <f t="shared" si="13"/>
        <v>0</v>
      </c>
      <c r="V41" s="124">
        <f>IFERROR(INDEX('Calculations - US Food'!$BB$32:$BB$229,MATCH('US Food'!$N41,'Calculations - US Food'!$D$32:$D$229,0)),"-")</f>
        <v>3.670456036588305E-2</v>
      </c>
      <c r="W41" s="124">
        <f>IFERROR(INDEX('Calculations - US Food'!$BE$32:$BE$229,MATCH('US Food'!$N41,'Calculations - US Food'!$D$32:$D$229,0)),"-")</f>
        <v>3.1329807061118008E-2</v>
      </c>
      <c r="X41"/>
      <c r="Y41" s="57" t="s">
        <v>63</v>
      </c>
      <c r="Z41" s="120">
        <f>Z35/Z34</f>
        <v>3.390013089029714</v>
      </c>
      <c r="AA41" s="162">
        <f>Z41/C41-1</f>
        <v>0</v>
      </c>
      <c r="AB41" s="120">
        <f>AB35/AB34</f>
        <v>3.6423143360690733</v>
      </c>
      <c r="AC41" s="162">
        <f>AB41/D41-1</f>
        <v>0</v>
      </c>
      <c r="AD41" s="120" t="s">
        <v>62</v>
      </c>
      <c r="AE41" s="162" t="s">
        <v>62</v>
      </c>
      <c r="AF41"/>
    </row>
    <row r="42" spans="1:32" ht="25.05" customHeight="1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 t="str">
        <f>$Q$6&amp;Q35&amp;O42&amp;P42</f>
        <v>US FOODHELLMANNS BEST FOODSMayoSQUEEZY 12OZ</v>
      </c>
      <c r="O42" s="106" t="s">
        <v>122</v>
      </c>
      <c r="P42" s="34" t="s">
        <v>117</v>
      </c>
      <c r="Q42" s="141">
        <f>IFERROR(INDEX('Calculations - US Food'!$O$32:$O$229,MATCH($N42,'Calculations - US Food'!$D$32:$D$229,0)),0)</f>
        <v>6.6670987138803826</v>
      </c>
      <c r="R42" s="146">
        <f t="shared" si="9"/>
        <v>6.6670987138803826</v>
      </c>
      <c r="S42" s="105"/>
      <c r="T42" s="105"/>
      <c r="U42" s="155">
        <f t="shared" si="13"/>
        <v>0</v>
      </c>
      <c r="V42" s="124">
        <f>IFERROR(INDEX('Calculations - US Food'!$BB$32:$BB$229,MATCH('US Food'!$N42,'Calculations - US Food'!$D$32:$D$229,0)),"-")</f>
        <v>2.1647108749766077E-2</v>
      </c>
      <c r="W42" s="124">
        <f>IFERROR(INDEX('Calculations - US Food'!$BE$32:$BE$229,MATCH('US Food'!$N42,'Calculations - US Food'!$D$32:$D$229,0)),"-")</f>
        <v>4.175092279306488E-2</v>
      </c>
      <c r="X42"/>
      <c r="Y42"/>
      <c r="Z42"/>
      <c r="AA42"/>
      <c r="AB42"/>
      <c r="AC42"/>
      <c r="AD42"/>
      <c r="AE42"/>
      <c r="AF42"/>
    </row>
    <row r="43" spans="1:32" ht="25.05" customHeight="1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 t="str">
        <f>$Q$6&amp;Q35&amp;O43&amp;P43</f>
        <v>US FOODHELLMANNS BEST FOODSMayoSQUEEZY 18 TO 22OZ</v>
      </c>
      <c r="O43" s="106" t="s">
        <v>122</v>
      </c>
      <c r="P43" s="34" t="s">
        <v>120</v>
      </c>
      <c r="Q43" s="141">
        <f>IFERROR(INDEX('Calculations - US Food'!$O$32:$O$229,MATCH($N43,'Calculations - US Food'!$D$32:$D$229,0)),0)</f>
        <v>4.7974680086504806</v>
      </c>
      <c r="R43" s="146">
        <f t="shared" si="9"/>
        <v>4.7974680086504806</v>
      </c>
      <c r="S43" s="105"/>
      <c r="T43" s="105"/>
      <c r="U43" s="155">
        <f t="shared" si="13"/>
        <v>0</v>
      </c>
      <c r="V43" s="124">
        <f>IFERROR(INDEX('Calculations - US Food'!$BB$32:$BB$229,MATCH('US Food'!$N43,'Calculations - US Food'!$D$32:$D$229,0)),"-")</f>
        <v>6.2732493889971194E-2</v>
      </c>
      <c r="W43" s="124">
        <f>IFERROR(INDEX('Calculations - US Food'!$BE$32:$BE$229,MATCH('US Food'!$N43,'Calculations - US Food'!$D$32:$D$229,0)),"-")</f>
        <v>8.7063061536070421E-2</v>
      </c>
      <c r="X43"/>
      <c r="Y43"/>
      <c r="Z43"/>
      <c r="AA43"/>
      <c r="AB43"/>
      <c r="AC43"/>
      <c r="AD43"/>
      <c r="AE43"/>
      <c r="AF43"/>
    </row>
    <row r="44" spans="1:32" ht="25.05" customHeight="1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 t="str">
        <f>$Q$6&amp;Q35&amp;O44&amp;P44</f>
        <v>US FOODHELLMANNS BEST FOODSMayoOTHER</v>
      </c>
      <c r="O44" s="106" t="s">
        <v>122</v>
      </c>
      <c r="P44" s="34" t="s">
        <v>115</v>
      </c>
      <c r="Q44" s="141">
        <f>IFERROR(INDEX('Calculations - US Food'!$O$32:$O$229,MATCH($N44,'Calculations - US Food'!$D$32:$D$229,0)),0)</f>
        <v>8.66580649028929</v>
      </c>
      <c r="R44" s="146">
        <f t="shared" si="9"/>
        <v>8.66580649028929</v>
      </c>
      <c r="S44" s="105"/>
      <c r="T44" s="105"/>
      <c r="U44" s="155">
        <f t="shared" si="13"/>
        <v>0</v>
      </c>
      <c r="V44" s="124">
        <f>IFERROR(INDEX('Calculations - US Food'!$BB$32:$BB$229,MATCH('US Food'!$N44,'Calculations - US Food'!$D$32:$D$229,0)),"-")</f>
        <v>3.4957363424167713E-3</v>
      </c>
      <c r="W44" s="124">
        <f>IFERROR(INDEX('Calculations - US Food'!$BE$32:$BE$229,MATCH('US Food'!$N44,'Calculations - US Food'!$D$32:$D$229,0)),"-")</f>
        <v>8.7634870854487925E-3</v>
      </c>
      <c r="X44"/>
      <c r="Y44"/>
      <c r="Z44"/>
      <c r="AA44"/>
      <c r="AB44"/>
      <c r="AC44"/>
      <c r="AD44"/>
      <c r="AE44"/>
      <c r="AF44"/>
    </row>
    <row r="45" spans="1:32" ht="25.05" customHeight="1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 t="str">
        <f>$Q$6&amp;Q35&amp;P45</f>
        <v>US FOODHELLMANNS BEST FOODSAioli</v>
      </c>
      <c r="O45" s="106" t="s">
        <v>123</v>
      </c>
      <c r="P45" s="107" t="s">
        <v>124</v>
      </c>
      <c r="Q45" s="139" cm="1">
        <f t="array" ref="Q45">SUM(_xlfn._xlws.FILTER('Calculations - US Food'!$O$32:$O$229*'Calculations - US Food'!$J$32:$J$229,'Calculations - US Food'!$C$32:$C$229=$N45))/SUM(_xlfn._xlws.FILTER('Calculations - US Food'!$J$32:$J$229,'Calculations - US Food'!$C$32:$C$229=$N45))</f>
        <v>6.4678399332435523</v>
      </c>
      <c r="R45" s="145" cm="1">
        <f t="array" ref="R45">SUM(_xlfn._xlws.FILTER('Calculations - US Food'!$AH$32:$AH$229*'Calculations - US Food'!$AL$32:$AL$229,'Calculations - US Food'!$C$32:$C$229=$N45))/SUM(_xlfn._xlws.FILTER('Calculations - US Food'!$AL$32:$AL$229,'Calculations - US Food'!$C$32:$C$229=$N45))</f>
        <v>6.4678399332435523</v>
      </c>
      <c r="S45" s="105"/>
      <c r="T45" s="105"/>
      <c r="U45" s="128">
        <f>IFERROR(R45/Q45-1,0)</f>
        <v>0</v>
      </c>
      <c r="V45" s="128">
        <f>SUM(V46:V47)</f>
        <v>3.3405379127658306E-3</v>
      </c>
      <c r="W45" s="128">
        <f>SUM(W46:W47)</f>
        <v>6.2498889963991276E-3</v>
      </c>
      <c r="X45"/>
      <c r="Y45"/>
      <c r="Z45"/>
      <c r="AA45"/>
      <c r="AB45"/>
      <c r="AC45"/>
      <c r="AD45"/>
      <c r="AE45"/>
      <c r="AF45"/>
    </row>
    <row r="46" spans="1:32" ht="25.05" customHeight="1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 t="str">
        <f>$Q$6&amp;Q35&amp;O46&amp;P46</f>
        <v>US FOODHELLMANNS BEST FOODSAioliJAR 15OZ</v>
      </c>
      <c r="O46" s="106" t="s">
        <v>124</v>
      </c>
      <c r="P46" s="34" t="s">
        <v>116</v>
      </c>
      <c r="Q46" s="141">
        <f>IFERROR(INDEX('Calculations - US Food'!$O$32:$O$229,MATCH($N46,'Calculations - US Food'!$D$32:$D$229,0)),0)</f>
        <v>6.0870468599923457</v>
      </c>
      <c r="R46" s="146">
        <f>Q46</f>
        <v>6.0870468599923457</v>
      </c>
      <c r="S46" s="105"/>
      <c r="T46" s="105"/>
      <c r="U46" s="155">
        <f t="shared" si="13"/>
        <v>0</v>
      </c>
      <c r="V46" s="124">
        <f>IFERROR(INDEX('Calculations - US Food'!$BB$32:$BB$229,MATCH('US Food'!$N46,'Calculations - US Food'!$D$32:$D$229,0)),"-")</f>
        <v>1.155997972604851E-4</v>
      </c>
      <c r="W46" s="124">
        <f>IFERROR(INDEX('Calculations - US Food'!$BE$32:$BE$229,MATCH('US Food'!$N46,'Calculations - US Food'!$D$32:$D$229,0)),"-")</f>
        <v>2.0356026709041433E-4</v>
      </c>
      <c r="X46"/>
      <c r="Y46"/>
      <c r="Z46"/>
      <c r="AA46"/>
      <c r="AB46"/>
      <c r="AC46"/>
      <c r="AD46"/>
      <c r="AE46"/>
      <c r="AF46"/>
    </row>
    <row r="47" spans="1:32" ht="25.05" customHeight="1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 t="str">
        <f>$Q$6&amp;Q35&amp;O47&amp;P47</f>
        <v>US FOODHELLMANNS BEST FOODSAioliOTHER</v>
      </c>
      <c r="O47" s="106" t="s">
        <v>124</v>
      </c>
      <c r="P47" s="34" t="s">
        <v>115</v>
      </c>
      <c r="Q47" s="141">
        <f>IFERROR(INDEX('Calculations - US Food'!$O$32:$O$229,MATCH($N47,'Calculations - US Food'!$D$32:$D$229,0)),0)</f>
        <v>6.4809858857207407</v>
      </c>
      <c r="R47" s="146">
        <f>Q47</f>
        <v>6.4809858857207407</v>
      </c>
      <c r="S47" s="105"/>
      <c r="T47" s="105"/>
      <c r="U47" s="155">
        <f t="shared" si="13"/>
        <v>0</v>
      </c>
      <c r="V47" s="124">
        <f>IFERROR(INDEX('Calculations - US Food'!$BB$32:$BB$229,MATCH('US Food'!$N47,'Calculations - US Food'!$D$32:$D$229,0)),"-")</f>
        <v>3.2249381155053454E-3</v>
      </c>
      <c r="W47" s="124">
        <f>IFERROR(INDEX('Calculations - US Food'!$BE$32:$BE$229,MATCH('US Food'!$N47,'Calculations - US Food'!$D$32:$D$229,0)),"-")</f>
        <v>6.0463287293087134E-3</v>
      </c>
      <c r="X47"/>
      <c r="Y47"/>
      <c r="Z47"/>
      <c r="AA47"/>
      <c r="AB47"/>
      <c r="AC47"/>
      <c r="AD47"/>
      <c r="AE47"/>
      <c r="AF47"/>
    </row>
    <row r="48" spans="1:32" ht="25.05" customHeight="1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41"/>
      <c r="Q48" s="47"/>
      <c r="R48" s="47"/>
      <c r="S48"/>
      <c r="T48"/>
      <c r="U48" s="125"/>
      <c r="V48" s="125"/>
      <c r="W48" s="125"/>
      <c r="X48"/>
      <c r="Y48"/>
      <c r="Z48"/>
      <c r="AA48"/>
      <c r="AB48"/>
      <c r="AC48"/>
      <c r="AD48"/>
      <c r="AE48"/>
      <c r="AF48"/>
    </row>
    <row r="49" spans="1:32" ht="25.05" customHeight="1" x14ac:dyDescent="0.4">
      <c r="A49"/>
      <c r="B49"/>
      <c r="C49"/>
      <c r="D49"/>
      <c r="E49"/>
      <c r="F49"/>
      <c r="G49"/>
      <c r="H49"/>
      <c r="I49"/>
      <c r="J49"/>
      <c r="K49"/>
      <c r="L49"/>
      <c r="M49"/>
      <c r="N49" s="46" t="s">
        <v>9</v>
      </c>
      <c r="O49" s="46"/>
      <c r="P49" s="41"/>
      <c r="Q49" s="206" t="str">
        <f>'Calculations - US Food'!F7</f>
        <v>DUKES</v>
      </c>
      <c r="R49" s="206"/>
      <c r="S49" s="41"/>
      <c r="T49" s="41"/>
      <c r="U49" s="155">
        <f>R50/Q50-1</f>
        <v>0</v>
      </c>
      <c r="V49" s="132">
        <f>V51+V59</f>
        <v>0.11717456483855315</v>
      </c>
      <c r="W49" s="132">
        <f>W51+W59</f>
        <v>0.10124850511940348</v>
      </c>
      <c r="X49"/>
      <c r="Y49"/>
      <c r="Z49"/>
      <c r="AA49"/>
      <c r="AB49"/>
      <c r="AC49"/>
      <c r="AD49"/>
      <c r="AE49"/>
      <c r="AF49"/>
    </row>
    <row r="50" spans="1:32" ht="25.05" customHeight="1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 t="str">
        <f>$Q$6&amp;Q49&amp;P50</f>
        <v>US FOODDUKES</v>
      </c>
      <c r="O50"/>
      <c r="P50" s="41"/>
      <c r="Q50" s="139">
        <f>INDEX('Calculations - US Food'!$M$3:$M$24,MATCH(N50,'Calculations - US Food'!$D$3:$D$24,0))</f>
        <v>2.9787060889082415</v>
      </c>
      <c r="R50" s="147">
        <f>INDEX('Calculations - US Food'!$AF$3:$AF$24,MATCH(N50,'Calculations - US Food'!$D$3:$D$24,0))</f>
        <v>2.9787060889082415</v>
      </c>
      <c r="S50" s="104"/>
      <c r="T50" s="104"/>
      <c r="U50" s="125"/>
      <c r="V50" s="125"/>
      <c r="W50" s="125"/>
      <c r="X50"/>
      <c r="Y50"/>
      <c r="Z50"/>
      <c r="AA50"/>
      <c r="AB50"/>
      <c r="AC50"/>
      <c r="AD50"/>
      <c r="AE50"/>
      <c r="AF50"/>
    </row>
    <row r="51" spans="1:32" ht="25.05" customHeight="1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 t="str">
        <f>$Q$6&amp;Q49&amp;P51</f>
        <v>US FOODDUKESMayo</v>
      </c>
      <c r="O51" s="106" t="s">
        <v>102</v>
      </c>
      <c r="P51" s="107" t="s">
        <v>122</v>
      </c>
      <c r="Q51" s="139" cm="1">
        <f t="array" ref="Q51">SUM(_xlfn._xlws.FILTER('Calculations - US Food'!$O$32:$O$229*'Calculations - US Food'!$J$32:$J$229,'Calculations - US Food'!$C$32:$C$229=$N51))/SUM(_xlfn._xlws.FILTER('Calculations - US Food'!$J$32:$J$229,'Calculations - US Food'!$C$32:$C$229=$N51))</f>
        <v>2.9776499086590276</v>
      </c>
      <c r="R51" s="147" cm="1">
        <f t="array" ref="R51">SUM(_xlfn._xlws.FILTER('Calculations - US Food'!$AH$32:$AH$229*'Calculations - US Food'!$AL$32:$AL$229,'Calculations - US Food'!$C$32:$C$229=$N51))/SUM(_xlfn._xlws.FILTER('Calculations - US Food'!$AL$32:$AL$229,'Calculations - US Food'!$C$32:$C$229=$N51))</f>
        <v>2.9776499086590276</v>
      </c>
      <c r="S51" s="104"/>
      <c r="T51" s="104"/>
      <c r="U51" s="128">
        <f>IFERROR(R51/Q51-1,0)</f>
        <v>0</v>
      </c>
      <c r="V51" s="128">
        <f>SUM(V52:V58)</f>
        <v>0.11637433269597268</v>
      </c>
      <c r="W51" s="128">
        <f>SUM(W52:W58)</f>
        <v>0.1005227200844401</v>
      </c>
      <c r="X51"/>
      <c r="Y51"/>
      <c r="Z51"/>
      <c r="AA51"/>
      <c r="AB51"/>
      <c r="AC51"/>
      <c r="AD51"/>
      <c r="AE51"/>
      <c r="AF51"/>
    </row>
    <row r="52" spans="1:32" ht="25.05" customHeight="1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 t="str">
        <f>$Q$6&amp;Q49&amp;O52&amp;P52</f>
        <v>US FOODDUKESMayoJAR 8OZ</v>
      </c>
      <c r="O52" s="106" t="s">
        <v>122</v>
      </c>
      <c r="P52" s="34" t="s">
        <v>119</v>
      </c>
      <c r="Q52" s="141">
        <f>IFERROR(INDEX('Calculations - US Food'!$O$32:$O$229,MATCH($N52,'Calculations - US Food'!$D$32:$D$229,0)),0)</f>
        <v>6.1142727291477801</v>
      </c>
      <c r="R52" s="148">
        <f t="shared" ref="R52:R58" si="15">Q52</f>
        <v>6.1142727291477801</v>
      </c>
      <c r="S52" s="105"/>
      <c r="T52" s="105"/>
      <c r="U52" s="155">
        <f>IFERROR(R52/Q52-1,0)</f>
        <v>0</v>
      </c>
      <c r="V52" s="124">
        <f>IFERROR(INDEX('Calculations - US Food'!$BB$32:$BB$229,MATCH('US Food'!$N52,'Calculations - US Food'!$D$32:$D$229,0)),"-")</f>
        <v>1.5564129358518256E-3</v>
      </c>
      <c r="W52" s="124">
        <f>IFERROR(INDEX('Calculations - US Food'!$BE$32:$BE$229,MATCH('US Food'!$N52,'Calculations - US Food'!$D$32:$D$229,0)),"-")</f>
        <v>2.7491774326116906E-3</v>
      </c>
      <c r="X52"/>
      <c r="Y52"/>
      <c r="Z52"/>
      <c r="AA52"/>
      <c r="AB52"/>
      <c r="AC52"/>
      <c r="AD52"/>
      <c r="AE52"/>
      <c r="AF52"/>
    </row>
    <row r="53" spans="1:32" ht="25.05" customHeight="1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 t="str">
        <f>$Q$6&amp;Q49&amp;O53&amp;P53</f>
        <v>US FOODDUKESMayoJAR 15OZ</v>
      </c>
      <c r="O53" s="106" t="s">
        <v>122</v>
      </c>
      <c r="P53" s="34" t="s">
        <v>116</v>
      </c>
      <c r="Q53" s="141">
        <f>IFERROR(INDEX('Calculations - US Food'!$O$32:$O$229,MATCH($N53,'Calculations - US Food'!$D$32:$D$229,0)),0)</f>
        <v>4.0678984026088214</v>
      </c>
      <c r="R53" s="148">
        <f t="shared" si="15"/>
        <v>4.0678984026088214</v>
      </c>
      <c r="S53" s="105"/>
      <c r="T53" s="105"/>
      <c r="U53" s="155">
        <f t="shared" ref="U53:U60" si="16">IFERROR(R53/Q53-1,0)</f>
        <v>0</v>
      </c>
      <c r="V53" s="124">
        <f>IFERROR(INDEX('Calculations - US Food'!$BB$32:$BB$229,MATCH('US Food'!$N53,'Calculations - US Food'!$D$32:$D$229,0)),"-")</f>
        <v>6.7969047805551495E-3</v>
      </c>
      <c r="W53" s="124">
        <f>IFERROR(INDEX('Calculations - US Food'!$BE$32:$BE$229,MATCH('US Food'!$N53,'Calculations - US Food'!$D$32:$D$229,0)),"-")</f>
        <v>7.9875651851507579E-3</v>
      </c>
      <c r="X53"/>
      <c r="Y53"/>
      <c r="Z53"/>
      <c r="AA53"/>
      <c r="AB53"/>
      <c r="AC53"/>
      <c r="AD53"/>
      <c r="AE53"/>
      <c r="AF53"/>
    </row>
    <row r="54" spans="1:32" ht="25.05" customHeight="1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 t="str">
        <f>$Q$6&amp;Q49&amp;O54&amp;P54</f>
        <v>US FOODDUKESMayoJAR 30OZ</v>
      </c>
      <c r="O54" s="106" t="s">
        <v>122</v>
      </c>
      <c r="P54" s="34" t="s">
        <v>118</v>
      </c>
      <c r="Q54" s="141">
        <f>IFERROR(INDEX('Calculations - US Food'!$O$32:$O$229,MATCH($N54,'Calculations - US Food'!$D$32:$D$229,0)),0)</f>
        <v>2.5091114226107707</v>
      </c>
      <c r="R54" s="148">
        <f t="shared" si="15"/>
        <v>2.5091114226107707</v>
      </c>
      <c r="S54" s="105"/>
      <c r="T54" s="105"/>
      <c r="U54" s="155">
        <f t="shared" si="16"/>
        <v>0</v>
      </c>
      <c r="V54" s="124">
        <f>IFERROR(INDEX('Calculations - US Food'!$BB$32:$BB$229,MATCH('US Food'!$N54,'Calculations - US Food'!$D$32:$D$229,0)),"-")</f>
        <v>7.727168690852862E-2</v>
      </c>
      <c r="W54" s="124">
        <f>IFERROR(INDEX('Calculations - US Food'!$BE$32:$BE$229,MATCH('US Food'!$N54,'Calculations - US Food'!$D$32:$D$229,0)),"-")</f>
        <v>5.601101886745128E-2</v>
      </c>
      <c r="X54"/>
      <c r="Y54"/>
      <c r="Z54"/>
      <c r="AA54"/>
      <c r="AB54"/>
      <c r="AC54"/>
      <c r="AD54"/>
      <c r="AE54"/>
      <c r="AF54"/>
    </row>
    <row r="55" spans="1:32" ht="25.05" customHeight="1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 t="str">
        <f>$Q$6&amp;Q49&amp;O55&amp;P55</f>
        <v>US FOODDUKESMayoJAR 48OZ</v>
      </c>
      <c r="O55" s="106" t="s">
        <v>122</v>
      </c>
      <c r="P55" s="34" t="s">
        <v>121</v>
      </c>
      <c r="Q55" s="141">
        <f>IFERROR(INDEX('Calculations - US Food'!$O$32:$O$229,MATCH($N55,'Calculations - US Food'!$D$32:$D$229,0)),0)</f>
        <v>2.598551174764153</v>
      </c>
      <c r="R55" s="148">
        <f t="shared" si="15"/>
        <v>2.598551174764153</v>
      </c>
      <c r="S55" s="105"/>
      <c r="T55" s="105"/>
      <c r="U55" s="155">
        <f t="shared" si="16"/>
        <v>0</v>
      </c>
      <c r="V55" s="124">
        <f>IFERROR(INDEX('Calculations - US Food'!$BB$32:$BB$229,MATCH('US Food'!$N55,'Calculations - US Food'!$D$32:$D$229,0)),"-")</f>
        <v>8.6867244250880826E-3</v>
      </c>
      <c r="W55" s="124">
        <f>IFERROR(INDEX('Calculations - US Food'!$BE$32:$BE$229,MATCH('US Food'!$N55,'Calculations - US Food'!$D$32:$D$229,0)),"-")</f>
        <v>6.5210938454421212E-3</v>
      </c>
      <c r="X55"/>
      <c r="Y55"/>
      <c r="Z55"/>
      <c r="AA55"/>
      <c r="AB55"/>
      <c r="AC55"/>
      <c r="AD55"/>
      <c r="AE55"/>
      <c r="AF55"/>
    </row>
    <row r="56" spans="1:32" ht="25.05" customHeight="1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 t="str">
        <f>$Q$6&amp;Q49&amp;O56&amp;P56</f>
        <v>US FOODDUKESMayoSQUEEZY 12OZ</v>
      </c>
      <c r="O56" s="106" t="s">
        <v>122</v>
      </c>
      <c r="P56" s="34" t="s">
        <v>117</v>
      </c>
      <c r="Q56" s="141">
        <f>IFERROR(INDEX('Calculations - US Food'!$O$32:$O$229,MATCH($N56,'Calculations - US Food'!$D$32:$D$229,0)),0)</f>
        <v>5.3615301871516996</v>
      </c>
      <c r="R56" s="148">
        <f t="shared" si="15"/>
        <v>5.3615301871516996</v>
      </c>
      <c r="S56" s="105"/>
      <c r="T56" s="105"/>
      <c r="U56" s="155">
        <f t="shared" si="16"/>
        <v>0</v>
      </c>
      <c r="V56" s="124">
        <f>IFERROR(INDEX('Calculations - US Food'!$BB$32:$BB$229,MATCH('US Food'!$N56,'Calculations - US Food'!$D$32:$D$229,0)),"-")</f>
        <v>2.6224842868581549E-3</v>
      </c>
      <c r="W56" s="124">
        <f>IFERROR(INDEX('Calculations - US Food'!$BE$32:$BE$229,MATCH('US Food'!$N56,'Calculations - US Food'!$D$32:$D$229,0)),"-")</f>
        <v>4.0619519537549E-3</v>
      </c>
      <c r="X56"/>
      <c r="Y56"/>
      <c r="Z56"/>
      <c r="AA56"/>
      <c r="AB56"/>
      <c r="AC56"/>
      <c r="AD56"/>
      <c r="AE56"/>
      <c r="AF56"/>
    </row>
    <row r="57" spans="1:32" ht="25.05" customHeight="1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 t="str">
        <f>$Q$6&amp;Q49&amp;O57&amp;P57</f>
        <v>US FOODDUKESMayoSQUEEZY 18 TO 22OZ</v>
      </c>
      <c r="O57" s="106" t="s">
        <v>122</v>
      </c>
      <c r="P57" s="34" t="s">
        <v>120</v>
      </c>
      <c r="Q57" s="141">
        <f>IFERROR(INDEX('Calculations - US Food'!$O$32:$O$229,MATCH($N57,'Calculations - US Food'!$D$32:$D$229,0)),0)</f>
        <v>4.0847628798313584</v>
      </c>
      <c r="R57" s="148">
        <f t="shared" si="15"/>
        <v>4.0847628798313584</v>
      </c>
      <c r="S57" s="105"/>
      <c r="T57" s="105"/>
      <c r="U57" s="155">
        <f t="shared" si="16"/>
        <v>0</v>
      </c>
      <c r="V57" s="124">
        <f>IFERROR(INDEX('Calculations - US Food'!$BB$32:$BB$229,MATCH('US Food'!$N57,'Calculations - US Food'!$D$32:$D$229,0)),"-")</f>
        <v>1.8875850012592791E-2</v>
      </c>
      <c r="W57" s="124">
        <f>IFERROR(INDEX('Calculations - US Food'!$BE$32:$BE$229,MATCH('US Food'!$N57,'Calculations - US Food'!$D$32:$D$229,0)),"-")</f>
        <v>2.2274424930621779E-2</v>
      </c>
      <c r="X57"/>
      <c r="Y57"/>
      <c r="Z57"/>
      <c r="AA57"/>
      <c r="AB57"/>
      <c r="AC57"/>
      <c r="AD57"/>
      <c r="AE57"/>
      <c r="AF57"/>
    </row>
    <row r="58" spans="1:32" ht="25.05" customHeight="1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 t="str">
        <f>$Q$6&amp;Q49&amp;O58&amp;P58</f>
        <v>US FOODDUKESMayoOTHER</v>
      </c>
      <c r="O58" s="106" t="s">
        <v>122</v>
      </c>
      <c r="P58" s="34" t="s">
        <v>115</v>
      </c>
      <c r="Q58" s="141">
        <f>IFERROR(INDEX('Calculations - US Food'!$O$32:$O$229,MATCH($N58,'Calculations - US Food'!$D$32:$D$229,0)),0)</f>
        <v>5.6283453940945085</v>
      </c>
      <c r="R58" s="148">
        <f t="shared" si="15"/>
        <v>5.6283453940945085</v>
      </c>
      <c r="S58" s="105"/>
      <c r="T58" s="105"/>
      <c r="U58" s="155">
        <f t="shared" si="16"/>
        <v>0</v>
      </c>
      <c r="V58" s="124">
        <f>IFERROR(INDEX('Calculations - US Food'!$BB$32:$BB$229,MATCH('US Food'!$N58,'Calculations - US Food'!$D$32:$D$229,0)),"-")</f>
        <v>5.6426934649806445E-4</v>
      </c>
      <c r="W58" s="124">
        <f>IFERROR(INDEX('Calculations - US Food'!$BE$32:$BE$229,MATCH('US Food'!$N58,'Calculations - US Food'!$D$32:$D$229,0)),"-")</f>
        <v>9.1748786940757114E-4</v>
      </c>
      <c r="X58"/>
      <c r="Y58"/>
      <c r="Z58"/>
      <c r="AA58"/>
      <c r="AB58"/>
      <c r="AC58"/>
      <c r="AD58"/>
      <c r="AE58"/>
      <c r="AF58"/>
    </row>
    <row r="59" spans="1:32" ht="25.05" customHeight="1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 t="str">
        <f>$Q$6&amp;Q49&amp;P59</f>
        <v>US FOODDUKESAioli</v>
      </c>
      <c r="O59" s="106" t="s">
        <v>123</v>
      </c>
      <c r="P59" s="107" t="s">
        <v>124</v>
      </c>
      <c r="Q59" s="139" cm="1">
        <f t="array" ref="Q59">SUM(_xlfn._xlws.FILTER('Calculations - US Food'!$O$32:$O$229*'Calculations - US Food'!$J$32:$J$229,'Calculations - US Food'!$C$32:$C$229=$N59))/SUM(_xlfn._xlws.FILTER('Calculations - US Food'!$J$32:$J$229,'Calculations - US Food'!$C$32:$C$229=$N59))</f>
        <v>3.1394884224082715</v>
      </c>
      <c r="R59" s="147" cm="1">
        <f t="array" ref="R59">SUM(_xlfn._xlws.FILTER('Calculations - US Food'!$AH$32:$AH$229*'Calculations - US Food'!$AL$32:$AL$229,'Calculations - US Food'!$C$32:$C$229=$N59))/SUM(_xlfn._xlws.FILTER('Calculations - US Food'!$AL$32:$AL$229,'Calculations - US Food'!$C$32:$C$229=$N59))</f>
        <v>3.1394884224082715</v>
      </c>
      <c r="S59" s="105"/>
      <c r="T59" s="105"/>
      <c r="U59" s="128">
        <f>IFERROR(R59/Q59-1,0)</f>
        <v>0</v>
      </c>
      <c r="V59" s="128">
        <f>SUM(V60)</f>
        <v>8.0023214258047369E-4</v>
      </c>
      <c r="W59" s="128">
        <f>SUM(W60)</f>
        <v>7.2578503496337644E-4</v>
      </c>
      <c r="X59"/>
      <c r="Y59"/>
      <c r="Z59"/>
      <c r="AA59"/>
      <c r="AB59"/>
      <c r="AC59"/>
      <c r="AD59"/>
      <c r="AE59"/>
      <c r="AF59"/>
    </row>
    <row r="60" spans="1:32" ht="25.05" customHeight="1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 t="str">
        <f>$Q$6&amp;Q49&amp;O60&amp;P60</f>
        <v>US FOODDUKESAioliOTHER</v>
      </c>
      <c r="O60" s="106" t="s">
        <v>124</v>
      </c>
      <c r="P60" s="34" t="s">
        <v>115</v>
      </c>
      <c r="Q60" s="141">
        <f>IFERROR(INDEX('Calculations - US Food'!$O$32:$O$229,MATCH($N60,'Calculations - US Food'!$D$32:$D$229,0)),0)</f>
        <v>3.1394884224082715</v>
      </c>
      <c r="R60" s="148">
        <f>Q60</f>
        <v>3.1394884224082715</v>
      </c>
      <c r="S60" s="105"/>
      <c r="T60" s="105"/>
      <c r="U60" s="155">
        <f t="shared" si="16"/>
        <v>0</v>
      </c>
      <c r="V60" s="124">
        <f>IFERROR(INDEX('Calculations - US Food'!$BB$32:$BB$229,MATCH('US Food'!$N60,'Calculations - US Food'!$D$32:$D$229,0)),"-")</f>
        <v>8.0023214258047369E-4</v>
      </c>
      <c r="W60" s="124">
        <f>IFERROR(INDEX('Calculations - US Food'!$BE$32:$BE$229,MATCH('US Food'!$N60,'Calculations - US Food'!$D$32:$D$229,0)),"-")</f>
        <v>7.2578503496337644E-4</v>
      </c>
      <c r="X60"/>
      <c r="Y60"/>
      <c r="Z60"/>
      <c r="AA60"/>
      <c r="AB60"/>
      <c r="AC60"/>
      <c r="AD60"/>
      <c r="AE60"/>
      <c r="AF60"/>
    </row>
    <row r="61" spans="1:32" ht="25.05" customHeight="1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34"/>
      <c r="Q61" s="48"/>
      <c r="R61" s="48"/>
      <c r="S61"/>
      <c r="T61"/>
      <c r="U61" s="128"/>
      <c r="V61" s="124"/>
      <c r="W61" s="124"/>
      <c r="X61"/>
      <c r="Y61"/>
      <c r="Z61"/>
      <c r="AA61"/>
      <c r="AB61"/>
      <c r="AC61"/>
      <c r="AD61"/>
      <c r="AE61"/>
      <c r="AF61"/>
    </row>
    <row r="62" spans="1:32" ht="25.05" customHeight="1" thickBot="1" x14ac:dyDescent="0.45">
      <c r="A62"/>
      <c r="B62"/>
      <c r="C62"/>
      <c r="D62"/>
      <c r="E62"/>
      <c r="F62"/>
      <c r="G62"/>
      <c r="H62"/>
      <c r="I62"/>
      <c r="J62"/>
      <c r="K62"/>
      <c r="L62"/>
      <c r="M62"/>
      <c r="N62" s="46" t="s">
        <v>9</v>
      </c>
      <c r="O62" s="46"/>
      <c r="P62" s="41"/>
      <c r="Q62" s="207" t="str">
        <f>'Calculations - US Food'!F8</f>
        <v>PRIVATE LABEL</v>
      </c>
      <c r="R62" s="207"/>
      <c r="S62" s="41"/>
      <c r="T62" s="41"/>
      <c r="U62" s="155">
        <f>R63/Q63-1</f>
        <v>0</v>
      </c>
      <c r="V62" s="131">
        <f>V64+V70</f>
        <v>0.15320404895388934</v>
      </c>
      <c r="W62" s="131">
        <f>W64+W70</f>
        <v>0.10328004426178947</v>
      </c>
      <c r="X62"/>
      <c r="Y62"/>
      <c r="Z62"/>
      <c r="AA62"/>
      <c r="AB62"/>
      <c r="AC62"/>
      <c r="AD62"/>
      <c r="AE62"/>
      <c r="AF62"/>
    </row>
    <row r="63" spans="1:32" ht="25.05" customHeight="1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 t="str">
        <f>$Q$6&amp;Q62&amp;P63</f>
        <v>US FOODPRIVATE LABEL</v>
      </c>
      <c r="O63"/>
      <c r="P63" s="41"/>
      <c r="Q63" s="139">
        <f>INDEX('Calculations - US Food'!$M$3:$M$24,MATCH(N63,'Calculations - US Food'!$D$3:$D$24,0))</f>
        <v>2.3239059873301788</v>
      </c>
      <c r="R63" s="149">
        <f>INDEX('Calculations - US Food'!$AF$3:$AF$24,MATCH(N63,'Calculations - US Food'!$D$3:$D$24,0))</f>
        <v>2.3239059873301788</v>
      </c>
      <c r="S63" s="104"/>
      <c r="T63" s="104"/>
      <c r="U63" s="125"/>
      <c r="V63" s="125"/>
      <c r="W63" s="125"/>
      <c r="X63"/>
      <c r="Y63" s="222" t="s">
        <v>76</v>
      </c>
      <c r="Z63" s="218" t="str">
        <f>$Q$11</f>
        <v>KRAFT</v>
      </c>
      <c r="AA63" s="219"/>
      <c r="AB63" s="220" t="str">
        <f>$Q$25</f>
        <v>MIRACLE WHIP</v>
      </c>
      <c r="AC63" s="221"/>
      <c r="AD63"/>
      <c r="AE63"/>
      <c r="AF63"/>
    </row>
    <row r="64" spans="1:32" ht="25.05" customHeight="1" thickBot="1" x14ac:dyDescent="0.35">
      <c r="A64"/>
      <c r="B64"/>
      <c r="C64"/>
      <c r="D64"/>
      <c r="E64"/>
      <c r="F64"/>
      <c r="G64"/>
      <c r="H64"/>
      <c r="I64"/>
      <c r="J64"/>
      <c r="K64"/>
      <c r="L64"/>
      <c r="M64"/>
      <c r="N64" t="str">
        <f>$Q$6&amp;Q62&amp;P64</f>
        <v>US FOODPRIVATE LABELMayo</v>
      </c>
      <c r="O64" s="106" t="s">
        <v>102</v>
      </c>
      <c r="P64" s="107" t="s">
        <v>122</v>
      </c>
      <c r="Q64" s="139" cm="1">
        <f t="array" ref="Q64">SUM(_xlfn._xlws.FILTER('Calculations - US Food'!$O$32:$O$229*'Calculations - US Food'!$J$32:$J$229,'Calculations - US Food'!$C$32:$C$229=$N64))/SUM(_xlfn._xlws.FILTER('Calculations - US Food'!$J$32:$J$229,'Calculations - US Food'!$C$32:$C$229=$N64))</f>
        <v>2.3136395149993274</v>
      </c>
      <c r="R64" s="149" cm="1">
        <f t="array" ref="R64">SUM(_xlfn._xlws.FILTER('Calculations - US Food'!$AH$32:$AH$229*'Calculations - US Food'!$AL$32:$AL$229,'Calculations - US Food'!$C$32:$C$229=$N64))/SUM(_xlfn._xlws.FILTER('Calculations - US Food'!$AL$32:$AL$229,'Calculations - US Food'!$C$32:$C$229=$N64))</f>
        <v>2.3136395149993274</v>
      </c>
      <c r="S64" s="104"/>
      <c r="T64" s="104"/>
      <c r="U64" s="128">
        <f>IFERROR(R64/Q64-1,0)</f>
        <v>0</v>
      </c>
      <c r="V64" s="128">
        <f>SUM(V65:V69)</f>
        <v>0.15258572055379405</v>
      </c>
      <c r="W64" s="128">
        <f>SUM(W65:W69)</f>
        <v>0.10243240177040315</v>
      </c>
      <c r="X64"/>
      <c r="Y64" s="223"/>
      <c r="Z64" s="88" t="s">
        <v>71</v>
      </c>
      <c r="AA64" s="87" t="s">
        <v>85</v>
      </c>
      <c r="AB64" s="88" t="s">
        <v>71</v>
      </c>
      <c r="AC64" s="87" t="s">
        <v>85</v>
      </c>
      <c r="AD64"/>
      <c r="AE64"/>
      <c r="AF64"/>
    </row>
    <row r="65" spans="1:32" ht="25.05" customHeight="1" x14ac:dyDescent="0.45">
      <c r="A65"/>
      <c r="B65"/>
      <c r="C65"/>
      <c r="D65"/>
      <c r="E65"/>
      <c r="F65"/>
      <c r="G65"/>
      <c r="H65"/>
      <c r="I65"/>
      <c r="J65"/>
      <c r="K65"/>
      <c r="L65"/>
      <c r="M65"/>
      <c r="N65" t="str">
        <f>$Q$6&amp;Q62&amp;O65&amp;P65</f>
        <v>US FOODPRIVATE LABELMayoJAR 8OZ</v>
      </c>
      <c r="O65" s="106" t="s">
        <v>122</v>
      </c>
      <c r="P65" s="34" t="s">
        <v>119</v>
      </c>
      <c r="Q65" s="141">
        <f>IFERROR(INDEX('Calculations - US Food'!$O$32:$O$229,MATCH($N65,'Calculations - US Food'!$D$32:$D$229,0)),0)</f>
        <v>4.8883629494814693</v>
      </c>
      <c r="R65" s="150">
        <f>Q65</f>
        <v>4.8883629494814693</v>
      </c>
      <c r="S65" s="105"/>
      <c r="T65" s="105"/>
      <c r="U65" s="155">
        <f>IFERROR(R65/Q65-1,0)</f>
        <v>0</v>
      </c>
      <c r="V65" s="124">
        <f>IFERROR(INDEX('Calculations - US Food'!$BB$32:$BB$229,MATCH('US Food'!$N65,'Calculations - US Food'!$D$32:$D$229,0)),"-")</f>
        <v>4.6226253614707283E-3</v>
      </c>
      <c r="W65" s="124">
        <f>IFERROR(INDEX('Calculations - US Food'!$BE$32:$BE$229,MATCH('US Food'!$N65,'Calculations - US Food'!$D$32:$D$229,0)),"-")</f>
        <v>6.5373213179110339E-3</v>
      </c>
      <c r="X65"/>
      <c r="Y65" s="93" t="str">
        <f>$Q$11</f>
        <v>KRAFT</v>
      </c>
      <c r="Z65" s="89">
        <f>INDEX('Calculations - US Food'!$AZ$4:$AZ$24,MATCH('US Food'!$Y65,'Calculations - US Food'!$F$4:$F$24,0))</f>
        <v>100</v>
      </c>
      <c r="AA65" s="86">
        <f>INDEX('Calculations - US Food'!$BB$4:$BB$24,MATCH('US Food'!$Y65,'Calculations - US Food'!$F$4:$F$24,0))</f>
        <v>100</v>
      </c>
      <c r="AB65" s="89">
        <f>INDEX('Calculations - US Food'!$BA$4:$BA$24,MATCH('US Food'!$Y65,'Calculations - US Food'!$F$4:$F$24,0))</f>
        <v>107.44248592596355</v>
      </c>
      <c r="AC65" s="86">
        <f>INDEX('Calculations - US Food'!$BC$4:$BC$24,MATCH('US Food'!$Y65,'Calculations - US Food'!$F$4:$F$24,0))</f>
        <v>107.44248592596357</v>
      </c>
      <c r="AD65"/>
      <c r="AE65"/>
      <c r="AF65"/>
    </row>
    <row r="66" spans="1:32" ht="25.05" customHeight="1" x14ac:dyDescent="0.45">
      <c r="A66"/>
      <c r="B66"/>
      <c r="C66"/>
      <c r="D66"/>
      <c r="E66"/>
      <c r="F66"/>
      <c r="G66"/>
      <c r="H66"/>
      <c r="I66"/>
      <c r="J66"/>
      <c r="K66"/>
      <c r="L66"/>
      <c r="M66"/>
      <c r="N66" t="str">
        <f>$Q$6&amp;Q62&amp;O66&amp;P66</f>
        <v>US FOODPRIVATE LABELMayoJAR 15OZ</v>
      </c>
      <c r="O66" s="106" t="s">
        <v>122</v>
      </c>
      <c r="P66" s="34" t="s">
        <v>116</v>
      </c>
      <c r="Q66" s="141">
        <f>IFERROR(INDEX('Calculations - US Food'!$O$32:$O$229,MATCH($N66,'Calculations - US Food'!$D$32:$D$229,0)),0)</f>
        <v>3.6237611384624149</v>
      </c>
      <c r="R66" s="150">
        <f>Q66</f>
        <v>3.6237611384624149</v>
      </c>
      <c r="S66" s="105"/>
      <c r="T66" s="105"/>
      <c r="U66" s="155">
        <f t="shared" ref="U66:U73" si="17">IFERROR(R66/Q66-1,0)</f>
        <v>0</v>
      </c>
      <c r="V66" s="124">
        <f>IFERROR(INDEX('Calculations - US Food'!$BB$32:$BB$229,MATCH('US Food'!$N66,'Calculations - US Food'!$D$32:$D$229,0)),"-")</f>
        <v>1.4166478078067177E-2</v>
      </c>
      <c r="W66" s="124">
        <f>IFERROR(INDEX('Calculations - US Food'!$BE$32:$BE$229,MATCH('US Food'!$N66,'Calculations - US Food'!$D$32:$D$229,0)),"-")</f>
        <v>1.4851459914259941E-2</v>
      </c>
      <c r="X66"/>
      <c r="Y66" s="94" t="str">
        <f>$Q$25</f>
        <v>MIRACLE WHIP</v>
      </c>
      <c r="Z66" s="90">
        <f>INDEX('Calculations - US Food'!$AZ$4:$AZ$24,MATCH('US Food'!$Y66,'Calculations - US Food'!$F$4:$F$24,0))</f>
        <v>93.073051259171336</v>
      </c>
      <c r="AA66" s="84">
        <f>INDEX('Calculations - US Food'!$BB$4:$BB$24,MATCH('US Food'!$Y66,'Calculations - US Food'!$F$4:$F$24,0))</f>
        <v>93.073051259171322</v>
      </c>
      <c r="AB66" s="90">
        <f>INDEX('Calculations - US Food'!$BA$4:$BA$24,MATCH('US Food'!$Y66,'Calculations - US Food'!$F$4:$F$24,0))</f>
        <v>100</v>
      </c>
      <c r="AC66" s="84">
        <f>INDEX('Calculations - US Food'!$BC$4:$BC$24,MATCH('US Food'!$Y66,'Calculations - US Food'!$F$4:$F$24,0))</f>
        <v>100</v>
      </c>
      <c r="AD66"/>
      <c r="AE66"/>
      <c r="AF66"/>
    </row>
    <row r="67" spans="1:32" ht="25.05" customHeight="1" x14ac:dyDescent="0.45">
      <c r="A67"/>
      <c r="B67"/>
      <c r="C67"/>
      <c r="D67"/>
      <c r="E67"/>
      <c r="F67"/>
      <c r="G67"/>
      <c r="H67"/>
      <c r="I67"/>
      <c r="J67"/>
      <c r="K67"/>
      <c r="L67"/>
      <c r="M67"/>
      <c r="N67" t="str">
        <f>$Q$6&amp;Q62&amp;O67&amp;P67</f>
        <v>US FOODPRIVATE LABELMayoJAR 30OZ</v>
      </c>
      <c r="O67" s="106" t="s">
        <v>122</v>
      </c>
      <c r="P67" s="34" t="s">
        <v>118</v>
      </c>
      <c r="Q67" s="141">
        <f>IFERROR(INDEX('Calculations - US Food'!$O$32:$O$229,MATCH($N67,'Calculations - US Food'!$D$32:$D$229,0)),0)</f>
        <v>1.9721657916408764</v>
      </c>
      <c r="R67" s="150">
        <f>Q67</f>
        <v>1.9721657916408764</v>
      </c>
      <c r="S67" s="105"/>
      <c r="T67" s="105"/>
      <c r="U67" s="155">
        <f t="shared" si="17"/>
        <v>0</v>
      </c>
      <c r="V67" s="124">
        <f>IFERROR(INDEX('Calculations - US Food'!$BB$32:$BB$229,MATCH('US Food'!$N67,'Calculations - US Food'!$D$32:$D$229,0)),"-")</f>
        <v>0.11858102507195613</v>
      </c>
      <c r="W67" s="124">
        <f>IFERROR(INDEX('Calculations - US Food'!$BE$32:$BE$229,MATCH('US Food'!$N67,'Calculations - US Food'!$D$32:$D$229,0)),"-")</f>
        <v>6.7655999115370929E-2</v>
      </c>
      <c r="X67"/>
      <c r="Y67" s="94" t="str">
        <f>$Q$35</f>
        <v>HELLMANNS BEST FOODS</v>
      </c>
      <c r="Z67" s="90">
        <f>INDEX('Calculations - US Food'!$AZ$4:$AZ$24,MATCH('US Food'!$Y67,'Calculations - US Food'!$F$4:$F$24,0))</f>
        <v>91.555678554450537</v>
      </c>
      <c r="AA67" s="84">
        <f>INDEX('Calculations - US Food'!$BB$4:$BB$24,MATCH('US Food'!$Y67,'Calculations - US Food'!$F$4:$F$24,0))</f>
        <v>91.555678554450537</v>
      </c>
      <c r="AB67" s="90">
        <f>INDEX('Calculations - US Food'!$BA$4:$BA$24,MATCH('US Food'!$Y67,'Calculations - US Food'!$F$4:$F$24,0))</f>
        <v>98.36969704528596</v>
      </c>
      <c r="AC67" s="84">
        <f>INDEX('Calculations - US Food'!$BC$4:$BC$24,MATCH('US Food'!$Y67,'Calculations - US Food'!$F$4:$F$24,0))</f>
        <v>98.36969704528596</v>
      </c>
      <c r="AD67"/>
      <c r="AE67"/>
      <c r="AF67"/>
    </row>
    <row r="68" spans="1:32" ht="25.05" customHeight="1" x14ac:dyDescent="0.45">
      <c r="A68"/>
      <c r="B68"/>
      <c r="C68"/>
      <c r="D68"/>
      <c r="E68"/>
      <c r="F68"/>
      <c r="G68"/>
      <c r="H68"/>
      <c r="I68"/>
      <c r="J68"/>
      <c r="K68"/>
      <c r="L68"/>
      <c r="M68"/>
      <c r="N68" t="str">
        <f>$Q$6&amp;Q62&amp;O68&amp;P68</f>
        <v>US FOODPRIVATE LABELMayoSQUEEZY 18 TO 22OZ</v>
      </c>
      <c r="O68" s="106" t="s">
        <v>122</v>
      </c>
      <c r="P68" s="34" t="s">
        <v>120</v>
      </c>
      <c r="Q68" s="141">
        <f>IFERROR(INDEX('Calculations - US Food'!$O$32:$O$229,MATCH($N68,'Calculations - US Food'!$D$32:$D$229,0)),0)</f>
        <v>3.1994337555635335</v>
      </c>
      <c r="R68" s="150">
        <f>Q68</f>
        <v>3.1994337555635335</v>
      </c>
      <c r="S68" s="105"/>
      <c r="T68" s="105"/>
      <c r="U68" s="155">
        <f t="shared" si="17"/>
        <v>0</v>
      </c>
      <c r="V68" s="124">
        <f>IFERROR(INDEX('Calculations - US Food'!$BB$32:$BB$229,MATCH('US Food'!$N68,'Calculations - US Food'!$D$32:$D$229,0)),"-")</f>
        <v>9.6528458899899118E-3</v>
      </c>
      <c r="W68" s="124">
        <f>IFERROR(INDEX('Calculations - US Food'!$BE$32:$BE$229,MATCH('US Food'!$N68,'Calculations - US Food'!$D$32:$D$229,0)),"-")</f>
        <v>8.9346220397926515E-3</v>
      </c>
      <c r="X68"/>
      <c r="Y68" s="94" t="str">
        <f>$Q$49</f>
        <v>DUKES</v>
      </c>
      <c r="Z68" s="90">
        <f>INDEX('Calculations - US Food'!$AZ$4:$AZ$24,MATCH('US Food'!$Y68,'Calculations - US Food'!$F$4:$F$24,0))</f>
        <v>113.80824384295752</v>
      </c>
      <c r="AA68" s="84">
        <f>INDEX('Calculations - US Food'!$BB$4:$BB$24,MATCH('US Food'!$Y68,'Calculations - US Food'!$F$4:$F$24,0))</f>
        <v>113.80824384295751</v>
      </c>
      <c r="AB68" s="90">
        <f>INDEX('Calculations - US Food'!$BA$4:$BA$24,MATCH('US Food'!$Y68,'Calculations - US Food'!$F$4:$F$24,0))</f>
        <v>122.27840637355591</v>
      </c>
      <c r="AC68" s="84">
        <f>INDEX('Calculations - US Food'!$BC$4:$BC$24,MATCH('US Food'!$Y68,'Calculations - US Food'!$F$4:$F$24,0))</f>
        <v>122.27840637355591</v>
      </c>
      <c r="AD68"/>
      <c r="AE68"/>
      <c r="AF68"/>
    </row>
    <row r="69" spans="1:32" ht="25.05" customHeight="1" x14ac:dyDescent="0.45">
      <c r="A69"/>
      <c r="B69"/>
      <c r="C69"/>
      <c r="D69"/>
      <c r="E69"/>
      <c r="F69"/>
      <c r="G69"/>
      <c r="H69"/>
      <c r="I69"/>
      <c r="J69"/>
      <c r="K69"/>
      <c r="L69"/>
      <c r="M69"/>
      <c r="N69" t="str">
        <f>$Q$6&amp;Q62&amp;O69&amp;P69</f>
        <v>US FOODPRIVATE LABELMayoOTHER</v>
      </c>
      <c r="O69" s="106" t="s">
        <v>122</v>
      </c>
      <c r="P69" s="34" t="s">
        <v>115</v>
      </c>
      <c r="Q69" s="141">
        <f>IFERROR(INDEX('Calculations - US Food'!$O$32:$O$229,MATCH($N69,'Calculations - US Food'!$D$32:$D$229,0)),0)</f>
        <v>2.767041691428767</v>
      </c>
      <c r="R69" s="150">
        <f>Q69</f>
        <v>2.767041691428767</v>
      </c>
      <c r="S69" s="105"/>
      <c r="T69" s="105"/>
      <c r="U69" s="155">
        <f t="shared" si="17"/>
        <v>0</v>
      </c>
      <c r="V69" s="124">
        <f>IFERROR(INDEX('Calculations - US Food'!$BB$32:$BB$229,MATCH('US Food'!$N69,'Calculations - US Food'!$D$32:$D$229,0)),"-")</f>
        <v>5.5627461523100954E-3</v>
      </c>
      <c r="W69" s="124">
        <f>IFERROR(INDEX('Calculations - US Food'!$BE$32:$BE$229,MATCH('US Food'!$N69,'Calculations - US Food'!$D$32:$D$229,0)),"-")</f>
        <v>4.4529993830686029E-3</v>
      </c>
      <c r="X69"/>
      <c r="Y69" s="94" t="str">
        <f>$Q$62</f>
        <v>PRIVATE LABEL</v>
      </c>
      <c r="Z69" s="90">
        <f>INDEX('Calculations - US Food'!$AZ$4:$AZ$24,MATCH('US Food'!$Y69,'Calculations - US Food'!$F$4:$F$24,0))</f>
        <v>145.87565536264802</v>
      </c>
      <c r="AA69" s="84">
        <f>INDEX('Calculations - US Food'!$BB$4:$BB$24,MATCH('US Food'!$Y69,'Calculations - US Food'!$F$4:$F$24,0))</f>
        <v>145.87565536264799</v>
      </c>
      <c r="AB69" s="90">
        <f>INDEX('Calculations - US Food'!$BA$4:$BA$24,MATCH('US Food'!$Y69,'Calculations - US Food'!$F$4:$F$24,0))</f>
        <v>156.7324304824202</v>
      </c>
      <c r="AC69" s="84">
        <f>INDEX('Calculations - US Food'!$BC$4:$BC$24,MATCH('US Food'!$Y69,'Calculations - US Food'!$F$4:$F$24,0))</f>
        <v>156.7324304824202</v>
      </c>
      <c r="AD69"/>
      <c r="AE69"/>
      <c r="AF69"/>
    </row>
    <row r="70" spans="1:32" ht="25.05" customHeight="1" x14ac:dyDescent="0.45">
      <c r="A70"/>
      <c r="B70"/>
      <c r="C70"/>
      <c r="D70"/>
      <c r="E70"/>
      <c r="F70"/>
      <c r="G70"/>
      <c r="H70"/>
      <c r="I70"/>
      <c r="J70"/>
      <c r="K70"/>
      <c r="L70"/>
      <c r="M70"/>
      <c r="N70" t="str">
        <f>$Q$6&amp;Q62&amp;P70</f>
        <v>US FOODPRIVATE LABELAioli</v>
      </c>
      <c r="O70" s="106" t="s">
        <v>123</v>
      </c>
      <c r="P70" s="107" t="s">
        <v>124</v>
      </c>
      <c r="Q70" s="139" cm="1">
        <f t="array" ref="Q70">SUM(_xlfn._xlws.FILTER('Calculations - US Food'!$O$32:$O$229*'Calculations - US Food'!$J$32:$J$229,'Calculations - US Food'!$C$32:$C$229=$N70))/SUM(_xlfn._xlws.FILTER('Calculations - US Food'!$J$32:$J$229,'Calculations - US Food'!$C$32:$C$229=$N70))</f>
        <v>4.8459843217785945</v>
      </c>
      <c r="R70" s="149" cm="1">
        <f t="array" ref="R70">SUM(_xlfn._xlws.FILTER('Calculations - US Food'!$AH$32:$AH$229*'Calculations - US Food'!$AL$32:$AL$229,'Calculations - US Food'!$C$32:$C$229=$N70))/SUM(_xlfn._xlws.FILTER('Calculations - US Food'!$AL$32:$AL$229,'Calculations - US Food'!$C$32:$C$229=$N70))</f>
        <v>4.8459843217785945</v>
      </c>
      <c r="S70" s="105"/>
      <c r="T70" s="105"/>
      <c r="U70" s="128">
        <f>IFERROR(R70/Q70-1,0)</f>
        <v>0</v>
      </c>
      <c r="V70" s="128">
        <f>SUM(V71:V73)</f>
        <v>6.1832840009530456E-4</v>
      </c>
      <c r="W70" s="128">
        <f>SUM(W71:W73)</f>
        <v>8.4764249138631663E-4</v>
      </c>
      <c r="X70"/>
      <c r="Y70" s="94" t="str">
        <f>$Q$75</f>
        <v>MCCORMICK AIOLI</v>
      </c>
      <c r="Z70" s="90">
        <f>INDEX('Calculations - US Food'!$AZ$4:$AZ$24,MATCH('US Food'!$Y70,'Calculations - US Food'!$F$4:$F$24,0))</f>
        <v>73.780236233837115</v>
      </c>
      <c r="AA70" s="84">
        <f>INDEX('Calculations - US Food'!$BB$4:$BB$24,MATCH('US Food'!$Y70,'Calculations - US Food'!$F$4:$F$24,0))</f>
        <v>73.780236233837115</v>
      </c>
      <c r="AB70" s="90">
        <f>INDEX('Calculations - US Food'!$BA$4:$BA$24,MATCH('US Food'!$Y70,'Calculations - US Food'!$F$4:$F$24,0))</f>
        <v>79.271319931683095</v>
      </c>
      <c r="AC70" s="84">
        <f>INDEX('Calculations - US Food'!$BC$4:$BC$24,MATCH('US Food'!$Y70,'Calculations - US Food'!$F$4:$F$24,0))</f>
        <v>79.271319931683109</v>
      </c>
      <c r="AD70"/>
      <c r="AE70"/>
      <c r="AF70"/>
    </row>
    <row r="71" spans="1:32" ht="25.05" customHeight="1" thickBot="1" x14ac:dyDescent="0.5">
      <c r="A71"/>
      <c r="B71"/>
      <c r="C71"/>
      <c r="D71"/>
      <c r="E71"/>
      <c r="F71"/>
      <c r="G71"/>
      <c r="H71"/>
      <c r="I71"/>
      <c r="J71"/>
      <c r="K71"/>
      <c r="L71"/>
      <c r="M71"/>
      <c r="N71" t="str">
        <f>$Q$6&amp;Q62&amp;O71&amp;P71</f>
        <v>US FOODPRIVATE LABELAioliJAR 8OZ</v>
      </c>
      <c r="O71" s="106" t="s">
        <v>124</v>
      </c>
      <c r="P71" s="34" t="s">
        <v>119</v>
      </c>
      <c r="Q71" s="141">
        <f>IFERROR(INDEX('Calculations - US Food'!$O$32:$O$229,MATCH($N71,'Calculations - US Food'!$D$32:$D$229,0)),0)</f>
        <v>6.6049405262678764</v>
      </c>
      <c r="R71" s="150">
        <f>Q71</f>
        <v>6.6049405262678764</v>
      </c>
      <c r="S71" s="105"/>
      <c r="T71" s="105"/>
      <c r="U71" s="155">
        <f t="shared" si="17"/>
        <v>0</v>
      </c>
      <c r="V71" s="124">
        <f>IFERROR(INDEX('Calculations - US Food'!$BB$32:$BB$229,MATCH('US Food'!$N71,'Calculations - US Food'!$D$32:$D$229,0)),"-")</f>
        <v>2.4965908235842824E-4</v>
      </c>
      <c r="W71" s="124">
        <f>IFERROR(INDEX('Calculations - US Food'!$BE$32:$BE$229,MATCH('US Food'!$N71,'Calculations - US Food'!$D$32:$D$229,0)),"-")</f>
        <v>4.7705007830901039E-4</v>
      </c>
      <c r="X71"/>
      <c r="Y71" s="95" t="s">
        <v>56</v>
      </c>
      <c r="Z71" s="91">
        <f>INDEX('Calculations - US Food'!$AZ$4:$AZ$24,MATCH('US Food'!$Y71,'Calculations - US Food'!$F$4:$F$24,0))</f>
        <v>98.255856368896715</v>
      </c>
      <c r="AA71" s="85">
        <f>INDEX('Calculations - US Food'!$BB$4:$BB$24,MATCH('US Food'!$Y71,'Calculations - US Food'!$F$4:$F$24,0))</f>
        <v>98.339725649851076</v>
      </c>
      <c r="AB71" s="91">
        <f>INDEX('Calculations - US Food'!$BA$4:$BA$24,MATCH('US Food'!$Y71,'Calculations - US Food'!$F$4:$F$24,0))</f>
        <v>105.56853465058681</v>
      </c>
      <c r="AC71" s="85">
        <f>INDEX('Calculations - US Food'!$BC$4:$BC$24,MATCH('US Food'!$Y71,'Calculations - US Food'!$F$4:$F$24,0))</f>
        <v>105.65864589097242</v>
      </c>
      <c r="AD71"/>
      <c r="AE71"/>
      <c r="AF71"/>
    </row>
    <row r="72" spans="1:32" ht="25.05" customHeight="1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 t="str">
        <f>$Q$6&amp;Q62&amp;O72&amp;P72</f>
        <v>US FOODPRIVATE LABELAioliJAR 30OZ</v>
      </c>
      <c r="O72" s="106" t="s">
        <v>124</v>
      </c>
      <c r="P72" s="34" t="s">
        <v>118</v>
      </c>
      <c r="Q72" s="141">
        <f>IFERROR(INDEX('Calculations - US Food'!$O$32:$O$229,MATCH($N72,'Calculations - US Food'!$D$32:$D$229,0)),0)</f>
        <v>2.5914917301682627</v>
      </c>
      <c r="R72" s="150">
        <f>Q72</f>
        <v>2.5914917301682627</v>
      </c>
      <c r="S72" s="105"/>
      <c r="T72" s="105"/>
      <c r="U72" s="155">
        <f t="shared" ref="U72" si="18">IFERROR(R72/Q72-1,0)</f>
        <v>0</v>
      </c>
      <c r="V72" s="124">
        <f>IFERROR(INDEX('Calculations - US Food'!$BB$32:$BB$229,MATCH('US Food'!$N72,'Calculations - US Food'!$D$32:$D$229,0)),"-")</f>
        <v>4.4893331321365693E-5</v>
      </c>
      <c r="W72" s="124">
        <f>IFERROR(INDEX('Calculations - US Food'!$BE$32:$BE$229,MATCH('US Food'!$N72,'Calculations - US Food'!$D$32:$D$229,0)),"-")</f>
        <v>3.3657305983853306E-5</v>
      </c>
      <c r="X72"/>
      <c r="Y72"/>
      <c r="Z72"/>
      <c r="AA72"/>
      <c r="AB72"/>
      <c r="AC72"/>
      <c r="AD72"/>
      <c r="AE72"/>
      <c r="AF72"/>
    </row>
    <row r="73" spans="1:32" ht="25.05" customHeight="1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 t="str">
        <f>$Q$6&amp;Q62&amp;O73&amp;P73</f>
        <v>US FOODPRIVATE LABELAioliOTHER</v>
      </c>
      <c r="O73" s="106" t="s">
        <v>124</v>
      </c>
      <c r="P73" s="34" t="s">
        <v>115</v>
      </c>
      <c r="Q73" s="141">
        <f>IFERROR(INDEX('Calculations - US Food'!$O$32:$O$229,MATCH($N73,'Calculations - US Food'!$D$32:$D$229,0)),0)</f>
        <v>3.5971118278441638</v>
      </c>
      <c r="R73" s="150">
        <f>Q73</f>
        <v>3.5971118278441638</v>
      </c>
      <c r="S73" s="105"/>
      <c r="T73" s="105"/>
      <c r="U73" s="155">
        <f t="shared" si="17"/>
        <v>0</v>
      </c>
      <c r="V73" s="124">
        <f>IFERROR(INDEX('Calculations - US Food'!$BB$32:$BB$229,MATCH('US Food'!$N73,'Calculations - US Food'!$D$32:$D$229,0)),"-")</f>
        <v>3.2377598641551068E-4</v>
      </c>
      <c r="W73" s="124">
        <f>IFERROR(INDEX('Calculations - US Food'!$BE$32:$BE$229,MATCH('US Food'!$N73,'Calculations - US Food'!$D$32:$D$229,0)),"-")</f>
        <v>3.3693510709345288E-4</v>
      </c>
      <c r="X73"/>
      <c r="Y73"/>
      <c r="Z73"/>
      <c r="AA73"/>
      <c r="AB73"/>
      <c r="AC73"/>
      <c r="AD73"/>
      <c r="AE73"/>
      <c r="AF73"/>
    </row>
    <row r="74" spans="1:32" ht="25.05" customHeight="1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34"/>
      <c r="Q74" s="48"/>
      <c r="R74" s="48"/>
      <c r="S74"/>
      <c r="T74"/>
      <c r="U74" s="128"/>
      <c r="V74" s="124"/>
      <c r="W74" s="124"/>
      <c r="X74"/>
      <c r="Y74"/>
      <c r="Z74"/>
      <c r="AA74"/>
      <c r="AB74"/>
      <c r="AC74"/>
      <c r="AD74"/>
      <c r="AE74"/>
      <c r="AF74"/>
    </row>
    <row r="75" spans="1:32" ht="25.05" customHeight="1" x14ac:dyDescent="0.4">
      <c r="A75"/>
      <c r="B75"/>
      <c r="C75"/>
      <c r="D75"/>
      <c r="E75"/>
      <c r="F75"/>
      <c r="G75"/>
      <c r="H75"/>
      <c r="I75"/>
      <c r="J75"/>
      <c r="K75"/>
      <c r="L75"/>
      <c r="M75"/>
      <c r="N75" s="46" t="s">
        <v>9</v>
      </c>
      <c r="O75" s="46"/>
      <c r="P75" s="41"/>
      <c r="Q75" s="204" t="str">
        <f>'Calculations - US Food'!F9</f>
        <v>MCCORMICK AIOLI</v>
      </c>
      <c r="R75" s="204"/>
      <c r="S75" s="41"/>
      <c r="T75" s="41"/>
      <c r="U75" s="155">
        <f>R76/Q76-1</f>
        <v>0</v>
      </c>
      <c r="V75" s="130">
        <f>V77</f>
        <v>1.4867874948955201E-2</v>
      </c>
      <c r="W75" s="130">
        <f>W77</f>
        <v>1.9816997316769201E-2</v>
      </c>
      <c r="X75"/>
      <c r="Y75"/>
      <c r="Z75"/>
      <c r="AA75"/>
      <c r="AB75"/>
      <c r="AC75"/>
      <c r="AD75"/>
      <c r="AE75"/>
      <c r="AF75"/>
    </row>
    <row r="76" spans="1:32" ht="25.05" customHeight="1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 t="str">
        <f>$Q$6&amp;Q75&amp;P76</f>
        <v>US FOODMCCORMICK AIOLI</v>
      </c>
      <c r="O76"/>
      <c r="P76" s="41"/>
      <c r="Q76" s="139">
        <f>INDEX('Calculations - US Food'!$M$3:$M$24,MATCH(N76,'Calculations - US Food'!$D$3:$D$24,0))</f>
        <v>4.594744151110465</v>
      </c>
      <c r="R76" s="151">
        <f>INDEX('Calculations - US Food'!$AF$3:$AF$24,MATCH(N76,'Calculations - US Food'!$D$3:$D$24,0))</f>
        <v>4.5947441511104641</v>
      </c>
      <c r="S76" s="104"/>
      <c r="T76" s="104"/>
      <c r="U76" s="125"/>
      <c r="V76" s="125"/>
      <c r="W76" s="125"/>
      <c r="X76"/>
      <c r="Y76"/>
      <c r="Z76"/>
      <c r="AA76"/>
      <c r="AB76"/>
      <c r="AC76"/>
      <c r="AD76"/>
      <c r="AE76"/>
      <c r="AF76"/>
    </row>
    <row r="77" spans="1:32" ht="25.05" customHeight="1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 t="str">
        <f>$Q$6&amp;Q75&amp;P77</f>
        <v>US FOODMCCORMICK AIOLIAioli</v>
      </c>
      <c r="O77" s="106" t="s">
        <v>102</v>
      </c>
      <c r="P77" s="107" t="s">
        <v>124</v>
      </c>
      <c r="Q77" s="139" cm="1">
        <f t="array" ref="Q77">SUM(_xlfn._xlws.FILTER('Calculations - US Food'!$O$32:$O$229*'Calculations - US Food'!$J$32:$J$229,'Calculations - US Food'!$C$32:$C$229=$N77))/SUM(_xlfn._xlws.FILTER('Calculations - US Food'!$J$32:$J$229,'Calculations - US Food'!$C$32:$C$229=$N77))</f>
        <v>4.5947441511104641</v>
      </c>
      <c r="R77" s="151" cm="1">
        <f t="array" ref="R77">SUM(_xlfn._xlws.FILTER('Calculations - US Food'!$AH$32:$AH$229*'Calculations - US Food'!$AL$32:$AL$229,'Calculations - US Food'!$C$32:$C$229=$N77))/SUM(_xlfn._xlws.FILTER('Calculations - US Food'!$AL$32:$AL$229,'Calculations - US Food'!$C$32:$C$229=$N77))</f>
        <v>4.5947441511104641</v>
      </c>
      <c r="S77" s="104"/>
      <c r="T77" s="104"/>
      <c r="U77" s="128">
        <f>IFERROR(R77/Q77-1,0)</f>
        <v>0</v>
      </c>
      <c r="V77" s="128">
        <f>SUM(V78:V80)</f>
        <v>1.4867874948955201E-2</v>
      </c>
      <c r="W77" s="128">
        <f>SUM(W78:W80)</f>
        <v>1.9816997316769201E-2</v>
      </c>
      <c r="X77"/>
      <c r="Y77"/>
      <c r="Z77"/>
      <c r="AA77"/>
      <c r="AB77"/>
      <c r="AC77"/>
      <c r="AD77"/>
      <c r="AE77"/>
      <c r="AF77"/>
    </row>
    <row r="78" spans="1:32" ht="25.05" customHeight="1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 t="str">
        <f>$Q$6&amp;Q75&amp;O78&amp;P78</f>
        <v>US FOODMCCORMICK AIOLIAioliJAR 15OZ</v>
      </c>
      <c r="O78" s="106" t="s">
        <v>124</v>
      </c>
      <c r="P78" s="34" t="s">
        <v>116</v>
      </c>
      <c r="Q78" s="141">
        <f>IFERROR(INDEX('Calculations - US Food'!$O$32:$O$229,MATCH($N78,'Calculations - US Food'!$D$32:$D$229,0)),0)</f>
        <v>6.630329221619176</v>
      </c>
      <c r="R78" s="152">
        <f>Q78</f>
        <v>6.630329221619176</v>
      </c>
      <c r="S78" s="105"/>
      <c r="T78" s="105"/>
      <c r="U78" s="155">
        <f>IFERROR(R78/Q78-1,0)</f>
        <v>0</v>
      </c>
      <c r="V78" s="124">
        <f>IFERROR(INDEX('Calculations - US Food'!$BB$32:$BB$229,MATCH('US Food'!$N78,'Calculations - US Food'!$D$32:$D$229,0)),"-")</f>
        <v>2.0299819076167762E-3</v>
      </c>
      <c r="W78" s="124">
        <f>IFERROR(INDEX('Calculations - US Food'!$BE$32:$BE$229,MATCH('US Food'!$N78,'Calculations - US Food'!$D$32:$D$229,0)),"-")</f>
        <v>3.8690212649887682E-3</v>
      </c>
      <c r="X78"/>
      <c r="Y78"/>
      <c r="Z78"/>
      <c r="AA78"/>
      <c r="AB78"/>
      <c r="AC78"/>
      <c r="AD78"/>
      <c r="AE78"/>
      <c r="AF78"/>
    </row>
    <row r="79" spans="1:32" ht="25.05" customHeight="1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 t="str">
        <f>$Q$6&amp;Q75&amp;O79&amp;P79</f>
        <v>US FOODMCCORMICK AIOLIAioliJAR 30OZ</v>
      </c>
      <c r="O79" s="106" t="s">
        <v>124</v>
      </c>
      <c r="P79" s="34" t="s">
        <v>118</v>
      </c>
      <c r="Q79" s="141">
        <f>IFERROR(INDEX('Calculations - US Food'!$O$32:$O$229,MATCH($N79,'Calculations - US Food'!$D$32:$D$229,0)),0)</f>
        <v>4.2031803572344053</v>
      </c>
      <c r="R79" s="152">
        <f>Q79</f>
        <v>4.2031803572344053</v>
      </c>
      <c r="S79" s="105"/>
      <c r="T79" s="105"/>
      <c r="U79" s="155">
        <f t="shared" ref="U79:U80" si="19">IFERROR(R79/Q79-1,0)</f>
        <v>0</v>
      </c>
      <c r="V79" s="124">
        <f>IFERROR(INDEX('Calculations - US Food'!$BB$32:$BB$229,MATCH('US Food'!$N79,'Calculations - US Food'!$D$32:$D$229,0)),"-")</f>
        <v>1.2020914172967283E-2</v>
      </c>
      <c r="W79" s="124">
        <f>IFERROR(INDEX('Calculations - US Food'!$BE$32:$BE$229,MATCH('US Food'!$N79,'Calculations - US Food'!$D$32:$D$229,0)),"-")</f>
        <v>1.4524104947334946E-2</v>
      </c>
      <c r="X79"/>
      <c r="Y79"/>
      <c r="Z79"/>
      <c r="AA79"/>
      <c r="AB79"/>
      <c r="AC79"/>
      <c r="AD79"/>
      <c r="AE79"/>
      <c r="AF79"/>
    </row>
    <row r="80" spans="1:32" ht="25.05" customHeight="1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 t="str">
        <f>$Q$6&amp;Q75&amp;O80&amp;P80</f>
        <v>US FOODMCCORMICK AIOLIAioliOTHER</v>
      </c>
      <c r="O80" s="106" t="s">
        <v>124</v>
      </c>
      <c r="P80" s="34" t="s">
        <v>115</v>
      </c>
      <c r="Q80" s="141">
        <f>IFERROR(INDEX('Calculations - US Food'!$O$32:$O$229,MATCH($N80,'Calculations - US Food'!$D$32:$D$229,0)),0)</f>
        <v>6.0629780671415503</v>
      </c>
      <c r="R80" s="152">
        <f>Q80</f>
        <v>6.0629780671415503</v>
      </c>
      <c r="S80" s="105"/>
      <c r="T80" s="105"/>
      <c r="U80" s="155">
        <f t="shared" si="19"/>
        <v>0</v>
      </c>
      <c r="V80" s="124">
        <f>IFERROR(INDEX('Calculations - US Food'!$BB$32:$BB$229,MATCH('US Food'!$N80,'Calculations - US Food'!$D$32:$D$229,0)),"-")</f>
        <v>8.1697886837113953E-4</v>
      </c>
      <c r="W80" s="124">
        <f>IFERROR(INDEX('Calculations - US Food'!$BE$32:$BE$229,MATCH('US Food'!$N80,'Calculations - US Food'!$D$32:$D$229,0)),"-")</f>
        <v>1.4238711044454856E-3</v>
      </c>
      <c r="X80"/>
      <c r="Y80"/>
      <c r="Z80"/>
      <c r="AA80"/>
      <c r="AB80"/>
      <c r="AC80"/>
      <c r="AD80"/>
      <c r="AE80"/>
      <c r="AF80"/>
    </row>
    <row r="81" spans="1:32" ht="25.05" customHeight="1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 s="126"/>
      <c r="V81" s="126"/>
      <c r="W81" s="126"/>
      <c r="X81"/>
      <c r="Y81"/>
      <c r="Z81"/>
      <c r="AA81"/>
      <c r="AB81"/>
      <c r="AC81"/>
      <c r="AD81"/>
      <c r="AE81"/>
      <c r="AF81"/>
    </row>
    <row r="82" spans="1:32" ht="25.05" customHeight="1" x14ac:dyDescent="0.4">
      <c r="A82"/>
      <c r="B82"/>
      <c r="C82"/>
      <c r="D82"/>
      <c r="E82"/>
      <c r="F82"/>
      <c r="G82"/>
      <c r="H82"/>
      <c r="I82"/>
      <c r="J82"/>
      <c r="K82"/>
      <c r="L82"/>
      <c r="M82"/>
      <c r="N82" s="46" t="s">
        <v>9</v>
      </c>
      <c r="O82" s="46"/>
      <c r="P82" s="41"/>
      <c r="Q82" s="199" t="str">
        <f>'Calculations - US Food'!F10</f>
        <v>RESTOFCATEGORY</v>
      </c>
      <c r="R82" s="199"/>
      <c r="S82" s="41"/>
      <c r="T82" s="41"/>
      <c r="U82" s="155">
        <f>R83/Q83-1</f>
        <v>0</v>
      </c>
      <c r="V82" s="129">
        <f>V84</f>
        <v>8.1930445850629058E-2</v>
      </c>
      <c r="W82" s="129">
        <f>W84</f>
        <v>0.10634978286019783</v>
      </c>
      <c r="X82"/>
      <c r="Y82"/>
      <c r="Z82"/>
      <c r="AA82"/>
      <c r="AB82"/>
      <c r="AC82"/>
      <c r="AD82"/>
      <c r="AE82"/>
      <c r="AF82"/>
    </row>
    <row r="83" spans="1:32" ht="25.05" customHeight="1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 t="str">
        <f>$Q$6&amp;Q82&amp;P83</f>
        <v>US FOODRESTOFCATEGORY</v>
      </c>
      <c r="O83"/>
      <c r="P83" s="41"/>
      <c r="Q83" s="139">
        <f>INDEX('Calculations - US Food'!$M$3:$M$24,MATCH(N83,'Calculations - US Food'!$D$3:$D$24,0))</f>
        <v>4.4746974038362808</v>
      </c>
      <c r="R83" s="153">
        <f>INDEX('Calculations - US Food'!$AF$3:$AF$24,MATCH(N83,'Calculations - US Food'!$D$3:$D$24,0))</f>
        <v>4.4746974038362799</v>
      </c>
      <c r="S83" s="104"/>
      <c r="T83" s="104"/>
      <c r="U83" s="125"/>
      <c r="V83" s="125"/>
      <c r="W83" s="125"/>
      <c r="X83"/>
      <c r="Y83"/>
      <c r="Z83"/>
      <c r="AA83"/>
      <c r="AB83"/>
      <c r="AC83"/>
      <c r="AD83"/>
      <c r="AE83"/>
      <c r="AF83"/>
    </row>
    <row r="84" spans="1:32" ht="25.05" customHeight="1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 t="str">
        <f>$Q$6&amp;Q82&amp;P84</f>
        <v>US FOODRESTOFCATEGORYRestOfCategory</v>
      </c>
      <c r="O84" s="106" t="s">
        <v>102</v>
      </c>
      <c r="P84" s="107" t="s">
        <v>155</v>
      </c>
      <c r="Q84" s="139" cm="1">
        <f t="array" ref="Q84">SUM(_xlfn._xlws.FILTER('Calculations - US Food'!$O$32:$O$229*'Calculations - US Food'!$J$32:$J$229,'Calculations - US Food'!$C$32:$C$229=$N84))/SUM(_xlfn._xlws.FILTER('Calculations - US Food'!$J$32:$J$229,'Calculations - US Food'!$C$32:$C$229=$N84))</f>
        <v>4.4746974038362799</v>
      </c>
      <c r="R84" s="153" cm="1">
        <f t="array" ref="R84">SUM(_xlfn._xlws.FILTER('Calculations - US Food'!$AH$32:$AH$229*'Calculations - US Food'!$AL$32:$AL$229,'Calculations - US Food'!$C$32:$C$229=$N84))/SUM(_xlfn._xlws.FILTER('Calculations - US Food'!$AL$32:$AL$229,'Calculations - US Food'!$C$32:$C$229=$N84))</f>
        <v>4.4746974038362799</v>
      </c>
      <c r="S84" s="104"/>
      <c r="T84" s="104"/>
      <c r="U84" s="128">
        <f>IFERROR(R84/Q84-1,0)</f>
        <v>0</v>
      </c>
      <c r="V84" s="128">
        <f>SUM(V85:V90)</f>
        <v>8.1930445850629058E-2</v>
      </c>
      <c r="W84" s="128">
        <f>SUM(W85:W90)</f>
        <v>0.10634978286019783</v>
      </c>
      <c r="X84"/>
      <c r="Y84"/>
      <c r="Z84"/>
      <c r="AA84"/>
      <c r="AB84"/>
      <c r="AC84"/>
      <c r="AD84"/>
      <c r="AE84"/>
      <c r="AF84"/>
    </row>
    <row r="85" spans="1:32" ht="25.05" customHeight="1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 t="str">
        <f>$Q$6&amp;Q82&amp;O85&amp;P85</f>
        <v>US FOODRESTOFCATEGORYRestofCategoryJAR 8OZ</v>
      </c>
      <c r="O85" s="106" t="s">
        <v>154</v>
      </c>
      <c r="P85" s="34" t="s">
        <v>119</v>
      </c>
      <c r="Q85" s="141">
        <f>IFERROR(INDEX('Calculations - US Food'!$O$32:$O$229,MATCH($N85,'Calculations - US Food'!$D$32:$D$229,0)),0)</f>
        <v>6.0311333962136473</v>
      </c>
      <c r="R85" s="154">
        <f t="shared" ref="R85:R90" si="20">Q85</f>
        <v>6.0311333962136473</v>
      </c>
      <c r="S85" s="105"/>
      <c r="T85" s="105"/>
      <c r="U85" s="155">
        <f>IFERROR(R85/Q85-1,0)</f>
        <v>0</v>
      </c>
      <c r="V85" s="124">
        <f>IFERROR(INDEX('Calculations - US Food'!$BB$32:$BB$229,MATCH('US Food'!$N85,'Calculations - US Food'!$D$32:$D$229,0)),"-")</f>
        <v>1.0574088571042777E-3</v>
      </c>
      <c r="W85" s="124">
        <f>IFERROR(INDEX('Calculations - US Food'!$BE$32:$BE$229,MATCH('US Food'!$N85,'Calculations - US Food'!$D$32:$D$229,0)),"-")</f>
        <v>1.9597216631693851E-3</v>
      </c>
      <c r="X85"/>
      <c r="Y85"/>
      <c r="Z85"/>
      <c r="AA85"/>
      <c r="AB85"/>
      <c r="AC85"/>
      <c r="AD85"/>
      <c r="AE85"/>
      <c r="AF85"/>
    </row>
    <row r="86" spans="1:32" ht="25.05" customHeight="1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 t="str">
        <f>$Q$6&amp;Q82&amp;O86&amp;P86</f>
        <v>US FOODRESTOFCATEGORYRestofCategoryJAR 15OZ</v>
      </c>
      <c r="O86" s="106" t="s">
        <v>154</v>
      </c>
      <c r="P86" s="34" t="s">
        <v>116</v>
      </c>
      <c r="Q86" s="141">
        <f>IFERROR(INDEX('Calculations - US Food'!$O$32:$O$229,MATCH($N86,'Calculations - US Food'!$D$32:$D$229,0)),0)</f>
        <v>6.195646629727646</v>
      </c>
      <c r="R86" s="154">
        <f t="shared" si="20"/>
        <v>6.195646629727646</v>
      </c>
      <c r="S86" s="105"/>
      <c r="T86" s="105"/>
      <c r="U86" s="155">
        <f t="shared" ref="U86:U90" si="21">IFERROR(R86/Q86-1,0)</f>
        <v>0</v>
      </c>
      <c r="V86" s="124">
        <f>IFERROR(INDEX('Calculations - US Food'!$BB$32:$BB$229,MATCH('US Food'!$N86,'Calculations - US Food'!$D$32:$D$229,0)),"-")</f>
        <v>7.1671468697984209E-3</v>
      </c>
      <c r="W86" s="124">
        <f>IFERROR(INDEX('Calculations - US Food'!$BE$32:$BE$229,MATCH('US Food'!$N86,'Calculations - US Food'!$D$32:$D$229,0)),"-")</f>
        <v>1.3645374490955917E-2</v>
      </c>
      <c r="X86"/>
      <c r="Y86"/>
      <c r="Z86"/>
      <c r="AA86"/>
      <c r="AB86"/>
      <c r="AC86"/>
      <c r="AD86"/>
      <c r="AE86"/>
      <c r="AF86"/>
    </row>
    <row r="87" spans="1:32" ht="25.05" customHeight="1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 t="str">
        <f>$Q$6&amp;Q82&amp;O87&amp;P87</f>
        <v>US FOODRESTOFCATEGORYRestofCategoryJAR 30OZ</v>
      </c>
      <c r="O87" s="106" t="s">
        <v>154</v>
      </c>
      <c r="P87" s="34" t="s">
        <v>118</v>
      </c>
      <c r="Q87" s="141">
        <f>IFERROR(INDEX('Calculations - US Food'!$O$32:$O$229,MATCH($N87,'Calculations - US Food'!$D$32:$D$229,0)),0)</f>
        <v>2.1951356023949766</v>
      </c>
      <c r="R87" s="154">
        <f t="shared" si="20"/>
        <v>2.1951356023949766</v>
      </c>
      <c r="S87" s="105"/>
      <c r="T87" s="105"/>
      <c r="U87" s="155">
        <f t="shared" si="21"/>
        <v>0</v>
      </c>
      <c r="V87" s="124">
        <f>IFERROR(INDEX('Calculations - US Food'!$BB$32:$BB$229,MATCH('US Food'!$N87,'Calculations - US Food'!$D$32:$D$229,0)),"-")</f>
        <v>3.7837584342745881E-2</v>
      </c>
      <c r="W87" s="124">
        <f>IFERROR(INDEX('Calculations - US Food'!$BE$32:$BE$229,MATCH('US Food'!$N87,'Calculations - US Food'!$D$32:$D$229,0)),"-")</f>
        <v>2.552332619386416E-2</v>
      </c>
      <c r="X87"/>
      <c r="Y87"/>
      <c r="Z87"/>
      <c r="AA87"/>
      <c r="AB87"/>
      <c r="AC87"/>
      <c r="AD87"/>
      <c r="AE87"/>
      <c r="AF87"/>
    </row>
    <row r="88" spans="1:32" ht="25.05" customHeight="1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 t="str">
        <f>$Q$6&amp;Q82&amp;O88&amp;P88</f>
        <v>US FOODRESTOFCATEGORYRestofCategorySQUEEZY 12OZ</v>
      </c>
      <c r="O88" s="106" t="s">
        <v>154</v>
      </c>
      <c r="P88" s="34" t="s">
        <v>117</v>
      </c>
      <c r="Q88" s="141">
        <f>IFERROR(INDEX('Calculations - US Food'!$O$32:$O$229,MATCH($N88,'Calculations - US Food'!$D$32:$D$229,0)),0)</f>
        <v>5.7229757015631728</v>
      </c>
      <c r="R88" s="154">
        <f t="shared" si="20"/>
        <v>5.7229757015631728</v>
      </c>
      <c r="S88" s="105"/>
      <c r="T88" s="105"/>
      <c r="U88" s="155">
        <f t="shared" ref="U88" si="22">IFERROR(R88/Q88-1,0)</f>
        <v>0</v>
      </c>
      <c r="V88" s="124">
        <f>IFERROR(INDEX('Calculations - US Food'!$BB$32:$BB$229,MATCH('US Food'!$N88,'Calculations - US Food'!$D$32:$D$229,0)),"-")</f>
        <v>2.1790596773156969E-4</v>
      </c>
      <c r="W88" s="124">
        <f>IFERROR(INDEX('Calculations - US Food'!$BE$32:$BE$229,MATCH('US Food'!$N88,'Calculations - US Food'!$D$32:$D$229,0)),"-")</f>
        <v>3.8321591901747254E-4</v>
      </c>
      <c r="X88"/>
      <c r="Y88"/>
      <c r="Z88"/>
      <c r="AA88"/>
      <c r="AB88"/>
      <c r="AC88"/>
      <c r="AD88"/>
      <c r="AE88"/>
      <c r="AF88"/>
    </row>
    <row r="89" spans="1:32" ht="25.05" customHeight="1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 t="str">
        <f>$Q$6&amp;Q82&amp;O89&amp;P89</f>
        <v>US FOODRESTOFCATEGORYRestofCategorySQUEEZY 18 TO 22OZ</v>
      </c>
      <c r="O89" s="106" t="s">
        <v>154</v>
      </c>
      <c r="P89" s="34" t="s">
        <v>120</v>
      </c>
      <c r="Q89" s="141">
        <f>IFERROR(INDEX('Calculations - US Food'!$O$32:$O$229,MATCH($N89,'Calculations - US Food'!$D$32:$D$229,0)),0)</f>
        <v>5.5374598776031574</v>
      </c>
      <c r="R89" s="154">
        <f t="shared" si="20"/>
        <v>5.5374598776031574</v>
      </c>
      <c r="S89" s="105"/>
      <c r="T89" s="105"/>
      <c r="U89" s="155">
        <f t="shared" si="21"/>
        <v>0</v>
      </c>
      <c r="V89" s="124">
        <f>IFERROR(INDEX('Calculations - US Food'!$BB$32:$BB$229,MATCH('US Food'!$N89,'Calculations - US Food'!$D$32:$D$229,0)),"-")</f>
        <v>4.8936382886257297E-3</v>
      </c>
      <c r="W89" s="124">
        <f>IFERROR(INDEX('Calculations - US Food'!$BE$32:$BE$229,MATCH('US Food'!$N89,'Calculations - US Food'!$D$32:$D$229,0)),"-")</f>
        <v>8.3271228781712624E-3</v>
      </c>
      <c r="X89"/>
      <c r="Y89"/>
      <c r="Z89"/>
      <c r="AA89"/>
      <c r="AB89"/>
      <c r="AC89"/>
      <c r="AD89"/>
      <c r="AE89"/>
      <c r="AF89"/>
    </row>
    <row r="90" spans="1:32" ht="25.05" customHeight="1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 t="str">
        <f>$Q$6&amp;Q82&amp;O90&amp;P90</f>
        <v>US FOODRESTOFCATEGORYRestofCategoryOTHER</v>
      </c>
      <c r="O90" s="106" t="s">
        <v>154</v>
      </c>
      <c r="P90" s="34" t="s">
        <v>115</v>
      </c>
      <c r="Q90" s="141">
        <f>IFERROR(INDEX('Calculations - US Food'!$O$32:$O$229,MATCH($N90,'Calculations - US Food'!$D$32:$D$229,0)),0)</f>
        <v>5.979158122341893</v>
      </c>
      <c r="R90" s="154">
        <f t="shared" si="20"/>
        <v>5.979158122341893</v>
      </c>
      <c r="S90" s="105"/>
      <c r="T90" s="105"/>
      <c r="U90" s="155">
        <f t="shared" si="21"/>
        <v>0</v>
      </c>
      <c r="V90" s="124">
        <f>IFERROR(INDEX('Calculations - US Food'!$BB$32:$BB$229,MATCH('US Food'!$N90,'Calculations - US Food'!$D$32:$D$229,0)),"-")</f>
        <v>3.0756761524623168E-2</v>
      </c>
      <c r="W90" s="124">
        <f>IFERROR(INDEX('Calculations - US Food'!$BE$32:$BE$229,MATCH('US Food'!$N90,'Calculations - US Food'!$D$32:$D$229,0)),"-")</f>
        <v>5.6511021715019635E-2</v>
      </c>
      <c r="X90"/>
      <c r="Y90"/>
      <c r="Z90"/>
      <c r="AA90"/>
      <c r="AB90"/>
      <c r="AC90"/>
      <c r="AD90"/>
      <c r="AE90"/>
      <c r="AF90"/>
    </row>
    <row r="91" spans="1:32" ht="25.05" customHeight="1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 s="126"/>
      <c r="W91" s="126"/>
      <c r="X91"/>
      <c r="Y91"/>
      <c r="Z91"/>
      <c r="AA91"/>
      <c r="AB91"/>
      <c r="AC91"/>
      <c r="AD91"/>
      <c r="AE91"/>
      <c r="AF91"/>
    </row>
    <row r="92" spans="1:32" ht="25.05" customHeight="1" x14ac:dyDescent="0.3"/>
    <row r="93" spans="1:32" ht="25.05" customHeight="1" x14ac:dyDescent="0.3"/>
    <row r="94" spans="1:32" ht="25.05" customHeight="1" x14ac:dyDescent="0.3"/>
    <row r="95" spans="1:32" ht="25.05" customHeight="1" x14ac:dyDescent="0.3"/>
    <row r="96" spans="1:32" ht="25.05" customHeight="1" x14ac:dyDescent="0.3"/>
    <row r="97" ht="25.05" customHeight="1" x14ac:dyDescent="0.3"/>
    <row r="98" ht="25.05" customHeight="1" x14ac:dyDescent="0.3"/>
    <row r="99" ht="25.05" customHeight="1" x14ac:dyDescent="0.3"/>
    <row r="100" ht="25.05" customHeight="1" x14ac:dyDescent="0.3"/>
    <row r="101" ht="25.05" customHeight="1" x14ac:dyDescent="0.3"/>
    <row r="102" ht="25.05" customHeight="1" x14ac:dyDescent="0.3"/>
    <row r="103" ht="25.05" customHeight="1" x14ac:dyDescent="0.3"/>
    <row r="104" ht="25.05" customHeight="1" x14ac:dyDescent="0.3"/>
    <row r="105" ht="25.05" customHeight="1" x14ac:dyDescent="0.3"/>
    <row r="106" ht="25.05" customHeight="1" x14ac:dyDescent="0.3"/>
    <row r="107" ht="25.05" customHeight="1" x14ac:dyDescent="0.3"/>
    <row r="108" ht="25.05" customHeight="1" x14ac:dyDescent="0.3"/>
    <row r="109" ht="25.05" customHeight="1" x14ac:dyDescent="0.3"/>
    <row r="110" ht="25.05" customHeight="1" x14ac:dyDescent="0.3"/>
    <row r="111" ht="25.05" customHeight="1" x14ac:dyDescent="0.3"/>
    <row r="112" ht="25.05" customHeight="1" x14ac:dyDescent="0.3"/>
    <row r="113" ht="25.05" customHeight="1" x14ac:dyDescent="0.3"/>
    <row r="114" ht="25.05" customHeight="1" x14ac:dyDescent="0.3"/>
    <row r="115" ht="25.05" customHeight="1" x14ac:dyDescent="0.3"/>
    <row r="116" ht="25.05" customHeight="1" x14ac:dyDescent="0.3"/>
    <row r="117" ht="25.05" customHeight="1" x14ac:dyDescent="0.3"/>
    <row r="118" ht="25.05" customHeight="1" x14ac:dyDescent="0.3"/>
    <row r="119" ht="25.05" customHeight="1" x14ac:dyDescent="0.3"/>
    <row r="120" ht="25.05" customHeight="1" x14ac:dyDescent="0.3"/>
    <row r="121" ht="25.05" customHeight="1" x14ac:dyDescent="0.3"/>
    <row r="122" ht="25.05" customHeight="1" x14ac:dyDescent="0.3"/>
    <row r="123" ht="25.05" customHeight="1" x14ac:dyDescent="0.3"/>
    <row r="124" ht="25.05" customHeight="1" x14ac:dyDescent="0.3"/>
    <row r="125" ht="25.05" customHeight="1" x14ac:dyDescent="0.3"/>
  </sheetData>
  <mergeCells count="25">
    <mergeCell ref="Z63:AA63"/>
    <mergeCell ref="AB63:AC63"/>
    <mergeCell ref="Y63:Y64"/>
    <mergeCell ref="Y32:Y33"/>
    <mergeCell ref="Z32:AA32"/>
    <mergeCell ref="AB32:AC32"/>
    <mergeCell ref="AD32:AE32"/>
    <mergeCell ref="Y29:AE29"/>
    <mergeCell ref="Y8:AE8"/>
    <mergeCell ref="B6:C6"/>
    <mergeCell ref="B32:B33"/>
    <mergeCell ref="Q25:R25"/>
    <mergeCell ref="Q11:R11"/>
    <mergeCell ref="G32:H32"/>
    <mergeCell ref="I32:J32"/>
    <mergeCell ref="Q82:R82"/>
    <mergeCell ref="B8:L8"/>
    <mergeCell ref="B29:L29"/>
    <mergeCell ref="K32:L32"/>
    <mergeCell ref="Q34:R34"/>
    <mergeCell ref="Q75:R75"/>
    <mergeCell ref="Q35:R35"/>
    <mergeCell ref="Q49:R49"/>
    <mergeCell ref="Q62:R62"/>
    <mergeCell ref="P8:W8"/>
  </mergeCells>
  <conditionalFormatting sqref="AA65:AA71 AC65:AC71">
    <cfRule type="cellIs" dxfId="5" priority="54" operator="lessThan">
      <formula>Z65*0.99</formula>
    </cfRule>
    <cfRule type="cellIs" dxfId="4" priority="56" operator="greaterThan">
      <formula>Z65*1.01</formula>
    </cfRule>
  </conditionalFormatting>
  <conditionalFormatting sqref="H34:H37">
    <cfRule type="colorScale" priority="18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H38:H40">
    <cfRule type="colorScale" priority="17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H41">
    <cfRule type="colorScale" priority="16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J34:J37">
    <cfRule type="colorScale" priority="15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J38:J40">
    <cfRule type="colorScale" priority="14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J41">
    <cfRule type="colorScale" priority="13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L34:L37">
    <cfRule type="colorScale" priority="12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L38:L40">
    <cfRule type="colorScale" priority="11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L41">
    <cfRule type="colorScale" priority="10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A34:AA37">
    <cfRule type="colorScale" priority="9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A38:AA40">
    <cfRule type="colorScale" priority="8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AA41">
    <cfRule type="colorScale" priority="7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C34:AC37">
    <cfRule type="colorScale" priority="6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C38:AC40">
    <cfRule type="colorScale" priority="5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AC41">
    <cfRule type="colorScale" priority="4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E34:AE37">
    <cfRule type="colorScale" priority="3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E38:AE40">
    <cfRule type="colorScale" priority="2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AE41">
    <cfRule type="colorScale" priority="1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1" id="{5967127F-887A-4F30-A767-D5A3C2BD098F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U11</xm:sqref>
        </x14:conditionalFormatting>
        <x14:conditionalFormatting xmlns:xm="http://schemas.microsoft.com/office/excel/2006/main">
          <x14:cfRule type="iconSet" priority="68" id="{F076B950-B3F2-4B1E-AF2F-8D90360FA08C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69" id="{165ACEF6-A031-4955-9363-0BC6CB043BED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U61</xm:sqref>
        </x14:conditionalFormatting>
        <x14:conditionalFormatting xmlns:xm="http://schemas.microsoft.com/office/excel/2006/main">
          <x14:cfRule type="iconSet" priority="64" id="{2EBB829B-FC28-4C26-9BD5-E21D744CBC54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U34</xm:sqref>
        </x14:conditionalFormatting>
        <x14:conditionalFormatting xmlns:xm="http://schemas.microsoft.com/office/excel/2006/main">
          <x14:cfRule type="iconSet" priority="66" id="{BCAE26BB-B53F-462A-B584-0B4FF7A11057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67" id="{3F5F7894-69CA-4D5D-A9B4-8D4B5DE2E05A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U74</xm:sqref>
        </x14:conditionalFormatting>
        <x14:conditionalFormatting xmlns:xm="http://schemas.microsoft.com/office/excel/2006/main">
          <x14:cfRule type="iconSet" priority="47" id="{3A806A40-735A-450C-B2FB-85960D901891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U25</xm:sqref>
        </x14:conditionalFormatting>
        <x14:conditionalFormatting xmlns:xm="http://schemas.microsoft.com/office/excel/2006/main">
          <x14:cfRule type="iconSet" priority="44" id="{D26D1EE3-D439-4C62-A4A3-33A9DAF6004F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U35</xm:sqref>
        </x14:conditionalFormatting>
        <x14:conditionalFormatting xmlns:xm="http://schemas.microsoft.com/office/excel/2006/main">
          <x14:cfRule type="iconSet" priority="41" id="{CC5CA8F8-2394-47A6-A482-F374662A7743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U49</xm:sqref>
        </x14:conditionalFormatting>
        <x14:conditionalFormatting xmlns:xm="http://schemas.microsoft.com/office/excel/2006/main">
          <x14:cfRule type="iconSet" priority="38" id="{01CC8D07-2693-409C-BA1A-574F17095E9A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U62</xm:sqref>
        </x14:conditionalFormatting>
        <x14:conditionalFormatting xmlns:xm="http://schemas.microsoft.com/office/excel/2006/main">
          <x14:cfRule type="iconSet" priority="35" id="{8952A695-B634-4F75-ABC0-AAA57CEB008A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U75</xm:sqref>
        </x14:conditionalFormatting>
        <x14:conditionalFormatting xmlns:xm="http://schemas.microsoft.com/office/excel/2006/main">
          <x14:cfRule type="iconSet" priority="112" id="{703B6633-04EE-471A-9B63-104EEAC60DB9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U13:U23</xm:sqref>
        </x14:conditionalFormatting>
        <x14:conditionalFormatting xmlns:xm="http://schemas.microsoft.com/office/excel/2006/main">
          <x14:cfRule type="iconSet" priority="114" id="{6112AF17-B6DC-41B7-B826-7F73BC19AE3F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U15:U23</xm:sqref>
        </x14:conditionalFormatting>
        <x14:conditionalFormatting xmlns:xm="http://schemas.microsoft.com/office/excel/2006/main">
          <x14:cfRule type="iconSet" priority="115" id="{2B53239E-F61E-4CD7-A601-99843A1DD52C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U28:U33</xm:sqref>
        </x14:conditionalFormatting>
        <x14:conditionalFormatting xmlns:xm="http://schemas.microsoft.com/office/excel/2006/main">
          <x14:cfRule type="iconSet" priority="116" id="{BB5EC6A0-1EC6-4364-8836-0B05C5946076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U29:U33</xm:sqref>
        </x14:conditionalFormatting>
        <x14:conditionalFormatting xmlns:xm="http://schemas.microsoft.com/office/excel/2006/main">
          <x14:cfRule type="iconSet" priority="120" id="{8326A010-A5AF-42CE-AC9E-AD1726A730EA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U38:U44 U46:U47</xm:sqref>
        </x14:conditionalFormatting>
        <x14:conditionalFormatting xmlns:xm="http://schemas.microsoft.com/office/excel/2006/main">
          <x14:cfRule type="iconSet" priority="122" id="{FC340CDF-6F2F-42B7-8CE3-8841DEF6D5FE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U39:U44 U46:U47</xm:sqref>
        </x14:conditionalFormatting>
        <x14:conditionalFormatting xmlns:xm="http://schemas.microsoft.com/office/excel/2006/main">
          <x14:cfRule type="iconSet" priority="123" id="{2DD96919-38E8-4C4B-9349-D7B95840B85B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U52:U58 U60</xm:sqref>
        </x14:conditionalFormatting>
        <x14:conditionalFormatting xmlns:xm="http://schemas.microsoft.com/office/excel/2006/main">
          <x14:cfRule type="iconSet" priority="125" id="{D7F49EDF-45EB-4A4E-AB6F-7A916BCD89C0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U53:U58 U60</xm:sqref>
        </x14:conditionalFormatting>
        <x14:conditionalFormatting xmlns:xm="http://schemas.microsoft.com/office/excel/2006/main">
          <x14:cfRule type="iconSet" priority="129" id="{DD4C5BC5-2198-42D7-8512-46CA42CCF2D4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U65:U69 U71:U73</xm:sqref>
        </x14:conditionalFormatting>
        <x14:conditionalFormatting xmlns:xm="http://schemas.microsoft.com/office/excel/2006/main">
          <x14:cfRule type="iconSet" priority="131" id="{442C47A3-864A-4C8F-834E-D0FDA5A35447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U66:U69 U71:U73</xm:sqref>
        </x14:conditionalFormatting>
        <x14:conditionalFormatting xmlns:xm="http://schemas.microsoft.com/office/excel/2006/main">
          <x14:cfRule type="iconSet" priority="132" id="{09B558FB-ACA2-4189-9E3F-0080061B5D1F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U78:U80</xm:sqref>
        </x14:conditionalFormatting>
        <x14:conditionalFormatting xmlns:xm="http://schemas.microsoft.com/office/excel/2006/main">
          <x14:cfRule type="iconSet" priority="133" id="{3F7ACAF5-C600-4527-AC12-8C048706E349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U79:U80</xm:sqref>
        </x14:conditionalFormatting>
        <x14:conditionalFormatting xmlns:xm="http://schemas.microsoft.com/office/excel/2006/main">
          <x14:cfRule type="iconSet" priority="32" id="{DCF8FC23-94D6-4514-8859-B370960EE7A0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U82</xm:sqref>
        </x14:conditionalFormatting>
        <x14:conditionalFormatting xmlns:xm="http://schemas.microsoft.com/office/excel/2006/main">
          <x14:cfRule type="iconSet" priority="31" id="{9E03B097-008F-4F0D-827A-0B5AC96EA376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U27</xm:sqref>
        </x14:conditionalFormatting>
        <x14:conditionalFormatting xmlns:xm="http://schemas.microsoft.com/office/excel/2006/main">
          <x14:cfRule type="iconSet" priority="30" id="{8F154557-B6DD-434E-8A2F-680BAC045CF1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U37</xm:sqref>
        </x14:conditionalFormatting>
        <x14:conditionalFormatting xmlns:xm="http://schemas.microsoft.com/office/excel/2006/main">
          <x14:cfRule type="iconSet" priority="29" id="{152D54FC-CDA1-4202-872B-A1524624B1A6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U45</xm:sqref>
        </x14:conditionalFormatting>
        <x14:conditionalFormatting xmlns:xm="http://schemas.microsoft.com/office/excel/2006/main">
          <x14:cfRule type="iconSet" priority="28" id="{EC7AF55C-1D7D-414B-A3D3-A0DD0B71D7D3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U51</xm:sqref>
        </x14:conditionalFormatting>
        <x14:conditionalFormatting xmlns:xm="http://schemas.microsoft.com/office/excel/2006/main">
          <x14:cfRule type="iconSet" priority="27" id="{A2D19F7B-0A11-4767-873B-28103C0BC45E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U59</xm:sqref>
        </x14:conditionalFormatting>
        <x14:conditionalFormatting xmlns:xm="http://schemas.microsoft.com/office/excel/2006/main">
          <x14:cfRule type="iconSet" priority="26" id="{D6C1F98C-8BDF-4B60-A9E6-2E429BE5E0C9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U64</xm:sqref>
        </x14:conditionalFormatting>
        <x14:conditionalFormatting xmlns:xm="http://schemas.microsoft.com/office/excel/2006/main">
          <x14:cfRule type="iconSet" priority="25" id="{4D7D8DD4-3CE4-4273-A46A-40AEDE81DE67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U70</xm:sqref>
        </x14:conditionalFormatting>
        <x14:conditionalFormatting xmlns:xm="http://schemas.microsoft.com/office/excel/2006/main">
          <x14:cfRule type="iconSet" priority="24" id="{A4350E07-ACF4-4F75-9E33-1E36D0813022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U77</xm:sqref>
        </x14:conditionalFormatting>
        <x14:conditionalFormatting xmlns:xm="http://schemas.microsoft.com/office/excel/2006/main">
          <x14:cfRule type="iconSet" priority="23" id="{08C674B4-D9C7-41F7-83FB-7A5E8AAC27FC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U84</xm:sqref>
        </x14:conditionalFormatting>
        <x14:conditionalFormatting xmlns:xm="http://schemas.microsoft.com/office/excel/2006/main">
          <x14:cfRule type="iconSet" priority="148" id="{53BFC646-1D1F-4031-A733-34E2B25B1D6E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U85:U90</xm:sqref>
        </x14:conditionalFormatting>
        <x14:conditionalFormatting xmlns:xm="http://schemas.microsoft.com/office/excel/2006/main">
          <x14:cfRule type="iconSet" priority="149" id="{0BE51FA2-A7A1-4283-A358-EDFE4FAE1336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U86:U90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F0311-50A3-46F3-A3B8-62A46EDAD289}">
  <sheetPr codeName="Sheet4">
    <tabColor theme="9" tint="0.79998168889431442"/>
  </sheetPr>
  <dimension ref="B1:AA200"/>
  <sheetViews>
    <sheetView workbookViewId="0">
      <selection activeCell="B2" sqref="B2"/>
    </sheetView>
  </sheetViews>
  <sheetFormatPr defaultRowHeight="14.4" x14ac:dyDescent="0.3"/>
  <cols>
    <col min="1" max="1" width="3.77734375" customWidth="1"/>
    <col min="3" max="3" width="11.21875" bestFit="1" customWidth="1"/>
    <col min="4" max="4" width="18.77734375" bestFit="1" customWidth="1"/>
    <col min="5" max="5" width="18.77734375" customWidth="1"/>
    <col min="6" max="6" width="14.21875" bestFit="1" customWidth="1"/>
    <col min="7" max="7" width="15.88671875" bestFit="1" customWidth="1"/>
    <col min="8" max="10" width="14.33203125" bestFit="1" customWidth="1"/>
    <col min="11" max="11" width="16.88671875" bestFit="1" customWidth="1"/>
    <col min="12" max="12" width="15.88671875" bestFit="1" customWidth="1"/>
    <col min="17" max="17" width="8" bestFit="1" customWidth="1"/>
    <col min="18" max="18" width="19.33203125" bestFit="1" customWidth="1"/>
    <col min="19" max="19" width="15.88671875" bestFit="1" customWidth="1"/>
    <col min="20" max="22" width="14.33203125" bestFit="1" customWidth="1"/>
    <col min="23" max="23" width="16.88671875" bestFit="1" customWidth="1"/>
    <col min="24" max="24" width="15.88671875" bestFit="1" customWidth="1"/>
    <col min="26" max="26" width="21.6640625" bestFit="1" customWidth="1"/>
    <col min="27" max="27" width="15.44140625" bestFit="1" customWidth="1"/>
  </cols>
  <sheetData>
    <row r="1" spans="2:27" ht="18" x14ac:dyDescent="0.35">
      <c r="B1" s="100" t="s">
        <v>101</v>
      </c>
      <c r="P1" s="100" t="s">
        <v>84</v>
      </c>
    </row>
    <row r="2" spans="2:27" x14ac:dyDescent="0.3">
      <c r="B2" t="s">
        <v>9</v>
      </c>
      <c r="C2" s="1" t="s">
        <v>0</v>
      </c>
      <c r="D2" s="1" t="s">
        <v>1</v>
      </c>
      <c r="E2" s="1" t="s">
        <v>100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6</v>
      </c>
      <c r="K2" s="1" t="s">
        <v>7</v>
      </c>
      <c r="L2" s="1" t="s">
        <v>8</v>
      </c>
      <c r="M2" s="11"/>
      <c r="N2" t="s">
        <v>33</v>
      </c>
      <c r="P2" t="s">
        <v>9</v>
      </c>
      <c r="Q2" s="1" t="s">
        <v>0</v>
      </c>
      <c r="R2" s="1" t="s">
        <v>1</v>
      </c>
      <c r="S2" s="1" t="s">
        <v>3</v>
      </c>
      <c r="T2" s="1" t="s">
        <v>4</v>
      </c>
      <c r="U2" s="1" t="s">
        <v>5</v>
      </c>
      <c r="V2" s="1" t="s">
        <v>6</v>
      </c>
      <c r="W2" s="1" t="s">
        <v>7</v>
      </c>
      <c r="X2" s="1" t="s">
        <v>8</v>
      </c>
      <c r="Z2" t="s">
        <v>81</v>
      </c>
      <c r="AA2" t="s">
        <v>82</v>
      </c>
    </row>
    <row r="3" spans="2:27" x14ac:dyDescent="0.3">
      <c r="B3" s="2" t="str">
        <f>C3&amp;D3&amp;E3&amp;F3</f>
        <v>TARGEThellmanns best foodsaioliother</v>
      </c>
      <c r="C3" s="1" t="s">
        <v>134</v>
      </c>
      <c r="D3" s="1" t="s">
        <v>140</v>
      </c>
      <c r="E3" s="1" t="s">
        <v>138</v>
      </c>
      <c r="F3" s="1" t="s">
        <v>139</v>
      </c>
      <c r="G3" s="98">
        <v>996229.74720400001</v>
      </c>
      <c r="H3" s="98">
        <v>156661.174597</v>
      </c>
      <c r="I3" s="99">
        <v>2.2662913956264701</v>
      </c>
      <c r="J3" s="99">
        <v>14.4116556636541</v>
      </c>
      <c r="K3" s="98">
        <v>1837510.1279849999</v>
      </c>
      <c r="L3" s="98">
        <v>310378.03755900002</v>
      </c>
      <c r="N3" s="28">
        <v>10.10828079</v>
      </c>
      <c r="P3" s="2" t="str">
        <f>Q3&amp;R3</f>
        <v>TARGETDUKES</v>
      </c>
      <c r="Q3" s="1" t="s">
        <v>134</v>
      </c>
      <c r="R3" s="1" t="s">
        <v>105</v>
      </c>
      <c r="S3" s="98">
        <v>1584198.771429</v>
      </c>
      <c r="T3" s="98">
        <v>494278.63932830002</v>
      </c>
      <c r="U3" s="99">
        <v>2.1175957740480902</v>
      </c>
      <c r="V3" s="99">
        <v>6.7870475410167099</v>
      </c>
      <c r="W3" s="98">
        <v>5487776.0207938403</v>
      </c>
      <c r="X3" s="98">
        <v>1968241.99512508</v>
      </c>
      <c r="Z3" t="str" cm="1">
        <f t="array" ref="Z3:Z9">_xlfn.UNIQUE($R$3:$R$200)</f>
        <v>DUKES</v>
      </c>
      <c r="AA3" s="92">
        <v>4</v>
      </c>
    </row>
    <row r="4" spans="2:27" x14ac:dyDescent="0.3">
      <c r="B4" s="2" t="str">
        <f t="shared" ref="B4:B67" si="0">C4&amp;D4&amp;E4&amp;F4</f>
        <v>TARGETkraftaioliother</v>
      </c>
      <c r="C4" s="1" t="s">
        <v>134</v>
      </c>
      <c r="D4" s="1" t="s">
        <v>142</v>
      </c>
      <c r="E4" s="1" t="s">
        <v>138</v>
      </c>
      <c r="F4" s="1" t="s">
        <v>139</v>
      </c>
      <c r="G4" s="98">
        <v>62081.763912030001</v>
      </c>
      <c r="H4" s="98">
        <v>19464.13676447</v>
      </c>
      <c r="I4" s="99">
        <v>4.9906116544205403</v>
      </c>
      <c r="J4" s="99">
        <v>15.917786555626799</v>
      </c>
      <c r="K4" s="98">
        <v>235455.8486271</v>
      </c>
      <c r="L4" s="98">
        <v>71879.507633269997</v>
      </c>
      <c r="P4" s="2" t="str">
        <f t="shared" ref="P4:P67" si="1">Q4&amp;R4</f>
        <v>TARGETHELLMANNS BEST FOODS</v>
      </c>
      <c r="Q4" s="1" t="s">
        <v>134</v>
      </c>
      <c r="R4" s="1" t="s">
        <v>106</v>
      </c>
      <c r="S4" s="98">
        <v>30808182.573206</v>
      </c>
      <c r="T4" s="98">
        <v>7405548.4867497999</v>
      </c>
      <c r="U4" s="99">
        <v>2.1682997026224502</v>
      </c>
      <c r="V4" s="99">
        <v>9.02044909048176</v>
      </c>
      <c r="W4" s="98">
        <v>107210126.38361301</v>
      </c>
      <c r="X4" s="98">
        <v>30615448.3995701</v>
      </c>
      <c r="Z4" t="str">
        <v>HELLMANNS BEST FOODS</v>
      </c>
      <c r="AA4" s="92">
        <v>3</v>
      </c>
    </row>
    <row r="5" spans="2:27" x14ac:dyDescent="0.3">
      <c r="B5" s="2" t="str">
        <f t="shared" si="0"/>
        <v>TARGETkraftaiolisqueezy 12oz</v>
      </c>
      <c r="C5" s="1" t="s">
        <v>134</v>
      </c>
      <c r="D5" s="1" t="s">
        <v>142</v>
      </c>
      <c r="E5" s="1" t="s">
        <v>138</v>
      </c>
      <c r="F5" s="1" t="s">
        <v>143</v>
      </c>
      <c r="G5" s="98">
        <v>2119477.4537999998</v>
      </c>
      <c r="H5" s="98">
        <v>353967.31307700003</v>
      </c>
      <c r="I5" s="99">
        <v>2.2234327909365801</v>
      </c>
      <c r="J5" s="99">
        <v>13.313420466608299</v>
      </c>
      <c r="K5" s="98">
        <v>5365942.5206300002</v>
      </c>
      <c r="L5" s="98">
        <v>1049172.2632520001</v>
      </c>
      <c r="P5" s="2" t="str">
        <f t="shared" si="1"/>
        <v>TARGETKRAFT</v>
      </c>
      <c r="Q5" s="1" t="s">
        <v>134</v>
      </c>
      <c r="R5" s="1" t="s">
        <v>107</v>
      </c>
      <c r="S5" s="98">
        <v>6008560.1970766</v>
      </c>
      <c r="T5" s="98">
        <v>1598076.8141437499</v>
      </c>
      <c r="U5" s="99">
        <v>2.1496229864106402</v>
      </c>
      <c r="V5" s="99">
        <v>8.0823018021122994</v>
      </c>
      <c r="W5" s="98">
        <v>20514752.8102303</v>
      </c>
      <c r="X5" s="98">
        <v>6704913.52614519</v>
      </c>
      <c r="Z5" t="str">
        <v>KRAFT</v>
      </c>
      <c r="AA5" s="92">
        <v>1</v>
      </c>
    </row>
    <row r="6" spans="2:27" x14ac:dyDescent="0.3">
      <c r="B6" s="2" t="str">
        <f t="shared" si="0"/>
        <v>TARGETkraftaiolijar 30oz</v>
      </c>
      <c r="C6" s="1" t="s">
        <v>134</v>
      </c>
      <c r="D6" s="1" t="s">
        <v>142</v>
      </c>
      <c r="E6" s="1" t="s">
        <v>138</v>
      </c>
      <c r="F6" s="1" t="s">
        <v>144</v>
      </c>
      <c r="G6" s="98">
        <v>17580.673688568</v>
      </c>
      <c r="H6" s="98">
        <v>8349.5648062759992</v>
      </c>
      <c r="I6" s="99">
        <v>2.9912551050493201</v>
      </c>
      <c r="J6" s="99">
        <v>6.2983258578467396</v>
      </c>
      <c r="K6" s="98">
        <v>32632.93269863</v>
      </c>
      <c r="L6" s="98">
        <v>13815.303944039</v>
      </c>
      <c r="P6" s="2" t="str">
        <f t="shared" si="1"/>
        <v>TARGETMIRACLE WHIP</v>
      </c>
      <c r="Q6" s="1" t="s">
        <v>134</v>
      </c>
      <c r="R6" s="1" t="s">
        <v>109</v>
      </c>
      <c r="S6" s="98">
        <v>3789620.5781259998</v>
      </c>
      <c r="T6" s="98">
        <v>1009998.7380395</v>
      </c>
      <c r="U6" s="99">
        <v>2.0957681652073901</v>
      </c>
      <c r="V6" s="99">
        <v>7.8635406825039702</v>
      </c>
      <c r="W6" s="98">
        <v>14468827.116136299</v>
      </c>
      <c r="X6" s="98">
        <v>4270417.9048520802</v>
      </c>
      <c r="Z6" t="str">
        <v>MIRACLE WHIP</v>
      </c>
      <c r="AA6" s="92">
        <v>2</v>
      </c>
    </row>
    <row r="7" spans="2:27" x14ac:dyDescent="0.3">
      <c r="B7" s="2" t="str">
        <f t="shared" si="0"/>
        <v>TARGETdukesmayojar 8oz</v>
      </c>
      <c r="C7" s="1" t="s">
        <v>134</v>
      </c>
      <c r="D7" s="1" t="s">
        <v>137</v>
      </c>
      <c r="E7" s="1" t="s">
        <v>148</v>
      </c>
      <c r="F7" s="1" t="s">
        <v>147</v>
      </c>
      <c r="G7" s="98">
        <v>169934.39720899999</v>
      </c>
      <c r="H7" s="98">
        <v>28967.991636300001</v>
      </c>
      <c r="I7" s="99">
        <v>2.4768476715164001</v>
      </c>
      <c r="J7" s="99">
        <v>14.529885997005699</v>
      </c>
      <c r="K7" s="98">
        <v>230457.67224403599</v>
      </c>
      <c r="L7" s="98">
        <v>39358.369846128997</v>
      </c>
      <c r="P7" s="2" t="str">
        <f t="shared" si="1"/>
        <v>TARGETPRIVATE LABEL</v>
      </c>
      <c r="Q7" s="1" t="s">
        <v>134</v>
      </c>
      <c r="R7" s="1" t="s">
        <v>110</v>
      </c>
      <c r="S7" s="98">
        <v>4515071.78528242</v>
      </c>
      <c r="T7" s="98">
        <v>2060218.65228535</v>
      </c>
      <c r="U7" s="99">
        <v>2.1825570521841402</v>
      </c>
      <c r="V7" s="99">
        <v>4.7831824817014201</v>
      </c>
      <c r="W7" s="98">
        <v>14257397.778823899</v>
      </c>
      <c r="X7" s="98">
        <v>6683130.5299351001</v>
      </c>
      <c r="Z7" t="str">
        <v>PRIVATE LABEL</v>
      </c>
      <c r="AA7" s="92">
        <v>5</v>
      </c>
    </row>
    <row r="8" spans="2:27" x14ac:dyDescent="0.3">
      <c r="B8" s="2" t="str">
        <f t="shared" si="0"/>
        <v>TARGETdukesmayosqueezy 18 to 22oz</v>
      </c>
      <c r="C8" s="1" t="s">
        <v>134</v>
      </c>
      <c r="D8" s="1" t="s">
        <v>137</v>
      </c>
      <c r="E8" s="1" t="s">
        <v>148</v>
      </c>
      <c r="F8" s="1" t="s">
        <v>149</v>
      </c>
      <c r="G8" s="98">
        <v>643493.06232000003</v>
      </c>
      <c r="H8" s="98">
        <v>159466.19603600001</v>
      </c>
      <c r="I8" s="99">
        <v>1.9728870133716001</v>
      </c>
      <c r="J8" s="99">
        <v>7.9611800958696204</v>
      </c>
      <c r="K8" s="98">
        <v>2654595.6363869999</v>
      </c>
      <c r="L8" s="98">
        <v>786260.73773299996</v>
      </c>
      <c r="P8" s="2" t="str">
        <f t="shared" si="1"/>
        <v>TARGETRESTOFCATEGORY</v>
      </c>
      <c r="Q8" s="1" t="s">
        <v>134</v>
      </c>
      <c r="R8" s="1" t="s">
        <v>111</v>
      </c>
      <c r="S8" s="98">
        <v>9848111.6578593999</v>
      </c>
      <c r="T8" s="98">
        <v>1474318.7011819701</v>
      </c>
      <c r="U8" s="99">
        <v>2.31401531259703</v>
      </c>
      <c r="V8" s="99">
        <v>15.4570929326082</v>
      </c>
      <c r="W8" s="98">
        <v>28761414.465072699</v>
      </c>
      <c r="X8" s="98">
        <v>4728459.89524162</v>
      </c>
      <c r="Z8" t="str">
        <v>RESTOFCATEGORY</v>
      </c>
      <c r="AA8" s="92">
        <v>6</v>
      </c>
    </row>
    <row r="9" spans="2:27" x14ac:dyDescent="0.3">
      <c r="B9" s="2" t="str">
        <f t="shared" si="0"/>
        <v>TARGETdukesmayojar 30oz</v>
      </c>
      <c r="C9" s="1" t="s">
        <v>134</v>
      </c>
      <c r="D9" s="1" t="s">
        <v>137</v>
      </c>
      <c r="E9" s="1" t="s">
        <v>148</v>
      </c>
      <c r="F9" s="1" t="s">
        <v>144</v>
      </c>
      <c r="G9" s="98">
        <v>770771.31189999997</v>
      </c>
      <c r="H9" s="98">
        <v>305844.45165599999</v>
      </c>
      <c r="I9" s="99">
        <v>2.1592032241628698</v>
      </c>
      <c r="J9" s="99">
        <v>5.4414977703064498</v>
      </c>
      <c r="K9" s="98">
        <v>2591216.1022640001</v>
      </c>
      <c r="L9" s="98">
        <v>1139487.5855779999</v>
      </c>
      <c r="P9" s="2" t="str">
        <f t="shared" si="1"/>
        <v>TARGET</v>
      </c>
      <c r="Q9" s="1" t="s">
        <v>134</v>
      </c>
      <c r="R9" s="1"/>
      <c r="S9" s="98"/>
      <c r="T9" s="98"/>
      <c r="U9" s="99"/>
      <c r="V9" s="99"/>
      <c r="W9" s="98"/>
      <c r="X9" s="98"/>
      <c r="Z9">
        <v>0</v>
      </c>
    </row>
    <row r="10" spans="2:27" x14ac:dyDescent="0.3">
      <c r="B10" s="2" t="str">
        <f t="shared" si="0"/>
        <v>TARGEThellmanns best foodsmayoother</v>
      </c>
      <c r="C10" s="1" t="s">
        <v>134</v>
      </c>
      <c r="D10" s="1" t="s">
        <v>140</v>
      </c>
      <c r="E10" s="1" t="s">
        <v>148</v>
      </c>
      <c r="F10" s="1" t="s">
        <v>139</v>
      </c>
      <c r="G10" s="98">
        <v>2172205.9794700001</v>
      </c>
      <c r="H10" s="98">
        <v>234782.04837900001</v>
      </c>
      <c r="I10" s="99">
        <v>1.79387163127399</v>
      </c>
      <c r="J10" s="99">
        <v>16.5969191884924</v>
      </c>
      <c r="K10" s="98">
        <v>7552481.9263899997</v>
      </c>
      <c r="L10" s="98">
        <v>956115.06339999998</v>
      </c>
      <c r="P10" s="2" t="str">
        <f t="shared" si="1"/>
        <v>TARGET</v>
      </c>
      <c r="Q10" s="1" t="s">
        <v>134</v>
      </c>
      <c r="R10" s="1"/>
      <c r="S10" s="98"/>
      <c r="T10" s="98"/>
      <c r="U10" s="99"/>
      <c r="V10" s="99"/>
      <c r="W10" s="98"/>
      <c r="X10" s="98"/>
    </row>
    <row r="11" spans="2:27" x14ac:dyDescent="0.3">
      <c r="B11" s="2" t="str">
        <f t="shared" si="0"/>
        <v>TARGEThellmanns best foodsmayosqueezy 12oz</v>
      </c>
      <c r="C11" s="1" t="s">
        <v>134</v>
      </c>
      <c r="D11" s="1" t="s">
        <v>140</v>
      </c>
      <c r="E11" s="1" t="s">
        <v>148</v>
      </c>
      <c r="F11" s="1" t="s">
        <v>143</v>
      </c>
      <c r="G11" s="98">
        <v>4086944.0112200002</v>
      </c>
      <c r="H11" s="98">
        <v>645076.44624800002</v>
      </c>
      <c r="I11" s="99">
        <v>2.1910230541203002</v>
      </c>
      <c r="J11" s="99">
        <v>13.881437776197</v>
      </c>
      <c r="K11" s="98">
        <v>12542742.274110001</v>
      </c>
      <c r="L11" s="98">
        <v>2176262.8657999998</v>
      </c>
      <c r="P11" s="2" t="str">
        <f t="shared" si="1"/>
        <v>TARGET</v>
      </c>
      <c r="Q11" s="1" t="s">
        <v>134</v>
      </c>
      <c r="R11" s="1"/>
      <c r="S11" s="98"/>
      <c r="T11" s="98"/>
      <c r="U11" s="99"/>
      <c r="V11" s="99"/>
      <c r="W11" s="98"/>
      <c r="X11" s="98"/>
    </row>
    <row r="12" spans="2:27" x14ac:dyDescent="0.3">
      <c r="B12" s="2" t="str">
        <f t="shared" si="0"/>
        <v>TARGEThellmanns best foodsmayojar 15oz</v>
      </c>
      <c r="C12" s="1" t="s">
        <v>134</v>
      </c>
      <c r="D12" s="1" t="s">
        <v>140</v>
      </c>
      <c r="E12" s="1" t="s">
        <v>148</v>
      </c>
      <c r="F12" s="1" t="s">
        <v>141</v>
      </c>
      <c r="G12" s="98">
        <v>2515858.2374499999</v>
      </c>
      <c r="H12" s="98">
        <v>558041.91636699997</v>
      </c>
      <c r="I12" s="99">
        <v>2.7992446590089402</v>
      </c>
      <c r="J12" s="99">
        <v>12.620024638747701</v>
      </c>
      <c r="K12" s="98">
        <v>7508082.1533500003</v>
      </c>
      <c r="L12" s="98">
        <v>1748596.0810799999</v>
      </c>
      <c r="P12" s="2" t="str">
        <f t="shared" si="1"/>
        <v>TARGET</v>
      </c>
      <c r="Q12" s="1" t="s">
        <v>134</v>
      </c>
      <c r="R12" s="1"/>
      <c r="S12" s="98"/>
      <c r="T12" s="98"/>
      <c r="U12" s="99"/>
      <c r="V12" s="99"/>
      <c r="W12" s="98"/>
      <c r="X12" s="98"/>
    </row>
    <row r="13" spans="2:27" x14ac:dyDescent="0.3">
      <c r="B13" s="2" t="str">
        <f t="shared" si="0"/>
        <v>TARGEThellmanns best foodsmayosqueezy 18 to 22oz</v>
      </c>
      <c r="C13" s="1" t="s">
        <v>134</v>
      </c>
      <c r="D13" s="1" t="s">
        <v>140</v>
      </c>
      <c r="E13" s="1" t="s">
        <v>148</v>
      </c>
      <c r="F13" s="1" t="s">
        <v>149</v>
      </c>
      <c r="G13" s="98">
        <v>9835251.6579999998</v>
      </c>
      <c r="H13" s="98">
        <v>2132444.5483599999</v>
      </c>
      <c r="I13" s="99">
        <v>2.0831531100351</v>
      </c>
      <c r="J13" s="99">
        <v>9.6079098962256992</v>
      </c>
      <c r="K13" s="98">
        <v>35595478.734899998</v>
      </c>
      <c r="L13" s="98">
        <v>9093453.8787600007</v>
      </c>
      <c r="P13" s="2" t="str">
        <f t="shared" si="1"/>
        <v>TARGET</v>
      </c>
      <c r="Q13" s="1" t="s">
        <v>134</v>
      </c>
      <c r="R13" s="1"/>
      <c r="S13" s="98"/>
      <c r="T13" s="98"/>
      <c r="U13" s="99"/>
      <c r="V13" s="99"/>
      <c r="W13" s="98"/>
      <c r="X13" s="98"/>
    </row>
    <row r="14" spans="2:27" x14ac:dyDescent="0.3">
      <c r="B14" s="2" t="str">
        <f t="shared" si="0"/>
        <v>TARGEThellmanns best foodsmayojar 48oz</v>
      </c>
      <c r="C14" s="1" t="s">
        <v>134</v>
      </c>
      <c r="D14" s="1" t="s">
        <v>140</v>
      </c>
      <c r="E14" s="1" t="s">
        <v>148</v>
      </c>
      <c r="F14" s="1" t="s">
        <v>150</v>
      </c>
      <c r="G14" s="98">
        <v>188810.856462</v>
      </c>
      <c r="H14" s="98">
        <v>74517.220178799995</v>
      </c>
      <c r="I14" s="99">
        <v>2.6150477422781901</v>
      </c>
      <c r="J14" s="99">
        <v>6.6259772267918704</v>
      </c>
      <c r="K14" s="98">
        <v>869778.407878233</v>
      </c>
      <c r="L14" s="98">
        <v>356733.33901105699</v>
      </c>
      <c r="P14" s="2" t="str">
        <f t="shared" si="1"/>
        <v>TARGET</v>
      </c>
      <c r="Q14" s="1" t="s">
        <v>134</v>
      </c>
      <c r="R14" s="1"/>
      <c r="S14" s="98"/>
      <c r="T14" s="98"/>
      <c r="U14" s="99"/>
      <c r="V14" s="99"/>
      <c r="W14" s="98"/>
      <c r="X14" s="98"/>
    </row>
    <row r="15" spans="2:27" x14ac:dyDescent="0.3">
      <c r="B15" s="2" t="str">
        <f t="shared" si="0"/>
        <v>TARGEThellmanns best foodsmayojar 30oz</v>
      </c>
      <c r="C15" s="1" t="s">
        <v>134</v>
      </c>
      <c r="D15" s="1" t="s">
        <v>140</v>
      </c>
      <c r="E15" s="1" t="s">
        <v>148</v>
      </c>
      <c r="F15" s="1" t="s">
        <v>144</v>
      </c>
      <c r="G15" s="98">
        <v>11012882.0834</v>
      </c>
      <c r="H15" s="98">
        <v>3604025.1326199998</v>
      </c>
      <c r="I15" s="99">
        <v>2.1491006239637098</v>
      </c>
      <c r="J15" s="99">
        <v>6.5670440371951599</v>
      </c>
      <c r="K15" s="98">
        <v>41304052.759000003</v>
      </c>
      <c r="L15" s="98">
        <v>15973909.133959999</v>
      </c>
      <c r="P15" s="2" t="str">
        <f t="shared" si="1"/>
        <v>TARGET</v>
      </c>
      <c r="Q15" s="1" t="s">
        <v>134</v>
      </c>
      <c r="R15" s="1"/>
      <c r="S15" s="98"/>
      <c r="T15" s="98"/>
      <c r="U15" s="99"/>
      <c r="V15" s="99"/>
      <c r="W15" s="98"/>
      <c r="X15" s="98"/>
    </row>
    <row r="16" spans="2:27" x14ac:dyDescent="0.3">
      <c r="B16" s="2" t="str">
        <f t="shared" si="0"/>
        <v>TARGETkraftmayosqueezy 12oz</v>
      </c>
      <c r="C16" s="1" t="s">
        <v>134</v>
      </c>
      <c r="D16" s="1" t="s">
        <v>142</v>
      </c>
      <c r="E16" s="1" t="s">
        <v>148</v>
      </c>
      <c r="F16" s="1" t="s">
        <v>143</v>
      </c>
      <c r="G16" s="98">
        <v>885839.41984999995</v>
      </c>
      <c r="H16" s="98">
        <v>164667.29629999999</v>
      </c>
      <c r="I16" s="99">
        <v>2.0789588749711401</v>
      </c>
      <c r="J16" s="99">
        <v>11.183906975318701</v>
      </c>
      <c r="K16" s="98">
        <v>4252007.0469500003</v>
      </c>
      <c r="L16" s="98">
        <v>929560.83681100002</v>
      </c>
      <c r="P16" s="2" t="str">
        <f t="shared" si="1"/>
        <v>TARGET</v>
      </c>
      <c r="Q16" s="1" t="s">
        <v>134</v>
      </c>
      <c r="R16" s="1"/>
      <c r="S16" s="98"/>
      <c r="T16" s="98"/>
      <c r="U16" s="99"/>
      <c r="V16" s="99"/>
      <c r="W16" s="98"/>
      <c r="X16" s="98"/>
    </row>
    <row r="17" spans="2:24" x14ac:dyDescent="0.3">
      <c r="B17" s="2" t="str">
        <f t="shared" si="0"/>
        <v>TARGETkraftmayosqueezy 18 to 22oz</v>
      </c>
      <c r="C17" s="1" t="s">
        <v>134</v>
      </c>
      <c r="D17" s="1" t="s">
        <v>142</v>
      </c>
      <c r="E17" s="1" t="s">
        <v>148</v>
      </c>
      <c r="F17" s="1" t="s">
        <v>149</v>
      </c>
      <c r="G17" s="98">
        <v>637100.80582600005</v>
      </c>
      <c r="H17" s="98">
        <v>177771.73648600001</v>
      </c>
      <c r="I17" s="99">
        <v>2.1599444261587601</v>
      </c>
      <c r="J17" s="99">
        <v>7.7408386824949202</v>
      </c>
      <c r="K17" s="98">
        <v>1674318.55857329</v>
      </c>
      <c r="L17" s="98">
        <v>542461.319303417</v>
      </c>
      <c r="P17" s="2" t="str">
        <f t="shared" si="1"/>
        <v>TARGET</v>
      </c>
      <c r="Q17" s="1" t="s">
        <v>134</v>
      </c>
      <c r="R17" s="1"/>
      <c r="S17" s="98"/>
      <c r="T17" s="98"/>
      <c r="U17" s="99"/>
      <c r="V17" s="99"/>
      <c r="W17" s="98"/>
      <c r="X17" s="98"/>
    </row>
    <row r="18" spans="2:24" x14ac:dyDescent="0.3">
      <c r="B18" s="2" t="str">
        <f t="shared" si="0"/>
        <v>TARGETkraftmayojar 30oz</v>
      </c>
      <c r="C18" s="1" t="s">
        <v>134</v>
      </c>
      <c r="D18" s="1" t="s">
        <v>142</v>
      </c>
      <c r="E18" s="1" t="s">
        <v>148</v>
      </c>
      <c r="F18" s="1" t="s">
        <v>144</v>
      </c>
      <c r="G18" s="98">
        <v>2286480.08</v>
      </c>
      <c r="H18" s="98">
        <v>873856.76671</v>
      </c>
      <c r="I18" s="99">
        <v>2.0220963971263299</v>
      </c>
      <c r="J18" s="99">
        <v>5.2908935514411199</v>
      </c>
      <c r="K18" s="98">
        <v>8844833.1616799999</v>
      </c>
      <c r="L18" s="98">
        <v>4063723.0777599998</v>
      </c>
      <c r="P18" s="2" t="str">
        <f t="shared" si="1"/>
        <v>TARGET</v>
      </c>
      <c r="Q18" s="1" t="s">
        <v>134</v>
      </c>
      <c r="R18" s="1"/>
      <c r="S18" s="98"/>
      <c r="T18" s="98"/>
      <c r="U18" s="99"/>
      <c r="V18" s="99"/>
      <c r="W18" s="98"/>
      <c r="X18" s="98"/>
    </row>
    <row r="19" spans="2:24" x14ac:dyDescent="0.3">
      <c r="B19" s="2" t="str">
        <f t="shared" si="0"/>
        <v>TARGETprivate labelmayoother</v>
      </c>
      <c r="C19" s="1" t="s">
        <v>134</v>
      </c>
      <c r="D19" s="1" t="s">
        <v>146</v>
      </c>
      <c r="E19" s="1" t="s">
        <v>148</v>
      </c>
      <c r="F19" s="1" t="s">
        <v>139</v>
      </c>
      <c r="G19" s="98">
        <v>993371.09769279999</v>
      </c>
      <c r="H19" s="98">
        <v>348267.99018641002</v>
      </c>
      <c r="I19" s="99">
        <v>3.1267516139576399</v>
      </c>
      <c r="J19" s="99">
        <v>8.9184902732729991</v>
      </c>
      <c r="K19" s="98">
        <v>993371.09769279999</v>
      </c>
      <c r="L19" s="98">
        <v>348267.99018641002</v>
      </c>
      <c r="P19" s="2" t="str">
        <f t="shared" si="1"/>
        <v>TARGET</v>
      </c>
      <c r="Q19" s="1" t="s">
        <v>134</v>
      </c>
      <c r="R19" s="1"/>
      <c r="S19" s="98"/>
      <c r="T19" s="98"/>
      <c r="U19" s="99"/>
      <c r="V19" s="99"/>
      <c r="W19" s="98"/>
      <c r="X19" s="98"/>
    </row>
    <row r="20" spans="2:24" x14ac:dyDescent="0.3">
      <c r="B20" s="2" t="str">
        <f t="shared" si="0"/>
        <v>TARGETprivate labelmayojar 15oz</v>
      </c>
      <c r="C20" s="1" t="s">
        <v>134</v>
      </c>
      <c r="D20" s="1" t="s">
        <v>146</v>
      </c>
      <c r="E20" s="1" t="s">
        <v>148</v>
      </c>
      <c r="F20" s="1" t="s">
        <v>141</v>
      </c>
      <c r="G20" s="98">
        <v>461606.40130000003</v>
      </c>
      <c r="H20" s="98">
        <v>90319.906575999994</v>
      </c>
      <c r="I20" s="99">
        <v>1.3268924512323499</v>
      </c>
      <c r="J20" s="99">
        <v>6.7814734596753299</v>
      </c>
      <c r="K20" s="98">
        <v>1461692.999876</v>
      </c>
      <c r="L20" s="98">
        <v>308877.0595417</v>
      </c>
      <c r="P20" s="2" t="str">
        <f t="shared" si="1"/>
        <v>TARGET</v>
      </c>
      <c r="Q20" s="1" t="s">
        <v>134</v>
      </c>
      <c r="R20" s="1"/>
      <c r="S20" s="98"/>
      <c r="T20" s="98"/>
      <c r="U20" s="99"/>
      <c r="V20" s="99"/>
      <c r="W20" s="98"/>
      <c r="X20" s="98"/>
    </row>
    <row r="21" spans="2:24" x14ac:dyDescent="0.3">
      <c r="B21" s="2" t="str">
        <f t="shared" si="0"/>
        <v>TARGETprivate labelmayosqueezy 18 to 22oz</v>
      </c>
      <c r="C21" s="1" t="s">
        <v>134</v>
      </c>
      <c r="D21" s="1" t="s">
        <v>146</v>
      </c>
      <c r="E21" s="1" t="s">
        <v>148</v>
      </c>
      <c r="F21" s="1" t="s">
        <v>149</v>
      </c>
      <c r="G21" s="98">
        <v>553887.091439615</v>
      </c>
      <c r="H21" s="98">
        <v>252978.50660294201</v>
      </c>
      <c r="I21" s="99">
        <v>2.35806170731371</v>
      </c>
      <c r="J21" s="99">
        <v>5.1628889664887199</v>
      </c>
      <c r="K21" s="98">
        <v>4209993.4069696199</v>
      </c>
      <c r="L21" s="98">
        <v>1793032.7404609399</v>
      </c>
      <c r="P21" s="2" t="str">
        <f t="shared" si="1"/>
        <v>TARGET</v>
      </c>
      <c r="Q21" s="1" t="s">
        <v>134</v>
      </c>
      <c r="R21" s="1"/>
      <c r="S21" s="98"/>
      <c r="T21" s="98"/>
      <c r="U21" s="99"/>
      <c r="V21" s="99"/>
      <c r="W21" s="98"/>
      <c r="X21" s="98"/>
    </row>
    <row r="22" spans="2:24" x14ac:dyDescent="0.3">
      <c r="B22" s="2" t="str">
        <f t="shared" si="0"/>
        <v>TARGETprivate labelmayojar 30oz</v>
      </c>
      <c r="C22" s="1" t="s">
        <v>134</v>
      </c>
      <c r="D22" s="1" t="s">
        <v>146</v>
      </c>
      <c r="E22" s="1" t="s">
        <v>148</v>
      </c>
      <c r="F22" s="1" t="s">
        <v>144</v>
      </c>
      <c r="G22" s="98">
        <v>2506207.1948500001</v>
      </c>
      <c r="H22" s="98">
        <v>1368652.2489199999</v>
      </c>
      <c r="I22" s="99">
        <v>1.92712522061865</v>
      </c>
      <c r="J22" s="99">
        <v>3.5288548256889301</v>
      </c>
      <c r="K22" s="98">
        <v>7090826.8705399996</v>
      </c>
      <c r="L22" s="98">
        <v>4176645.0644</v>
      </c>
      <c r="P22" s="2" t="str">
        <f t="shared" si="1"/>
        <v>TARGET</v>
      </c>
      <c r="Q22" s="1" t="s">
        <v>134</v>
      </c>
      <c r="R22" s="1"/>
      <c r="S22" s="98"/>
      <c r="T22" s="98"/>
      <c r="U22" s="99"/>
      <c r="V22" s="99"/>
      <c r="W22" s="98"/>
      <c r="X22" s="98"/>
    </row>
    <row r="23" spans="2:24" x14ac:dyDescent="0.3">
      <c r="B23" s="2" t="str">
        <f t="shared" si="0"/>
        <v>TARGETrestofcategoryrestofcategoryother</v>
      </c>
      <c r="C23" s="1" t="s">
        <v>134</v>
      </c>
      <c r="D23" s="1" t="s">
        <v>151</v>
      </c>
      <c r="E23" s="1" t="s">
        <v>151</v>
      </c>
      <c r="F23" s="1" t="s">
        <v>139</v>
      </c>
      <c r="G23" s="98">
        <v>6533275.4518320002</v>
      </c>
      <c r="H23" s="98">
        <v>1118076.8934644</v>
      </c>
      <c r="I23" s="99">
        <v>2.8935582139466498</v>
      </c>
      <c r="J23" s="99">
        <v>16.907972034954099</v>
      </c>
      <c r="K23" s="98">
        <v>15989454.176287601</v>
      </c>
      <c r="L23" s="98">
        <v>3256509.9929047502</v>
      </c>
      <c r="P23" s="2" t="str">
        <f t="shared" si="1"/>
        <v>TARGET</v>
      </c>
      <c r="Q23" s="1" t="s">
        <v>134</v>
      </c>
      <c r="R23" s="1"/>
      <c r="S23" s="98"/>
      <c r="T23" s="98"/>
      <c r="U23" s="99"/>
      <c r="V23" s="99"/>
      <c r="W23" s="98"/>
      <c r="X23" s="98"/>
    </row>
    <row r="24" spans="2:24" x14ac:dyDescent="0.3">
      <c r="B24" s="2" t="str">
        <f t="shared" si="0"/>
        <v>TARGETrestofcategoryrestofcategoryjar 15oz</v>
      </c>
      <c r="C24" s="1" t="s">
        <v>134</v>
      </c>
      <c r="D24" s="1" t="s">
        <v>151</v>
      </c>
      <c r="E24" s="1" t="s">
        <v>151</v>
      </c>
      <c r="F24" s="1" t="s">
        <v>141</v>
      </c>
      <c r="G24" s="98">
        <v>1797630.9669154</v>
      </c>
      <c r="H24" s="98">
        <v>140642.42990339</v>
      </c>
      <c r="I24" s="99">
        <v>1.00586585198483</v>
      </c>
      <c r="J24" s="99">
        <v>12.8565441121342</v>
      </c>
      <c r="K24" s="98">
        <v>8174295.6926784003</v>
      </c>
      <c r="L24" s="98">
        <v>692648.38872958999</v>
      </c>
      <c r="P24" s="2" t="str">
        <f t="shared" si="1"/>
        <v>TARGET</v>
      </c>
      <c r="Q24" s="1" t="s">
        <v>134</v>
      </c>
      <c r="R24" s="1"/>
      <c r="S24" s="98"/>
      <c r="T24" s="98"/>
      <c r="U24" s="99"/>
      <c r="V24" s="99"/>
      <c r="W24" s="98"/>
      <c r="X24" s="98"/>
    </row>
    <row r="25" spans="2:24" x14ac:dyDescent="0.3">
      <c r="B25" s="2" t="str">
        <f t="shared" si="0"/>
        <v>TARGETrestofcategoryrestofcategorysqueezy 18 to 22oz</v>
      </c>
      <c r="C25" s="1" t="s">
        <v>134</v>
      </c>
      <c r="D25" s="1" t="s">
        <v>151</v>
      </c>
      <c r="E25" s="1" t="s">
        <v>151</v>
      </c>
      <c r="F25" s="1" t="s">
        <v>149</v>
      </c>
      <c r="G25" s="98">
        <v>1491824.5126598999</v>
      </c>
      <c r="H25" s="98">
        <v>204562.99281565001</v>
      </c>
      <c r="I25" s="99">
        <v>1.3421538238209101</v>
      </c>
      <c r="J25" s="99">
        <v>9.7879775152715993</v>
      </c>
      <c r="K25" s="98">
        <v>4554644.77965461</v>
      </c>
      <c r="L25" s="98">
        <v>757286.25360874401</v>
      </c>
      <c r="P25" s="2" t="str">
        <f t="shared" si="1"/>
        <v>TARGET</v>
      </c>
      <c r="Q25" s="1" t="s">
        <v>134</v>
      </c>
      <c r="R25" s="1"/>
      <c r="S25" s="98"/>
      <c r="T25" s="98"/>
      <c r="U25" s="99"/>
      <c r="V25" s="99"/>
      <c r="W25" s="98"/>
      <c r="X25" s="98"/>
    </row>
    <row r="26" spans="2:24" x14ac:dyDescent="0.3">
      <c r="B26" s="2" t="str">
        <f t="shared" si="0"/>
        <v>TARGETrestofcategoryrestofcategoryjar 30oz</v>
      </c>
      <c r="C26" s="1" t="s">
        <v>134</v>
      </c>
      <c r="D26" s="1" t="s">
        <v>151</v>
      </c>
      <c r="E26" s="1" t="s">
        <v>151</v>
      </c>
      <c r="F26" s="1" t="s">
        <v>144</v>
      </c>
      <c r="G26" s="98">
        <v>25380.7264521</v>
      </c>
      <c r="H26" s="98">
        <v>11036.38499853</v>
      </c>
      <c r="I26" s="99">
        <v>2.9090873635896601</v>
      </c>
      <c r="J26" s="99">
        <v>6.6901209599306597</v>
      </c>
      <c r="K26" s="98">
        <v>43017.256452100002</v>
      </c>
      <c r="L26" s="98">
        <v>22014.50999853</v>
      </c>
      <c r="P26" s="2" t="str">
        <f t="shared" si="1"/>
        <v>TARGET</v>
      </c>
      <c r="Q26" s="1" t="s">
        <v>134</v>
      </c>
      <c r="R26" s="1"/>
      <c r="S26" s="98"/>
      <c r="T26" s="98"/>
      <c r="U26" s="99"/>
      <c r="V26" s="99"/>
      <c r="W26" s="98"/>
      <c r="X26" s="98"/>
    </row>
    <row r="27" spans="2:24" x14ac:dyDescent="0.3">
      <c r="B27" s="2" t="str">
        <f t="shared" si="0"/>
        <v>TARGETmiracle whipwhipped dressingsqueezy 12oz</v>
      </c>
      <c r="C27" s="1" t="s">
        <v>134</v>
      </c>
      <c r="D27" s="1" t="s">
        <v>152</v>
      </c>
      <c r="E27" s="1" t="s">
        <v>153</v>
      </c>
      <c r="F27" s="1" t="s">
        <v>143</v>
      </c>
      <c r="G27" s="98">
        <v>1253659.9911100001</v>
      </c>
      <c r="H27" s="98">
        <v>207292.44055199999</v>
      </c>
      <c r="I27" s="99">
        <v>2.1135459010085902</v>
      </c>
      <c r="J27" s="99">
        <v>12.7822699583892</v>
      </c>
      <c r="K27" s="98">
        <v>4158631.78443</v>
      </c>
      <c r="L27" s="98">
        <v>711596.59798299999</v>
      </c>
      <c r="P27" s="2" t="str">
        <f t="shared" si="1"/>
        <v>TARGET</v>
      </c>
      <c r="Q27" s="1" t="s">
        <v>134</v>
      </c>
      <c r="R27" s="1"/>
      <c r="S27" s="98"/>
      <c r="T27" s="98"/>
      <c r="U27" s="99"/>
      <c r="V27" s="99"/>
      <c r="W27" s="98"/>
      <c r="X27" s="98"/>
    </row>
    <row r="28" spans="2:24" x14ac:dyDescent="0.3">
      <c r="B28" s="2" t="str">
        <f t="shared" si="0"/>
        <v>TARGETmiracle whipwhipped dressingjar 15oz</v>
      </c>
      <c r="C28" s="1" t="s">
        <v>134</v>
      </c>
      <c r="D28" s="1" t="s">
        <v>152</v>
      </c>
      <c r="E28" s="1" t="s">
        <v>153</v>
      </c>
      <c r="F28" s="1" t="s">
        <v>141</v>
      </c>
      <c r="G28" s="98">
        <v>413256.79844599997</v>
      </c>
      <c r="H28" s="98">
        <v>78669.168377499998</v>
      </c>
      <c r="I28" s="99">
        <v>2.2121689383118102</v>
      </c>
      <c r="J28" s="99">
        <v>11.6207387458527</v>
      </c>
      <c r="K28" s="98">
        <v>1084869.1287179999</v>
      </c>
      <c r="L28" s="98">
        <v>226503.75319670001</v>
      </c>
      <c r="P28" s="2" t="str">
        <f t="shared" si="1"/>
        <v>TARGET</v>
      </c>
      <c r="Q28" s="1" t="s">
        <v>134</v>
      </c>
      <c r="R28" s="1"/>
      <c r="S28" s="98"/>
      <c r="T28" s="98"/>
      <c r="U28" s="99"/>
      <c r="V28" s="99"/>
      <c r="W28" s="98"/>
      <c r="X28" s="98"/>
    </row>
    <row r="29" spans="2:24" x14ac:dyDescent="0.3">
      <c r="B29" s="2" t="str">
        <f t="shared" si="0"/>
        <v>TARGETmiracle whipwhipped dressingsqueezy 18 to 22oz</v>
      </c>
      <c r="C29" s="1" t="s">
        <v>134</v>
      </c>
      <c r="D29" s="1" t="s">
        <v>152</v>
      </c>
      <c r="E29" s="1" t="s">
        <v>153</v>
      </c>
      <c r="F29" s="1" t="s">
        <v>149</v>
      </c>
      <c r="G29" s="98">
        <v>18.100000000000001</v>
      </c>
      <c r="H29" s="98">
        <v>5.9375</v>
      </c>
      <c r="I29" s="99">
        <v>2.90220111172327</v>
      </c>
      <c r="J29" s="99">
        <v>8.8471309679479795</v>
      </c>
      <c r="K29" s="98">
        <v>1386815.4381579999</v>
      </c>
      <c r="L29" s="98">
        <v>354843.48998000001</v>
      </c>
      <c r="P29" s="2" t="str">
        <f t="shared" si="1"/>
        <v>TARGET</v>
      </c>
      <c r="Q29" s="1" t="s">
        <v>134</v>
      </c>
      <c r="R29" s="1"/>
      <c r="S29" s="98"/>
      <c r="T29" s="98"/>
      <c r="U29" s="99"/>
      <c r="V29" s="99"/>
      <c r="W29" s="98"/>
      <c r="X29" s="98"/>
    </row>
    <row r="30" spans="2:24" x14ac:dyDescent="0.3">
      <c r="B30" s="2" t="str">
        <f t="shared" si="0"/>
        <v>TARGETmiracle whipwhipped dressingjar 30oz</v>
      </c>
      <c r="C30" s="1" t="s">
        <v>134</v>
      </c>
      <c r="D30" s="1" t="s">
        <v>152</v>
      </c>
      <c r="E30" s="1" t="s">
        <v>153</v>
      </c>
      <c r="F30" s="1" t="s">
        <v>144</v>
      </c>
      <c r="G30" s="98">
        <v>2122685.6885700002</v>
      </c>
      <c r="H30" s="98">
        <v>724031.19160999998</v>
      </c>
      <c r="I30" s="99">
        <v>2.06260016310905</v>
      </c>
      <c r="J30" s="99">
        <v>6.0470486606218996</v>
      </c>
      <c r="K30" s="98">
        <v>7837383.5252499999</v>
      </c>
      <c r="L30" s="98">
        <v>2977145.3513400001</v>
      </c>
      <c r="P30" s="2" t="str">
        <f t="shared" si="1"/>
        <v>TARGET</v>
      </c>
      <c r="Q30" s="1" t="s">
        <v>134</v>
      </c>
      <c r="R30" s="1"/>
      <c r="S30" s="98"/>
      <c r="T30" s="98"/>
      <c r="U30" s="99"/>
      <c r="V30" s="99"/>
      <c r="W30" s="98"/>
      <c r="X30" s="98"/>
    </row>
    <row r="31" spans="2:24" x14ac:dyDescent="0.3">
      <c r="B31" s="2" t="str">
        <f t="shared" si="0"/>
        <v/>
      </c>
      <c r="C31" s="1"/>
      <c r="D31" s="1"/>
      <c r="E31" s="1"/>
      <c r="F31" s="1"/>
      <c r="G31" s="98"/>
      <c r="H31" s="98"/>
      <c r="I31" s="99"/>
      <c r="J31" s="99"/>
      <c r="K31" s="98"/>
      <c r="L31" s="98"/>
      <c r="P31" s="2" t="str">
        <f t="shared" si="1"/>
        <v>TARGET</v>
      </c>
      <c r="Q31" s="1" t="s">
        <v>134</v>
      </c>
      <c r="R31" s="1"/>
      <c r="S31" s="98"/>
      <c r="T31" s="98"/>
      <c r="U31" s="99"/>
      <c r="V31" s="99"/>
      <c r="W31" s="98"/>
      <c r="X31" s="98"/>
    </row>
    <row r="32" spans="2:24" x14ac:dyDescent="0.3">
      <c r="B32" s="2" t="str">
        <f t="shared" si="0"/>
        <v/>
      </c>
      <c r="C32" s="1"/>
      <c r="D32" s="1"/>
      <c r="E32" s="1"/>
      <c r="F32" s="1"/>
      <c r="G32" s="98"/>
      <c r="H32" s="98"/>
      <c r="I32" s="99"/>
      <c r="J32" s="99"/>
      <c r="K32" s="98"/>
      <c r="L32" s="98"/>
      <c r="P32" s="2" t="str">
        <f t="shared" si="1"/>
        <v>TARGET</v>
      </c>
      <c r="Q32" s="1" t="s">
        <v>134</v>
      </c>
      <c r="R32" s="1"/>
      <c r="S32" s="98"/>
      <c r="T32" s="98"/>
      <c r="U32" s="99"/>
      <c r="V32" s="99"/>
      <c r="W32" s="98"/>
      <c r="X32" s="98"/>
    </row>
    <row r="33" spans="2:24" x14ac:dyDescent="0.3">
      <c r="B33" s="2" t="str">
        <f t="shared" si="0"/>
        <v/>
      </c>
      <c r="C33" s="1"/>
      <c r="D33" s="1"/>
      <c r="E33" s="1"/>
      <c r="F33" s="1"/>
      <c r="G33" s="98"/>
      <c r="H33" s="98"/>
      <c r="I33" s="99"/>
      <c r="J33" s="99"/>
      <c r="K33" s="98"/>
      <c r="L33" s="98"/>
      <c r="P33" s="2" t="str">
        <f t="shared" si="1"/>
        <v>TARGET</v>
      </c>
      <c r="Q33" s="1" t="s">
        <v>134</v>
      </c>
      <c r="R33" s="1"/>
      <c r="S33" s="98"/>
      <c r="T33" s="98"/>
      <c r="U33" s="99"/>
      <c r="V33" s="99"/>
      <c r="W33" s="98"/>
      <c r="X33" s="98"/>
    </row>
    <row r="34" spans="2:24" x14ac:dyDescent="0.3">
      <c r="B34" s="2" t="str">
        <f t="shared" si="0"/>
        <v/>
      </c>
      <c r="C34" s="1"/>
      <c r="D34" s="1"/>
      <c r="E34" s="1"/>
      <c r="F34" s="1"/>
      <c r="G34" s="98"/>
      <c r="H34" s="98"/>
      <c r="I34" s="99"/>
      <c r="J34" s="99"/>
      <c r="K34" s="98"/>
      <c r="L34" s="98"/>
      <c r="P34" s="2" t="str">
        <f t="shared" si="1"/>
        <v>TARGET</v>
      </c>
      <c r="Q34" s="1" t="s">
        <v>134</v>
      </c>
      <c r="R34" s="1"/>
      <c r="S34" s="98"/>
      <c r="T34" s="98"/>
      <c r="U34" s="99"/>
      <c r="V34" s="99"/>
      <c r="W34" s="98"/>
      <c r="X34" s="98"/>
    </row>
    <row r="35" spans="2:24" x14ac:dyDescent="0.3">
      <c r="B35" s="2" t="str">
        <f t="shared" si="0"/>
        <v/>
      </c>
      <c r="C35" s="1"/>
      <c r="D35" s="1"/>
      <c r="E35" s="1"/>
      <c r="F35" s="1"/>
      <c r="G35" s="98"/>
      <c r="H35" s="98"/>
      <c r="I35" s="99"/>
      <c r="J35" s="99"/>
      <c r="K35" s="98"/>
      <c r="L35" s="98"/>
      <c r="P35" s="2" t="str">
        <f t="shared" si="1"/>
        <v>TARGET</v>
      </c>
      <c r="Q35" s="1" t="s">
        <v>134</v>
      </c>
      <c r="R35" s="1"/>
      <c r="S35" s="98"/>
      <c r="T35" s="98"/>
      <c r="U35" s="99"/>
      <c r="V35" s="99"/>
      <c r="W35" s="98"/>
      <c r="X35" s="98"/>
    </row>
    <row r="36" spans="2:24" x14ac:dyDescent="0.3">
      <c r="B36" s="2" t="str">
        <f t="shared" si="0"/>
        <v/>
      </c>
      <c r="C36" s="1"/>
      <c r="D36" s="1"/>
      <c r="E36" s="1"/>
      <c r="F36" s="1"/>
      <c r="G36" s="98"/>
      <c r="H36" s="98"/>
      <c r="I36" s="99"/>
      <c r="J36" s="99"/>
      <c r="K36" s="98"/>
      <c r="L36" s="98"/>
      <c r="P36" s="2" t="str">
        <f t="shared" si="1"/>
        <v>TARGET</v>
      </c>
      <c r="Q36" s="1" t="s">
        <v>134</v>
      </c>
      <c r="R36" s="1"/>
      <c r="S36" s="98"/>
      <c r="T36" s="98"/>
      <c r="U36" s="99"/>
      <c r="V36" s="99"/>
      <c r="W36" s="98"/>
      <c r="X36" s="98"/>
    </row>
    <row r="37" spans="2:24" x14ac:dyDescent="0.3">
      <c r="B37" s="2" t="str">
        <f t="shared" si="0"/>
        <v/>
      </c>
      <c r="C37" s="1"/>
      <c r="D37" s="1"/>
      <c r="E37" s="1"/>
      <c r="F37" s="1"/>
      <c r="G37" s="98"/>
      <c r="H37" s="98"/>
      <c r="I37" s="99"/>
      <c r="J37" s="99"/>
      <c r="K37" s="98"/>
      <c r="L37" s="98"/>
      <c r="P37" s="2" t="str">
        <f t="shared" si="1"/>
        <v>TARGET</v>
      </c>
      <c r="Q37" s="1" t="s">
        <v>134</v>
      </c>
      <c r="R37" s="1"/>
      <c r="S37" s="98"/>
      <c r="T37" s="98"/>
      <c r="U37" s="99"/>
      <c r="V37" s="99"/>
      <c r="W37" s="98"/>
      <c r="X37" s="98"/>
    </row>
    <row r="38" spans="2:24" x14ac:dyDescent="0.3">
      <c r="B38" s="2" t="str">
        <f t="shared" si="0"/>
        <v/>
      </c>
      <c r="C38" s="1"/>
      <c r="D38" s="1"/>
      <c r="E38" s="1"/>
      <c r="F38" s="1"/>
      <c r="G38" s="98"/>
      <c r="H38" s="98"/>
      <c r="I38" s="99"/>
      <c r="J38" s="99"/>
      <c r="K38" s="98"/>
      <c r="L38" s="98"/>
      <c r="P38" s="2" t="str">
        <f t="shared" si="1"/>
        <v>TARGET</v>
      </c>
      <c r="Q38" s="1" t="s">
        <v>134</v>
      </c>
      <c r="R38" s="1"/>
      <c r="S38" s="98"/>
      <c r="T38" s="98"/>
      <c r="U38" s="99"/>
      <c r="V38" s="99"/>
      <c r="W38" s="98"/>
      <c r="X38" s="98"/>
    </row>
    <row r="39" spans="2:24" x14ac:dyDescent="0.3">
      <c r="B39" s="2" t="str">
        <f t="shared" si="0"/>
        <v/>
      </c>
      <c r="C39" s="1"/>
      <c r="D39" s="1"/>
      <c r="E39" s="1"/>
      <c r="F39" s="1"/>
      <c r="G39" s="98"/>
      <c r="H39" s="98"/>
      <c r="I39" s="99"/>
      <c r="J39" s="99"/>
      <c r="K39" s="98"/>
      <c r="L39" s="98"/>
      <c r="P39" s="2" t="str">
        <f t="shared" si="1"/>
        <v>TARGET</v>
      </c>
      <c r="Q39" s="1" t="s">
        <v>134</v>
      </c>
      <c r="R39" s="1"/>
      <c r="S39" s="98"/>
      <c r="T39" s="98"/>
      <c r="U39" s="99"/>
      <c r="V39" s="99"/>
      <c r="W39" s="98"/>
      <c r="X39" s="98"/>
    </row>
    <row r="40" spans="2:24" x14ac:dyDescent="0.3">
      <c r="B40" s="2" t="str">
        <f t="shared" si="0"/>
        <v/>
      </c>
      <c r="C40" s="1"/>
      <c r="D40" s="1"/>
      <c r="E40" s="1"/>
      <c r="F40" s="1"/>
      <c r="G40" s="98"/>
      <c r="H40" s="98"/>
      <c r="I40" s="99"/>
      <c r="J40" s="99"/>
      <c r="K40" s="98"/>
      <c r="L40" s="98"/>
      <c r="P40" s="2" t="str">
        <f t="shared" si="1"/>
        <v>TARGET</v>
      </c>
      <c r="Q40" s="1" t="s">
        <v>134</v>
      </c>
      <c r="R40" s="1"/>
      <c r="S40" s="98"/>
      <c r="T40" s="98"/>
      <c r="U40" s="99"/>
      <c r="V40" s="99"/>
      <c r="W40" s="98"/>
      <c r="X40" s="98"/>
    </row>
    <row r="41" spans="2:24" x14ac:dyDescent="0.3">
      <c r="B41" s="2" t="str">
        <f t="shared" si="0"/>
        <v/>
      </c>
      <c r="C41" s="1"/>
      <c r="D41" s="1"/>
      <c r="E41" s="1"/>
      <c r="F41" s="1"/>
      <c r="G41" s="98"/>
      <c r="H41" s="98"/>
      <c r="I41" s="99"/>
      <c r="J41" s="99"/>
      <c r="K41" s="98"/>
      <c r="L41" s="98"/>
      <c r="P41" s="2" t="str">
        <f t="shared" si="1"/>
        <v>TARGET</v>
      </c>
      <c r="Q41" s="1" t="s">
        <v>134</v>
      </c>
      <c r="R41" s="1"/>
      <c r="S41" s="98"/>
      <c r="T41" s="98"/>
      <c r="U41" s="99"/>
      <c r="V41" s="99"/>
      <c r="W41" s="98"/>
      <c r="X41" s="98"/>
    </row>
    <row r="42" spans="2:24" x14ac:dyDescent="0.3">
      <c r="B42" s="2" t="str">
        <f t="shared" si="0"/>
        <v/>
      </c>
      <c r="C42" s="1"/>
      <c r="D42" s="1"/>
      <c r="E42" s="1"/>
      <c r="F42" s="1"/>
      <c r="G42" s="98"/>
      <c r="H42" s="98"/>
      <c r="I42" s="99"/>
      <c r="J42" s="99"/>
      <c r="K42" s="98"/>
      <c r="L42" s="98"/>
      <c r="P42" s="2" t="str">
        <f t="shared" si="1"/>
        <v>TARGET</v>
      </c>
      <c r="Q42" s="1" t="s">
        <v>134</v>
      </c>
      <c r="R42" s="1"/>
      <c r="S42" s="98"/>
      <c r="T42" s="98"/>
      <c r="U42" s="99"/>
      <c r="V42" s="99"/>
      <c r="W42" s="98"/>
      <c r="X42" s="98"/>
    </row>
    <row r="43" spans="2:24" x14ac:dyDescent="0.3">
      <c r="B43" s="2" t="str">
        <f t="shared" si="0"/>
        <v/>
      </c>
      <c r="C43" s="1"/>
      <c r="D43" s="1"/>
      <c r="E43" s="1"/>
      <c r="F43" s="1"/>
      <c r="G43" s="98"/>
      <c r="H43" s="98"/>
      <c r="I43" s="99"/>
      <c r="J43" s="99"/>
      <c r="K43" s="98"/>
      <c r="L43" s="98"/>
      <c r="P43" s="2" t="str">
        <f t="shared" si="1"/>
        <v>TARGET</v>
      </c>
      <c r="Q43" s="1" t="s">
        <v>134</v>
      </c>
      <c r="R43" s="1"/>
      <c r="S43" s="98"/>
      <c r="T43" s="98"/>
      <c r="U43" s="99"/>
      <c r="V43" s="99"/>
      <c r="W43" s="98"/>
      <c r="X43" s="98"/>
    </row>
    <row r="44" spans="2:24" x14ac:dyDescent="0.3">
      <c r="B44" s="2" t="str">
        <f t="shared" si="0"/>
        <v/>
      </c>
      <c r="C44" s="1"/>
      <c r="D44" s="1"/>
      <c r="E44" s="1"/>
      <c r="F44" s="1"/>
      <c r="G44" s="98"/>
      <c r="H44" s="98"/>
      <c r="I44" s="99"/>
      <c r="J44" s="99"/>
      <c r="K44" s="98"/>
      <c r="L44" s="98"/>
      <c r="P44" s="2" t="str">
        <f t="shared" si="1"/>
        <v>TARGET</v>
      </c>
      <c r="Q44" s="1" t="s">
        <v>134</v>
      </c>
      <c r="R44" s="1"/>
      <c r="S44" s="98"/>
      <c r="T44" s="98"/>
      <c r="U44" s="99"/>
      <c r="V44" s="99"/>
      <c r="W44" s="98"/>
      <c r="X44" s="98"/>
    </row>
    <row r="45" spans="2:24" x14ac:dyDescent="0.3">
      <c r="B45" s="2" t="str">
        <f t="shared" si="0"/>
        <v/>
      </c>
      <c r="C45" s="1"/>
      <c r="D45" s="1"/>
      <c r="E45" s="1"/>
      <c r="F45" s="1"/>
      <c r="G45" s="98"/>
      <c r="H45" s="98"/>
      <c r="I45" s="99"/>
      <c r="J45" s="99"/>
      <c r="K45" s="98"/>
      <c r="L45" s="98"/>
      <c r="P45" s="2" t="str">
        <f t="shared" si="1"/>
        <v>TARGET</v>
      </c>
      <c r="Q45" s="1" t="s">
        <v>134</v>
      </c>
      <c r="R45" s="1"/>
      <c r="S45" s="98"/>
      <c r="T45" s="98"/>
      <c r="U45" s="99"/>
      <c r="V45" s="99"/>
      <c r="W45" s="98"/>
      <c r="X45" s="98"/>
    </row>
    <row r="46" spans="2:24" x14ac:dyDescent="0.3">
      <c r="B46" s="2" t="str">
        <f t="shared" si="0"/>
        <v/>
      </c>
      <c r="C46" s="1"/>
      <c r="D46" s="1"/>
      <c r="E46" s="1"/>
      <c r="F46" s="1"/>
      <c r="G46" s="98"/>
      <c r="H46" s="98"/>
      <c r="I46" s="99"/>
      <c r="J46" s="99"/>
      <c r="K46" s="98"/>
      <c r="L46" s="98"/>
      <c r="P46" s="2" t="str">
        <f t="shared" si="1"/>
        <v>TARGET</v>
      </c>
      <c r="Q46" s="1" t="s">
        <v>134</v>
      </c>
      <c r="R46" s="1"/>
      <c r="S46" s="98"/>
      <c r="T46" s="98"/>
      <c r="U46" s="99"/>
      <c r="V46" s="99"/>
      <c r="W46" s="98"/>
      <c r="X46" s="98"/>
    </row>
    <row r="47" spans="2:24" x14ac:dyDescent="0.3">
      <c r="B47" s="2" t="str">
        <f t="shared" si="0"/>
        <v/>
      </c>
      <c r="C47" s="1"/>
      <c r="D47" s="1"/>
      <c r="E47" s="1"/>
      <c r="F47" s="1"/>
      <c r="G47" s="98"/>
      <c r="H47" s="98"/>
      <c r="I47" s="99"/>
      <c r="J47" s="99"/>
      <c r="K47" s="98"/>
      <c r="L47" s="98"/>
      <c r="P47" s="2" t="str">
        <f t="shared" si="1"/>
        <v>TARGET</v>
      </c>
      <c r="Q47" s="1" t="s">
        <v>134</v>
      </c>
      <c r="R47" s="1"/>
      <c r="S47" s="98"/>
      <c r="T47" s="98"/>
      <c r="U47" s="99"/>
      <c r="V47" s="99"/>
      <c r="W47" s="98"/>
      <c r="X47" s="98"/>
    </row>
    <row r="48" spans="2:24" x14ac:dyDescent="0.3">
      <c r="B48" s="2" t="str">
        <f t="shared" si="0"/>
        <v/>
      </c>
      <c r="C48" s="1"/>
      <c r="D48" s="1"/>
      <c r="E48" s="1"/>
      <c r="F48" s="1"/>
      <c r="G48" s="98"/>
      <c r="H48" s="98"/>
      <c r="I48" s="99"/>
      <c r="J48" s="99"/>
      <c r="K48" s="98"/>
      <c r="L48" s="98"/>
      <c r="P48" s="2" t="str">
        <f t="shared" si="1"/>
        <v>TARGET</v>
      </c>
      <c r="Q48" s="1" t="s">
        <v>134</v>
      </c>
      <c r="R48" s="1"/>
      <c r="S48" s="98"/>
      <c r="T48" s="98"/>
      <c r="U48" s="99"/>
      <c r="V48" s="99"/>
      <c r="W48" s="98"/>
      <c r="X48" s="98"/>
    </row>
    <row r="49" spans="2:24" x14ac:dyDescent="0.3">
      <c r="B49" s="2" t="str">
        <f t="shared" si="0"/>
        <v/>
      </c>
      <c r="C49" s="1"/>
      <c r="D49" s="1"/>
      <c r="E49" s="1"/>
      <c r="F49" s="1"/>
      <c r="G49" s="98"/>
      <c r="H49" s="98"/>
      <c r="I49" s="99"/>
      <c r="J49" s="99"/>
      <c r="K49" s="98"/>
      <c r="L49" s="98"/>
      <c r="P49" s="2" t="str">
        <f t="shared" si="1"/>
        <v>TARGET</v>
      </c>
      <c r="Q49" s="1" t="s">
        <v>134</v>
      </c>
      <c r="R49" s="1"/>
      <c r="S49" s="98"/>
      <c r="T49" s="98"/>
      <c r="U49" s="99"/>
      <c r="V49" s="99"/>
      <c r="W49" s="98"/>
      <c r="X49" s="98"/>
    </row>
    <row r="50" spans="2:24" x14ac:dyDescent="0.3">
      <c r="B50" s="2" t="str">
        <f t="shared" si="0"/>
        <v/>
      </c>
      <c r="C50" s="1"/>
      <c r="D50" s="1"/>
      <c r="E50" s="1"/>
      <c r="F50" s="1"/>
      <c r="G50" s="98"/>
      <c r="H50" s="98"/>
      <c r="I50" s="99"/>
      <c r="J50" s="99"/>
      <c r="K50" s="98"/>
      <c r="L50" s="98"/>
      <c r="P50" s="2" t="str">
        <f t="shared" si="1"/>
        <v>TARGET</v>
      </c>
      <c r="Q50" s="1" t="s">
        <v>134</v>
      </c>
      <c r="R50" s="1"/>
      <c r="S50" s="98"/>
      <c r="T50" s="98"/>
      <c r="U50" s="99"/>
      <c r="V50" s="99"/>
      <c r="W50" s="98"/>
      <c r="X50" s="98"/>
    </row>
    <row r="51" spans="2:24" x14ac:dyDescent="0.3">
      <c r="B51" s="2" t="str">
        <f t="shared" si="0"/>
        <v/>
      </c>
      <c r="C51" s="1"/>
      <c r="D51" s="1"/>
      <c r="E51" s="1"/>
      <c r="F51" s="1"/>
      <c r="G51" s="98"/>
      <c r="H51" s="98"/>
      <c r="I51" s="99"/>
      <c r="J51" s="99"/>
      <c r="K51" s="98"/>
      <c r="L51" s="98"/>
      <c r="P51" s="2" t="str">
        <f t="shared" si="1"/>
        <v>TARGET</v>
      </c>
      <c r="Q51" s="1" t="s">
        <v>134</v>
      </c>
      <c r="R51" s="1"/>
      <c r="S51" s="98"/>
      <c r="T51" s="98"/>
      <c r="U51" s="99"/>
      <c r="V51" s="99"/>
      <c r="W51" s="98"/>
      <c r="X51" s="98"/>
    </row>
    <row r="52" spans="2:24" x14ac:dyDescent="0.3">
      <c r="B52" s="2" t="str">
        <f t="shared" si="0"/>
        <v/>
      </c>
      <c r="C52" s="1"/>
      <c r="D52" s="1"/>
      <c r="E52" s="1"/>
      <c r="F52" s="1"/>
      <c r="G52" s="98"/>
      <c r="H52" s="98"/>
      <c r="I52" s="99"/>
      <c r="J52" s="99"/>
      <c r="K52" s="98"/>
      <c r="L52" s="98"/>
      <c r="P52" s="2" t="str">
        <f t="shared" si="1"/>
        <v>TARGET</v>
      </c>
      <c r="Q52" s="1" t="s">
        <v>134</v>
      </c>
      <c r="R52" s="1"/>
      <c r="S52" s="98"/>
      <c r="T52" s="98"/>
      <c r="U52" s="99"/>
      <c r="V52" s="99"/>
      <c r="W52" s="98"/>
      <c r="X52" s="98"/>
    </row>
    <row r="53" spans="2:24" x14ac:dyDescent="0.3">
      <c r="B53" s="2" t="str">
        <f t="shared" si="0"/>
        <v/>
      </c>
      <c r="C53" s="1"/>
      <c r="D53" s="1"/>
      <c r="E53" s="1"/>
      <c r="F53" s="1"/>
      <c r="G53" s="98"/>
      <c r="H53" s="98"/>
      <c r="I53" s="99"/>
      <c r="J53" s="99"/>
      <c r="K53" s="98"/>
      <c r="L53" s="98"/>
      <c r="P53" s="2" t="str">
        <f t="shared" si="1"/>
        <v>TARGET</v>
      </c>
      <c r="Q53" s="1" t="s">
        <v>134</v>
      </c>
      <c r="R53" s="1"/>
      <c r="S53" s="98"/>
      <c r="T53" s="98"/>
      <c r="U53" s="99"/>
      <c r="V53" s="99"/>
      <c r="W53" s="98"/>
      <c r="X53" s="98"/>
    </row>
    <row r="54" spans="2:24" x14ac:dyDescent="0.3">
      <c r="B54" s="2" t="str">
        <f t="shared" si="0"/>
        <v/>
      </c>
      <c r="C54" s="1"/>
      <c r="D54" s="1"/>
      <c r="E54" s="1"/>
      <c r="F54" s="1"/>
      <c r="G54" s="98"/>
      <c r="H54" s="98"/>
      <c r="I54" s="99"/>
      <c r="J54" s="99"/>
      <c r="K54" s="98"/>
      <c r="L54" s="98"/>
      <c r="P54" s="2" t="str">
        <f t="shared" si="1"/>
        <v>TARGET</v>
      </c>
      <c r="Q54" s="1" t="s">
        <v>134</v>
      </c>
      <c r="R54" s="1"/>
      <c r="S54" s="98"/>
      <c r="T54" s="98"/>
      <c r="U54" s="99"/>
      <c r="V54" s="99"/>
      <c r="W54" s="98"/>
      <c r="X54" s="98"/>
    </row>
    <row r="55" spans="2:24" x14ac:dyDescent="0.3">
      <c r="B55" s="2" t="str">
        <f t="shared" si="0"/>
        <v/>
      </c>
      <c r="C55" s="1"/>
      <c r="D55" s="1"/>
      <c r="E55" s="1"/>
      <c r="F55" s="1"/>
      <c r="G55" s="98"/>
      <c r="H55" s="98"/>
      <c r="I55" s="99"/>
      <c r="J55" s="99"/>
      <c r="K55" s="98"/>
      <c r="L55" s="98"/>
      <c r="P55" s="2" t="str">
        <f t="shared" si="1"/>
        <v>TARGET</v>
      </c>
      <c r="Q55" s="1" t="s">
        <v>134</v>
      </c>
      <c r="R55" s="1"/>
      <c r="S55" s="98"/>
      <c r="T55" s="98"/>
      <c r="U55" s="99"/>
      <c r="V55" s="99"/>
      <c r="W55" s="98"/>
      <c r="X55" s="98"/>
    </row>
    <row r="56" spans="2:24" x14ac:dyDescent="0.3">
      <c r="B56" s="2" t="str">
        <f t="shared" si="0"/>
        <v/>
      </c>
      <c r="C56" s="1"/>
      <c r="D56" s="1"/>
      <c r="E56" s="1"/>
      <c r="F56" s="1"/>
      <c r="G56" s="98"/>
      <c r="H56" s="98"/>
      <c r="I56" s="99"/>
      <c r="J56" s="99"/>
      <c r="K56" s="98"/>
      <c r="L56" s="98"/>
      <c r="P56" s="2" t="str">
        <f t="shared" si="1"/>
        <v>TARGET</v>
      </c>
      <c r="Q56" s="1" t="s">
        <v>134</v>
      </c>
      <c r="R56" s="1"/>
      <c r="S56" s="98"/>
      <c r="T56" s="98"/>
      <c r="U56" s="99"/>
      <c r="V56" s="99"/>
      <c r="W56" s="98"/>
      <c r="X56" s="98"/>
    </row>
    <row r="57" spans="2:24" x14ac:dyDescent="0.3">
      <c r="B57" s="2" t="str">
        <f t="shared" si="0"/>
        <v/>
      </c>
      <c r="C57" s="1"/>
      <c r="D57" s="1"/>
      <c r="E57" s="1"/>
      <c r="F57" s="1"/>
      <c r="G57" s="98"/>
      <c r="H57" s="98"/>
      <c r="I57" s="99"/>
      <c r="J57" s="99"/>
      <c r="K57" s="98"/>
      <c r="L57" s="98"/>
      <c r="P57" s="2" t="str">
        <f t="shared" si="1"/>
        <v>TARGET</v>
      </c>
      <c r="Q57" s="1" t="s">
        <v>134</v>
      </c>
      <c r="R57" s="1"/>
      <c r="S57" s="98"/>
      <c r="T57" s="98"/>
      <c r="U57" s="99"/>
      <c r="V57" s="99"/>
      <c r="W57" s="98"/>
      <c r="X57" s="98"/>
    </row>
    <row r="58" spans="2:24" x14ac:dyDescent="0.3">
      <c r="B58" s="2" t="str">
        <f t="shared" si="0"/>
        <v/>
      </c>
      <c r="C58" s="1"/>
      <c r="D58" s="1"/>
      <c r="E58" s="1"/>
      <c r="F58" s="1"/>
      <c r="G58" s="98"/>
      <c r="H58" s="98"/>
      <c r="I58" s="99"/>
      <c r="J58" s="99"/>
      <c r="K58" s="98"/>
      <c r="L58" s="98"/>
      <c r="P58" s="2" t="str">
        <f t="shared" si="1"/>
        <v>TARGET</v>
      </c>
      <c r="Q58" s="1" t="s">
        <v>134</v>
      </c>
      <c r="R58" s="1"/>
      <c r="S58" s="98"/>
      <c r="T58" s="98"/>
      <c r="U58" s="99"/>
      <c r="V58" s="99"/>
      <c r="W58" s="98"/>
      <c r="X58" s="98"/>
    </row>
    <row r="59" spans="2:24" x14ac:dyDescent="0.3">
      <c r="B59" s="2" t="str">
        <f t="shared" si="0"/>
        <v/>
      </c>
      <c r="C59" s="1"/>
      <c r="D59" s="1"/>
      <c r="E59" s="1"/>
      <c r="F59" s="1"/>
      <c r="G59" s="98"/>
      <c r="H59" s="98"/>
      <c r="I59" s="99"/>
      <c r="J59" s="99"/>
      <c r="K59" s="98"/>
      <c r="L59" s="98"/>
      <c r="P59" s="2" t="str">
        <f t="shared" si="1"/>
        <v>TARGET</v>
      </c>
      <c r="Q59" s="1" t="s">
        <v>134</v>
      </c>
      <c r="R59" s="1"/>
      <c r="S59" s="98"/>
      <c r="T59" s="98"/>
      <c r="U59" s="99"/>
      <c r="V59" s="99"/>
      <c r="W59" s="98"/>
      <c r="X59" s="98"/>
    </row>
    <row r="60" spans="2:24" x14ac:dyDescent="0.3">
      <c r="B60" s="2" t="str">
        <f t="shared" si="0"/>
        <v/>
      </c>
      <c r="C60" s="1"/>
      <c r="D60" s="1"/>
      <c r="E60" s="1"/>
      <c r="F60" s="1"/>
      <c r="G60" s="98"/>
      <c r="H60" s="98"/>
      <c r="I60" s="99"/>
      <c r="J60" s="99"/>
      <c r="K60" s="98"/>
      <c r="L60" s="98"/>
      <c r="P60" s="2" t="str">
        <f t="shared" si="1"/>
        <v>TARGET</v>
      </c>
      <c r="Q60" s="1" t="s">
        <v>134</v>
      </c>
      <c r="R60" s="1"/>
      <c r="S60" s="98"/>
      <c r="T60" s="98"/>
      <c r="U60" s="99"/>
      <c r="V60" s="99"/>
      <c r="W60" s="98"/>
      <c r="X60" s="98"/>
    </row>
    <row r="61" spans="2:24" x14ac:dyDescent="0.3">
      <c r="B61" s="2" t="str">
        <f t="shared" si="0"/>
        <v/>
      </c>
      <c r="C61" s="1"/>
      <c r="D61" s="1"/>
      <c r="E61" s="1"/>
      <c r="F61" s="1"/>
      <c r="G61" s="98"/>
      <c r="H61" s="98"/>
      <c r="I61" s="99"/>
      <c r="J61" s="99"/>
      <c r="K61" s="98"/>
      <c r="L61" s="98"/>
      <c r="P61" s="2" t="str">
        <f t="shared" si="1"/>
        <v>TARGET</v>
      </c>
      <c r="Q61" s="1" t="s">
        <v>134</v>
      </c>
      <c r="R61" s="1"/>
      <c r="S61" s="98"/>
      <c r="T61" s="98"/>
      <c r="U61" s="99"/>
      <c r="V61" s="99"/>
      <c r="W61" s="98"/>
      <c r="X61" s="98"/>
    </row>
    <row r="62" spans="2:24" x14ac:dyDescent="0.3">
      <c r="B62" s="2" t="str">
        <f t="shared" si="0"/>
        <v/>
      </c>
      <c r="C62" s="1"/>
      <c r="D62" s="1"/>
      <c r="E62" s="1"/>
      <c r="F62" s="1"/>
      <c r="G62" s="98"/>
      <c r="H62" s="98"/>
      <c r="I62" s="99"/>
      <c r="J62" s="99"/>
      <c r="K62" s="98"/>
      <c r="L62" s="98"/>
      <c r="P62" s="2" t="str">
        <f t="shared" si="1"/>
        <v>TARGET</v>
      </c>
      <c r="Q62" s="1" t="s">
        <v>134</v>
      </c>
      <c r="R62" s="1"/>
      <c r="S62" s="98"/>
      <c r="T62" s="98"/>
      <c r="U62" s="99"/>
      <c r="V62" s="99"/>
      <c r="W62" s="98"/>
      <c r="X62" s="98"/>
    </row>
    <row r="63" spans="2:24" x14ac:dyDescent="0.3">
      <c r="B63" s="2" t="str">
        <f t="shared" si="0"/>
        <v/>
      </c>
      <c r="C63" s="1"/>
      <c r="D63" s="1"/>
      <c r="E63" s="1"/>
      <c r="F63" s="1"/>
      <c r="G63" s="98"/>
      <c r="H63" s="98"/>
      <c r="I63" s="99"/>
      <c r="J63" s="99"/>
      <c r="K63" s="98"/>
      <c r="L63" s="98"/>
      <c r="P63" s="2" t="str">
        <f t="shared" si="1"/>
        <v>TARGET</v>
      </c>
      <c r="Q63" s="1" t="s">
        <v>134</v>
      </c>
      <c r="R63" s="1"/>
      <c r="S63" s="98"/>
      <c r="T63" s="98"/>
      <c r="U63" s="99"/>
      <c r="V63" s="99"/>
      <c r="W63" s="98"/>
      <c r="X63" s="98"/>
    </row>
    <row r="64" spans="2:24" x14ac:dyDescent="0.3">
      <c r="B64" s="2" t="str">
        <f t="shared" si="0"/>
        <v/>
      </c>
      <c r="C64" s="1"/>
      <c r="D64" s="1"/>
      <c r="E64" s="1"/>
      <c r="F64" s="1"/>
      <c r="G64" s="98"/>
      <c r="H64" s="98"/>
      <c r="I64" s="99"/>
      <c r="J64" s="99"/>
      <c r="K64" s="98"/>
      <c r="L64" s="98"/>
      <c r="P64" s="2" t="str">
        <f t="shared" si="1"/>
        <v>TARGET</v>
      </c>
      <c r="Q64" s="1" t="s">
        <v>134</v>
      </c>
      <c r="R64" s="1"/>
      <c r="S64" s="98"/>
      <c r="T64" s="98"/>
      <c r="U64" s="99"/>
      <c r="V64" s="99"/>
      <c r="W64" s="98"/>
      <c r="X64" s="98"/>
    </row>
    <row r="65" spans="2:24" x14ac:dyDescent="0.3">
      <c r="B65" s="2" t="str">
        <f t="shared" si="0"/>
        <v/>
      </c>
      <c r="C65" s="1"/>
      <c r="D65" s="1"/>
      <c r="E65" s="1"/>
      <c r="F65" s="1"/>
      <c r="G65" s="98"/>
      <c r="H65" s="98"/>
      <c r="I65" s="99"/>
      <c r="J65" s="99"/>
      <c r="K65" s="98"/>
      <c r="L65" s="98"/>
      <c r="P65" s="2" t="str">
        <f t="shared" si="1"/>
        <v>TARGET</v>
      </c>
      <c r="Q65" s="1" t="s">
        <v>134</v>
      </c>
      <c r="R65" s="1"/>
      <c r="S65" s="98"/>
      <c r="T65" s="98"/>
      <c r="U65" s="99"/>
      <c r="V65" s="99"/>
      <c r="W65" s="98"/>
      <c r="X65" s="98"/>
    </row>
    <row r="66" spans="2:24" x14ac:dyDescent="0.3">
      <c r="B66" s="2" t="str">
        <f t="shared" si="0"/>
        <v/>
      </c>
      <c r="C66" s="1"/>
      <c r="D66" s="1"/>
      <c r="E66" s="1"/>
      <c r="F66" s="1"/>
      <c r="G66" s="98"/>
      <c r="H66" s="98"/>
      <c r="I66" s="99"/>
      <c r="J66" s="99"/>
      <c r="K66" s="98"/>
      <c r="L66" s="98"/>
      <c r="P66" s="2" t="str">
        <f t="shared" si="1"/>
        <v>TARGET</v>
      </c>
      <c r="Q66" s="1" t="s">
        <v>134</v>
      </c>
      <c r="R66" s="1"/>
      <c r="S66" s="98"/>
      <c r="T66" s="98"/>
      <c r="U66" s="99"/>
      <c r="V66" s="99"/>
      <c r="W66" s="98"/>
      <c r="X66" s="98"/>
    </row>
    <row r="67" spans="2:24" x14ac:dyDescent="0.3">
      <c r="B67" s="2" t="str">
        <f t="shared" si="0"/>
        <v/>
      </c>
      <c r="C67" s="1"/>
      <c r="D67" s="1"/>
      <c r="E67" s="1"/>
      <c r="F67" s="1"/>
      <c r="G67" s="98"/>
      <c r="H67" s="98"/>
      <c r="I67" s="99"/>
      <c r="J67" s="99"/>
      <c r="K67" s="98"/>
      <c r="L67" s="98"/>
      <c r="P67" s="2" t="str">
        <f t="shared" si="1"/>
        <v>TARGET</v>
      </c>
      <c r="Q67" s="1" t="s">
        <v>134</v>
      </c>
      <c r="R67" s="1"/>
      <c r="S67" s="98"/>
      <c r="T67" s="98"/>
      <c r="U67" s="99"/>
      <c r="V67" s="99"/>
      <c r="W67" s="98"/>
      <c r="X67" s="98"/>
    </row>
    <row r="68" spans="2:24" x14ac:dyDescent="0.3">
      <c r="B68" s="2" t="str">
        <f t="shared" ref="B68:B131" si="2">C68&amp;D68&amp;E68&amp;F68</f>
        <v/>
      </c>
      <c r="C68" s="1"/>
      <c r="D68" s="1"/>
      <c r="E68" s="1"/>
      <c r="F68" s="1"/>
      <c r="G68" s="98"/>
      <c r="H68" s="98"/>
      <c r="I68" s="99"/>
      <c r="J68" s="99"/>
      <c r="K68" s="98"/>
      <c r="L68" s="98"/>
      <c r="P68" s="2" t="str">
        <f t="shared" ref="P68:P131" si="3">Q68&amp;R68</f>
        <v>TARGET</v>
      </c>
      <c r="Q68" s="1" t="s">
        <v>134</v>
      </c>
      <c r="R68" s="1"/>
      <c r="S68" s="98"/>
      <c r="T68" s="98"/>
      <c r="U68" s="99"/>
      <c r="V68" s="99"/>
      <c r="W68" s="98"/>
      <c r="X68" s="98"/>
    </row>
    <row r="69" spans="2:24" x14ac:dyDescent="0.3">
      <c r="B69" s="2" t="str">
        <f t="shared" si="2"/>
        <v/>
      </c>
      <c r="C69" s="1"/>
      <c r="D69" s="1"/>
      <c r="E69" s="1"/>
      <c r="F69" s="1"/>
      <c r="G69" s="98"/>
      <c r="H69" s="98"/>
      <c r="I69" s="99"/>
      <c r="J69" s="99"/>
      <c r="K69" s="98"/>
      <c r="L69" s="98"/>
      <c r="P69" s="2" t="str">
        <f t="shared" si="3"/>
        <v>TARGET</v>
      </c>
      <c r="Q69" s="1" t="s">
        <v>134</v>
      </c>
      <c r="R69" s="1"/>
      <c r="S69" s="98"/>
      <c r="T69" s="98"/>
      <c r="U69" s="99"/>
      <c r="V69" s="99"/>
      <c r="W69" s="98"/>
      <c r="X69" s="98"/>
    </row>
    <row r="70" spans="2:24" x14ac:dyDescent="0.3">
      <c r="B70" s="2" t="str">
        <f t="shared" si="2"/>
        <v/>
      </c>
      <c r="C70" s="1"/>
      <c r="D70" s="1"/>
      <c r="E70" s="1"/>
      <c r="F70" s="1"/>
      <c r="G70" s="98"/>
      <c r="H70" s="98"/>
      <c r="I70" s="99"/>
      <c r="J70" s="99"/>
      <c r="K70" s="98"/>
      <c r="L70" s="98"/>
      <c r="P70" s="2" t="str">
        <f t="shared" si="3"/>
        <v>TARGET</v>
      </c>
      <c r="Q70" s="1" t="s">
        <v>134</v>
      </c>
      <c r="R70" s="1"/>
      <c r="S70" s="98"/>
      <c r="T70" s="98"/>
      <c r="U70" s="99"/>
      <c r="V70" s="99"/>
      <c r="W70" s="98"/>
      <c r="X70" s="98"/>
    </row>
    <row r="71" spans="2:24" x14ac:dyDescent="0.3">
      <c r="B71" s="2" t="str">
        <f t="shared" si="2"/>
        <v/>
      </c>
      <c r="C71" s="1"/>
      <c r="D71" s="1"/>
      <c r="E71" s="1"/>
      <c r="F71" s="1"/>
      <c r="G71" s="98"/>
      <c r="H71" s="98"/>
      <c r="I71" s="99"/>
      <c r="J71" s="99"/>
      <c r="K71" s="98"/>
      <c r="L71" s="98"/>
      <c r="P71" s="2" t="str">
        <f t="shared" si="3"/>
        <v>TARGET</v>
      </c>
      <c r="Q71" s="1" t="s">
        <v>134</v>
      </c>
      <c r="R71" s="1"/>
      <c r="S71" s="98"/>
      <c r="T71" s="98"/>
      <c r="U71" s="99"/>
      <c r="V71" s="99"/>
      <c r="W71" s="98"/>
      <c r="X71" s="98"/>
    </row>
    <row r="72" spans="2:24" x14ac:dyDescent="0.3">
      <c r="B72" s="2" t="str">
        <f t="shared" si="2"/>
        <v/>
      </c>
      <c r="C72" s="1"/>
      <c r="D72" s="1"/>
      <c r="E72" s="1"/>
      <c r="F72" s="1"/>
      <c r="G72" s="98"/>
      <c r="H72" s="98"/>
      <c r="I72" s="99"/>
      <c r="J72" s="99"/>
      <c r="K72" s="98"/>
      <c r="L72" s="98"/>
      <c r="P72" s="2" t="str">
        <f t="shared" si="3"/>
        <v>TARGET</v>
      </c>
      <c r="Q72" s="1" t="s">
        <v>134</v>
      </c>
      <c r="R72" s="1"/>
      <c r="S72" s="98"/>
      <c r="T72" s="98"/>
      <c r="U72" s="99"/>
      <c r="V72" s="99"/>
      <c r="W72" s="98"/>
      <c r="X72" s="98"/>
    </row>
    <row r="73" spans="2:24" x14ac:dyDescent="0.3">
      <c r="B73" s="2" t="str">
        <f t="shared" si="2"/>
        <v/>
      </c>
      <c r="C73" s="1"/>
      <c r="D73" s="1"/>
      <c r="E73" s="1"/>
      <c r="F73" s="1"/>
      <c r="G73" s="98"/>
      <c r="H73" s="98"/>
      <c r="I73" s="99"/>
      <c r="J73" s="99"/>
      <c r="K73" s="98"/>
      <c r="L73" s="98"/>
      <c r="P73" s="2" t="str">
        <f t="shared" si="3"/>
        <v>TARGET</v>
      </c>
      <c r="Q73" s="1" t="s">
        <v>134</v>
      </c>
      <c r="R73" s="1"/>
      <c r="S73" s="98"/>
      <c r="T73" s="98"/>
      <c r="U73" s="99"/>
      <c r="V73" s="99"/>
      <c r="W73" s="98"/>
      <c r="X73" s="98"/>
    </row>
    <row r="74" spans="2:24" x14ac:dyDescent="0.3">
      <c r="B74" s="2" t="str">
        <f t="shared" si="2"/>
        <v/>
      </c>
      <c r="C74" s="1"/>
      <c r="D74" s="1"/>
      <c r="E74" s="1"/>
      <c r="F74" s="1"/>
      <c r="G74" s="98"/>
      <c r="H74" s="98"/>
      <c r="I74" s="99"/>
      <c r="J74" s="99"/>
      <c r="K74" s="98"/>
      <c r="L74" s="98"/>
      <c r="P74" s="2" t="str">
        <f t="shared" si="3"/>
        <v>TARGET</v>
      </c>
      <c r="Q74" s="1" t="s">
        <v>134</v>
      </c>
      <c r="R74" s="1"/>
      <c r="S74" s="98"/>
      <c r="T74" s="98"/>
      <c r="U74" s="99"/>
      <c r="V74" s="99"/>
      <c r="W74" s="98"/>
      <c r="X74" s="98"/>
    </row>
    <row r="75" spans="2:24" x14ac:dyDescent="0.3">
      <c r="B75" s="2" t="str">
        <f t="shared" si="2"/>
        <v/>
      </c>
      <c r="C75" s="1"/>
      <c r="D75" s="1"/>
      <c r="E75" s="1"/>
      <c r="F75" s="1"/>
      <c r="G75" s="98"/>
      <c r="H75" s="98"/>
      <c r="I75" s="99"/>
      <c r="J75" s="99"/>
      <c r="K75" s="98"/>
      <c r="L75" s="98"/>
      <c r="P75" s="2" t="str">
        <f t="shared" si="3"/>
        <v>TARGET</v>
      </c>
      <c r="Q75" s="1" t="s">
        <v>134</v>
      </c>
      <c r="R75" s="1"/>
      <c r="S75" s="98"/>
      <c r="T75" s="98"/>
      <c r="U75" s="99"/>
      <c r="V75" s="99"/>
      <c r="W75" s="98"/>
      <c r="X75" s="98"/>
    </row>
    <row r="76" spans="2:24" x14ac:dyDescent="0.3">
      <c r="B76" s="2" t="str">
        <f t="shared" si="2"/>
        <v/>
      </c>
      <c r="C76" s="1"/>
      <c r="D76" s="1"/>
      <c r="E76" s="1"/>
      <c r="F76" s="1"/>
      <c r="G76" s="98"/>
      <c r="H76" s="98"/>
      <c r="I76" s="99"/>
      <c r="J76" s="99"/>
      <c r="K76" s="98"/>
      <c r="L76" s="98"/>
      <c r="P76" s="2" t="str">
        <f t="shared" si="3"/>
        <v>TARGET</v>
      </c>
      <c r="Q76" s="1" t="s">
        <v>134</v>
      </c>
      <c r="R76" s="1"/>
      <c r="S76" s="98"/>
      <c r="T76" s="98"/>
      <c r="U76" s="99"/>
      <c r="V76" s="99"/>
      <c r="W76" s="98"/>
      <c r="X76" s="98"/>
    </row>
    <row r="77" spans="2:24" x14ac:dyDescent="0.3">
      <c r="B77" s="2" t="str">
        <f t="shared" si="2"/>
        <v/>
      </c>
      <c r="C77" s="1"/>
      <c r="D77" s="1"/>
      <c r="E77" s="1"/>
      <c r="F77" s="1"/>
      <c r="G77" s="98"/>
      <c r="H77" s="98"/>
      <c r="I77" s="99"/>
      <c r="J77" s="99"/>
      <c r="K77" s="98"/>
      <c r="L77" s="98"/>
      <c r="P77" s="2" t="str">
        <f t="shared" si="3"/>
        <v>TARGET</v>
      </c>
      <c r="Q77" s="1" t="s">
        <v>134</v>
      </c>
      <c r="R77" s="1"/>
      <c r="S77" s="98"/>
      <c r="T77" s="98"/>
      <c r="U77" s="99"/>
      <c r="V77" s="99"/>
      <c r="W77" s="98"/>
      <c r="X77" s="98"/>
    </row>
    <row r="78" spans="2:24" x14ac:dyDescent="0.3">
      <c r="B78" s="2" t="str">
        <f t="shared" si="2"/>
        <v/>
      </c>
      <c r="C78" s="1"/>
      <c r="D78" s="1"/>
      <c r="E78" s="1"/>
      <c r="F78" s="1"/>
      <c r="G78" s="98"/>
      <c r="H78" s="98"/>
      <c r="I78" s="99"/>
      <c r="J78" s="99"/>
      <c r="K78" s="98"/>
      <c r="L78" s="98"/>
      <c r="P78" s="2" t="str">
        <f t="shared" si="3"/>
        <v>TARGET</v>
      </c>
      <c r="Q78" s="1" t="s">
        <v>134</v>
      </c>
      <c r="R78" s="1"/>
      <c r="S78" s="98"/>
      <c r="T78" s="98"/>
      <c r="U78" s="99"/>
      <c r="V78" s="99"/>
      <c r="W78" s="98"/>
      <c r="X78" s="98"/>
    </row>
    <row r="79" spans="2:24" x14ac:dyDescent="0.3">
      <c r="B79" s="2" t="str">
        <f t="shared" si="2"/>
        <v/>
      </c>
      <c r="C79" s="1"/>
      <c r="D79" s="1"/>
      <c r="E79" s="1"/>
      <c r="F79" s="1"/>
      <c r="G79" s="98"/>
      <c r="H79" s="98"/>
      <c r="I79" s="99"/>
      <c r="J79" s="99"/>
      <c r="K79" s="98"/>
      <c r="L79" s="98"/>
      <c r="P79" s="2" t="str">
        <f t="shared" si="3"/>
        <v>TARGET</v>
      </c>
      <c r="Q79" s="1" t="s">
        <v>134</v>
      </c>
      <c r="R79" s="1"/>
      <c r="S79" s="98"/>
      <c r="T79" s="98"/>
      <c r="U79" s="99"/>
      <c r="V79" s="99"/>
      <c r="W79" s="98"/>
      <c r="X79" s="98"/>
    </row>
    <row r="80" spans="2:24" x14ac:dyDescent="0.3">
      <c r="B80" s="2" t="str">
        <f t="shared" si="2"/>
        <v/>
      </c>
      <c r="C80" s="1"/>
      <c r="D80" s="1"/>
      <c r="E80" s="1"/>
      <c r="F80" s="1"/>
      <c r="G80" s="98"/>
      <c r="H80" s="98"/>
      <c r="I80" s="99"/>
      <c r="J80" s="99"/>
      <c r="K80" s="98"/>
      <c r="L80" s="98"/>
      <c r="P80" s="2" t="str">
        <f t="shared" si="3"/>
        <v>TARGET</v>
      </c>
      <c r="Q80" s="1" t="s">
        <v>134</v>
      </c>
      <c r="R80" s="1"/>
      <c r="S80" s="98"/>
      <c r="T80" s="98"/>
      <c r="U80" s="99"/>
      <c r="V80" s="99"/>
      <c r="W80" s="98"/>
      <c r="X80" s="98"/>
    </row>
    <row r="81" spans="2:24" x14ac:dyDescent="0.3">
      <c r="B81" s="2" t="str">
        <f t="shared" si="2"/>
        <v/>
      </c>
      <c r="C81" s="1"/>
      <c r="D81" s="1"/>
      <c r="E81" s="1"/>
      <c r="F81" s="1"/>
      <c r="G81" s="98"/>
      <c r="H81" s="98"/>
      <c r="I81" s="99"/>
      <c r="J81" s="99"/>
      <c r="K81" s="98"/>
      <c r="L81" s="98"/>
      <c r="P81" s="2" t="str">
        <f t="shared" si="3"/>
        <v>TARGET</v>
      </c>
      <c r="Q81" s="1" t="s">
        <v>134</v>
      </c>
      <c r="R81" s="1"/>
      <c r="S81" s="98"/>
      <c r="T81" s="98"/>
      <c r="U81" s="99"/>
      <c r="V81" s="99"/>
      <c r="W81" s="98"/>
      <c r="X81" s="98"/>
    </row>
    <row r="82" spans="2:24" x14ac:dyDescent="0.3">
      <c r="B82" s="2" t="str">
        <f t="shared" si="2"/>
        <v/>
      </c>
      <c r="C82" s="1"/>
      <c r="D82" s="1"/>
      <c r="E82" s="1"/>
      <c r="F82" s="1"/>
      <c r="G82" s="98"/>
      <c r="H82" s="98"/>
      <c r="I82" s="99"/>
      <c r="J82" s="99"/>
      <c r="K82" s="98"/>
      <c r="L82" s="98"/>
      <c r="P82" s="2" t="str">
        <f t="shared" si="3"/>
        <v>TARGET</v>
      </c>
      <c r="Q82" s="1" t="s">
        <v>134</v>
      </c>
      <c r="R82" s="1"/>
      <c r="S82" s="98"/>
      <c r="T82" s="98"/>
      <c r="U82" s="99"/>
      <c r="V82" s="99"/>
      <c r="W82" s="98"/>
      <c r="X82" s="98"/>
    </row>
    <row r="83" spans="2:24" x14ac:dyDescent="0.3">
      <c r="B83" s="2" t="str">
        <f t="shared" si="2"/>
        <v/>
      </c>
      <c r="C83" s="1"/>
      <c r="D83" s="1"/>
      <c r="E83" s="1"/>
      <c r="F83" s="1"/>
      <c r="G83" s="98"/>
      <c r="H83" s="98"/>
      <c r="I83" s="99"/>
      <c r="J83" s="99"/>
      <c r="K83" s="98"/>
      <c r="L83" s="98"/>
      <c r="P83" s="2" t="str">
        <f t="shared" si="3"/>
        <v>TARGET</v>
      </c>
      <c r="Q83" s="1" t="s">
        <v>134</v>
      </c>
      <c r="R83" s="1"/>
      <c r="S83" s="98"/>
      <c r="T83" s="98"/>
      <c r="U83" s="99"/>
      <c r="V83" s="99"/>
      <c r="W83" s="98"/>
      <c r="X83" s="98"/>
    </row>
    <row r="84" spans="2:24" x14ac:dyDescent="0.3">
      <c r="B84" s="2" t="str">
        <f t="shared" si="2"/>
        <v/>
      </c>
      <c r="C84" s="1"/>
      <c r="D84" s="1"/>
      <c r="E84" s="1"/>
      <c r="F84" s="1"/>
      <c r="G84" s="98"/>
      <c r="H84" s="98"/>
      <c r="I84" s="99"/>
      <c r="J84" s="99"/>
      <c r="K84" s="98"/>
      <c r="L84" s="98"/>
      <c r="P84" s="2" t="str">
        <f t="shared" si="3"/>
        <v>TARGET</v>
      </c>
      <c r="Q84" s="1" t="s">
        <v>134</v>
      </c>
      <c r="R84" s="1"/>
      <c r="S84" s="98"/>
      <c r="T84" s="98"/>
      <c r="U84" s="99"/>
      <c r="V84" s="99"/>
      <c r="W84" s="98"/>
      <c r="X84" s="98"/>
    </row>
    <row r="85" spans="2:24" x14ac:dyDescent="0.3">
      <c r="B85" s="2" t="str">
        <f t="shared" si="2"/>
        <v/>
      </c>
      <c r="C85" s="1"/>
      <c r="D85" s="1"/>
      <c r="E85" s="1"/>
      <c r="F85" s="1"/>
      <c r="G85" s="98"/>
      <c r="H85" s="98"/>
      <c r="I85" s="99"/>
      <c r="J85" s="99"/>
      <c r="K85" s="98"/>
      <c r="L85" s="98"/>
      <c r="P85" s="2" t="str">
        <f t="shared" si="3"/>
        <v>TARGET</v>
      </c>
      <c r="Q85" s="1" t="s">
        <v>134</v>
      </c>
      <c r="R85" s="1"/>
      <c r="S85" s="98"/>
      <c r="T85" s="98"/>
      <c r="U85" s="99"/>
      <c r="V85" s="99"/>
      <c r="W85" s="98"/>
      <c r="X85" s="98"/>
    </row>
    <row r="86" spans="2:24" x14ac:dyDescent="0.3">
      <c r="B86" s="2" t="str">
        <f t="shared" si="2"/>
        <v/>
      </c>
      <c r="C86" s="1"/>
      <c r="D86" s="1"/>
      <c r="E86" s="1"/>
      <c r="F86" s="1"/>
      <c r="G86" s="98"/>
      <c r="H86" s="98"/>
      <c r="I86" s="99"/>
      <c r="J86" s="99"/>
      <c r="K86" s="98"/>
      <c r="L86" s="98"/>
      <c r="P86" s="2" t="str">
        <f t="shared" si="3"/>
        <v>TARGET</v>
      </c>
      <c r="Q86" s="1" t="s">
        <v>134</v>
      </c>
      <c r="R86" s="1"/>
      <c r="S86" s="98"/>
      <c r="T86" s="98"/>
      <c r="U86" s="99"/>
      <c r="V86" s="99"/>
      <c r="W86" s="98"/>
      <c r="X86" s="98"/>
    </row>
    <row r="87" spans="2:24" x14ac:dyDescent="0.3">
      <c r="B87" s="2" t="str">
        <f t="shared" si="2"/>
        <v/>
      </c>
      <c r="C87" s="1"/>
      <c r="D87" s="1"/>
      <c r="E87" s="1"/>
      <c r="F87" s="1"/>
      <c r="G87" s="98"/>
      <c r="H87" s="98"/>
      <c r="I87" s="99"/>
      <c r="J87" s="99"/>
      <c r="K87" s="98"/>
      <c r="L87" s="98"/>
      <c r="P87" s="2" t="str">
        <f t="shared" si="3"/>
        <v>TARGET</v>
      </c>
      <c r="Q87" s="1" t="s">
        <v>134</v>
      </c>
      <c r="R87" s="1"/>
      <c r="S87" s="98"/>
      <c r="T87" s="98"/>
      <c r="U87" s="99"/>
      <c r="V87" s="99"/>
      <c r="W87" s="98"/>
      <c r="X87" s="98"/>
    </row>
    <row r="88" spans="2:24" x14ac:dyDescent="0.3">
      <c r="B88" s="2" t="str">
        <f t="shared" si="2"/>
        <v/>
      </c>
      <c r="C88" s="1"/>
      <c r="D88" s="1"/>
      <c r="E88" s="1"/>
      <c r="F88" s="1"/>
      <c r="G88" s="98"/>
      <c r="H88" s="98"/>
      <c r="I88" s="99"/>
      <c r="J88" s="99"/>
      <c r="K88" s="98"/>
      <c r="L88" s="98"/>
      <c r="P88" s="2" t="str">
        <f t="shared" si="3"/>
        <v>TARGET</v>
      </c>
      <c r="Q88" s="1" t="s">
        <v>134</v>
      </c>
      <c r="R88" s="1"/>
      <c r="S88" s="98"/>
      <c r="T88" s="98"/>
      <c r="U88" s="99"/>
      <c r="V88" s="99"/>
      <c r="W88" s="98"/>
      <c r="X88" s="98"/>
    </row>
    <row r="89" spans="2:24" x14ac:dyDescent="0.3">
      <c r="B89" s="2" t="str">
        <f t="shared" si="2"/>
        <v/>
      </c>
      <c r="C89" s="1"/>
      <c r="D89" s="1"/>
      <c r="E89" s="1"/>
      <c r="F89" s="1"/>
      <c r="G89" s="98"/>
      <c r="H89" s="98"/>
      <c r="I89" s="99"/>
      <c r="J89" s="99"/>
      <c r="K89" s="98"/>
      <c r="L89" s="98"/>
      <c r="P89" s="2" t="str">
        <f t="shared" si="3"/>
        <v>TARGET</v>
      </c>
      <c r="Q89" s="1" t="s">
        <v>134</v>
      </c>
      <c r="R89" s="1"/>
      <c r="S89" s="98"/>
      <c r="T89" s="98"/>
      <c r="U89" s="99"/>
      <c r="V89" s="99"/>
      <c r="W89" s="98"/>
      <c r="X89" s="98"/>
    </row>
    <row r="90" spans="2:24" x14ac:dyDescent="0.3">
      <c r="B90" s="2" t="str">
        <f t="shared" si="2"/>
        <v/>
      </c>
      <c r="C90" s="1"/>
      <c r="D90" s="1"/>
      <c r="E90" s="1"/>
      <c r="F90" s="1"/>
      <c r="G90" s="98"/>
      <c r="H90" s="98"/>
      <c r="I90" s="99"/>
      <c r="J90" s="99"/>
      <c r="K90" s="98"/>
      <c r="L90" s="98"/>
      <c r="P90" s="2" t="str">
        <f t="shared" si="3"/>
        <v>TARGET</v>
      </c>
      <c r="Q90" s="1" t="s">
        <v>134</v>
      </c>
      <c r="R90" s="1"/>
      <c r="S90" s="98"/>
      <c r="T90" s="98"/>
      <c r="U90" s="99"/>
      <c r="V90" s="99"/>
      <c r="W90" s="98"/>
      <c r="X90" s="98"/>
    </row>
    <row r="91" spans="2:24" x14ac:dyDescent="0.3">
      <c r="B91" s="2" t="str">
        <f t="shared" si="2"/>
        <v/>
      </c>
      <c r="C91" s="1"/>
      <c r="D91" s="1"/>
      <c r="E91" s="1"/>
      <c r="F91" s="1"/>
      <c r="G91" s="98"/>
      <c r="H91" s="98"/>
      <c r="I91" s="99"/>
      <c r="J91" s="99"/>
      <c r="K91" s="98"/>
      <c r="L91" s="98"/>
      <c r="P91" s="2" t="str">
        <f t="shared" si="3"/>
        <v>TARGET</v>
      </c>
      <c r="Q91" s="1" t="s">
        <v>134</v>
      </c>
      <c r="R91" s="1"/>
      <c r="S91" s="98"/>
      <c r="T91" s="98"/>
      <c r="U91" s="99"/>
      <c r="V91" s="99"/>
      <c r="W91" s="98"/>
      <c r="X91" s="98"/>
    </row>
    <row r="92" spans="2:24" x14ac:dyDescent="0.3">
      <c r="B92" s="2" t="str">
        <f t="shared" si="2"/>
        <v/>
      </c>
      <c r="C92" s="1"/>
      <c r="D92" s="1"/>
      <c r="E92" s="1"/>
      <c r="F92" s="1"/>
      <c r="G92" s="98"/>
      <c r="H92" s="98"/>
      <c r="I92" s="99"/>
      <c r="J92" s="99"/>
      <c r="K92" s="98"/>
      <c r="L92" s="98"/>
      <c r="P92" s="2" t="str">
        <f t="shared" si="3"/>
        <v>TARGET</v>
      </c>
      <c r="Q92" s="1" t="s">
        <v>134</v>
      </c>
      <c r="R92" s="1"/>
      <c r="S92" s="98"/>
      <c r="T92" s="98"/>
      <c r="U92" s="99"/>
      <c r="V92" s="99"/>
      <c r="W92" s="98"/>
      <c r="X92" s="98"/>
    </row>
    <row r="93" spans="2:24" x14ac:dyDescent="0.3">
      <c r="B93" s="2" t="str">
        <f t="shared" si="2"/>
        <v/>
      </c>
      <c r="C93" s="1"/>
      <c r="D93" s="1"/>
      <c r="E93" s="1"/>
      <c r="F93" s="1"/>
      <c r="G93" s="98"/>
      <c r="H93" s="98"/>
      <c r="I93" s="99"/>
      <c r="J93" s="99"/>
      <c r="K93" s="98"/>
      <c r="L93" s="98"/>
      <c r="P93" s="2" t="str">
        <f t="shared" si="3"/>
        <v>TARGET</v>
      </c>
      <c r="Q93" s="1" t="s">
        <v>134</v>
      </c>
      <c r="R93" s="1"/>
      <c r="S93" s="98"/>
      <c r="T93" s="98"/>
      <c r="U93" s="99"/>
      <c r="V93" s="99"/>
      <c r="W93" s="98"/>
      <c r="X93" s="98"/>
    </row>
    <row r="94" spans="2:24" x14ac:dyDescent="0.3">
      <c r="B94" s="2" t="str">
        <f t="shared" si="2"/>
        <v/>
      </c>
      <c r="C94" s="1"/>
      <c r="D94" s="1"/>
      <c r="E94" s="1"/>
      <c r="F94" s="1"/>
      <c r="G94" s="98"/>
      <c r="H94" s="98"/>
      <c r="I94" s="99"/>
      <c r="J94" s="99"/>
      <c r="K94" s="98"/>
      <c r="L94" s="98"/>
      <c r="P94" s="2" t="str">
        <f t="shared" si="3"/>
        <v>TARGET</v>
      </c>
      <c r="Q94" s="1" t="s">
        <v>134</v>
      </c>
      <c r="R94" s="1"/>
      <c r="S94" s="98"/>
      <c r="T94" s="98"/>
      <c r="U94" s="99"/>
      <c r="V94" s="99"/>
      <c r="W94" s="98"/>
      <c r="X94" s="98"/>
    </row>
    <row r="95" spans="2:24" x14ac:dyDescent="0.3">
      <c r="B95" s="2" t="str">
        <f t="shared" si="2"/>
        <v/>
      </c>
      <c r="C95" s="1"/>
      <c r="D95" s="1"/>
      <c r="E95" s="1"/>
      <c r="F95" s="1"/>
      <c r="G95" s="98"/>
      <c r="H95" s="98"/>
      <c r="I95" s="99"/>
      <c r="J95" s="99"/>
      <c r="K95" s="98"/>
      <c r="L95" s="98"/>
      <c r="P95" s="2" t="str">
        <f t="shared" si="3"/>
        <v>TARGET</v>
      </c>
      <c r="Q95" s="1" t="s">
        <v>134</v>
      </c>
      <c r="R95" s="1"/>
      <c r="S95" s="98"/>
      <c r="T95" s="98"/>
      <c r="U95" s="99"/>
      <c r="V95" s="99"/>
      <c r="W95" s="98"/>
      <c r="X95" s="98"/>
    </row>
    <row r="96" spans="2:24" x14ac:dyDescent="0.3">
      <c r="B96" s="2" t="str">
        <f t="shared" si="2"/>
        <v/>
      </c>
      <c r="C96" s="1"/>
      <c r="D96" s="1"/>
      <c r="E96" s="1"/>
      <c r="F96" s="1"/>
      <c r="G96" s="98"/>
      <c r="H96" s="98"/>
      <c r="I96" s="99"/>
      <c r="J96" s="99"/>
      <c r="K96" s="98"/>
      <c r="L96" s="98"/>
      <c r="P96" s="2" t="str">
        <f t="shared" si="3"/>
        <v>TARGET</v>
      </c>
      <c r="Q96" s="1" t="s">
        <v>134</v>
      </c>
      <c r="R96" s="1"/>
      <c r="S96" s="98"/>
      <c r="T96" s="98"/>
      <c r="U96" s="99"/>
      <c r="V96" s="99"/>
      <c r="W96" s="98"/>
      <c r="X96" s="98"/>
    </row>
    <row r="97" spans="2:24" x14ac:dyDescent="0.3">
      <c r="B97" s="2" t="str">
        <f t="shared" si="2"/>
        <v/>
      </c>
      <c r="C97" s="1"/>
      <c r="D97" s="1"/>
      <c r="E97" s="1"/>
      <c r="F97" s="1"/>
      <c r="G97" s="98"/>
      <c r="H97" s="98"/>
      <c r="I97" s="99"/>
      <c r="J97" s="99"/>
      <c r="K97" s="98"/>
      <c r="L97" s="98"/>
      <c r="P97" s="2" t="str">
        <f t="shared" si="3"/>
        <v>TARGET</v>
      </c>
      <c r="Q97" s="1" t="s">
        <v>134</v>
      </c>
      <c r="R97" s="1"/>
      <c r="S97" s="98"/>
      <c r="T97" s="98"/>
      <c r="U97" s="99"/>
      <c r="V97" s="99"/>
      <c r="W97" s="98"/>
      <c r="X97" s="98"/>
    </row>
    <row r="98" spans="2:24" x14ac:dyDescent="0.3">
      <c r="B98" s="2" t="str">
        <f t="shared" si="2"/>
        <v/>
      </c>
      <c r="C98" s="1"/>
      <c r="D98" s="1"/>
      <c r="E98" s="1"/>
      <c r="F98" s="1"/>
      <c r="G98" s="98"/>
      <c r="H98" s="98"/>
      <c r="I98" s="99"/>
      <c r="J98" s="99"/>
      <c r="K98" s="98"/>
      <c r="L98" s="98"/>
      <c r="P98" s="2" t="str">
        <f t="shared" si="3"/>
        <v>TARGET</v>
      </c>
      <c r="Q98" s="1" t="s">
        <v>134</v>
      </c>
      <c r="R98" s="1"/>
      <c r="S98" s="98"/>
      <c r="T98" s="98"/>
      <c r="U98" s="99"/>
      <c r="V98" s="99"/>
      <c r="W98" s="98"/>
      <c r="X98" s="98"/>
    </row>
    <row r="99" spans="2:24" x14ac:dyDescent="0.3">
      <c r="B99" s="2" t="str">
        <f t="shared" si="2"/>
        <v/>
      </c>
      <c r="C99" s="1"/>
      <c r="D99" s="1"/>
      <c r="E99" s="1"/>
      <c r="F99" s="1"/>
      <c r="G99" s="98"/>
      <c r="H99" s="98"/>
      <c r="I99" s="99"/>
      <c r="J99" s="99"/>
      <c r="K99" s="98"/>
      <c r="L99" s="98"/>
      <c r="P99" s="2" t="str">
        <f t="shared" si="3"/>
        <v>TARGET</v>
      </c>
      <c r="Q99" s="1" t="s">
        <v>134</v>
      </c>
      <c r="R99" s="1"/>
      <c r="S99" s="98"/>
      <c r="T99" s="98"/>
      <c r="U99" s="99"/>
      <c r="V99" s="99"/>
      <c r="W99" s="98"/>
      <c r="X99" s="98"/>
    </row>
    <row r="100" spans="2:24" x14ac:dyDescent="0.3">
      <c r="B100" s="2" t="str">
        <f t="shared" si="2"/>
        <v/>
      </c>
      <c r="C100" s="1"/>
      <c r="D100" s="1"/>
      <c r="E100" s="1"/>
      <c r="F100" s="1"/>
      <c r="G100" s="98"/>
      <c r="H100" s="98"/>
      <c r="I100" s="99"/>
      <c r="J100" s="99"/>
      <c r="K100" s="98"/>
      <c r="L100" s="98"/>
      <c r="P100" s="2" t="str">
        <f t="shared" si="3"/>
        <v>TARGET</v>
      </c>
      <c r="Q100" s="1" t="s">
        <v>134</v>
      </c>
      <c r="R100" s="1"/>
      <c r="S100" s="98"/>
      <c r="T100" s="98"/>
      <c r="U100" s="99"/>
      <c r="V100" s="99"/>
      <c r="W100" s="98"/>
      <c r="X100" s="98"/>
    </row>
    <row r="101" spans="2:24" x14ac:dyDescent="0.3">
      <c r="B101" s="2" t="str">
        <f t="shared" si="2"/>
        <v/>
      </c>
      <c r="C101" s="1"/>
      <c r="D101" s="1"/>
      <c r="E101" s="1"/>
      <c r="F101" s="1"/>
      <c r="G101" s="98"/>
      <c r="H101" s="98"/>
      <c r="I101" s="99"/>
      <c r="J101" s="99"/>
      <c r="K101" s="98"/>
      <c r="L101" s="98"/>
      <c r="P101" s="2" t="str">
        <f t="shared" si="3"/>
        <v>TARGET</v>
      </c>
      <c r="Q101" s="1" t="s">
        <v>134</v>
      </c>
      <c r="R101" s="1"/>
      <c r="S101" s="98"/>
      <c r="T101" s="98"/>
      <c r="U101" s="99"/>
      <c r="V101" s="99"/>
      <c r="W101" s="98"/>
      <c r="X101" s="98"/>
    </row>
    <row r="102" spans="2:24" x14ac:dyDescent="0.3">
      <c r="B102" s="2" t="str">
        <f t="shared" si="2"/>
        <v/>
      </c>
      <c r="C102" s="1"/>
      <c r="D102" s="1"/>
      <c r="E102" s="1"/>
      <c r="F102" s="1"/>
      <c r="G102" s="98"/>
      <c r="H102" s="98"/>
      <c r="I102" s="99"/>
      <c r="J102" s="99"/>
      <c r="K102" s="98"/>
      <c r="L102" s="98"/>
      <c r="P102" s="2" t="str">
        <f t="shared" si="3"/>
        <v>TARGET</v>
      </c>
      <c r="Q102" s="1" t="s">
        <v>134</v>
      </c>
      <c r="R102" s="1"/>
      <c r="S102" s="98"/>
      <c r="T102" s="98"/>
      <c r="U102" s="99"/>
      <c r="V102" s="99"/>
      <c r="W102" s="98"/>
      <c r="X102" s="98"/>
    </row>
    <row r="103" spans="2:24" x14ac:dyDescent="0.3">
      <c r="B103" s="2" t="str">
        <f t="shared" si="2"/>
        <v/>
      </c>
      <c r="C103" s="1"/>
      <c r="D103" s="1"/>
      <c r="E103" s="1"/>
      <c r="F103" s="1"/>
      <c r="G103" s="98"/>
      <c r="H103" s="98"/>
      <c r="I103" s="99"/>
      <c r="J103" s="99"/>
      <c r="K103" s="98"/>
      <c r="L103" s="98"/>
      <c r="P103" s="2" t="str">
        <f t="shared" si="3"/>
        <v>TARGET</v>
      </c>
      <c r="Q103" s="1" t="s">
        <v>134</v>
      </c>
      <c r="R103" s="1"/>
      <c r="S103" s="98"/>
      <c r="T103" s="98"/>
      <c r="U103" s="99"/>
      <c r="V103" s="99"/>
      <c r="W103" s="98"/>
      <c r="X103" s="98"/>
    </row>
    <row r="104" spans="2:24" x14ac:dyDescent="0.3">
      <c r="B104" s="2" t="str">
        <f t="shared" si="2"/>
        <v/>
      </c>
      <c r="C104" s="1"/>
      <c r="D104" s="1"/>
      <c r="E104" s="1"/>
      <c r="F104" s="1"/>
      <c r="G104" s="98"/>
      <c r="H104" s="98"/>
      <c r="I104" s="99"/>
      <c r="J104" s="99"/>
      <c r="K104" s="98"/>
      <c r="L104" s="98"/>
      <c r="P104" s="2" t="str">
        <f t="shared" si="3"/>
        <v>TARGET</v>
      </c>
      <c r="Q104" s="1" t="s">
        <v>134</v>
      </c>
      <c r="R104" s="1"/>
      <c r="S104" s="98"/>
      <c r="T104" s="98"/>
      <c r="U104" s="99"/>
      <c r="V104" s="99"/>
      <c r="W104" s="98"/>
      <c r="X104" s="98"/>
    </row>
    <row r="105" spans="2:24" x14ac:dyDescent="0.3">
      <c r="B105" s="2" t="str">
        <f t="shared" si="2"/>
        <v/>
      </c>
      <c r="C105" s="1"/>
      <c r="D105" s="1"/>
      <c r="E105" s="1"/>
      <c r="F105" s="1"/>
      <c r="G105" s="98"/>
      <c r="H105" s="98"/>
      <c r="I105" s="99"/>
      <c r="J105" s="99"/>
      <c r="K105" s="98"/>
      <c r="L105" s="98"/>
      <c r="P105" s="2" t="str">
        <f t="shared" si="3"/>
        <v>TARGET</v>
      </c>
      <c r="Q105" s="1" t="s">
        <v>134</v>
      </c>
      <c r="R105" s="1"/>
      <c r="S105" s="98"/>
      <c r="T105" s="98"/>
      <c r="U105" s="99"/>
      <c r="V105" s="99"/>
      <c r="W105" s="98"/>
      <c r="X105" s="98"/>
    </row>
    <row r="106" spans="2:24" x14ac:dyDescent="0.3">
      <c r="B106" s="2" t="str">
        <f t="shared" si="2"/>
        <v/>
      </c>
      <c r="C106" s="1"/>
      <c r="D106" s="1"/>
      <c r="E106" s="1"/>
      <c r="F106" s="1"/>
      <c r="G106" s="98"/>
      <c r="H106" s="98"/>
      <c r="I106" s="99"/>
      <c r="J106" s="99"/>
      <c r="K106" s="98"/>
      <c r="L106" s="98"/>
      <c r="P106" s="2" t="str">
        <f t="shared" si="3"/>
        <v>TARGET</v>
      </c>
      <c r="Q106" s="1" t="s">
        <v>134</v>
      </c>
      <c r="R106" s="1"/>
      <c r="S106" s="98"/>
      <c r="T106" s="98"/>
      <c r="U106" s="99"/>
      <c r="V106" s="99"/>
      <c r="W106" s="98"/>
      <c r="X106" s="98"/>
    </row>
    <row r="107" spans="2:24" x14ac:dyDescent="0.3">
      <c r="B107" s="2" t="str">
        <f t="shared" si="2"/>
        <v/>
      </c>
      <c r="C107" s="1"/>
      <c r="D107" s="1"/>
      <c r="E107" s="1"/>
      <c r="F107" s="1"/>
      <c r="G107" s="98"/>
      <c r="H107" s="98"/>
      <c r="I107" s="99"/>
      <c r="J107" s="99"/>
      <c r="K107" s="98"/>
      <c r="L107" s="98"/>
      <c r="P107" s="2" t="str">
        <f t="shared" si="3"/>
        <v>TARGET</v>
      </c>
      <c r="Q107" s="1" t="s">
        <v>134</v>
      </c>
      <c r="R107" s="1"/>
      <c r="S107" s="98"/>
      <c r="T107" s="98"/>
      <c r="U107" s="99"/>
      <c r="V107" s="99"/>
      <c r="W107" s="98"/>
      <c r="X107" s="98"/>
    </row>
    <row r="108" spans="2:24" x14ac:dyDescent="0.3">
      <c r="B108" s="2" t="str">
        <f t="shared" si="2"/>
        <v/>
      </c>
      <c r="C108" s="1"/>
      <c r="D108" s="1"/>
      <c r="E108" s="1"/>
      <c r="F108" s="1"/>
      <c r="G108" s="98"/>
      <c r="H108" s="98"/>
      <c r="I108" s="99"/>
      <c r="J108" s="99"/>
      <c r="K108" s="98"/>
      <c r="L108" s="98"/>
      <c r="P108" s="2" t="str">
        <f t="shared" si="3"/>
        <v>TARGET</v>
      </c>
      <c r="Q108" s="1" t="s">
        <v>134</v>
      </c>
      <c r="R108" s="1"/>
      <c r="S108" s="98"/>
      <c r="T108" s="98"/>
      <c r="U108" s="99"/>
      <c r="V108" s="99"/>
      <c r="W108" s="98"/>
      <c r="X108" s="98"/>
    </row>
    <row r="109" spans="2:24" x14ac:dyDescent="0.3">
      <c r="B109" s="2" t="str">
        <f t="shared" si="2"/>
        <v/>
      </c>
      <c r="C109" s="1"/>
      <c r="D109" s="1"/>
      <c r="E109" s="1"/>
      <c r="F109" s="1"/>
      <c r="G109" s="98"/>
      <c r="H109" s="98"/>
      <c r="I109" s="99"/>
      <c r="J109" s="99"/>
      <c r="K109" s="98"/>
      <c r="L109" s="98"/>
      <c r="P109" s="2" t="str">
        <f t="shared" si="3"/>
        <v>TARGET</v>
      </c>
      <c r="Q109" s="1" t="s">
        <v>134</v>
      </c>
      <c r="R109" s="1"/>
      <c r="S109" s="98"/>
      <c r="T109" s="98"/>
      <c r="U109" s="99"/>
      <c r="V109" s="99"/>
      <c r="W109" s="98"/>
      <c r="X109" s="98"/>
    </row>
    <row r="110" spans="2:24" x14ac:dyDescent="0.3">
      <c r="B110" s="2" t="str">
        <f t="shared" si="2"/>
        <v/>
      </c>
      <c r="C110" s="1"/>
      <c r="D110" s="1"/>
      <c r="E110" s="1"/>
      <c r="F110" s="1"/>
      <c r="G110" s="98"/>
      <c r="H110" s="98"/>
      <c r="I110" s="99"/>
      <c r="J110" s="99"/>
      <c r="K110" s="98"/>
      <c r="L110" s="98"/>
      <c r="P110" s="2" t="str">
        <f t="shared" si="3"/>
        <v>TARGET</v>
      </c>
      <c r="Q110" s="1" t="s">
        <v>134</v>
      </c>
      <c r="R110" s="1"/>
      <c r="S110" s="98"/>
      <c r="T110" s="98"/>
      <c r="U110" s="99"/>
      <c r="V110" s="99"/>
      <c r="W110" s="98"/>
      <c r="X110" s="98"/>
    </row>
    <row r="111" spans="2:24" x14ac:dyDescent="0.3">
      <c r="B111" s="2" t="str">
        <f t="shared" si="2"/>
        <v/>
      </c>
      <c r="C111" s="1"/>
      <c r="D111" s="1"/>
      <c r="E111" s="1"/>
      <c r="F111" s="1"/>
      <c r="G111" s="98"/>
      <c r="H111" s="98"/>
      <c r="I111" s="99"/>
      <c r="J111" s="99"/>
      <c r="K111" s="98"/>
      <c r="L111" s="98"/>
      <c r="P111" s="2" t="str">
        <f t="shared" si="3"/>
        <v>TARGET</v>
      </c>
      <c r="Q111" s="1" t="s">
        <v>134</v>
      </c>
      <c r="R111" s="1"/>
      <c r="S111" s="98"/>
      <c r="T111" s="98"/>
      <c r="U111" s="99"/>
      <c r="V111" s="99"/>
      <c r="W111" s="98"/>
      <c r="X111" s="98"/>
    </row>
    <row r="112" spans="2:24" x14ac:dyDescent="0.3">
      <c r="B112" s="2" t="str">
        <f t="shared" si="2"/>
        <v/>
      </c>
      <c r="C112" s="1"/>
      <c r="D112" s="1"/>
      <c r="E112" s="1"/>
      <c r="F112" s="1"/>
      <c r="G112" s="98"/>
      <c r="H112" s="98"/>
      <c r="I112" s="99"/>
      <c r="J112" s="99"/>
      <c r="K112" s="98"/>
      <c r="L112" s="98"/>
      <c r="P112" s="2" t="str">
        <f t="shared" si="3"/>
        <v>TARGET</v>
      </c>
      <c r="Q112" s="1" t="s">
        <v>134</v>
      </c>
      <c r="R112" s="1"/>
      <c r="S112" s="98"/>
      <c r="T112" s="98"/>
      <c r="U112" s="99"/>
      <c r="V112" s="99"/>
      <c r="W112" s="98"/>
      <c r="X112" s="98"/>
    </row>
    <row r="113" spans="2:24" x14ac:dyDescent="0.3">
      <c r="B113" s="2" t="str">
        <f t="shared" si="2"/>
        <v/>
      </c>
      <c r="C113" s="1"/>
      <c r="D113" s="1"/>
      <c r="E113" s="1"/>
      <c r="F113" s="1"/>
      <c r="G113" s="98"/>
      <c r="H113" s="98"/>
      <c r="I113" s="99"/>
      <c r="J113" s="99"/>
      <c r="K113" s="98"/>
      <c r="L113" s="98"/>
      <c r="P113" s="2" t="str">
        <f t="shared" si="3"/>
        <v>TARGET</v>
      </c>
      <c r="Q113" s="1" t="s">
        <v>134</v>
      </c>
      <c r="R113" s="1"/>
      <c r="S113" s="98"/>
      <c r="T113" s="98"/>
      <c r="U113" s="99"/>
      <c r="V113" s="99"/>
      <c r="W113" s="98"/>
      <c r="X113" s="98"/>
    </row>
    <row r="114" spans="2:24" x14ac:dyDescent="0.3">
      <c r="B114" s="2" t="str">
        <f t="shared" si="2"/>
        <v/>
      </c>
      <c r="C114" s="1"/>
      <c r="D114" s="1"/>
      <c r="E114" s="1"/>
      <c r="F114" s="1"/>
      <c r="G114" s="98"/>
      <c r="H114" s="98"/>
      <c r="I114" s="99"/>
      <c r="J114" s="99"/>
      <c r="K114" s="98"/>
      <c r="L114" s="98"/>
      <c r="P114" s="2" t="str">
        <f t="shared" si="3"/>
        <v>TARGET</v>
      </c>
      <c r="Q114" s="1" t="s">
        <v>134</v>
      </c>
      <c r="R114" s="1"/>
      <c r="S114" s="98"/>
      <c r="T114" s="98"/>
      <c r="U114" s="99"/>
      <c r="V114" s="99"/>
      <c r="W114" s="98"/>
      <c r="X114" s="98"/>
    </row>
    <row r="115" spans="2:24" x14ac:dyDescent="0.3">
      <c r="B115" s="2" t="str">
        <f t="shared" si="2"/>
        <v/>
      </c>
      <c r="C115" s="1"/>
      <c r="D115" s="1"/>
      <c r="E115" s="1"/>
      <c r="F115" s="1"/>
      <c r="G115" s="98"/>
      <c r="H115" s="98"/>
      <c r="I115" s="99"/>
      <c r="J115" s="99"/>
      <c r="K115" s="98"/>
      <c r="L115" s="98"/>
      <c r="P115" s="2" t="str">
        <f t="shared" si="3"/>
        <v>TARGET</v>
      </c>
      <c r="Q115" s="1" t="s">
        <v>134</v>
      </c>
      <c r="R115" s="1"/>
      <c r="S115" s="98"/>
      <c r="T115" s="98"/>
      <c r="U115" s="99"/>
      <c r="V115" s="99"/>
      <c r="W115" s="98"/>
      <c r="X115" s="98"/>
    </row>
    <row r="116" spans="2:24" x14ac:dyDescent="0.3">
      <c r="B116" s="2" t="str">
        <f t="shared" si="2"/>
        <v/>
      </c>
      <c r="C116" s="1"/>
      <c r="D116" s="1"/>
      <c r="E116" s="1"/>
      <c r="F116" s="1"/>
      <c r="G116" s="98"/>
      <c r="H116" s="98"/>
      <c r="I116" s="99"/>
      <c r="J116" s="99"/>
      <c r="K116" s="98"/>
      <c r="L116" s="98"/>
      <c r="P116" s="2" t="str">
        <f t="shared" si="3"/>
        <v>TARGET</v>
      </c>
      <c r="Q116" s="1" t="s">
        <v>134</v>
      </c>
      <c r="R116" s="1"/>
      <c r="S116" s="98"/>
      <c r="T116" s="98"/>
      <c r="U116" s="99"/>
      <c r="V116" s="99"/>
      <c r="W116" s="98"/>
      <c r="X116" s="98"/>
    </row>
    <row r="117" spans="2:24" x14ac:dyDescent="0.3">
      <c r="B117" s="2" t="str">
        <f t="shared" si="2"/>
        <v/>
      </c>
      <c r="C117" s="1"/>
      <c r="D117" s="1"/>
      <c r="E117" s="1"/>
      <c r="F117" s="1"/>
      <c r="G117" s="98"/>
      <c r="H117" s="98"/>
      <c r="I117" s="99"/>
      <c r="J117" s="99"/>
      <c r="K117" s="98"/>
      <c r="L117" s="98"/>
      <c r="P117" s="2" t="str">
        <f t="shared" si="3"/>
        <v>TARGET</v>
      </c>
      <c r="Q117" s="1" t="s">
        <v>134</v>
      </c>
      <c r="R117" s="1"/>
      <c r="S117" s="98"/>
      <c r="T117" s="98"/>
      <c r="U117" s="99"/>
      <c r="V117" s="99"/>
      <c r="W117" s="98"/>
      <c r="X117" s="98"/>
    </row>
    <row r="118" spans="2:24" x14ac:dyDescent="0.3">
      <c r="B118" s="2" t="str">
        <f t="shared" si="2"/>
        <v/>
      </c>
      <c r="C118" s="1"/>
      <c r="D118" s="1"/>
      <c r="E118" s="1"/>
      <c r="F118" s="1"/>
      <c r="G118" s="98"/>
      <c r="H118" s="98"/>
      <c r="I118" s="99"/>
      <c r="J118" s="99"/>
      <c r="K118" s="98"/>
      <c r="L118" s="98"/>
      <c r="P118" s="2" t="str">
        <f t="shared" si="3"/>
        <v>TARGET</v>
      </c>
      <c r="Q118" s="1" t="s">
        <v>134</v>
      </c>
      <c r="R118" s="1"/>
      <c r="S118" s="98"/>
      <c r="T118" s="98"/>
      <c r="U118" s="99"/>
      <c r="V118" s="99"/>
      <c r="W118" s="98"/>
      <c r="X118" s="98"/>
    </row>
    <row r="119" spans="2:24" x14ac:dyDescent="0.3">
      <c r="B119" s="2" t="str">
        <f t="shared" si="2"/>
        <v/>
      </c>
      <c r="C119" s="1"/>
      <c r="D119" s="1"/>
      <c r="E119" s="1"/>
      <c r="F119" s="1"/>
      <c r="G119" s="98"/>
      <c r="H119" s="98"/>
      <c r="I119" s="99"/>
      <c r="J119" s="99"/>
      <c r="K119" s="98"/>
      <c r="L119" s="98"/>
      <c r="P119" s="2" t="str">
        <f t="shared" si="3"/>
        <v>TARGET</v>
      </c>
      <c r="Q119" s="1" t="s">
        <v>134</v>
      </c>
      <c r="R119" s="1"/>
      <c r="S119" s="98"/>
      <c r="T119" s="98"/>
      <c r="U119" s="99"/>
      <c r="V119" s="99"/>
      <c r="W119" s="98"/>
      <c r="X119" s="98"/>
    </row>
    <row r="120" spans="2:24" x14ac:dyDescent="0.3">
      <c r="B120" s="2" t="str">
        <f t="shared" si="2"/>
        <v/>
      </c>
      <c r="C120" s="1"/>
      <c r="D120" s="1"/>
      <c r="E120" s="1"/>
      <c r="F120" s="1"/>
      <c r="G120" s="98"/>
      <c r="H120" s="98"/>
      <c r="I120" s="99"/>
      <c r="J120" s="99"/>
      <c r="K120" s="98"/>
      <c r="L120" s="98"/>
      <c r="P120" s="2" t="str">
        <f t="shared" si="3"/>
        <v>TARGET</v>
      </c>
      <c r="Q120" s="1" t="s">
        <v>134</v>
      </c>
      <c r="R120" s="1"/>
      <c r="S120" s="98"/>
      <c r="T120" s="98"/>
      <c r="U120" s="99"/>
      <c r="V120" s="99"/>
      <c r="W120" s="98"/>
      <c r="X120" s="98"/>
    </row>
    <row r="121" spans="2:24" x14ac:dyDescent="0.3">
      <c r="B121" s="2" t="str">
        <f t="shared" si="2"/>
        <v/>
      </c>
      <c r="C121" s="1"/>
      <c r="D121" s="1"/>
      <c r="E121" s="1"/>
      <c r="F121" s="1"/>
      <c r="G121" s="98"/>
      <c r="H121" s="98"/>
      <c r="I121" s="99"/>
      <c r="J121" s="99"/>
      <c r="K121" s="98"/>
      <c r="L121" s="98"/>
      <c r="P121" s="2" t="str">
        <f t="shared" si="3"/>
        <v>TARGET</v>
      </c>
      <c r="Q121" s="1" t="s">
        <v>134</v>
      </c>
      <c r="R121" s="1"/>
      <c r="S121" s="98"/>
      <c r="T121" s="98"/>
      <c r="U121" s="99"/>
      <c r="V121" s="99"/>
      <c r="W121" s="98"/>
      <c r="X121" s="98"/>
    </row>
    <row r="122" spans="2:24" x14ac:dyDescent="0.3">
      <c r="B122" s="2" t="str">
        <f t="shared" si="2"/>
        <v/>
      </c>
      <c r="C122" s="1"/>
      <c r="D122" s="1"/>
      <c r="E122" s="1"/>
      <c r="F122" s="1"/>
      <c r="G122" s="98"/>
      <c r="H122" s="98"/>
      <c r="I122" s="99"/>
      <c r="J122" s="99"/>
      <c r="K122" s="98"/>
      <c r="L122" s="98"/>
      <c r="P122" s="2" t="str">
        <f t="shared" si="3"/>
        <v>TARGET</v>
      </c>
      <c r="Q122" s="1" t="s">
        <v>134</v>
      </c>
      <c r="R122" s="1"/>
      <c r="S122" s="98"/>
      <c r="T122" s="98"/>
      <c r="U122" s="99"/>
      <c r="V122" s="99"/>
      <c r="W122" s="98"/>
      <c r="X122" s="98"/>
    </row>
    <row r="123" spans="2:24" x14ac:dyDescent="0.3">
      <c r="B123" s="2" t="str">
        <f t="shared" si="2"/>
        <v/>
      </c>
      <c r="C123" s="1"/>
      <c r="D123" s="1"/>
      <c r="E123" s="1"/>
      <c r="F123" s="1"/>
      <c r="G123" s="98"/>
      <c r="H123" s="98"/>
      <c r="I123" s="99"/>
      <c r="J123" s="99"/>
      <c r="K123" s="98"/>
      <c r="L123" s="98"/>
      <c r="P123" s="2" t="str">
        <f t="shared" si="3"/>
        <v>TARGET</v>
      </c>
      <c r="Q123" s="1" t="s">
        <v>134</v>
      </c>
      <c r="R123" s="1"/>
      <c r="S123" s="98"/>
      <c r="T123" s="98"/>
      <c r="U123" s="99"/>
      <c r="V123" s="99"/>
      <c r="W123" s="98"/>
      <c r="X123" s="98"/>
    </row>
    <row r="124" spans="2:24" x14ac:dyDescent="0.3">
      <c r="B124" s="2" t="str">
        <f t="shared" si="2"/>
        <v/>
      </c>
      <c r="C124" s="1"/>
      <c r="D124" s="1"/>
      <c r="E124" s="1"/>
      <c r="F124" s="1"/>
      <c r="G124" s="98"/>
      <c r="H124" s="98"/>
      <c r="I124" s="99"/>
      <c r="J124" s="99"/>
      <c r="K124" s="98"/>
      <c r="L124" s="98"/>
      <c r="P124" s="2" t="str">
        <f t="shared" si="3"/>
        <v>TARGET</v>
      </c>
      <c r="Q124" s="1" t="s">
        <v>134</v>
      </c>
      <c r="R124" s="1"/>
      <c r="S124" s="98"/>
      <c r="T124" s="98"/>
      <c r="U124" s="99"/>
      <c r="V124" s="99"/>
      <c r="W124" s="98"/>
      <c r="X124" s="98"/>
    </row>
    <row r="125" spans="2:24" x14ac:dyDescent="0.3">
      <c r="B125" s="2" t="str">
        <f t="shared" si="2"/>
        <v/>
      </c>
      <c r="C125" s="1"/>
      <c r="D125" s="1"/>
      <c r="E125" s="1"/>
      <c r="F125" s="1"/>
      <c r="G125" s="98"/>
      <c r="H125" s="98"/>
      <c r="I125" s="99"/>
      <c r="J125" s="99"/>
      <c r="K125" s="98"/>
      <c r="L125" s="98"/>
      <c r="P125" s="2" t="str">
        <f t="shared" si="3"/>
        <v>TARGET</v>
      </c>
      <c r="Q125" s="1" t="s">
        <v>134</v>
      </c>
      <c r="R125" s="1"/>
      <c r="S125" s="98"/>
      <c r="T125" s="98"/>
      <c r="U125" s="99"/>
      <c r="V125" s="99"/>
      <c r="W125" s="98"/>
      <c r="X125" s="98"/>
    </row>
    <row r="126" spans="2:24" x14ac:dyDescent="0.3">
      <c r="B126" s="2" t="str">
        <f t="shared" si="2"/>
        <v/>
      </c>
      <c r="C126" s="1"/>
      <c r="D126" s="1"/>
      <c r="E126" s="1"/>
      <c r="F126" s="1"/>
      <c r="G126" s="98"/>
      <c r="H126" s="98"/>
      <c r="I126" s="99"/>
      <c r="J126" s="99"/>
      <c r="K126" s="98"/>
      <c r="L126" s="98"/>
      <c r="P126" s="2" t="str">
        <f t="shared" si="3"/>
        <v>TARGET</v>
      </c>
      <c r="Q126" s="1" t="s">
        <v>134</v>
      </c>
      <c r="R126" s="1"/>
      <c r="S126" s="98"/>
      <c r="T126" s="98"/>
      <c r="U126" s="99"/>
      <c r="V126" s="99"/>
      <c r="W126" s="98"/>
      <c r="X126" s="98"/>
    </row>
    <row r="127" spans="2:24" x14ac:dyDescent="0.3">
      <c r="B127" s="2" t="str">
        <f t="shared" si="2"/>
        <v/>
      </c>
      <c r="C127" s="1"/>
      <c r="D127" s="1"/>
      <c r="E127" s="1"/>
      <c r="F127" s="1"/>
      <c r="G127" s="98"/>
      <c r="H127" s="98"/>
      <c r="I127" s="99"/>
      <c r="J127" s="99"/>
      <c r="K127" s="98"/>
      <c r="L127" s="98"/>
      <c r="P127" s="2" t="str">
        <f t="shared" si="3"/>
        <v>TARGET</v>
      </c>
      <c r="Q127" s="1" t="s">
        <v>134</v>
      </c>
      <c r="R127" s="1"/>
      <c r="S127" s="98"/>
      <c r="T127" s="98"/>
      <c r="U127" s="99"/>
      <c r="V127" s="99"/>
      <c r="W127" s="98"/>
      <c r="X127" s="98"/>
    </row>
    <row r="128" spans="2:24" x14ac:dyDescent="0.3">
      <c r="B128" s="2" t="str">
        <f t="shared" si="2"/>
        <v/>
      </c>
      <c r="C128" s="1"/>
      <c r="D128" s="1"/>
      <c r="E128" s="1"/>
      <c r="F128" s="1"/>
      <c r="G128" s="98"/>
      <c r="H128" s="98"/>
      <c r="I128" s="99"/>
      <c r="J128" s="99"/>
      <c r="K128" s="98"/>
      <c r="L128" s="98"/>
      <c r="P128" s="2" t="str">
        <f t="shared" si="3"/>
        <v>TARGET</v>
      </c>
      <c r="Q128" s="1" t="s">
        <v>134</v>
      </c>
      <c r="R128" s="1"/>
      <c r="S128" s="98"/>
      <c r="T128" s="98"/>
      <c r="U128" s="99"/>
      <c r="V128" s="99"/>
      <c r="W128" s="98"/>
      <c r="X128" s="98"/>
    </row>
    <row r="129" spans="2:24" x14ac:dyDescent="0.3">
      <c r="B129" s="2" t="str">
        <f t="shared" si="2"/>
        <v/>
      </c>
      <c r="C129" s="1"/>
      <c r="D129" s="1"/>
      <c r="E129" s="1"/>
      <c r="F129" s="1"/>
      <c r="G129" s="98"/>
      <c r="H129" s="98"/>
      <c r="I129" s="99"/>
      <c r="J129" s="99"/>
      <c r="K129" s="98"/>
      <c r="L129" s="98"/>
      <c r="P129" s="2" t="str">
        <f t="shared" si="3"/>
        <v>TARGET</v>
      </c>
      <c r="Q129" s="1" t="s">
        <v>134</v>
      </c>
      <c r="R129" s="1"/>
      <c r="S129" s="98"/>
      <c r="T129" s="98"/>
      <c r="U129" s="99"/>
      <c r="V129" s="99"/>
      <c r="W129" s="98"/>
      <c r="X129" s="98"/>
    </row>
    <row r="130" spans="2:24" x14ac:dyDescent="0.3">
      <c r="B130" s="2" t="str">
        <f t="shared" si="2"/>
        <v/>
      </c>
      <c r="C130" s="1"/>
      <c r="D130" s="1"/>
      <c r="E130" s="1"/>
      <c r="F130" s="1"/>
      <c r="G130" s="98"/>
      <c r="H130" s="98"/>
      <c r="I130" s="99"/>
      <c r="J130" s="99"/>
      <c r="K130" s="98"/>
      <c r="L130" s="98"/>
      <c r="P130" s="2" t="str">
        <f t="shared" si="3"/>
        <v>TARGET</v>
      </c>
      <c r="Q130" s="1" t="s">
        <v>134</v>
      </c>
      <c r="R130" s="1"/>
      <c r="S130" s="98"/>
      <c r="T130" s="98"/>
      <c r="U130" s="99"/>
      <c r="V130" s="99"/>
      <c r="W130" s="98"/>
      <c r="X130" s="98"/>
    </row>
    <row r="131" spans="2:24" x14ac:dyDescent="0.3">
      <c r="B131" s="2" t="str">
        <f t="shared" si="2"/>
        <v/>
      </c>
      <c r="C131" s="1"/>
      <c r="D131" s="1"/>
      <c r="E131" s="1"/>
      <c r="F131" s="1"/>
      <c r="G131" s="98"/>
      <c r="H131" s="98"/>
      <c r="I131" s="99"/>
      <c r="J131" s="99"/>
      <c r="K131" s="98"/>
      <c r="L131" s="98"/>
      <c r="P131" s="2" t="str">
        <f t="shared" si="3"/>
        <v>TARGET</v>
      </c>
      <c r="Q131" s="1" t="s">
        <v>134</v>
      </c>
      <c r="R131" s="1"/>
      <c r="S131" s="98"/>
      <c r="T131" s="98"/>
      <c r="U131" s="99"/>
      <c r="V131" s="99"/>
      <c r="W131" s="98"/>
      <c r="X131" s="98"/>
    </row>
    <row r="132" spans="2:24" x14ac:dyDescent="0.3">
      <c r="B132" s="2" t="str">
        <f t="shared" ref="B132:B195" si="4">C132&amp;D132&amp;E132&amp;F132</f>
        <v/>
      </c>
      <c r="C132" s="1"/>
      <c r="D132" s="1"/>
      <c r="E132" s="1"/>
      <c r="F132" s="1"/>
      <c r="G132" s="98"/>
      <c r="H132" s="98"/>
      <c r="I132" s="99"/>
      <c r="J132" s="99"/>
      <c r="K132" s="98"/>
      <c r="L132" s="98"/>
      <c r="P132" s="2" t="str">
        <f t="shared" ref="P132:P195" si="5">Q132&amp;R132</f>
        <v>TARGET</v>
      </c>
      <c r="Q132" s="1" t="s">
        <v>134</v>
      </c>
      <c r="R132" s="1"/>
      <c r="S132" s="98"/>
      <c r="T132" s="98"/>
      <c r="U132" s="99"/>
      <c r="V132" s="99"/>
      <c r="W132" s="98"/>
      <c r="X132" s="98"/>
    </row>
    <row r="133" spans="2:24" x14ac:dyDescent="0.3">
      <c r="B133" s="2" t="str">
        <f t="shared" si="4"/>
        <v/>
      </c>
      <c r="C133" s="1"/>
      <c r="D133" s="1"/>
      <c r="E133" s="1"/>
      <c r="F133" s="1"/>
      <c r="G133" s="98"/>
      <c r="H133" s="98"/>
      <c r="I133" s="99"/>
      <c r="J133" s="99"/>
      <c r="K133" s="98"/>
      <c r="L133" s="98"/>
      <c r="P133" s="2" t="str">
        <f t="shared" si="5"/>
        <v>TARGET</v>
      </c>
      <c r="Q133" s="1" t="s">
        <v>134</v>
      </c>
      <c r="R133" s="1"/>
      <c r="S133" s="98"/>
      <c r="T133" s="98"/>
      <c r="U133" s="99"/>
      <c r="V133" s="99"/>
      <c r="W133" s="98"/>
      <c r="X133" s="98"/>
    </row>
    <row r="134" spans="2:24" x14ac:dyDescent="0.3">
      <c r="B134" s="2" t="str">
        <f t="shared" si="4"/>
        <v/>
      </c>
      <c r="C134" s="1"/>
      <c r="D134" s="1"/>
      <c r="E134" s="1"/>
      <c r="F134" s="1"/>
      <c r="G134" s="98"/>
      <c r="H134" s="98"/>
      <c r="I134" s="99"/>
      <c r="J134" s="99"/>
      <c r="K134" s="98"/>
      <c r="L134" s="98"/>
      <c r="P134" s="2" t="str">
        <f t="shared" si="5"/>
        <v>TARGET</v>
      </c>
      <c r="Q134" s="1" t="s">
        <v>134</v>
      </c>
      <c r="R134" s="1"/>
      <c r="S134" s="98"/>
      <c r="T134" s="98"/>
      <c r="U134" s="99"/>
      <c r="V134" s="99"/>
      <c r="W134" s="98"/>
      <c r="X134" s="98"/>
    </row>
    <row r="135" spans="2:24" x14ac:dyDescent="0.3">
      <c r="B135" s="2" t="str">
        <f t="shared" si="4"/>
        <v/>
      </c>
      <c r="C135" s="1"/>
      <c r="D135" s="1"/>
      <c r="E135" s="1"/>
      <c r="F135" s="1"/>
      <c r="G135" s="98"/>
      <c r="H135" s="98"/>
      <c r="I135" s="99"/>
      <c r="J135" s="99"/>
      <c r="K135" s="98"/>
      <c r="L135" s="98"/>
      <c r="P135" s="2" t="str">
        <f t="shared" si="5"/>
        <v>TARGET</v>
      </c>
      <c r="Q135" s="1" t="s">
        <v>134</v>
      </c>
      <c r="R135" s="1"/>
      <c r="S135" s="98"/>
      <c r="T135" s="98"/>
      <c r="U135" s="99"/>
      <c r="V135" s="99"/>
      <c r="W135" s="98"/>
      <c r="X135" s="98"/>
    </row>
    <row r="136" spans="2:24" x14ac:dyDescent="0.3">
      <c r="B136" s="2" t="str">
        <f t="shared" si="4"/>
        <v/>
      </c>
      <c r="C136" s="1"/>
      <c r="D136" s="1"/>
      <c r="E136" s="1"/>
      <c r="F136" s="1"/>
      <c r="G136" s="98"/>
      <c r="H136" s="98"/>
      <c r="I136" s="99"/>
      <c r="J136" s="99"/>
      <c r="K136" s="98"/>
      <c r="L136" s="98"/>
      <c r="P136" s="2" t="str">
        <f t="shared" si="5"/>
        <v>TARGET</v>
      </c>
      <c r="Q136" s="1" t="s">
        <v>134</v>
      </c>
      <c r="R136" s="1"/>
      <c r="S136" s="98"/>
      <c r="T136" s="98"/>
      <c r="U136" s="99"/>
      <c r="V136" s="99"/>
      <c r="W136" s="98"/>
      <c r="X136" s="98"/>
    </row>
    <row r="137" spans="2:24" x14ac:dyDescent="0.3">
      <c r="B137" s="2" t="str">
        <f t="shared" si="4"/>
        <v/>
      </c>
      <c r="C137" s="1"/>
      <c r="D137" s="1"/>
      <c r="E137" s="1"/>
      <c r="F137" s="1"/>
      <c r="G137" s="98"/>
      <c r="H137" s="98"/>
      <c r="I137" s="99"/>
      <c r="J137" s="99"/>
      <c r="K137" s="98"/>
      <c r="L137" s="98"/>
      <c r="P137" s="2" t="str">
        <f t="shared" si="5"/>
        <v>TARGET</v>
      </c>
      <c r="Q137" s="1" t="s">
        <v>134</v>
      </c>
      <c r="R137" s="1"/>
      <c r="S137" s="98"/>
      <c r="T137" s="98"/>
      <c r="U137" s="99"/>
      <c r="V137" s="99"/>
      <c r="W137" s="98"/>
      <c r="X137" s="98"/>
    </row>
    <row r="138" spans="2:24" x14ac:dyDescent="0.3">
      <c r="B138" s="2" t="str">
        <f t="shared" si="4"/>
        <v/>
      </c>
      <c r="C138" s="1"/>
      <c r="D138" s="1"/>
      <c r="E138" s="1"/>
      <c r="F138" s="1"/>
      <c r="G138" s="98"/>
      <c r="H138" s="98"/>
      <c r="I138" s="99"/>
      <c r="J138" s="99"/>
      <c r="K138" s="98"/>
      <c r="L138" s="98"/>
      <c r="P138" s="2" t="str">
        <f t="shared" si="5"/>
        <v>TARGET</v>
      </c>
      <c r="Q138" s="1" t="s">
        <v>134</v>
      </c>
      <c r="R138" s="1"/>
      <c r="S138" s="98"/>
      <c r="T138" s="98"/>
      <c r="U138" s="99"/>
      <c r="V138" s="99"/>
      <c r="W138" s="98"/>
      <c r="X138" s="98"/>
    </row>
    <row r="139" spans="2:24" x14ac:dyDescent="0.3">
      <c r="B139" s="2" t="str">
        <f t="shared" si="4"/>
        <v/>
      </c>
      <c r="C139" s="1"/>
      <c r="D139" s="1"/>
      <c r="E139" s="1"/>
      <c r="F139" s="1"/>
      <c r="G139" s="98"/>
      <c r="H139" s="98"/>
      <c r="I139" s="99"/>
      <c r="J139" s="99"/>
      <c r="K139" s="98"/>
      <c r="L139" s="98"/>
      <c r="P139" s="2" t="str">
        <f t="shared" si="5"/>
        <v>TARGET</v>
      </c>
      <c r="Q139" s="1" t="s">
        <v>134</v>
      </c>
      <c r="R139" s="1"/>
      <c r="S139" s="98"/>
      <c r="T139" s="98"/>
      <c r="U139" s="99"/>
      <c r="V139" s="99"/>
      <c r="W139" s="98"/>
      <c r="X139" s="98"/>
    </row>
    <row r="140" spans="2:24" x14ac:dyDescent="0.3">
      <c r="B140" s="2" t="str">
        <f t="shared" si="4"/>
        <v/>
      </c>
      <c r="C140" s="1"/>
      <c r="D140" s="1"/>
      <c r="E140" s="1"/>
      <c r="F140" s="1"/>
      <c r="G140" s="98"/>
      <c r="H140" s="98"/>
      <c r="I140" s="99"/>
      <c r="J140" s="99"/>
      <c r="K140" s="98"/>
      <c r="L140" s="98"/>
      <c r="P140" s="2" t="str">
        <f t="shared" si="5"/>
        <v>TARGET</v>
      </c>
      <c r="Q140" s="1" t="s">
        <v>134</v>
      </c>
      <c r="R140" s="1"/>
      <c r="S140" s="98"/>
      <c r="T140" s="98"/>
      <c r="U140" s="99"/>
      <c r="V140" s="99"/>
      <c r="W140" s="98"/>
      <c r="X140" s="98"/>
    </row>
    <row r="141" spans="2:24" x14ac:dyDescent="0.3">
      <c r="B141" s="2" t="str">
        <f t="shared" si="4"/>
        <v/>
      </c>
      <c r="C141" s="1"/>
      <c r="D141" s="1"/>
      <c r="E141" s="1"/>
      <c r="F141" s="1"/>
      <c r="G141" s="98"/>
      <c r="H141" s="98"/>
      <c r="I141" s="99"/>
      <c r="J141" s="99"/>
      <c r="K141" s="98"/>
      <c r="L141" s="98"/>
      <c r="P141" s="2" t="str">
        <f t="shared" si="5"/>
        <v>TARGET</v>
      </c>
      <c r="Q141" s="1" t="s">
        <v>134</v>
      </c>
      <c r="R141" s="1"/>
      <c r="S141" s="98"/>
      <c r="T141" s="98"/>
      <c r="U141" s="99"/>
      <c r="V141" s="99"/>
      <c r="W141" s="98"/>
      <c r="X141" s="98"/>
    </row>
    <row r="142" spans="2:24" x14ac:dyDescent="0.3">
      <c r="B142" s="2" t="str">
        <f t="shared" si="4"/>
        <v/>
      </c>
      <c r="C142" s="1"/>
      <c r="D142" s="1"/>
      <c r="E142" s="1"/>
      <c r="F142" s="1"/>
      <c r="G142" s="98"/>
      <c r="H142" s="98"/>
      <c r="I142" s="99"/>
      <c r="J142" s="99"/>
      <c r="K142" s="98"/>
      <c r="L142" s="98"/>
      <c r="P142" s="2" t="str">
        <f t="shared" si="5"/>
        <v>TARGET</v>
      </c>
      <c r="Q142" s="1" t="s">
        <v>134</v>
      </c>
      <c r="R142" s="1"/>
      <c r="S142" s="98"/>
      <c r="T142" s="98"/>
      <c r="U142" s="99"/>
      <c r="V142" s="99"/>
      <c r="W142" s="98"/>
      <c r="X142" s="98"/>
    </row>
    <row r="143" spans="2:24" x14ac:dyDescent="0.3">
      <c r="B143" s="2" t="str">
        <f t="shared" si="4"/>
        <v/>
      </c>
      <c r="C143" s="1"/>
      <c r="D143" s="1"/>
      <c r="E143" s="1"/>
      <c r="F143" s="1"/>
      <c r="G143" s="98"/>
      <c r="H143" s="98"/>
      <c r="I143" s="99"/>
      <c r="J143" s="99"/>
      <c r="K143" s="98"/>
      <c r="L143" s="98"/>
      <c r="P143" s="2" t="str">
        <f t="shared" si="5"/>
        <v>TARGET</v>
      </c>
      <c r="Q143" s="1" t="s">
        <v>134</v>
      </c>
      <c r="R143" s="1"/>
      <c r="S143" s="98"/>
      <c r="T143" s="98"/>
      <c r="U143" s="99"/>
      <c r="V143" s="99"/>
      <c r="W143" s="98"/>
      <c r="X143" s="98"/>
    </row>
    <row r="144" spans="2:24" x14ac:dyDescent="0.3">
      <c r="B144" s="2" t="str">
        <f t="shared" si="4"/>
        <v/>
      </c>
      <c r="C144" s="1"/>
      <c r="D144" s="1"/>
      <c r="E144" s="1"/>
      <c r="F144" s="1"/>
      <c r="G144" s="98"/>
      <c r="H144" s="98"/>
      <c r="I144" s="99"/>
      <c r="J144" s="99"/>
      <c r="K144" s="98"/>
      <c r="L144" s="98"/>
      <c r="P144" s="2" t="str">
        <f t="shared" si="5"/>
        <v>TARGET</v>
      </c>
      <c r="Q144" s="1" t="s">
        <v>134</v>
      </c>
      <c r="R144" s="1"/>
      <c r="S144" s="98"/>
      <c r="T144" s="98"/>
      <c r="U144" s="99"/>
      <c r="V144" s="99"/>
      <c r="W144" s="98"/>
      <c r="X144" s="98"/>
    </row>
    <row r="145" spans="2:24" x14ac:dyDescent="0.3">
      <c r="B145" s="2" t="str">
        <f t="shared" si="4"/>
        <v/>
      </c>
      <c r="C145" s="1"/>
      <c r="D145" s="1"/>
      <c r="E145" s="1"/>
      <c r="F145" s="1"/>
      <c r="G145" s="98"/>
      <c r="H145" s="98"/>
      <c r="I145" s="99"/>
      <c r="J145" s="99"/>
      <c r="K145" s="98"/>
      <c r="L145" s="98"/>
      <c r="P145" s="2" t="str">
        <f t="shared" si="5"/>
        <v>TARGET</v>
      </c>
      <c r="Q145" s="1" t="s">
        <v>134</v>
      </c>
      <c r="R145" s="1"/>
      <c r="S145" s="98"/>
      <c r="T145" s="98"/>
      <c r="U145" s="99"/>
      <c r="V145" s="99"/>
      <c r="W145" s="98"/>
      <c r="X145" s="98"/>
    </row>
    <row r="146" spans="2:24" x14ac:dyDescent="0.3">
      <c r="B146" s="2" t="str">
        <f t="shared" si="4"/>
        <v/>
      </c>
      <c r="C146" s="1"/>
      <c r="D146" s="1"/>
      <c r="E146" s="1"/>
      <c r="F146" s="1"/>
      <c r="G146" s="98"/>
      <c r="H146" s="98"/>
      <c r="I146" s="99"/>
      <c r="J146" s="99"/>
      <c r="K146" s="98"/>
      <c r="L146" s="98"/>
      <c r="P146" s="2" t="str">
        <f t="shared" si="5"/>
        <v>TARGET</v>
      </c>
      <c r="Q146" s="1" t="s">
        <v>134</v>
      </c>
      <c r="R146" s="1"/>
      <c r="S146" s="98"/>
      <c r="T146" s="98"/>
      <c r="U146" s="99"/>
      <c r="V146" s="99"/>
      <c r="W146" s="98"/>
      <c r="X146" s="98"/>
    </row>
    <row r="147" spans="2:24" x14ac:dyDescent="0.3">
      <c r="B147" s="2" t="str">
        <f t="shared" si="4"/>
        <v/>
      </c>
      <c r="C147" s="1"/>
      <c r="D147" s="1"/>
      <c r="E147" s="1"/>
      <c r="F147" s="1"/>
      <c r="G147" s="98"/>
      <c r="H147" s="98"/>
      <c r="I147" s="99"/>
      <c r="J147" s="99"/>
      <c r="K147" s="98"/>
      <c r="L147" s="98"/>
      <c r="P147" s="2" t="str">
        <f t="shared" si="5"/>
        <v>TARGET</v>
      </c>
      <c r="Q147" s="1" t="s">
        <v>134</v>
      </c>
      <c r="R147" s="1"/>
      <c r="S147" s="98"/>
      <c r="T147" s="98"/>
      <c r="U147" s="99"/>
      <c r="V147" s="99"/>
      <c r="W147" s="98"/>
      <c r="X147" s="98"/>
    </row>
    <row r="148" spans="2:24" x14ac:dyDescent="0.3">
      <c r="B148" s="2" t="str">
        <f t="shared" si="4"/>
        <v/>
      </c>
      <c r="C148" s="1"/>
      <c r="D148" s="1"/>
      <c r="E148" s="1"/>
      <c r="F148" s="1"/>
      <c r="G148" s="98"/>
      <c r="H148" s="98"/>
      <c r="I148" s="99"/>
      <c r="J148" s="99"/>
      <c r="K148" s="98"/>
      <c r="L148" s="98"/>
      <c r="P148" s="2" t="str">
        <f t="shared" si="5"/>
        <v>TARGET</v>
      </c>
      <c r="Q148" s="1" t="s">
        <v>134</v>
      </c>
      <c r="R148" s="1"/>
      <c r="S148" s="98"/>
      <c r="T148" s="98"/>
      <c r="U148" s="99"/>
      <c r="V148" s="99"/>
      <c r="W148" s="98"/>
      <c r="X148" s="98"/>
    </row>
    <row r="149" spans="2:24" x14ac:dyDescent="0.3">
      <c r="B149" s="2" t="str">
        <f t="shared" si="4"/>
        <v/>
      </c>
      <c r="C149" s="1"/>
      <c r="D149" s="1"/>
      <c r="E149" s="1"/>
      <c r="F149" s="1"/>
      <c r="G149" s="98"/>
      <c r="H149" s="98"/>
      <c r="I149" s="99"/>
      <c r="J149" s="99"/>
      <c r="K149" s="98"/>
      <c r="L149" s="98"/>
      <c r="P149" s="2" t="str">
        <f t="shared" si="5"/>
        <v>TARGET</v>
      </c>
      <c r="Q149" s="1" t="s">
        <v>134</v>
      </c>
      <c r="R149" s="1"/>
      <c r="S149" s="98"/>
      <c r="T149" s="98"/>
      <c r="U149" s="99"/>
      <c r="V149" s="99"/>
      <c r="W149" s="98"/>
      <c r="X149" s="98"/>
    </row>
    <row r="150" spans="2:24" x14ac:dyDescent="0.3">
      <c r="B150" s="2" t="str">
        <f t="shared" si="4"/>
        <v/>
      </c>
      <c r="C150" s="1"/>
      <c r="D150" s="1"/>
      <c r="E150" s="1"/>
      <c r="F150" s="1"/>
      <c r="G150" s="98"/>
      <c r="H150" s="98"/>
      <c r="I150" s="99"/>
      <c r="J150" s="99"/>
      <c r="K150" s="98"/>
      <c r="L150" s="98"/>
      <c r="P150" s="2" t="str">
        <f t="shared" si="5"/>
        <v>TARGET</v>
      </c>
      <c r="Q150" s="1" t="s">
        <v>134</v>
      </c>
      <c r="R150" s="1"/>
      <c r="S150" s="98"/>
      <c r="T150" s="98"/>
      <c r="U150" s="99"/>
      <c r="V150" s="99"/>
      <c r="W150" s="98"/>
      <c r="X150" s="98"/>
    </row>
    <row r="151" spans="2:24" x14ac:dyDescent="0.3">
      <c r="B151" s="2" t="str">
        <f t="shared" si="4"/>
        <v/>
      </c>
      <c r="C151" s="1"/>
      <c r="D151" s="1"/>
      <c r="E151" s="1"/>
      <c r="F151" s="1"/>
      <c r="G151" s="98"/>
      <c r="H151" s="98"/>
      <c r="I151" s="99"/>
      <c r="J151" s="99"/>
      <c r="K151" s="98"/>
      <c r="L151" s="98"/>
      <c r="P151" s="2" t="str">
        <f t="shared" si="5"/>
        <v>TARGET</v>
      </c>
      <c r="Q151" s="1" t="s">
        <v>134</v>
      </c>
      <c r="R151" s="1"/>
      <c r="S151" s="98"/>
      <c r="T151" s="98"/>
      <c r="U151" s="99"/>
      <c r="V151" s="99"/>
      <c r="W151" s="98"/>
      <c r="X151" s="98"/>
    </row>
    <row r="152" spans="2:24" x14ac:dyDescent="0.3">
      <c r="B152" s="2" t="str">
        <f t="shared" si="4"/>
        <v/>
      </c>
      <c r="C152" s="1"/>
      <c r="D152" s="1"/>
      <c r="E152" s="1"/>
      <c r="F152" s="1"/>
      <c r="G152" s="98"/>
      <c r="H152" s="98"/>
      <c r="I152" s="99"/>
      <c r="J152" s="99"/>
      <c r="K152" s="98"/>
      <c r="L152" s="98"/>
      <c r="P152" s="2" t="str">
        <f t="shared" si="5"/>
        <v>TARGET</v>
      </c>
      <c r="Q152" s="1" t="s">
        <v>134</v>
      </c>
      <c r="R152" s="1"/>
      <c r="S152" s="98"/>
      <c r="T152" s="98"/>
      <c r="U152" s="99"/>
      <c r="V152" s="99"/>
      <c r="W152" s="98"/>
      <c r="X152" s="98"/>
    </row>
    <row r="153" spans="2:24" x14ac:dyDescent="0.3">
      <c r="B153" s="2" t="str">
        <f t="shared" si="4"/>
        <v/>
      </c>
      <c r="C153" s="1"/>
      <c r="D153" s="1"/>
      <c r="E153" s="1"/>
      <c r="F153" s="1"/>
      <c r="G153" s="98"/>
      <c r="H153" s="98"/>
      <c r="I153" s="99"/>
      <c r="J153" s="99"/>
      <c r="K153" s="98"/>
      <c r="L153" s="98"/>
      <c r="P153" s="2" t="str">
        <f t="shared" si="5"/>
        <v>TARGET</v>
      </c>
      <c r="Q153" s="1" t="s">
        <v>134</v>
      </c>
      <c r="R153" s="1"/>
      <c r="S153" s="98"/>
      <c r="T153" s="98"/>
      <c r="U153" s="99"/>
      <c r="V153" s="99"/>
      <c r="W153" s="98"/>
      <c r="X153" s="98"/>
    </row>
    <row r="154" spans="2:24" x14ac:dyDescent="0.3">
      <c r="B154" s="2" t="str">
        <f t="shared" si="4"/>
        <v/>
      </c>
      <c r="C154" s="1"/>
      <c r="D154" s="1"/>
      <c r="E154" s="1"/>
      <c r="F154" s="1"/>
      <c r="G154" s="98"/>
      <c r="H154" s="98"/>
      <c r="I154" s="99"/>
      <c r="J154" s="99"/>
      <c r="K154" s="98"/>
      <c r="L154" s="98"/>
      <c r="P154" s="2" t="str">
        <f t="shared" si="5"/>
        <v>TARGET</v>
      </c>
      <c r="Q154" s="1" t="s">
        <v>134</v>
      </c>
      <c r="R154" s="1"/>
      <c r="S154" s="98"/>
      <c r="T154" s="98"/>
      <c r="U154" s="99"/>
      <c r="V154" s="99"/>
      <c r="W154" s="98"/>
      <c r="X154" s="98"/>
    </row>
    <row r="155" spans="2:24" x14ac:dyDescent="0.3">
      <c r="B155" s="2" t="str">
        <f t="shared" si="4"/>
        <v/>
      </c>
      <c r="C155" s="1"/>
      <c r="D155" s="1"/>
      <c r="E155" s="1"/>
      <c r="F155" s="1"/>
      <c r="G155" s="98"/>
      <c r="H155" s="98"/>
      <c r="I155" s="99"/>
      <c r="J155" s="99"/>
      <c r="K155" s="98"/>
      <c r="L155" s="98"/>
      <c r="P155" s="2" t="str">
        <f t="shared" si="5"/>
        <v>TARGET</v>
      </c>
      <c r="Q155" s="1" t="s">
        <v>134</v>
      </c>
      <c r="R155" s="1"/>
      <c r="S155" s="98"/>
      <c r="T155" s="98"/>
      <c r="U155" s="99"/>
      <c r="V155" s="99"/>
      <c r="W155" s="98"/>
      <c r="X155" s="98"/>
    </row>
    <row r="156" spans="2:24" x14ac:dyDescent="0.3">
      <c r="B156" s="2" t="str">
        <f t="shared" si="4"/>
        <v/>
      </c>
      <c r="C156" s="1"/>
      <c r="D156" s="1"/>
      <c r="E156" s="1"/>
      <c r="F156" s="1"/>
      <c r="G156" s="98"/>
      <c r="H156" s="98"/>
      <c r="I156" s="99"/>
      <c r="J156" s="99"/>
      <c r="K156" s="98"/>
      <c r="L156" s="98"/>
      <c r="P156" s="2" t="str">
        <f t="shared" si="5"/>
        <v>TARGET</v>
      </c>
      <c r="Q156" s="1" t="s">
        <v>134</v>
      </c>
      <c r="R156" s="1"/>
      <c r="S156" s="98"/>
      <c r="T156" s="98"/>
      <c r="U156" s="99"/>
      <c r="V156" s="99"/>
      <c r="W156" s="98"/>
      <c r="X156" s="98"/>
    </row>
    <row r="157" spans="2:24" x14ac:dyDescent="0.3">
      <c r="B157" s="2" t="str">
        <f t="shared" si="4"/>
        <v/>
      </c>
      <c r="C157" s="1"/>
      <c r="D157" s="1"/>
      <c r="E157" s="1"/>
      <c r="F157" s="1"/>
      <c r="G157" s="98"/>
      <c r="H157" s="98"/>
      <c r="I157" s="99"/>
      <c r="J157" s="99"/>
      <c r="K157" s="98"/>
      <c r="L157" s="98"/>
      <c r="P157" s="2" t="str">
        <f t="shared" si="5"/>
        <v>TARGET</v>
      </c>
      <c r="Q157" s="1" t="s">
        <v>134</v>
      </c>
      <c r="R157" s="1"/>
      <c r="S157" s="98"/>
      <c r="T157" s="98"/>
      <c r="U157" s="99"/>
      <c r="V157" s="99"/>
      <c r="W157" s="98"/>
      <c r="X157" s="98"/>
    </row>
    <row r="158" spans="2:24" x14ac:dyDescent="0.3">
      <c r="B158" s="2" t="str">
        <f t="shared" si="4"/>
        <v/>
      </c>
      <c r="C158" s="1"/>
      <c r="D158" s="1"/>
      <c r="E158" s="1"/>
      <c r="F158" s="1"/>
      <c r="G158" s="98"/>
      <c r="H158" s="98"/>
      <c r="I158" s="99"/>
      <c r="J158" s="99"/>
      <c r="K158" s="98"/>
      <c r="L158" s="98"/>
      <c r="P158" s="2" t="str">
        <f t="shared" si="5"/>
        <v>TARGET</v>
      </c>
      <c r="Q158" s="1" t="s">
        <v>134</v>
      </c>
      <c r="R158" s="1"/>
      <c r="S158" s="98"/>
      <c r="T158" s="98"/>
      <c r="U158" s="99"/>
      <c r="V158" s="99"/>
      <c r="W158" s="98"/>
      <c r="X158" s="98"/>
    </row>
    <row r="159" spans="2:24" x14ac:dyDescent="0.3">
      <c r="B159" s="2" t="str">
        <f t="shared" si="4"/>
        <v/>
      </c>
      <c r="C159" s="1"/>
      <c r="D159" s="1"/>
      <c r="E159" s="1"/>
      <c r="F159" s="1"/>
      <c r="G159" s="98"/>
      <c r="H159" s="98"/>
      <c r="I159" s="99"/>
      <c r="J159" s="99"/>
      <c r="K159" s="98"/>
      <c r="L159" s="98"/>
      <c r="P159" s="2" t="str">
        <f t="shared" si="5"/>
        <v>TARGET</v>
      </c>
      <c r="Q159" s="1" t="s">
        <v>134</v>
      </c>
      <c r="R159" s="1"/>
      <c r="S159" s="98"/>
      <c r="T159" s="98"/>
      <c r="U159" s="99"/>
      <c r="V159" s="99"/>
      <c r="W159" s="98"/>
      <c r="X159" s="98"/>
    </row>
    <row r="160" spans="2:24" x14ac:dyDescent="0.3">
      <c r="B160" s="2" t="str">
        <f t="shared" si="4"/>
        <v/>
      </c>
      <c r="C160" s="1"/>
      <c r="D160" s="1"/>
      <c r="E160" s="1"/>
      <c r="F160" s="1"/>
      <c r="G160" s="98"/>
      <c r="H160" s="98"/>
      <c r="I160" s="99"/>
      <c r="J160" s="99"/>
      <c r="K160" s="98"/>
      <c r="L160" s="98"/>
      <c r="P160" s="2" t="str">
        <f t="shared" si="5"/>
        <v>TARGET</v>
      </c>
      <c r="Q160" s="1" t="s">
        <v>134</v>
      </c>
      <c r="R160" s="1"/>
      <c r="S160" s="98"/>
      <c r="T160" s="98"/>
      <c r="U160" s="99"/>
      <c r="V160" s="99"/>
      <c r="W160" s="98"/>
      <c r="X160" s="98"/>
    </row>
    <row r="161" spans="2:24" x14ac:dyDescent="0.3">
      <c r="B161" s="2" t="str">
        <f t="shared" si="4"/>
        <v/>
      </c>
      <c r="C161" s="1"/>
      <c r="D161" s="1"/>
      <c r="E161" s="1"/>
      <c r="F161" s="1"/>
      <c r="G161" s="98"/>
      <c r="H161" s="98"/>
      <c r="I161" s="99"/>
      <c r="J161" s="99"/>
      <c r="K161" s="98"/>
      <c r="L161" s="98"/>
      <c r="P161" s="2" t="str">
        <f t="shared" si="5"/>
        <v>TARGET</v>
      </c>
      <c r="Q161" s="1" t="s">
        <v>134</v>
      </c>
      <c r="R161" s="1"/>
      <c r="S161" s="98"/>
      <c r="T161" s="98"/>
      <c r="U161" s="99"/>
      <c r="V161" s="99"/>
      <c r="W161" s="98"/>
      <c r="X161" s="98"/>
    </row>
    <row r="162" spans="2:24" x14ac:dyDescent="0.3">
      <c r="B162" s="2" t="str">
        <f t="shared" si="4"/>
        <v/>
      </c>
      <c r="C162" s="1"/>
      <c r="D162" s="1"/>
      <c r="E162" s="1"/>
      <c r="F162" s="1"/>
      <c r="G162" s="98"/>
      <c r="H162" s="98"/>
      <c r="I162" s="99"/>
      <c r="J162" s="99"/>
      <c r="K162" s="98"/>
      <c r="L162" s="98"/>
      <c r="P162" s="2" t="str">
        <f t="shared" si="5"/>
        <v>TARGET</v>
      </c>
      <c r="Q162" s="1" t="s">
        <v>134</v>
      </c>
      <c r="R162" s="1"/>
      <c r="S162" s="98"/>
      <c r="T162" s="98"/>
      <c r="U162" s="99"/>
      <c r="V162" s="99"/>
      <c r="W162" s="98"/>
      <c r="X162" s="98"/>
    </row>
    <row r="163" spans="2:24" x14ac:dyDescent="0.3">
      <c r="B163" s="2" t="str">
        <f t="shared" si="4"/>
        <v/>
      </c>
      <c r="C163" s="1"/>
      <c r="D163" s="1"/>
      <c r="E163" s="1"/>
      <c r="F163" s="1"/>
      <c r="G163" s="98"/>
      <c r="H163" s="98"/>
      <c r="I163" s="99"/>
      <c r="J163" s="99"/>
      <c r="K163" s="98"/>
      <c r="L163" s="98"/>
      <c r="P163" s="2" t="str">
        <f t="shared" si="5"/>
        <v>TARGET</v>
      </c>
      <c r="Q163" s="1" t="s">
        <v>134</v>
      </c>
      <c r="R163" s="1"/>
      <c r="S163" s="98"/>
      <c r="T163" s="98"/>
      <c r="U163" s="99"/>
      <c r="V163" s="99"/>
      <c r="W163" s="98"/>
      <c r="X163" s="98"/>
    </row>
    <row r="164" spans="2:24" x14ac:dyDescent="0.3">
      <c r="B164" s="2" t="str">
        <f t="shared" si="4"/>
        <v/>
      </c>
      <c r="C164" s="1"/>
      <c r="D164" s="1"/>
      <c r="E164" s="1"/>
      <c r="F164" s="1"/>
      <c r="G164" s="98"/>
      <c r="H164" s="98"/>
      <c r="I164" s="99"/>
      <c r="J164" s="99"/>
      <c r="K164" s="98"/>
      <c r="L164" s="98"/>
      <c r="P164" s="2" t="str">
        <f t="shared" si="5"/>
        <v>TARGET</v>
      </c>
      <c r="Q164" s="1" t="s">
        <v>134</v>
      </c>
      <c r="R164" s="1"/>
      <c r="S164" s="98"/>
      <c r="T164" s="98"/>
      <c r="U164" s="99"/>
      <c r="V164" s="99"/>
      <c r="W164" s="98"/>
      <c r="X164" s="98"/>
    </row>
    <row r="165" spans="2:24" x14ac:dyDescent="0.3">
      <c r="B165" s="2" t="str">
        <f t="shared" si="4"/>
        <v/>
      </c>
      <c r="C165" s="1"/>
      <c r="D165" s="1"/>
      <c r="E165" s="1"/>
      <c r="F165" s="1"/>
      <c r="G165" s="98"/>
      <c r="H165" s="98"/>
      <c r="I165" s="99"/>
      <c r="J165" s="99"/>
      <c r="K165" s="98"/>
      <c r="L165" s="98"/>
      <c r="P165" s="2" t="str">
        <f t="shared" si="5"/>
        <v>TARGET</v>
      </c>
      <c r="Q165" s="1" t="s">
        <v>134</v>
      </c>
      <c r="R165" s="1"/>
      <c r="S165" s="98"/>
      <c r="T165" s="98"/>
      <c r="U165" s="99"/>
      <c r="V165" s="99"/>
      <c r="W165" s="98"/>
      <c r="X165" s="98"/>
    </row>
    <row r="166" spans="2:24" x14ac:dyDescent="0.3">
      <c r="B166" s="2" t="str">
        <f t="shared" si="4"/>
        <v/>
      </c>
      <c r="C166" s="1"/>
      <c r="D166" s="1"/>
      <c r="E166" s="1"/>
      <c r="F166" s="1"/>
      <c r="G166" s="98"/>
      <c r="H166" s="98"/>
      <c r="I166" s="99"/>
      <c r="J166" s="99"/>
      <c r="K166" s="98"/>
      <c r="L166" s="98"/>
      <c r="P166" s="2" t="str">
        <f t="shared" si="5"/>
        <v>TARGET</v>
      </c>
      <c r="Q166" s="1" t="s">
        <v>134</v>
      </c>
      <c r="R166" s="1"/>
      <c r="S166" s="98"/>
      <c r="T166" s="98"/>
      <c r="U166" s="99"/>
      <c r="V166" s="99"/>
      <c r="W166" s="98"/>
      <c r="X166" s="98"/>
    </row>
    <row r="167" spans="2:24" x14ac:dyDescent="0.3">
      <c r="B167" s="2" t="str">
        <f t="shared" si="4"/>
        <v/>
      </c>
      <c r="C167" s="1"/>
      <c r="D167" s="1"/>
      <c r="E167" s="1"/>
      <c r="F167" s="1"/>
      <c r="G167" s="98"/>
      <c r="H167" s="98"/>
      <c r="I167" s="99"/>
      <c r="J167" s="99"/>
      <c r="K167" s="98"/>
      <c r="L167" s="98"/>
      <c r="P167" s="2" t="str">
        <f t="shared" si="5"/>
        <v>TARGET</v>
      </c>
      <c r="Q167" s="1" t="s">
        <v>134</v>
      </c>
      <c r="R167" s="1"/>
      <c r="S167" s="98"/>
      <c r="T167" s="98"/>
      <c r="U167" s="99"/>
      <c r="V167" s="99"/>
      <c r="W167" s="98"/>
      <c r="X167" s="98"/>
    </row>
    <row r="168" spans="2:24" x14ac:dyDescent="0.3">
      <c r="B168" s="2" t="str">
        <f t="shared" si="4"/>
        <v/>
      </c>
      <c r="C168" s="1"/>
      <c r="D168" s="1"/>
      <c r="E168" s="1"/>
      <c r="F168" s="1"/>
      <c r="G168" s="98"/>
      <c r="H168" s="98"/>
      <c r="I168" s="99"/>
      <c r="J168" s="99"/>
      <c r="K168" s="98"/>
      <c r="L168" s="98"/>
      <c r="P168" s="2" t="str">
        <f t="shared" si="5"/>
        <v>TARGET</v>
      </c>
      <c r="Q168" s="1" t="s">
        <v>134</v>
      </c>
      <c r="R168" s="1"/>
      <c r="S168" s="98"/>
      <c r="T168" s="98"/>
      <c r="U168" s="99"/>
      <c r="V168" s="99"/>
      <c r="W168" s="98"/>
      <c r="X168" s="98"/>
    </row>
    <row r="169" spans="2:24" x14ac:dyDescent="0.3">
      <c r="B169" s="2" t="str">
        <f t="shared" si="4"/>
        <v/>
      </c>
      <c r="C169" s="1"/>
      <c r="D169" s="1"/>
      <c r="E169" s="1"/>
      <c r="F169" s="1"/>
      <c r="G169" s="98"/>
      <c r="H169" s="98"/>
      <c r="I169" s="99"/>
      <c r="J169" s="99"/>
      <c r="K169" s="98"/>
      <c r="L169" s="98"/>
      <c r="P169" s="2" t="str">
        <f t="shared" si="5"/>
        <v>TARGET</v>
      </c>
      <c r="Q169" s="1" t="s">
        <v>134</v>
      </c>
      <c r="R169" s="1"/>
      <c r="S169" s="98"/>
      <c r="T169" s="98"/>
      <c r="U169" s="99"/>
      <c r="V169" s="99"/>
      <c r="W169" s="98"/>
      <c r="X169" s="98"/>
    </row>
    <row r="170" spans="2:24" x14ac:dyDescent="0.3">
      <c r="B170" s="2" t="str">
        <f t="shared" si="4"/>
        <v/>
      </c>
      <c r="C170" s="1"/>
      <c r="D170" s="1"/>
      <c r="E170" s="1"/>
      <c r="F170" s="1"/>
      <c r="G170" s="98"/>
      <c r="H170" s="98"/>
      <c r="I170" s="99"/>
      <c r="J170" s="99"/>
      <c r="K170" s="98"/>
      <c r="L170" s="98"/>
      <c r="P170" s="2" t="str">
        <f t="shared" si="5"/>
        <v>TARGET</v>
      </c>
      <c r="Q170" s="1" t="s">
        <v>134</v>
      </c>
      <c r="R170" s="1"/>
      <c r="S170" s="98"/>
      <c r="T170" s="98"/>
      <c r="U170" s="99"/>
      <c r="V170" s="99"/>
      <c r="W170" s="98"/>
      <c r="X170" s="98"/>
    </row>
    <row r="171" spans="2:24" x14ac:dyDescent="0.3">
      <c r="B171" s="2" t="str">
        <f t="shared" si="4"/>
        <v/>
      </c>
      <c r="C171" s="1"/>
      <c r="D171" s="1"/>
      <c r="E171" s="1"/>
      <c r="F171" s="1"/>
      <c r="G171" s="98"/>
      <c r="H171" s="98"/>
      <c r="I171" s="99"/>
      <c r="J171" s="99"/>
      <c r="K171" s="98"/>
      <c r="L171" s="98"/>
      <c r="P171" s="2" t="str">
        <f t="shared" si="5"/>
        <v>TARGET</v>
      </c>
      <c r="Q171" s="1" t="s">
        <v>134</v>
      </c>
      <c r="R171" s="1"/>
      <c r="S171" s="98"/>
      <c r="T171" s="98"/>
      <c r="U171" s="99"/>
      <c r="V171" s="99"/>
      <c r="W171" s="98"/>
      <c r="X171" s="98"/>
    </row>
    <row r="172" spans="2:24" x14ac:dyDescent="0.3">
      <c r="B172" s="2" t="str">
        <f t="shared" si="4"/>
        <v/>
      </c>
      <c r="C172" s="1"/>
      <c r="D172" s="1"/>
      <c r="E172" s="1"/>
      <c r="F172" s="1"/>
      <c r="G172" s="98"/>
      <c r="H172" s="98"/>
      <c r="I172" s="99"/>
      <c r="J172" s="99"/>
      <c r="K172" s="98"/>
      <c r="L172" s="98"/>
      <c r="P172" s="2" t="str">
        <f t="shared" si="5"/>
        <v>TARGET</v>
      </c>
      <c r="Q172" s="1" t="s">
        <v>134</v>
      </c>
      <c r="R172" s="1"/>
      <c r="S172" s="98"/>
      <c r="T172" s="98"/>
      <c r="U172" s="99"/>
      <c r="V172" s="99"/>
      <c r="W172" s="98"/>
      <c r="X172" s="98"/>
    </row>
    <row r="173" spans="2:24" x14ac:dyDescent="0.3">
      <c r="B173" s="2" t="str">
        <f t="shared" si="4"/>
        <v/>
      </c>
      <c r="C173" s="1"/>
      <c r="D173" s="1"/>
      <c r="E173" s="1"/>
      <c r="F173" s="1"/>
      <c r="G173" s="98"/>
      <c r="H173" s="98"/>
      <c r="I173" s="99"/>
      <c r="J173" s="99"/>
      <c r="K173" s="98"/>
      <c r="L173" s="98"/>
      <c r="P173" s="2" t="str">
        <f t="shared" si="5"/>
        <v>TARGET</v>
      </c>
      <c r="Q173" s="1" t="s">
        <v>134</v>
      </c>
      <c r="R173" s="1"/>
      <c r="S173" s="98"/>
      <c r="T173" s="98"/>
      <c r="U173" s="99"/>
      <c r="V173" s="99"/>
      <c r="W173" s="98"/>
      <c r="X173" s="98"/>
    </row>
    <row r="174" spans="2:24" x14ac:dyDescent="0.3">
      <c r="B174" s="2" t="str">
        <f t="shared" si="4"/>
        <v/>
      </c>
      <c r="C174" s="1"/>
      <c r="D174" s="1"/>
      <c r="E174" s="1"/>
      <c r="F174" s="1"/>
      <c r="G174" s="98"/>
      <c r="H174" s="98"/>
      <c r="I174" s="99"/>
      <c r="J174" s="99"/>
      <c r="K174" s="98"/>
      <c r="L174" s="98"/>
      <c r="P174" s="2" t="str">
        <f t="shared" si="5"/>
        <v>TARGET</v>
      </c>
      <c r="Q174" s="1" t="s">
        <v>134</v>
      </c>
      <c r="R174" s="1"/>
      <c r="S174" s="98"/>
      <c r="T174" s="98"/>
      <c r="U174" s="99"/>
      <c r="V174" s="99"/>
      <c r="W174" s="98"/>
      <c r="X174" s="98"/>
    </row>
    <row r="175" spans="2:24" x14ac:dyDescent="0.3">
      <c r="B175" s="2" t="str">
        <f t="shared" si="4"/>
        <v/>
      </c>
      <c r="C175" s="1"/>
      <c r="D175" s="1"/>
      <c r="E175" s="1"/>
      <c r="F175" s="1"/>
      <c r="G175" s="98"/>
      <c r="H175" s="98"/>
      <c r="I175" s="99"/>
      <c r="J175" s="99"/>
      <c r="K175" s="98"/>
      <c r="L175" s="98"/>
      <c r="P175" s="2" t="str">
        <f t="shared" si="5"/>
        <v>TARGET</v>
      </c>
      <c r="Q175" s="1" t="s">
        <v>134</v>
      </c>
      <c r="R175" s="1"/>
      <c r="S175" s="98"/>
      <c r="T175" s="98"/>
      <c r="U175" s="99"/>
      <c r="V175" s="99"/>
      <c r="W175" s="98"/>
      <c r="X175" s="98"/>
    </row>
    <row r="176" spans="2:24" x14ac:dyDescent="0.3">
      <c r="B176" s="2" t="str">
        <f t="shared" si="4"/>
        <v/>
      </c>
      <c r="C176" s="1"/>
      <c r="D176" s="1"/>
      <c r="E176" s="1"/>
      <c r="F176" s="1"/>
      <c r="G176" s="98"/>
      <c r="H176" s="98"/>
      <c r="I176" s="99"/>
      <c r="J176" s="99"/>
      <c r="K176" s="98"/>
      <c r="L176" s="98"/>
      <c r="P176" s="2" t="str">
        <f t="shared" si="5"/>
        <v>TARGET</v>
      </c>
      <c r="Q176" s="1" t="s">
        <v>134</v>
      </c>
      <c r="R176" s="1"/>
      <c r="S176" s="98"/>
      <c r="T176" s="98"/>
      <c r="U176" s="99"/>
      <c r="V176" s="99"/>
      <c r="W176" s="98"/>
      <c r="X176" s="98"/>
    </row>
    <row r="177" spans="2:24" x14ac:dyDescent="0.3">
      <c r="B177" s="2" t="str">
        <f t="shared" si="4"/>
        <v/>
      </c>
      <c r="C177" s="1"/>
      <c r="D177" s="1"/>
      <c r="E177" s="1"/>
      <c r="F177" s="1"/>
      <c r="G177" s="98"/>
      <c r="H177" s="98"/>
      <c r="I177" s="99"/>
      <c r="J177" s="99"/>
      <c r="K177" s="98"/>
      <c r="L177" s="98"/>
      <c r="P177" s="2" t="str">
        <f t="shared" si="5"/>
        <v>TARGET</v>
      </c>
      <c r="Q177" s="1" t="s">
        <v>134</v>
      </c>
      <c r="R177" s="1"/>
      <c r="S177" s="98"/>
      <c r="T177" s="98"/>
      <c r="U177" s="99"/>
      <c r="V177" s="99"/>
      <c r="W177" s="98"/>
      <c r="X177" s="98"/>
    </row>
    <row r="178" spans="2:24" x14ac:dyDescent="0.3">
      <c r="B178" s="2" t="str">
        <f t="shared" si="4"/>
        <v/>
      </c>
      <c r="C178" s="1"/>
      <c r="D178" s="1"/>
      <c r="E178" s="1"/>
      <c r="F178" s="1"/>
      <c r="G178" s="98"/>
      <c r="H178" s="98"/>
      <c r="I178" s="99"/>
      <c r="J178" s="99"/>
      <c r="K178" s="98"/>
      <c r="L178" s="98"/>
      <c r="P178" s="2" t="str">
        <f t="shared" si="5"/>
        <v>TARGET</v>
      </c>
      <c r="Q178" s="1" t="s">
        <v>134</v>
      </c>
      <c r="R178" s="1"/>
      <c r="S178" s="98"/>
      <c r="T178" s="98"/>
      <c r="U178" s="99"/>
      <c r="V178" s="99"/>
      <c r="W178" s="98"/>
      <c r="X178" s="98"/>
    </row>
    <row r="179" spans="2:24" x14ac:dyDescent="0.3">
      <c r="B179" s="2" t="str">
        <f t="shared" si="4"/>
        <v/>
      </c>
      <c r="C179" s="1"/>
      <c r="D179" s="1"/>
      <c r="E179" s="1"/>
      <c r="F179" s="1"/>
      <c r="G179" s="98"/>
      <c r="H179" s="98"/>
      <c r="I179" s="99"/>
      <c r="J179" s="99"/>
      <c r="K179" s="98"/>
      <c r="L179" s="98"/>
      <c r="P179" s="2" t="str">
        <f t="shared" si="5"/>
        <v>TARGET</v>
      </c>
      <c r="Q179" s="1" t="s">
        <v>134</v>
      </c>
      <c r="R179" s="1"/>
      <c r="S179" s="98"/>
      <c r="T179" s="98"/>
      <c r="U179" s="99"/>
      <c r="V179" s="99"/>
      <c r="W179" s="98"/>
      <c r="X179" s="98"/>
    </row>
    <row r="180" spans="2:24" x14ac:dyDescent="0.3">
      <c r="B180" s="2" t="str">
        <f t="shared" si="4"/>
        <v/>
      </c>
      <c r="C180" s="1"/>
      <c r="D180" s="1"/>
      <c r="E180" s="1"/>
      <c r="F180" s="1"/>
      <c r="G180" s="98"/>
      <c r="H180" s="98"/>
      <c r="I180" s="99"/>
      <c r="J180" s="99"/>
      <c r="K180" s="98"/>
      <c r="L180" s="98"/>
      <c r="P180" s="2" t="str">
        <f t="shared" si="5"/>
        <v>TARGET</v>
      </c>
      <c r="Q180" s="1" t="s">
        <v>134</v>
      </c>
      <c r="R180" s="1"/>
      <c r="S180" s="98"/>
      <c r="T180" s="98"/>
      <c r="U180" s="99"/>
      <c r="V180" s="99"/>
      <c r="W180" s="98"/>
      <c r="X180" s="98"/>
    </row>
    <row r="181" spans="2:24" x14ac:dyDescent="0.3">
      <c r="B181" s="2" t="str">
        <f t="shared" si="4"/>
        <v/>
      </c>
      <c r="C181" s="1"/>
      <c r="D181" s="1"/>
      <c r="E181" s="1"/>
      <c r="F181" s="1"/>
      <c r="G181" s="98"/>
      <c r="H181" s="98"/>
      <c r="I181" s="99"/>
      <c r="J181" s="99"/>
      <c r="K181" s="98"/>
      <c r="L181" s="98"/>
      <c r="P181" s="2" t="str">
        <f t="shared" si="5"/>
        <v>TARGET</v>
      </c>
      <c r="Q181" s="1" t="s">
        <v>134</v>
      </c>
      <c r="R181" s="1"/>
      <c r="S181" s="98"/>
      <c r="T181" s="98"/>
      <c r="U181" s="99"/>
      <c r="V181" s="99"/>
      <c r="W181" s="98"/>
      <c r="X181" s="98"/>
    </row>
    <row r="182" spans="2:24" x14ac:dyDescent="0.3">
      <c r="B182" s="2" t="str">
        <f t="shared" si="4"/>
        <v/>
      </c>
      <c r="C182" s="1"/>
      <c r="D182" s="1"/>
      <c r="E182" s="1"/>
      <c r="F182" s="1"/>
      <c r="G182" s="98"/>
      <c r="H182" s="98"/>
      <c r="I182" s="99"/>
      <c r="J182" s="99"/>
      <c r="K182" s="98"/>
      <c r="L182" s="98"/>
      <c r="P182" s="2" t="str">
        <f t="shared" si="5"/>
        <v>TARGET</v>
      </c>
      <c r="Q182" s="1" t="s">
        <v>134</v>
      </c>
      <c r="R182" s="1"/>
      <c r="S182" s="98"/>
      <c r="T182" s="98"/>
      <c r="U182" s="99"/>
      <c r="V182" s="99"/>
      <c r="W182" s="98"/>
      <c r="X182" s="98"/>
    </row>
    <row r="183" spans="2:24" x14ac:dyDescent="0.3">
      <c r="B183" s="2" t="str">
        <f t="shared" si="4"/>
        <v/>
      </c>
      <c r="C183" s="1"/>
      <c r="D183" s="1"/>
      <c r="E183" s="1"/>
      <c r="F183" s="1"/>
      <c r="G183" s="98"/>
      <c r="H183" s="98"/>
      <c r="I183" s="99"/>
      <c r="J183" s="99"/>
      <c r="K183" s="98"/>
      <c r="L183" s="98"/>
      <c r="P183" s="2" t="str">
        <f t="shared" si="5"/>
        <v>TARGET</v>
      </c>
      <c r="Q183" s="1" t="s">
        <v>134</v>
      </c>
      <c r="R183" s="1"/>
      <c r="S183" s="98"/>
      <c r="T183" s="98"/>
      <c r="U183" s="99"/>
      <c r="V183" s="99"/>
      <c r="W183" s="98"/>
      <c r="X183" s="98"/>
    </row>
    <row r="184" spans="2:24" x14ac:dyDescent="0.3">
      <c r="B184" s="2" t="str">
        <f t="shared" si="4"/>
        <v/>
      </c>
      <c r="C184" s="1"/>
      <c r="D184" s="1"/>
      <c r="E184" s="1"/>
      <c r="F184" s="1"/>
      <c r="G184" s="98"/>
      <c r="H184" s="98"/>
      <c r="I184" s="99"/>
      <c r="J184" s="99"/>
      <c r="K184" s="98"/>
      <c r="L184" s="98"/>
      <c r="P184" s="2" t="str">
        <f t="shared" si="5"/>
        <v>TARGET</v>
      </c>
      <c r="Q184" s="1" t="s">
        <v>134</v>
      </c>
      <c r="R184" s="1"/>
      <c r="S184" s="98"/>
      <c r="T184" s="98"/>
      <c r="U184" s="99"/>
      <c r="V184" s="99"/>
      <c r="W184" s="98"/>
      <c r="X184" s="98"/>
    </row>
    <row r="185" spans="2:24" x14ac:dyDescent="0.3">
      <c r="B185" s="2" t="str">
        <f t="shared" si="4"/>
        <v/>
      </c>
      <c r="C185" s="1"/>
      <c r="D185" s="1"/>
      <c r="E185" s="1"/>
      <c r="F185" s="1"/>
      <c r="G185" s="98"/>
      <c r="H185" s="98"/>
      <c r="I185" s="99"/>
      <c r="J185" s="99"/>
      <c r="K185" s="98"/>
      <c r="L185" s="98"/>
      <c r="P185" s="2" t="str">
        <f t="shared" si="5"/>
        <v>TARGET</v>
      </c>
      <c r="Q185" s="1" t="s">
        <v>134</v>
      </c>
      <c r="R185" s="1"/>
      <c r="S185" s="98"/>
      <c r="T185" s="98"/>
      <c r="U185" s="99"/>
      <c r="V185" s="99"/>
      <c r="W185" s="98"/>
      <c r="X185" s="98"/>
    </row>
    <row r="186" spans="2:24" x14ac:dyDescent="0.3">
      <c r="B186" s="2" t="str">
        <f t="shared" si="4"/>
        <v/>
      </c>
      <c r="C186" s="1"/>
      <c r="D186" s="1"/>
      <c r="E186" s="1"/>
      <c r="F186" s="1"/>
      <c r="G186" s="98"/>
      <c r="H186" s="98"/>
      <c r="I186" s="99"/>
      <c r="J186" s="99"/>
      <c r="K186" s="98"/>
      <c r="L186" s="98"/>
      <c r="P186" s="2" t="str">
        <f t="shared" si="5"/>
        <v>TARGET</v>
      </c>
      <c r="Q186" s="1" t="s">
        <v>134</v>
      </c>
      <c r="R186" s="1"/>
      <c r="S186" s="98"/>
      <c r="T186" s="98"/>
      <c r="U186" s="99"/>
      <c r="V186" s="99"/>
      <c r="W186" s="98"/>
      <c r="X186" s="98"/>
    </row>
    <row r="187" spans="2:24" x14ac:dyDescent="0.3">
      <c r="B187" s="2" t="str">
        <f t="shared" si="4"/>
        <v/>
      </c>
      <c r="C187" s="1"/>
      <c r="D187" s="1"/>
      <c r="E187" s="1"/>
      <c r="F187" s="1"/>
      <c r="G187" s="98"/>
      <c r="H187" s="98"/>
      <c r="I187" s="99"/>
      <c r="J187" s="99"/>
      <c r="K187" s="98"/>
      <c r="L187" s="98"/>
      <c r="P187" s="2" t="str">
        <f t="shared" si="5"/>
        <v>TARGET</v>
      </c>
      <c r="Q187" s="1" t="s">
        <v>134</v>
      </c>
      <c r="R187" s="1"/>
      <c r="S187" s="98"/>
      <c r="T187" s="98"/>
      <c r="U187" s="99"/>
      <c r="V187" s="99"/>
      <c r="W187" s="98"/>
      <c r="X187" s="98"/>
    </row>
    <row r="188" spans="2:24" x14ac:dyDescent="0.3">
      <c r="B188" s="2" t="str">
        <f t="shared" si="4"/>
        <v/>
      </c>
      <c r="C188" s="1"/>
      <c r="D188" s="1"/>
      <c r="E188" s="1"/>
      <c r="F188" s="1"/>
      <c r="G188" s="98"/>
      <c r="H188" s="98"/>
      <c r="I188" s="99"/>
      <c r="J188" s="99"/>
      <c r="K188" s="98"/>
      <c r="L188" s="98"/>
      <c r="P188" s="2" t="str">
        <f t="shared" si="5"/>
        <v>TARGET</v>
      </c>
      <c r="Q188" s="1" t="s">
        <v>134</v>
      </c>
      <c r="R188" s="1"/>
      <c r="S188" s="98"/>
      <c r="T188" s="98"/>
      <c r="U188" s="99"/>
      <c r="V188" s="99"/>
      <c r="W188" s="98"/>
      <c r="X188" s="98"/>
    </row>
    <row r="189" spans="2:24" x14ac:dyDescent="0.3">
      <c r="B189" s="2" t="str">
        <f t="shared" si="4"/>
        <v/>
      </c>
      <c r="C189" s="1"/>
      <c r="D189" s="1"/>
      <c r="E189" s="1"/>
      <c r="F189" s="1"/>
      <c r="G189" s="98"/>
      <c r="H189" s="98"/>
      <c r="I189" s="99"/>
      <c r="J189" s="99"/>
      <c r="K189" s="98"/>
      <c r="L189" s="98"/>
      <c r="P189" s="2" t="str">
        <f t="shared" si="5"/>
        <v>TARGET</v>
      </c>
      <c r="Q189" s="1" t="s">
        <v>134</v>
      </c>
      <c r="R189" s="1"/>
      <c r="S189" s="98"/>
      <c r="T189" s="98"/>
      <c r="U189" s="99"/>
      <c r="V189" s="99"/>
      <c r="W189" s="98"/>
      <c r="X189" s="98"/>
    </row>
    <row r="190" spans="2:24" x14ac:dyDescent="0.3">
      <c r="B190" s="2" t="str">
        <f t="shared" si="4"/>
        <v/>
      </c>
      <c r="C190" s="1"/>
      <c r="D190" s="1"/>
      <c r="E190" s="1"/>
      <c r="F190" s="1"/>
      <c r="G190" s="98"/>
      <c r="H190" s="98"/>
      <c r="I190" s="99"/>
      <c r="J190" s="99"/>
      <c r="K190" s="98"/>
      <c r="L190" s="98"/>
      <c r="P190" s="2" t="str">
        <f t="shared" si="5"/>
        <v>TARGET</v>
      </c>
      <c r="Q190" s="1" t="s">
        <v>134</v>
      </c>
      <c r="R190" s="1"/>
      <c r="S190" s="98"/>
      <c r="T190" s="98"/>
      <c r="U190" s="99"/>
      <c r="V190" s="99"/>
      <c r="W190" s="98"/>
      <c r="X190" s="98"/>
    </row>
    <row r="191" spans="2:24" x14ac:dyDescent="0.3">
      <c r="B191" s="2" t="str">
        <f t="shared" si="4"/>
        <v/>
      </c>
      <c r="C191" s="1"/>
      <c r="D191" s="1"/>
      <c r="E191" s="1"/>
      <c r="F191" s="1"/>
      <c r="G191" s="98"/>
      <c r="H191" s="98"/>
      <c r="I191" s="99"/>
      <c r="J191" s="99"/>
      <c r="K191" s="98"/>
      <c r="L191" s="98"/>
      <c r="P191" s="2" t="str">
        <f t="shared" si="5"/>
        <v>TARGET</v>
      </c>
      <c r="Q191" s="1" t="s">
        <v>134</v>
      </c>
      <c r="R191" s="1"/>
      <c r="S191" s="98"/>
      <c r="T191" s="98"/>
      <c r="U191" s="99"/>
      <c r="V191" s="99"/>
      <c r="W191" s="98"/>
      <c r="X191" s="98"/>
    </row>
    <row r="192" spans="2:24" x14ac:dyDescent="0.3">
      <c r="B192" s="2" t="str">
        <f t="shared" si="4"/>
        <v/>
      </c>
      <c r="C192" s="1"/>
      <c r="D192" s="1"/>
      <c r="E192" s="1"/>
      <c r="F192" s="1"/>
      <c r="G192" s="98"/>
      <c r="H192" s="98"/>
      <c r="I192" s="99"/>
      <c r="J192" s="99"/>
      <c r="K192" s="98"/>
      <c r="L192" s="98"/>
      <c r="P192" s="2" t="str">
        <f t="shared" si="5"/>
        <v>TARGET</v>
      </c>
      <c r="Q192" s="1" t="s">
        <v>134</v>
      </c>
      <c r="R192" s="1"/>
      <c r="S192" s="98"/>
      <c r="T192" s="98"/>
      <c r="U192" s="99"/>
      <c r="V192" s="99"/>
      <c r="W192" s="98"/>
      <c r="X192" s="98"/>
    </row>
    <row r="193" spans="2:24" x14ac:dyDescent="0.3">
      <c r="B193" s="2" t="str">
        <f t="shared" si="4"/>
        <v/>
      </c>
      <c r="C193" s="1"/>
      <c r="D193" s="1"/>
      <c r="E193" s="1"/>
      <c r="F193" s="1"/>
      <c r="G193" s="98"/>
      <c r="H193" s="98"/>
      <c r="I193" s="99"/>
      <c r="J193" s="99"/>
      <c r="K193" s="98"/>
      <c r="L193" s="98"/>
      <c r="P193" s="2" t="str">
        <f t="shared" si="5"/>
        <v>TARGET</v>
      </c>
      <c r="Q193" s="1" t="s">
        <v>134</v>
      </c>
      <c r="R193" s="1"/>
      <c r="S193" s="98"/>
      <c r="T193" s="98"/>
      <c r="U193" s="99"/>
      <c r="V193" s="99"/>
      <c r="W193" s="98"/>
      <c r="X193" s="98"/>
    </row>
    <row r="194" spans="2:24" x14ac:dyDescent="0.3">
      <c r="B194" s="2" t="str">
        <f t="shared" si="4"/>
        <v/>
      </c>
      <c r="C194" s="1"/>
      <c r="D194" s="1"/>
      <c r="E194" s="1"/>
      <c r="F194" s="1"/>
      <c r="G194" s="98"/>
      <c r="H194" s="98"/>
      <c r="I194" s="99"/>
      <c r="J194" s="99"/>
      <c r="K194" s="98"/>
      <c r="L194" s="98"/>
      <c r="P194" s="2" t="str">
        <f t="shared" si="5"/>
        <v>TARGET</v>
      </c>
      <c r="Q194" s="1" t="s">
        <v>134</v>
      </c>
      <c r="R194" s="1"/>
      <c r="S194" s="98"/>
      <c r="T194" s="98"/>
      <c r="U194" s="99"/>
      <c r="V194" s="99"/>
      <c r="W194" s="98"/>
      <c r="X194" s="98"/>
    </row>
    <row r="195" spans="2:24" x14ac:dyDescent="0.3">
      <c r="B195" s="2" t="str">
        <f t="shared" si="4"/>
        <v/>
      </c>
      <c r="C195" s="1"/>
      <c r="D195" s="1"/>
      <c r="E195" s="1"/>
      <c r="F195" s="1"/>
      <c r="G195" s="98"/>
      <c r="H195" s="98"/>
      <c r="I195" s="99"/>
      <c r="J195" s="99"/>
      <c r="K195" s="98"/>
      <c r="L195" s="98"/>
      <c r="P195" s="2" t="str">
        <f t="shared" si="5"/>
        <v>TARGET</v>
      </c>
      <c r="Q195" s="1" t="s">
        <v>134</v>
      </c>
      <c r="R195" s="1"/>
      <c r="S195" s="98"/>
      <c r="T195" s="98"/>
      <c r="U195" s="99"/>
      <c r="V195" s="99"/>
      <c r="W195" s="98"/>
      <c r="X195" s="98"/>
    </row>
    <row r="196" spans="2:24" x14ac:dyDescent="0.3">
      <c r="B196" s="2" t="str">
        <f t="shared" ref="B196:B200" si="6">C196&amp;D196&amp;E196&amp;F196</f>
        <v/>
      </c>
      <c r="C196" s="1"/>
      <c r="D196" s="1"/>
      <c r="E196" s="1"/>
      <c r="F196" s="1"/>
      <c r="G196" s="98"/>
      <c r="H196" s="98"/>
      <c r="I196" s="99"/>
      <c r="J196" s="99"/>
      <c r="K196" s="98"/>
      <c r="L196" s="98"/>
      <c r="P196" s="2" t="str">
        <f t="shared" ref="P196:P200" si="7">Q196&amp;R196</f>
        <v>TARGET</v>
      </c>
      <c r="Q196" s="1" t="s">
        <v>134</v>
      </c>
      <c r="R196" s="1"/>
      <c r="S196" s="98"/>
      <c r="T196" s="98"/>
      <c r="U196" s="99"/>
      <c r="V196" s="99"/>
      <c r="W196" s="98"/>
      <c r="X196" s="98"/>
    </row>
    <row r="197" spans="2:24" x14ac:dyDescent="0.3">
      <c r="B197" s="2" t="str">
        <f t="shared" si="6"/>
        <v/>
      </c>
      <c r="C197" s="1"/>
      <c r="D197" s="1"/>
      <c r="E197" s="1"/>
      <c r="F197" s="1"/>
      <c r="G197" s="98"/>
      <c r="H197" s="98"/>
      <c r="I197" s="99"/>
      <c r="J197" s="99"/>
      <c r="K197" s="98"/>
      <c r="L197" s="98"/>
      <c r="P197" s="2" t="str">
        <f t="shared" si="7"/>
        <v>TARGET</v>
      </c>
      <c r="Q197" s="1" t="s">
        <v>134</v>
      </c>
      <c r="R197" s="1"/>
      <c r="S197" s="98"/>
      <c r="T197" s="98"/>
      <c r="U197" s="99"/>
      <c r="V197" s="99"/>
      <c r="W197" s="98"/>
      <c r="X197" s="98"/>
    </row>
    <row r="198" spans="2:24" x14ac:dyDescent="0.3">
      <c r="B198" s="2" t="str">
        <f t="shared" si="6"/>
        <v/>
      </c>
      <c r="C198" s="1"/>
      <c r="D198" s="1"/>
      <c r="E198" s="1"/>
      <c r="F198" s="1"/>
      <c r="G198" s="98"/>
      <c r="H198" s="98"/>
      <c r="I198" s="99"/>
      <c r="J198" s="99"/>
      <c r="K198" s="98"/>
      <c r="L198" s="98"/>
      <c r="P198" s="2" t="str">
        <f t="shared" si="7"/>
        <v>TARGET</v>
      </c>
      <c r="Q198" s="1" t="s">
        <v>134</v>
      </c>
      <c r="R198" s="1"/>
      <c r="S198" s="98"/>
      <c r="T198" s="98"/>
      <c r="U198" s="99"/>
      <c r="V198" s="99"/>
      <c r="W198" s="98"/>
      <c r="X198" s="98"/>
    </row>
    <row r="199" spans="2:24" x14ac:dyDescent="0.3">
      <c r="B199" s="2" t="str">
        <f t="shared" si="6"/>
        <v/>
      </c>
      <c r="C199" s="1"/>
      <c r="D199" s="1"/>
      <c r="E199" s="1"/>
      <c r="F199" s="1"/>
      <c r="G199" s="98"/>
      <c r="H199" s="98"/>
      <c r="I199" s="99"/>
      <c r="J199" s="99"/>
      <c r="K199" s="98"/>
      <c r="L199" s="98"/>
      <c r="P199" s="2" t="str">
        <f t="shared" si="7"/>
        <v>TARGET</v>
      </c>
      <c r="Q199" s="1" t="s">
        <v>134</v>
      </c>
      <c r="R199" s="1"/>
      <c r="S199" s="98"/>
      <c r="T199" s="98"/>
      <c r="U199" s="99"/>
      <c r="V199" s="99"/>
      <c r="W199" s="98"/>
      <c r="X199" s="98"/>
    </row>
    <row r="200" spans="2:24" x14ac:dyDescent="0.3">
      <c r="B200" s="2" t="str">
        <f t="shared" si="6"/>
        <v/>
      </c>
      <c r="C200" s="1"/>
      <c r="D200" s="1"/>
      <c r="E200" s="1"/>
      <c r="F200" s="1"/>
      <c r="G200" s="98"/>
      <c r="H200" s="98"/>
      <c r="I200" s="99"/>
      <c r="J200" s="99"/>
      <c r="K200" s="98"/>
      <c r="L200" s="98"/>
      <c r="P200" s="2" t="str">
        <f t="shared" si="7"/>
        <v>TARGET</v>
      </c>
      <c r="Q200" s="1" t="s">
        <v>134</v>
      </c>
      <c r="R200" s="1"/>
      <c r="S200" s="98"/>
      <c r="T200" s="98"/>
      <c r="U200" s="99"/>
      <c r="V200" s="99"/>
      <c r="W200" s="98"/>
      <c r="X200" s="98"/>
    </row>
  </sheetData>
  <autoFilter ref="C2:J200" xr:uid="{129FCD4A-814E-4BA7-9734-FE417110CDC8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85E296-8BEF-4547-9D55-57E2E95B51E7}">
  <sheetPr codeName="Sheet5">
    <tabColor theme="9" tint="0.79998168889431442"/>
  </sheetPr>
  <dimension ref="B1:BR229"/>
  <sheetViews>
    <sheetView topLeftCell="BB3" workbookViewId="0">
      <selection activeCell="BE35" sqref="BE35"/>
    </sheetView>
  </sheetViews>
  <sheetFormatPr defaultRowHeight="14.4" x14ac:dyDescent="0.3"/>
  <cols>
    <col min="1" max="1" width="3.77734375" customWidth="1"/>
    <col min="2" max="4" width="23.77734375" bestFit="1" customWidth="1"/>
    <col min="5" max="5" width="8" bestFit="1" customWidth="1"/>
    <col min="6" max="6" width="19.33203125" bestFit="1" customWidth="1"/>
    <col min="7" max="7" width="14.109375" bestFit="1" customWidth="1"/>
    <col min="8" max="10" width="12" bestFit="1" customWidth="1"/>
    <col min="11" max="11" width="15.109375" bestFit="1" customWidth="1"/>
    <col min="12" max="12" width="13.109375" bestFit="1" customWidth="1"/>
    <col min="13" max="13" width="11.88671875" bestFit="1" customWidth="1"/>
    <col min="14" max="14" width="8.21875" bestFit="1" customWidth="1"/>
    <col min="15" max="15" width="8.5546875" bestFit="1" customWidth="1"/>
    <col min="16" max="16" width="9" bestFit="1" customWidth="1"/>
    <col min="17" max="17" width="9.5546875" bestFit="1" customWidth="1"/>
    <col min="18" max="18" width="16.6640625" bestFit="1" customWidth="1"/>
    <col min="19" max="22" width="12.44140625" bestFit="1" customWidth="1"/>
    <col min="23" max="23" width="16.88671875" bestFit="1" customWidth="1"/>
    <col min="24" max="24" width="16.6640625" bestFit="1" customWidth="1"/>
    <col min="25" max="25" width="6.109375" bestFit="1" customWidth="1"/>
    <col min="26" max="26" width="13" bestFit="1" customWidth="1"/>
    <col min="27" max="27" width="14.109375" bestFit="1" customWidth="1"/>
    <col min="28" max="28" width="12" bestFit="1" customWidth="1"/>
    <col min="29" max="30" width="13" bestFit="1" customWidth="1"/>
    <col min="31" max="31" width="10.77734375" bestFit="1" customWidth="1"/>
    <col min="32" max="32" width="12.109375" bestFit="1" customWidth="1"/>
    <col min="33" max="33" width="13.77734375" bestFit="1" customWidth="1"/>
    <col min="34" max="34" width="13.33203125" bestFit="1" customWidth="1"/>
    <col min="35" max="35" width="13.21875" bestFit="1" customWidth="1"/>
    <col min="36" max="36" width="18.5546875" bestFit="1" customWidth="1"/>
    <col min="37" max="37" width="20.109375" bestFit="1" customWidth="1"/>
    <col min="38" max="38" width="18.5546875" bestFit="1" customWidth="1"/>
    <col min="39" max="39" width="17.21875" bestFit="1" customWidth="1"/>
    <col min="40" max="41" width="13.88671875" bestFit="1" customWidth="1"/>
    <col min="42" max="42" width="14.109375" bestFit="1" customWidth="1"/>
    <col min="43" max="45" width="12.44140625" bestFit="1" customWidth="1"/>
    <col min="46" max="46" width="14.109375" bestFit="1" customWidth="1"/>
    <col min="47" max="48" width="12" bestFit="1" customWidth="1"/>
    <col min="49" max="49" width="13.109375" bestFit="1" customWidth="1"/>
    <col min="50" max="57" width="15.21875" customWidth="1"/>
    <col min="58" max="72" width="12" bestFit="1" customWidth="1"/>
  </cols>
  <sheetData>
    <row r="1" spans="2:55" x14ac:dyDescent="0.3">
      <c r="B1" s="103" t="s">
        <v>93</v>
      </c>
      <c r="I1" s="18" t="s">
        <v>98</v>
      </c>
      <c r="P1" s="18" t="s">
        <v>94</v>
      </c>
      <c r="Y1" s="18" t="s">
        <v>95</v>
      </c>
      <c r="AR1" s="18" t="s">
        <v>97</v>
      </c>
      <c r="AS1" s="18" t="s">
        <v>96</v>
      </c>
      <c r="AX1" s="18" t="s">
        <v>99</v>
      </c>
      <c r="AY1" s="4"/>
    </row>
    <row r="2" spans="2:55" x14ac:dyDescent="0.3">
      <c r="B2" s="101" t="str">
        <f>"L0_"&amp;B3</f>
        <v>L0_Graph_Colour</v>
      </c>
      <c r="D2" s="4" t="str">
        <f t="shared" ref="D2:F2" si="0">"L0_"&amp;D3</f>
        <v>L0_Key_Brand</v>
      </c>
      <c r="E2" s="4" t="str">
        <f t="shared" si="0"/>
        <v>L0_Channel</v>
      </c>
      <c r="F2" s="4" t="str">
        <f t="shared" si="0"/>
        <v>L0_Brand</v>
      </c>
      <c r="G2" s="4" t="str">
        <f>"L0_"&amp;G3</f>
        <v>L0_RSV</v>
      </c>
      <c r="H2" s="4" t="str">
        <f t="shared" ref="H2:BC2" si="1">"L0_"&amp;H3</f>
        <v>L0_Vol</v>
      </c>
      <c r="I2" s="4" t="str">
        <f t="shared" si="1"/>
        <v>L0_CSF</v>
      </c>
      <c r="J2" s="4" t="str">
        <f t="shared" si="1"/>
        <v>L0_MCV</v>
      </c>
      <c r="K2" s="4" t="str">
        <f t="shared" si="1"/>
        <v>L0_RSV_Total</v>
      </c>
      <c r="L2" s="4" t="str">
        <f t="shared" si="1"/>
        <v>L0_Volume_Total</v>
      </c>
      <c r="M2" s="4" t="str">
        <f t="shared" si="1"/>
        <v>L0_Current Price</v>
      </c>
      <c r="N2" s="4" t="str">
        <f t="shared" si="1"/>
        <v>L0_Price_FP</v>
      </c>
      <c r="O2" s="4" t="str">
        <f t="shared" si="1"/>
        <v>L0_Elasticity</v>
      </c>
      <c r="P2" s="4" t="str">
        <f t="shared" si="1"/>
        <v>L0_Val Share</v>
      </c>
      <c r="Q2" s="4" t="str">
        <f t="shared" si="1"/>
        <v>L0_Vol. Share</v>
      </c>
      <c r="R2" s="4" t="str">
        <f t="shared" si="1"/>
        <v>L0_NSV_to_RSV_o</v>
      </c>
      <c r="S2" s="4" t="str">
        <f t="shared" si="1"/>
        <v>L0_NSV_to_GM_o</v>
      </c>
      <c r="T2" s="4" t="str">
        <f t="shared" si="1"/>
        <v>L0_NSV_o</v>
      </c>
      <c r="U2" s="4" t="str">
        <f t="shared" si="1"/>
        <v>L0_GM_o</v>
      </c>
      <c r="V2" s="4" t="str">
        <f t="shared" si="1"/>
        <v>L0_Fixed Cost</v>
      </c>
      <c r="W2" s="4" t="str">
        <f t="shared" si="1"/>
        <v>L0_Fixed Cost per Unit</v>
      </c>
      <c r="X2" s="4" t="str">
        <f t="shared" si="1"/>
        <v>L0_TPV</v>
      </c>
      <c r="Y2" s="4" t="str">
        <f t="shared" si="1"/>
        <v>L0_PVS</v>
      </c>
      <c r="Z2" s="4" t="str">
        <f t="shared" si="1"/>
        <v>L0_MS Headroom</v>
      </c>
      <c r="AA2" s="4" t="str">
        <f t="shared" si="1"/>
        <v>L0_RSV_i</v>
      </c>
      <c r="AB2" s="4" t="str">
        <f t="shared" si="1"/>
        <v>L0_Vol_i</v>
      </c>
      <c r="AC2" s="4" t="str">
        <f t="shared" si="1"/>
        <v>L0_NSV_i</v>
      </c>
      <c r="AD2" s="4" t="str">
        <f t="shared" si="1"/>
        <v>L0_GM_i</v>
      </c>
      <c r="AE2" s="4" t="str">
        <f t="shared" si="1"/>
        <v>L0_Vol_Share_i</v>
      </c>
      <c r="AF2" s="4" t="str">
        <f t="shared" si="1"/>
        <v>L0_New Price</v>
      </c>
      <c r="AG2" s="4" t="str">
        <f t="shared" si="1"/>
        <v>L0_NSV_to_RSV</v>
      </c>
      <c r="AH2" s="4" t="str">
        <f t="shared" si="1"/>
        <v>L0_NSV_to_GM</v>
      </c>
      <c r="AI2" s="4" t="str">
        <f t="shared" si="1"/>
        <v>L0_Price_Chng</v>
      </c>
      <c r="AJ2" s="4" t="str">
        <f t="shared" si="1"/>
        <v>L0_Revised_New_Vol</v>
      </c>
      <c r="AK2" s="4" t="str">
        <f t="shared" si="1"/>
        <v>L0_New Category Price</v>
      </c>
      <c r="AL2" s="4" t="str">
        <f t="shared" si="1"/>
        <v>L0_Chg Category Price</v>
      </c>
      <c r="AM2" s="4" t="str">
        <f t="shared" si="1"/>
        <v>L0_Chng in Cat Vol.</v>
      </c>
      <c r="AN2" s="4" t="str">
        <f t="shared" si="1"/>
        <v>L0_New Cat Vol</v>
      </c>
      <c r="AO2" s="4" t="str">
        <f t="shared" si="1"/>
        <v>L0_New Cat Val</v>
      </c>
      <c r="AP2" s="4" t="str">
        <f t="shared" si="1"/>
        <v>L0_TPV_n</v>
      </c>
      <c r="AQ2" s="4" t="str">
        <f t="shared" si="1"/>
        <v>L0_TPV_Share</v>
      </c>
      <c r="AR2" s="4" t="str">
        <f t="shared" si="1"/>
        <v>L0_PVS_N</v>
      </c>
      <c r="AS2" s="4" t="str">
        <f t="shared" si="1"/>
        <v>L0_MSP_N</v>
      </c>
      <c r="AT2" s="4" t="str">
        <f t="shared" si="1"/>
        <v>L0_RSV_N</v>
      </c>
      <c r="AU2" s="4" t="str">
        <f t="shared" si="1"/>
        <v>L0_New Vol</v>
      </c>
      <c r="AV2" s="4" t="str">
        <f t="shared" si="1"/>
        <v>L0_New NSV</v>
      </c>
      <c r="AW2" s="4" t="str">
        <f t="shared" si="1"/>
        <v>L0_New GP</v>
      </c>
      <c r="AX2" s="4" t="str">
        <f t="shared" si="1"/>
        <v>L0_Final CSF</v>
      </c>
      <c r="AY2" s="4" t="str">
        <f t="shared" si="1"/>
        <v>L0_Vol_Share</v>
      </c>
      <c r="AZ2" s="83" t="str">
        <f t="shared" si="1"/>
        <v>L0_Current RPI_1</v>
      </c>
      <c r="BA2" s="83" t="str">
        <f t="shared" si="1"/>
        <v>L0_Current RPI_2</v>
      </c>
      <c r="BB2" s="83" t="str">
        <f t="shared" si="1"/>
        <v>L0_Proposed RPI_1</v>
      </c>
      <c r="BC2" s="83" t="str">
        <f t="shared" si="1"/>
        <v>L0_Proposed RPI_2</v>
      </c>
    </row>
    <row r="3" spans="2:55" x14ac:dyDescent="0.3">
      <c r="B3" s="101" t="s">
        <v>86</v>
      </c>
      <c r="D3" s="4" t="s">
        <v>42</v>
      </c>
      <c r="E3" s="4" t="s">
        <v>0</v>
      </c>
      <c r="F3" s="4" t="s">
        <v>1</v>
      </c>
      <c r="G3" s="6" t="s">
        <v>3</v>
      </c>
      <c r="H3" s="6" t="s">
        <v>4</v>
      </c>
      <c r="I3" s="6" t="s">
        <v>5</v>
      </c>
      <c r="J3" s="6" t="s">
        <v>6</v>
      </c>
      <c r="K3" s="6" t="s">
        <v>7</v>
      </c>
      <c r="L3" s="6" t="s">
        <v>8</v>
      </c>
      <c r="M3" s="5" t="s">
        <v>10</v>
      </c>
      <c r="N3" s="5" t="s">
        <v>12</v>
      </c>
      <c r="O3" s="5" t="s">
        <v>11</v>
      </c>
      <c r="P3" s="5" t="s">
        <v>20</v>
      </c>
      <c r="Q3" s="5" t="s">
        <v>19</v>
      </c>
      <c r="R3" s="5" t="s">
        <v>27</v>
      </c>
      <c r="S3" s="5" t="s">
        <v>28</v>
      </c>
      <c r="T3" s="9" t="s">
        <v>29</v>
      </c>
      <c r="U3" s="9" t="s">
        <v>30</v>
      </c>
      <c r="V3" s="9" t="s">
        <v>47</v>
      </c>
      <c r="W3" s="9" t="s">
        <v>48</v>
      </c>
      <c r="X3" s="5" t="s">
        <v>22</v>
      </c>
      <c r="Y3" s="5" t="s">
        <v>23</v>
      </c>
      <c r="Z3" s="5" t="s">
        <v>24</v>
      </c>
      <c r="AA3" s="5" t="s">
        <v>68</v>
      </c>
      <c r="AB3" s="5" t="s">
        <v>26</v>
      </c>
      <c r="AC3" s="5" t="s">
        <v>21</v>
      </c>
      <c r="AD3" s="5" t="s">
        <v>69</v>
      </c>
      <c r="AE3" s="136" t="s">
        <v>131</v>
      </c>
      <c r="AF3" s="5" t="s">
        <v>13</v>
      </c>
      <c r="AG3" s="31" t="s">
        <v>16</v>
      </c>
      <c r="AH3" s="31" t="s">
        <v>17</v>
      </c>
      <c r="AI3" s="5" t="s">
        <v>14</v>
      </c>
      <c r="AJ3" s="5" t="s">
        <v>15</v>
      </c>
      <c r="AK3" s="17" t="s">
        <v>31</v>
      </c>
      <c r="AL3" s="17" t="s">
        <v>83</v>
      </c>
      <c r="AM3" s="18" t="s">
        <v>32</v>
      </c>
      <c r="AN3" s="18" t="s">
        <v>34</v>
      </c>
      <c r="AO3" s="18" t="s">
        <v>35</v>
      </c>
      <c r="AP3" s="4" t="s">
        <v>36</v>
      </c>
      <c r="AQ3" s="4" t="s">
        <v>37</v>
      </c>
      <c r="AR3" s="4" t="s">
        <v>44</v>
      </c>
      <c r="AS3" s="4" t="s">
        <v>45</v>
      </c>
      <c r="AT3" s="4" t="s">
        <v>46</v>
      </c>
      <c r="AU3" s="4" t="s">
        <v>38</v>
      </c>
      <c r="AV3" s="4" t="s">
        <v>39</v>
      </c>
      <c r="AW3" s="4" t="s">
        <v>40</v>
      </c>
      <c r="AX3" s="4" t="s">
        <v>70</v>
      </c>
      <c r="AY3" s="4" t="s">
        <v>132</v>
      </c>
      <c r="AZ3" s="83" t="s">
        <v>72</v>
      </c>
      <c r="BA3" s="83" t="s">
        <v>73</v>
      </c>
      <c r="BB3" s="83" t="s">
        <v>74</v>
      </c>
      <c r="BC3" s="83" t="s">
        <v>75</v>
      </c>
    </row>
    <row r="4" spans="2:55" ht="14.4" customHeight="1" x14ac:dyDescent="0.3">
      <c r="B4" s="102" t="s">
        <v>87</v>
      </c>
      <c r="C4" s="4">
        <v>1</v>
      </c>
      <c r="D4" s="96" t="str">
        <f>IFERROR(E4&amp;F4,"")</f>
        <v>TARGETKRAFT</v>
      </c>
      <c r="E4" s="3" t="s">
        <v>134</v>
      </c>
      <c r="F4" s="97" t="str">
        <f>IFERROR(INDEX('Input - Target'!$Z$3:$Z$200,MATCH('Calculations - Target'!$C4,'Input - Target'!$AA$3:$AA$200,0)),"")</f>
        <v>KRAFT</v>
      </c>
      <c r="G4" s="20">
        <f>IFERROR(INDEX('Input - Target'!S$2:S$200,MATCH('Calculations - Target'!$D4,'Input - Target'!$P$2:$P$200,0)),"")</f>
        <v>6008560.1970766</v>
      </c>
      <c r="H4" s="20">
        <f>IFERROR(INDEX('Input - Target'!T$2:T$200,MATCH('Calculations - Target'!$D4,'Input - Target'!$P$2:$P$200,0)),"")</f>
        <v>1598076.8141437499</v>
      </c>
      <c r="I4" s="27">
        <f>IFERROR(INDEX('Input - Target'!U$2:U$200,MATCH('Calculations - Target'!$D4,'Input - Target'!$P$2:$P$200,0)),"")</f>
        <v>2.1496229864106402</v>
      </c>
      <c r="J4" s="27">
        <f>IFERROR(INDEX('Input - Target'!V$2:V$200,MATCH('Calculations - Target'!$D4,'Input - Target'!$P$2:$P$200,0)),"")</f>
        <v>8.0823018021122994</v>
      </c>
      <c r="K4" s="20">
        <f>IFERROR(INDEX('Input - Target'!W$2:W$200,MATCH('Calculations - Target'!$D4,'Input - Target'!$P$2:$P$200,0)),"")</f>
        <v>20514752.8102303</v>
      </c>
      <c r="L4" s="20">
        <f>IFERROR(INDEX('Input - Target'!X$2:X$200,MATCH('Calculations - Target'!$D4,'Input - Target'!$P$2:$P$200,0)),"")</f>
        <v>6704913.52614519</v>
      </c>
      <c r="M4" s="21">
        <f>IFERROR(G4/H4,"")</f>
        <v>3.7598694530187453</v>
      </c>
      <c r="N4" s="21">
        <f t="shared" ref="N4:N24" si="2">IFERROR(K4/L4,"")</f>
        <v>3.0596595661129586</v>
      </c>
      <c r="O4" s="21">
        <f>IFERROR((M4/(M4-J4)*5),"")</f>
        <v>-4.3492519365944702</v>
      </c>
      <c r="P4" s="9">
        <f t="shared" ref="P4:P23" si="3">IFERROR(G4/SUM(G$4:G$23),"")</f>
        <v>0.10624513261257547</v>
      </c>
      <c r="Q4" s="9">
        <f t="shared" ref="Q4:Q23" si="4">IFERROR(H4/SUM(H$4:H$23),"")</f>
        <v>0.11380335686197844</v>
      </c>
      <c r="R4" s="8">
        <f t="shared" ref="R4:R23" si="5">IFERROR(T4/G4,"-")</f>
        <v>0.79999999999999982</v>
      </c>
      <c r="S4" s="8">
        <f>IFERROR(U4/T4,"-")</f>
        <v>0.3</v>
      </c>
      <c r="T4">
        <f t="shared" ref="T4:U23" si="6">IFERROR(SUMIFS(V$32:V$229,$B$32:$B$229,$D4),"-")</f>
        <v>4806848.1576612787</v>
      </c>
      <c r="U4">
        <f t="shared" si="6"/>
        <v>1442054.4472983836</v>
      </c>
      <c r="V4">
        <f>IFERROR(T4-U4,"-")</f>
        <v>3364793.7103628954</v>
      </c>
      <c r="W4">
        <f t="shared" ref="W4:W23" si="7">IFERROR(V4/H4,"-")</f>
        <v>2.1055268936904969</v>
      </c>
      <c r="X4" s="10">
        <f t="shared" ref="X4:X23" si="8">IFERROR((J4+M4)*H4*0.5,"-")</f>
        <v>9462349.6559722573</v>
      </c>
      <c r="Y4" s="7">
        <f>IFERROR(X4/$X$24,"")</f>
        <v>0.10501400224943863</v>
      </c>
      <c r="Z4" s="13">
        <f>IFERROR(Y4-P4,"-")</f>
        <v>-1.231130363136837E-3</v>
      </c>
      <c r="AA4">
        <f>IFERROR(Y4*$G$24,"-")</f>
        <v>5938935.1637649015</v>
      </c>
      <c r="AB4" s="16">
        <f t="shared" ref="AB4:AB23" si="9">IFERROR(AA4/M4,"-")</f>
        <v>1579558.8751084472</v>
      </c>
      <c r="AC4" s="16">
        <f>IFERROR(R4*AA4,"-")</f>
        <v>4751148.13101192</v>
      </c>
      <c r="AD4" s="16">
        <f>IFERROR(AC4-(W4)*AB4,"-")</f>
        <v>1425344.4393035755</v>
      </c>
      <c r="AE4" s="9">
        <f>IFERROR(AB4/$AB$24,"")</f>
        <v>0.11283819999652311</v>
      </c>
      <c r="AF4" s="27" cm="1">
        <f t="array" ref="AF4">IFERROR(SUM(_xlfn._xlws.FILTER($AH$32:$AH$229*$AL$32:$AL$229,$B$32:$B$229=D4))/SUM(_xlfn._xlws.FILTER($AL$32:$AL$229,$B$32:$B$229=D4)),"-")</f>
        <v>3.7598694530187529</v>
      </c>
      <c r="AG4" s="163">
        <f>IFERROR(SUMIFS(AX$32:AX$229,$F$32:$F$229,$F4)/SUMIFS(AV$32:AV$229,$F$32:$F$229,$F4),"-")</f>
        <v>0.8</v>
      </c>
      <c r="AH4" s="126">
        <f>IFERROR(SUMIFS(AY$32:AY$229,$F$32:$F$229,$F4)/SUMIFS(AX$32:AX$229,$F$32:$F$229,$F4),"-")</f>
        <v>0.30000000000000016</v>
      </c>
      <c r="AI4" s="9">
        <f t="shared" ref="AI4:AI23" si="10">IFERROR((AF4-M4)/M4,"")</f>
        <v>2.0079198657787616E-15</v>
      </c>
      <c r="AJ4" s="4">
        <f t="shared" ref="AJ4:AJ23" si="11">IFERROR(MAX((1+AI4*O4/5)*H4,0),"")</f>
        <v>1598076.8141437471</v>
      </c>
      <c r="AK4" s="18">
        <f>SUMPRODUCT(AF$4:AF$23,AJ$4:AJ$23)/SUM(AJ$4:AJ$23)</f>
        <v>4.0273446377692999</v>
      </c>
      <c r="AL4" s="24">
        <f>$AK4/$M$24-1</f>
        <v>0</v>
      </c>
      <c r="AM4" s="24">
        <f>$AL4*$O$24/5</f>
        <v>0</v>
      </c>
      <c r="AN4" s="25">
        <f>(1+$AM4)*$H$24</f>
        <v>14042440.031728672</v>
      </c>
      <c r="AO4" s="25">
        <f>AN4*AK4</f>
        <v>56553745.562979423</v>
      </c>
      <c r="AP4" s="20">
        <f t="shared" ref="AP4:AP23" si="12">IFERROR(0.5*(J4+AF4)*AJ4,"-")</f>
        <v>9462349.6559722461</v>
      </c>
      <c r="AQ4" s="13">
        <f>IFERROR(AP4/AP$24,"")</f>
        <v>0.10501400224943851</v>
      </c>
      <c r="AR4" s="9">
        <f>IFERROR(AQ4*$P$24,"")</f>
        <v>0.10501400224943851</v>
      </c>
      <c r="AS4" s="13">
        <f>IFERROR(AR4-P4,"")</f>
        <v>-1.2311303631369619E-3</v>
      </c>
      <c r="AT4" s="16">
        <f>IFERROR(AR4*AO$4,"-")</f>
        <v>5938935.163764894</v>
      </c>
      <c r="AU4" s="16">
        <f t="shared" ref="AU4:AU23" si="13">IFERROR(AT4/AF4,"-")</f>
        <v>1579558.8751084418</v>
      </c>
      <c r="AV4" s="4">
        <f>IFERROR(AT4*AG4,"-")</f>
        <v>4751148.1310119154</v>
      </c>
      <c r="AW4" s="16">
        <f t="shared" ref="AW4:AW23" si="14">IFERROR(AV4-(W4*AU4),"-")</f>
        <v>1425344.4393035825</v>
      </c>
      <c r="AX4">
        <f t="shared" ref="AX4:AX23" si="15">IFERROR(J4/AF4,"")</f>
        <v>2.1496229864106371</v>
      </c>
      <c r="AY4" s="9">
        <f>IFERROR(AU4/$AU$24,"-")</f>
        <v>0.11283819999652273</v>
      </c>
      <c r="AZ4" s="20">
        <f>IFERROR(100*$M$4/$M4,"")</f>
        <v>100</v>
      </c>
      <c r="BA4" s="20">
        <f>IFERROR(100*$M$5/$M4,"")</f>
        <v>99.793472015805747</v>
      </c>
      <c r="BB4" s="20">
        <f>IFERROR(100*$AF$4/$AF4,"")</f>
        <v>100</v>
      </c>
      <c r="BC4" s="20">
        <f>IFERROR(100*$AF$5/$AF4,"")</f>
        <v>99.793472015805577</v>
      </c>
    </row>
    <row r="5" spans="2:55" ht="14.4" customHeight="1" x14ac:dyDescent="0.3">
      <c r="B5" s="102" t="s">
        <v>88</v>
      </c>
      <c r="C5" s="4">
        <v>2</v>
      </c>
      <c r="D5" s="96" t="str">
        <f t="shared" ref="D5:D24" si="16">IFERROR(E5&amp;F5,"")</f>
        <v>TARGETMIRACLE WHIP</v>
      </c>
      <c r="E5" s="3" t="s">
        <v>134</v>
      </c>
      <c r="F5" s="97" t="str">
        <f>IFERROR(INDEX('Input - Target'!$Z$3:$Z$200,MATCH('Calculations - Target'!$C5,'Input - Target'!$AA$3:$AA$200,0)),"")</f>
        <v>MIRACLE WHIP</v>
      </c>
      <c r="G5" s="20">
        <f>IFERROR(INDEX('Input - Target'!S$2:S$200,MATCH('Calculations - Target'!$D5,'Input - Target'!$P$2:$P$200,0)),"")</f>
        <v>3789620.5781259998</v>
      </c>
      <c r="H5" s="20">
        <f>IFERROR(INDEX('Input - Target'!T$2:T$200,MATCH('Calculations - Target'!$D5,'Input - Target'!$P$2:$P$200,0)),"")</f>
        <v>1009998.7380395</v>
      </c>
      <c r="I5" s="27">
        <f>IFERROR(INDEX('Input - Target'!U$2:U$200,MATCH('Calculations - Target'!$D5,'Input - Target'!$P$2:$P$200,0)),"")</f>
        <v>2.0957681652073901</v>
      </c>
      <c r="J5" s="27">
        <f>IFERROR(INDEX('Input - Target'!V$2:V$200,MATCH('Calculations - Target'!$D5,'Input - Target'!$P$2:$P$200,0)),"")</f>
        <v>7.8635406825039702</v>
      </c>
      <c r="K5" s="20">
        <f>IFERROR(INDEX('Input - Target'!W$2:W$200,MATCH('Calculations - Target'!$D5,'Input - Target'!$P$2:$P$200,0)),"")</f>
        <v>14468827.116136299</v>
      </c>
      <c r="L5" s="20">
        <f>IFERROR(INDEX('Input - Target'!X$2:X$200,MATCH('Calculations - Target'!$D5,'Input - Target'!$P$2:$P$200,0)),"")</f>
        <v>4270417.9048520802</v>
      </c>
      <c r="M5" s="21">
        <f t="shared" ref="M5:M24" si="17">IFERROR(G5/H5,"")</f>
        <v>3.7521042704290903</v>
      </c>
      <c r="N5" s="21">
        <f t="shared" si="2"/>
        <v>3.3881525036921354</v>
      </c>
      <c r="O5" s="21">
        <f t="shared" ref="O5:O24" si="18">IFERROR((M5/(M5-J5)*5),"")</f>
        <v>-4.563009000223782</v>
      </c>
      <c r="P5" s="9">
        <f t="shared" si="3"/>
        <v>6.7009188169611156E-2</v>
      </c>
      <c r="Q5" s="9">
        <f t="shared" si="4"/>
        <v>7.1924732151778734E-2</v>
      </c>
      <c r="R5" s="8">
        <f t="shared" si="5"/>
        <v>0.80000000000000016</v>
      </c>
      <c r="S5" s="8">
        <f t="shared" ref="S5:S23" si="19">IFERROR(U5/T5,"-")</f>
        <v>0.3</v>
      </c>
      <c r="T5">
        <f t="shared" si="6"/>
        <v>3031696.4625008004</v>
      </c>
      <c r="U5">
        <f t="shared" si="6"/>
        <v>909508.93875024002</v>
      </c>
      <c r="V5">
        <f t="shared" ref="V5:V23" si="20">IFERROR(T5-U5,"-")</f>
        <v>2122187.5237505604</v>
      </c>
      <c r="W5">
        <f t="shared" si="7"/>
        <v>2.1011783914402908</v>
      </c>
      <c r="X5" s="10">
        <f t="shared" si="8"/>
        <v>5865893.3719886392</v>
      </c>
      <c r="Y5" s="7">
        <f t="shared" ref="Y5:Y23" si="21">IFERROR(X5/$X$24,"")</f>
        <v>6.5100208949918373E-2</v>
      </c>
      <c r="Z5" s="13">
        <f t="shared" ref="Z5:Z23" si="22">IFERROR(Y5-P5,"-")</f>
        <v>-1.9089792196927829E-3</v>
      </c>
      <c r="AA5">
        <f t="shared" ref="AA5:AA23" si="23">IFERROR(Y5*$G$24,"-")</f>
        <v>3681660.6530504795</v>
      </c>
      <c r="AB5" s="16">
        <f t="shared" si="9"/>
        <v>981225.57042623044</v>
      </c>
      <c r="AC5" s="16">
        <f t="shared" ref="AC5:AC23" si="24">IFERROR(R5*AA5,"-")</f>
        <v>2945328.5224403841</v>
      </c>
      <c r="AD5" s="16">
        <f t="shared" ref="AD5:AD23" si="25">IFERROR(AC5-(W5)*AB5,"-")</f>
        <v>883598.55673211557</v>
      </c>
      <c r="AE5" s="9">
        <f t="shared" ref="AE5:AE23" si="26">IFERROR(AB5/$AB$24,"")</f>
        <v>7.0095346809947695E-2</v>
      </c>
      <c r="AF5" s="27" cm="1">
        <f t="array" ref="AF5">IFERROR(SUM(_xlfn._xlws.FILTER($AH$32:$AH$229*$AL$32:$AL$229,$B$32:$B$229=D5))/SUM(_xlfn._xlws.FILTER($AL$32:$AL$229,$B$32:$B$229=D5)),"-")</f>
        <v>3.7521042704290912</v>
      </c>
      <c r="AG5" s="163">
        <f t="shared" ref="AG5:AG23" si="27">IFERROR(SUMIFS(AX$32:AX$229,$F$32:$F$229,$F5)/SUMIFS(AV$32:AV$229,$F$32:$F$229,$F5),"-")</f>
        <v>0.80000000000000016</v>
      </c>
      <c r="AH5" s="126">
        <f t="shared" ref="AH5:AH23" si="28">IFERROR(SUMIFS(AY$32:AY$229,$F$32:$F$229,$F5)/SUMIFS(AX$32:AX$229,$F$32:$F$229,$F5),"-")</f>
        <v>0.29999999999999988</v>
      </c>
      <c r="AI5" s="9">
        <f t="shared" si="10"/>
        <v>2.3671474876111405E-16</v>
      </c>
      <c r="AJ5" s="4">
        <f t="shared" si="11"/>
        <v>1009998.7380394997</v>
      </c>
      <c r="AP5" s="20">
        <f t="shared" si="12"/>
        <v>5865893.3719886383</v>
      </c>
      <c r="AQ5" s="13">
        <f t="shared" ref="AQ5:AQ24" si="29">IFERROR(AP5/AP$24,"")</f>
        <v>6.5100208949918359E-2</v>
      </c>
      <c r="AR5" s="9">
        <f t="shared" ref="AR5:AR24" si="30">IFERROR(AQ5*$P$24,"")</f>
        <v>6.5100208949918359E-2</v>
      </c>
      <c r="AS5" s="13">
        <f t="shared" ref="AS5:AS24" si="31">IFERROR(AR5-P5,"")</f>
        <v>-1.9089792196927968E-3</v>
      </c>
      <c r="AT5" s="16">
        <f t="shared" ref="AT5:AT23" si="32">IFERROR(AR5*AO$4,"-")</f>
        <v>3681660.6530504785</v>
      </c>
      <c r="AU5" s="16">
        <f t="shared" si="13"/>
        <v>981225.57042622997</v>
      </c>
      <c r="AV5" s="4">
        <f t="shared" ref="AV5:AV23" si="33">IFERROR(AT5*AG5,"-")</f>
        <v>2945328.5224403832</v>
      </c>
      <c r="AW5" s="16">
        <f t="shared" si="14"/>
        <v>883598.55673211557</v>
      </c>
      <c r="AX5">
        <f t="shared" si="15"/>
        <v>2.0957681652073847</v>
      </c>
      <c r="AY5" s="9">
        <f t="shared" ref="AY5:AY23" si="34">IFERROR(AU5/$AU$24,"-")</f>
        <v>7.0095346809947667E-2</v>
      </c>
      <c r="AZ5" s="20">
        <f t="shared" ref="AZ5:AZ24" si="35">IFERROR(100*$M$4/$M5,"")</f>
        <v>100.20695540502042</v>
      </c>
      <c r="BA5" s="20">
        <f t="shared" ref="BA5:BA24" si="36">IFERROR(100*$M$5/$M5,"")</f>
        <v>100</v>
      </c>
      <c r="BB5" s="20">
        <f t="shared" ref="BB5:BB24" si="37">IFERROR(100*$AF$4/$AF5,"")</f>
        <v>100.20695540502059</v>
      </c>
      <c r="BC5" s="20">
        <f t="shared" ref="BC5:BC24" si="38">IFERROR(100*$AF$5/$AF5,"")</f>
        <v>100</v>
      </c>
    </row>
    <row r="6" spans="2:55" ht="14.4" customHeight="1" x14ac:dyDescent="0.3">
      <c r="B6" s="102" t="s">
        <v>89</v>
      </c>
      <c r="C6" s="4">
        <v>3</v>
      </c>
      <c r="D6" s="96" t="str">
        <f t="shared" si="16"/>
        <v>TARGETHELLMANNS BEST FOODS</v>
      </c>
      <c r="E6" s="3" t="s">
        <v>134</v>
      </c>
      <c r="F6" s="97" t="str">
        <f>IFERROR(INDEX('Input - Target'!$Z$3:$Z$200,MATCH('Calculations - Target'!$C6,'Input - Target'!$AA$3:$AA$200,0)),"")</f>
        <v>HELLMANNS BEST FOODS</v>
      </c>
      <c r="G6" s="20">
        <f>IFERROR(INDEX('Input - Target'!S$2:S$200,MATCH('Calculations - Target'!$D6,'Input - Target'!$P$2:$P$200,0)),"")</f>
        <v>30808182.573206</v>
      </c>
      <c r="H6" s="20">
        <f>IFERROR(INDEX('Input - Target'!T$2:T$200,MATCH('Calculations - Target'!$D6,'Input - Target'!$P$2:$P$200,0)),"")</f>
        <v>7405548.4867497999</v>
      </c>
      <c r="I6" s="27">
        <f>IFERROR(INDEX('Input - Target'!U$2:U$200,MATCH('Calculations - Target'!$D6,'Input - Target'!$P$2:$P$200,0)),"")</f>
        <v>2.1682997026224502</v>
      </c>
      <c r="J6" s="27">
        <f>IFERROR(INDEX('Input - Target'!V$2:V$200,MATCH('Calculations - Target'!$D6,'Input - Target'!$P$2:$P$200,0)),"")</f>
        <v>9.02044909048176</v>
      </c>
      <c r="K6" s="20">
        <f>IFERROR(INDEX('Input - Target'!W$2:W$200,MATCH('Calculations - Target'!$D6,'Input - Target'!$P$2:$P$200,0)),"")</f>
        <v>107210126.38361301</v>
      </c>
      <c r="L6" s="20">
        <f>IFERROR(INDEX('Input - Target'!X$2:X$200,MATCH('Calculations - Target'!$D6,'Input - Target'!$P$2:$P$200,0)),"")</f>
        <v>30615448.3995701</v>
      </c>
      <c r="M6" s="21">
        <f t="shared" si="17"/>
        <v>4.160148654529614</v>
      </c>
      <c r="N6" s="21">
        <f t="shared" si="2"/>
        <v>3.5018310032368638</v>
      </c>
      <c r="O6" s="21">
        <f t="shared" si="18"/>
        <v>-4.2797237633259906</v>
      </c>
      <c r="P6" s="9">
        <f t="shared" si="3"/>
        <v>0.54475936591852026</v>
      </c>
      <c r="Q6" s="9">
        <f t="shared" si="4"/>
        <v>0.52736906620338631</v>
      </c>
      <c r="R6" s="8">
        <f t="shared" si="5"/>
        <v>0</v>
      </c>
      <c r="S6" s="8" t="str">
        <f t="shared" si="19"/>
        <v>-</v>
      </c>
      <c r="T6">
        <f t="shared" si="6"/>
        <v>0</v>
      </c>
      <c r="U6">
        <f t="shared" si="6"/>
        <v>0</v>
      </c>
      <c r="V6">
        <f t="shared" si="20"/>
        <v>0</v>
      </c>
      <c r="W6">
        <f t="shared" si="7"/>
        <v>0</v>
      </c>
      <c r="X6" s="10">
        <f t="shared" si="8"/>
        <v>48804777.842513405</v>
      </c>
      <c r="Y6" s="7">
        <f t="shared" si="21"/>
        <v>0.54163978678406199</v>
      </c>
      <c r="Z6" s="13">
        <f t="shared" si="22"/>
        <v>-3.1195791344582613E-3</v>
      </c>
      <c r="AA6">
        <f t="shared" si="23"/>
        <v>30631758.688572265</v>
      </c>
      <c r="AB6" s="16">
        <f t="shared" si="9"/>
        <v>7363140.4145186208</v>
      </c>
      <c r="AC6" s="16">
        <f t="shared" si="24"/>
        <v>0</v>
      </c>
      <c r="AD6" s="16">
        <f t="shared" si="25"/>
        <v>0</v>
      </c>
      <c r="AE6" s="9">
        <f t="shared" si="26"/>
        <v>0.52599717793924672</v>
      </c>
      <c r="AF6" s="27" cm="1">
        <f t="array" ref="AF6">IFERROR(SUM(_xlfn._xlws.FILTER($AH$32:$AH$229*$AL$32:$AL$229,$B$32:$B$229=D6))/SUM(_xlfn._xlws.FILTER($AL$32:$AL$229,$B$32:$B$229=D6)),"-")</f>
        <v>4.160148654529614</v>
      </c>
      <c r="AG6" s="163">
        <f t="shared" si="27"/>
        <v>0</v>
      </c>
      <c r="AH6" s="126" t="str">
        <f t="shared" si="28"/>
        <v>-</v>
      </c>
      <c r="AI6" s="9">
        <f t="shared" si="10"/>
        <v>0</v>
      </c>
      <c r="AJ6" s="4">
        <f t="shared" si="11"/>
        <v>7405548.4867497999</v>
      </c>
      <c r="AP6" s="20">
        <f t="shared" si="12"/>
        <v>48804777.842513405</v>
      </c>
      <c r="AQ6" s="13">
        <f t="shared" si="29"/>
        <v>0.54163978678406199</v>
      </c>
      <c r="AR6" s="9">
        <f t="shared" si="30"/>
        <v>0.54163978678406199</v>
      </c>
      <c r="AS6" s="13">
        <f t="shared" si="31"/>
        <v>-3.1195791344582613E-3</v>
      </c>
      <c r="AT6" s="16">
        <f t="shared" si="32"/>
        <v>30631758.688572265</v>
      </c>
      <c r="AU6" s="16">
        <f t="shared" si="13"/>
        <v>7363140.4145186208</v>
      </c>
      <c r="AV6" s="4">
        <f t="shared" si="33"/>
        <v>0</v>
      </c>
      <c r="AW6" s="16">
        <f t="shared" si="14"/>
        <v>0</v>
      </c>
      <c r="AX6">
        <f t="shared" si="15"/>
        <v>2.1682997026224529</v>
      </c>
      <c r="AY6" s="9">
        <f t="shared" si="34"/>
        <v>0.52599717793924672</v>
      </c>
      <c r="AZ6" s="20">
        <f t="shared" si="35"/>
        <v>90.378247636054056</v>
      </c>
      <c r="BA6" s="20">
        <f t="shared" si="36"/>
        <v>90.191591263061227</v>
      </c>
      <c r="BB6" s="20">
        <f t="shared" si="37"/>
        <v>90.378247636054226</v>
      </c>
      <c r="BC6" s="20">
        <f t="shared" si="38"/>
        <v>90.191591263061255</v>
      </c>
    </row>
    <row r="7" spans="2:55" ht="14.4" customHeight="1" x14ac:dyDescent="0.3">
      <c r="B7" s="102" t="s">
        <v>90</v>
      </c>
      <c r="C7" s="4">
        <v>4</v>
      </c>
      <c r="D7" s="96" t="str">
        <f t="shared" si="16"/>
        <v>TARGETDUKES</v>
      </c>
      <c r="E7" s="3" t="s">
        <v>134</v>
      </c>
      <c r="F7" s="97" t="str">
        <f>IFERROR(INDEX('Input - Target'!$Z$3:$Z$200,MATCH('Calculations - Target'!$C7,'Input - Target'!$AA$3:$AA$200,0)),"")</f>
        <v>DUKES</v>
      </c>
      <c r="G7" s="20">
        <f>IFERROR(INDEX('Input - Target'!S$2:S$200,MATCH('Calculations - Target'!$D7,'Input - Target'!$P$2:$P$200,0)),"")</f>
        <v>1584198.771429</v>
      </c>
      <c r="H7" s="20">
        <f>IFERROR(INDEX('Input - Target'!T$2:T$200,MATCH('Calculations - Target'!$D7,'Input - Target'!$P$2:$P$200,0)),"")</f>
        <v>494278.63932830002</v>
      </c>
      <c r="I7" s="27">
        <f>IFERROR(INDEX('Input - Target'!U$2:U$200,MATCH('Calculations - Target'!$D7,'Input - Target'!$P$2:$P$200,0)),"")</f>
        <v>2.1175957740480902</v>
      </c>
      <c r="J7" s="27">
        <f>IFERROR(INDEX('Input - Target'!V$2:V$200,MATCH('Calculations - Target'!$D7,'Input - Target'!$P$2:$P$200,0)),"")</f>
        <v>6.7870475410167099</v>
      </c>
      <c r="K7" s="20">
        <f>IFERROR(INDEX('Input - Target'!W$2:W$200,MATCH('Calculations - Target'!$D7,'Input - Target'!$P$2:$P$200,0)),"")</f>
        <v>5487776.0207938403</v>
      </c>
      <c r="L7" s="20">
        <f>IFERROR(INDEX('Input - Target'!X$2:X$200,MATCH('Calculations - Target'!$D7,'Input - Target'!$P$2:$P$200,0)),"")</f>
        <v>1968241.99512508</v>
      </c>
      <c r="M7" s="21">
        <f t="shared" si="17"/>
        <v>3.2050722919805859</v>
      </c>
      <c r="N7" s="21">
        <f t="shared" si="2"/>
        <v>2.7881612293538618</v>
      </c>
      <c r="O7" s="21">
        <f t="shared" si="18"/>
        <v>-4.473889501111211</v>
      </c>
      <c r="P7" s="9">
        <f t="shared" si="3"/>
        <v>2.80122696677058E-2</v>
      </c>
      <c r="Q7" s="9">
        <f t="shared" si="4"/>
        <v>3.519891402145818E-2</v>
      </c>
      <c r="R7" s="8">
        <f t="shared" si="5"/>
        <v>0</v>
      </c>
      <c r="S7" s="8" t="str">
        <f t="shared" si="19"/>
        <v>-</v>
      </c>
      <c r="T7">
        <f t="shared" si="6"/>
        <v>0</v>
      </c>
      <c r="U7">
        <f t="shared" si="6"/>
        <v>0</v>
      </c>
      <c r="V7">
        <f t="shared" si="20"/>
        <v>0</v>
      </c>
      <c r="W7">
        <f t="shared" si="7"/>
        <v>0</v>
      </c>
      <c r="X7" s="10">
        <f t="shared" si="8"/>
        <v>2469445.6975296121</v>
      </c>
      <c r="Y7" s="7">
        <f t="shared" si="21"/>
        <v>2.7406129076150212E-2</v>
      </c>
      <c r="Z7" s="13">
        <f t="shared" si="22"/>
        <v>-6.061405915555873E-4</v>
      </c>
      <c r="AA7">
        <f t="shared" si="23"/>
        <v>1549919.2506387713</v>
      </c>
      <c r="AB7" s="16">
        <f t="shared" si="9"/>
        <v>483583.24226159439</v>
      </c>
      <c r="AC7" s="16">
        <f t="shared" si="24"/>
        <v>0</v>
      </c>
      <c r="AD7" s="16">
        <f t="shared" si="25"/>
        <v>0</v>
      </c>
      <c r="AE7" s="9">
        <f t="shared" si="26"/>
        <v>3.4545507271157912E-2</v>
      </c>
      <c r="AF7" s="27" cm="1">
        <f t="array" ref="AF7">IFERROR(SUM(_xlfn._xlws.FILTER($AH$32:$AH$229*$AL$32:$AL$229,$B$32:$B$229=D7))/SUM(_xlfn._xlws.FILTER($AL$32:$AL$229,$B$32:$B$229=D7)),"-")</f>
        <v>3.2050722919805859</v>
      </c>
      <c r="AG7" s="163">
        <f t="shared" si="27"/>
        <v>0</v>
      </c>
      <c r="AH7" s="126" t="str">
        <f t="shared" si="28"/>
        <v>-</v>
      </c>
      <c r="AI7" s="9">
        <f t="shared" si="10"/>
        <v>0</v>
      </c>
      <c r="AJ7" s="4">
        <f t="shared" si="11"/>
        <v>494278.63932830002</v>
      </c>
      <c r="AP7" s="20">
        <f t="shared" si="12"/>
        <v>2469445.6975296121</v>
      </c>
      <c r="AQ7" s="13">
        <f t="shared" si="29"/>
        <v>2.7406129076150212E-2</v>
      </c>
      <c r="AR7" s="9">
        <f t="shared" si="30"/>
        <v>2.7406129076150212E-2</v>
      </c>
      <c r="AS7" s="13">
        <f t="shared" si="31"/>
        <v>-6.061405915555873E-4</v>
      </c>
      <c r="AT7" s="16">
        <f t="shared" si="32"/>
        <v>1549919.2506387713</v>
      </c>
      <c r="AU7" s="16">
        <f t="shared" si="13"/>
        <v>483583.24226159439</v>
      </c>
      <c r="AV7" s="4">
        <f t="shared" si="33"/>
        <v>0</v>
      </c>
      <c r="AW7" s="16">
        <f t="shared" si="14"/>
        <v>0</v>
      </c>
      <c r="AX7">
        <f t="shared" si="15"/>
        <v>2.1175957740480884</v>
      </c>
      <c r="AY7" s="9">
        <f t="shared" si="34"/>
        <v>3.4545507271157912E-2</v>
      </c>
      <c r="AZ7" s="20">
        <f t="shared" si="35"/>
        <v>117.30997339518106</v>
      </c>
      <c r="BA7" s="20">
        <f t="shared" si="36"/>
        <v>117.06769547186919</v>
      </c>
      <c r="BB7" s="20">
        <f t="shared" si="37"/>
        <v>117.3099733951813</v>
      </c>
      <c r="BC7" s="20">
        <f t="shared" si="38"/>
        <v>117.06769547186923</v>
      </c>
    </row>
    <row r="8" spans="2:55" ht="14.4" customHeight="1" x14ac:dyDescent="0.3">
      <c r="B8" s="102" t="s">
        <v>91</v>
      </c>
      <c r="C8" s="4">
        <v>5</v>
      </c>
      <c r="D8" s="96" t="str">
        <f t="shared" si="16"/>
        <v>TARGETPRIVATE LABEL</v>
      </c>
      <c r="E8" s="3" t="s">
        <v>134</v>
      </c>
      <c r="F8" s="97" t="str">
        <f>IFERROR(INDEX('Input - Target'!$Z$3:$Z$200,MATCH('Calculations - Target'!$C8,'Input - Target'!$AA$3:$AA$200,0)),"")</f>
        <v>PRIVATE LABEL</v>
      </c>
      <c r="G8" s="20">
        <f>IFERROR(INDEX('Input - Target'!S$2:S$200,MATCH('Calculations - Target'!$D8,'Input - Target'!$P$2:$P$200,0)),"")</f>
        <v>4515071.78528242</v>
      </c>
      <c r="H8" s="20">
        <f>IFERROR(INDEX('Input - Target'!T$2:T$200,MATCH('Calculations - Target'!$D8,'Input - Target'!$P$2:$P$200,0)),"")</f>
        <v>2060218.65228535</v>
      </c>
      <c r="I8" s="27">
        <f>IFERROR(INDEX('Input - Target'!U$2:U$200,MATCH('Calculations - Target'!$D8,'Input - Target'!$P$2:$P$200,0)),"")</f>
        <v>2.1825570521841402</v>
      </c>
      <c r="J8" s="27">
        <f>IFERROR(INDEX('Input - Target'!V$2:V$200,MATCH('Calculations - Target'!$D8,'Input - Target'!$P$2:$P$200,0)),"")</f>
        <v>4.7831824817014201</v>
      </c>
      <c r="K8" s="20">
        <f>IFERROR(INDEX('Input - Target'!W$2:W$200,MATCH('Calculations - Target'!$D8,'Input - Target'!$P$2:$P$200,0)),"")</f>
        <v>14257397.778823899</v>
      </c>
      <c r="L8" s="20">
        <f>IFERROR(INDEX('Input - Target'!X$2:X$200,MATCH('Calculations - Target'!$D8,'Input - Target'!$P$2:$P$200,0)),"")</f>
        <v>6683130.5299351001</v>
      </c>
      <c r="M8" s="21">
        <f t="shared" si="17"/>
        <v>2.1915498048102622</v>
      </c>
      <c r="N8" s="21">
        <f t="shared" si="2"/>
        <v>2.1333412111228589</v>
      </c>
      <c r="O8" s="21">
        <f t="shared" si="18"/>
        <v>-4.2281258149576528</v>
      </c>
      <c r="P8" s="9">
        <f t="shared" si="3"/>
        <v>7.9836830263600181E-2</v>
      </c>
      <c r="Q8" s="9">
        <f t="shared" si="4"/>
        <v>0.14671372266004473</v>
      </c>
      <c r="R8" s="8">
        <f t="shared" si="5"/>
        <v>0</v>
      </c>
      <c r="S8" s="8" t="str">
        <f t="shared" si="19"/>
        <v>-</v>
      </c>
      <c r="T8">
        <f t="shared" si="6"/>
        <v>0</v>
      </c>
      <c r="U8">
        <f t="shared" si="6"/>
        <v>0</v>
      </c>
      <c r="V8">
        <f t="shared" si="20"/>
        <v>0</v>
      </c>
      <c r="W8">
        <f t="shared" si="7"/>
        <v>0</v>
      </c>
      <c r="X8" s="10">
        <f t="shared" si="8"/>
        <v>7184736.775684108</v>
      </c>
      <c r="Y8" s="7">
        <f t="shared" si="21"/>
        <v>7.97368509255105E-2</v>
      </c>
      <c r="Z8" s="13">
        <f t="shared" si="22"/>
        <v>-9.9979338089681291E-5</v>
      </c>
      <c r="AA8">
        <f t="shared" si="23"/>
        <v>4509417.5792345414</v>
      </c>
      <c r="AB8" s="16">
        <f t="shared" si="9"/>
        <v>2057638.6488396295</v>
      </c>
      <c r="AC8" s="16">
        <f t="shared" si="24"/>
        <v>0</v>
      </c>
      <c r="AD8" s="16">
        <f t="shared" si="25"/>
        <v>0</v>
      </c>
      <c r="AE8" s="9">
        <f t="shared" si="26"/>
        <v>0.14699055859022728</v>
      </c>
      <c r="AF8" s="27" cm="1">
        <f t="array" ref="AF8">IFERROR(SUM(_xlfn._xlws.FILTER($AH$32:$AH$229*$AL$32:$AL$229,$B$32:$B$229=D8))/SUM(_xlfn._xlws.FILTER($AL$32:$AL$229,$B$32:$B$229=D8)),"-")</f>
        <v>2.1915498048102577</v>
      </c>
      <c r="AG8" s="163">
        <f t="shared" si="27"/>
        <v>0</v>
      </c>
      <c r="AH8" s="126" t="str">
        <f t="shared" si="28"/>
        <v>-</v>
      </c>
      <c r="AI8" s="9">
        <f t="shared" si="10"/>
        <v>-2.0263706025540702E-15</v>
      </c>
      <c r="AJ8" s="4">
        <f t="shared" si="11"/>
        <v>2060218.6522853537</v>
      </c>
      <c r="AP8" s="20">
        <f t="shared" si="12"/>
        <v>7184736.7756841164</v>
      </c>
      <c r="AQ8" s="13">
        <f t="shared" si="29"/>
        <v>7.9736850925510597E-2</v>
      </c>
      <c r="AR8" s="9">
        <f t="shared" si="30"/>
        <v>7.9736850925510597E-2</v>
      </c>
      <c r="AS8" s="13">
        <f t="shared" si="31"/>
        <v>-9.9979338089584147E-5</v>
      </c>
      <c r="AT8" s="16">
        <f t="shared" si="32"/>
        <v>4509417.579234547</v>
      </c>
      <c r="AU8" s="16">
        <f t="shared" si="13"/>
        <v>2057638.648839636</v>
      </c>
      <c r="AV8" s="4">
        <f t="shared" si="33"/>
        <v>0</v>
      </c>
      <c r="AW8" s="16">
        <f t="shared" si="14"/>
        <v>0</v>
      </c>
      <c r="AX8">
        <f t="shared" si="15"/>
        <v>2.1825570521841478</v>
      </c>
      <c r="AY8" s="9">
        <f t="shared" si="34"/>
        <v>0.14699055859022775</v>
      </c>
      <c r="AZ8" s="20">
        <f t="shared" si="35"/>
        <v>171.56212670896903</v>
      </c>
      <c r="BA8" s="20">
        <f t="shared" si="36"/>
        <v>171.20780290703621</v>
      </c>
      <c r="BB8" s="20">
        <f t="shared" si="37"/>
        <v>171.56212670896971</v>
      </c>
      <c r="BC8" s="20">
        <f t="shared" si="38"/>
        <v>171.20780290703661</v>
      </c>
    </row>
    <row r="9" spans="2:55" ht="14.4" customHeight="1" x14ac:dyDescent="0.3">
      <c r="B9" s="102" t="s">
        <v>126</v>
      </c>
      <c r="C9" s="4">
        <v>6</v>
      </c>
      <c r="D9" s="96" t="str">
        <f t="shared" si="16"/>
        <v>TARGETRESTOFCATEGORY</v>
      </c>
      <c r="E9" s="3" t="s">
        <v>134</v>
      </c>
      <c r="F9" s="97" t="str">
        <f>IFERROR(INDEX('Input - Target'!$Z$3:$Z$200,MATCH('Calculations - Target'!$C9,'Input - Target'!$AA$3:$AA$200,0)),"")</f>
        <v>RESTOFCATEGORY</v>
      </c>
      <c r="G9" s="20">
        <f>IFERROR(INDEX('Input - Target'!S$2:S$200,MATCH('Calculations - Target'!$D9,'Input - Target'!$P$2:$P$200,0)),"")</f>
        <v>9848111.6578593999</v>
      </c>
      <c r="H9" s="20">
        <f>IFERROR(INDEX('Input - Target'!T$2:T$200,MATCH('Calculations - Target'!$D9,'Input - Target'!$P$2:$P$200,0)),"")</f>
        <v>1474318.7011819701</v>
      </c>
      <c r="I9" s="27">
        <f>IFERROR(INDEX('Input - Target'!U$2:U$200,MATCH('Calculations - Target'!$D9,'Input - Target'!$P$2:$P$200,0)),"")</f>
        <v>2.31401531259703</v>
      </c>
      <c r="J9" s="27">
        <f>IFERROR(INDEX('Input - Target'!V$2:V$200,MATCH('Calculations - Target'!$D9,'Input - Target'!$P$2:$P$200,0)),"")</f>
        <v>15.4570929326082</v>
      </c>
      <c r="K9" s="20">
        <f>IFERROR(INDEX('Input - Target'!W$2:W$200,MATCH('Calculations - Target'!$D9,'Input - Target'!$P$2:$P$200,0)),"")</f>
        <v>28761414.465072699</v>
      </c>
      <c r="L9" s="20">
        <f>IFERROR(INDEX('Input - Target'!X$2:X$200,MATCH('Calculations - Target'!$D9,'Input - Target'!$P$2:$P$200,0)),"")</f>
        <v>4728459.89524162</v>
      </c>
      <c r="M9" s="21">
        <f t="shared" si="17"/>
        <v>6.6797712393962785</v>
      </c>
      <c r="N9" s="21">
        <f t="shared" si="2"/>
        <v>6.0826178295423645</v>
      </c>
      <c r="O9" s="21">
        <f t="shared" si="18"/>
        <v>-3.8051306952564952</v>
      </c>
      <c r="P9" s="9">
        <f t="shared" si="3"/>
        <v>0.17413721336798707</v>
      </c>
      <c r="Q9" s="9">
        <f t="shared" si="4"/>
        <v>0.10499020810135348</v>
      </c>
      <c r="R9" s="8">
        <f t="shared" si="5"/>
        <v>0</v>
      </c>
      <c r="S9" s="8" t="str">
        <f t="shared" si="19"/>
        <v>-</v>
      </c>
      <c r="T9">
        <f t="shared" si="6"/>
        <v>0</v>
      </c>
      <c r="U9">
        <f t="shared" si="6"/>
        <v>0</v>
      </c>
      <c r="V9">
        <f t="shared" si="20"/>
        <v>0</v>
      </c>
      <c r="W9">
        <f t="shared" si="7"/>
        <v>0</v>
      </c>
      <c r="X9" s="10">
        <f t="shared" si="8"/>
        <v>16318396.417155666</v>
      </c>
      <c r="Y9" s="7">
        <f t="shared" si="21"/>
        <v>0.18110302201492023</v>
      </c>
      <c r="Z9" s="13">
        <f t="shared" si="22"/>
        <v>6.9658086469331637E-3</v>
      </c>
      <c r="AA9">
        <f t="shared" si="23"/>
        <v>10242054.227718459</v>
      </c>
      <c r="AB9" s="16">
        <f t="shared" si="9"/>
        <v>1533294.1594335411</v>
      </c>
      <c r="AC9" s="16">
        <f t="shared" si="24"/>
        <v>0</v>
      </c>
      <c r="AD9" s="16">
        <f t="shared" si="25"/>
        <v>0</v>
      </c>
      <c r="AE9" s="9">
        <f t="shared" si="26"/>
        <v>0.10953320939289721</v>
      </c>
      <c r="AF9" s="27" cm="1">
        <f t="array" ref="AF9">IFERROR(SUM(_xlfn._xlws.FILTER($AH$32:$AH$229*$AL$32:$AL$229,$B$32:$B$229=D9))/SUM(_xlfn._xlws.FILTER($AL$32:$AL$229,$B$32:$B$229=D9)),"-")</f>
        <v>6.6797712393962785</v>
      </c>
      <c r="AG9" s="163">
        <f t="shared" si="27"/>
        <v>0</v>
      </c>
      <c r="AH9" s="126" t="str">
        <f t="shared" si="28"/>
        <v>-</v>
      </c>
      <c r="AI9" s="9">
        <f t="shared" si="10"/>
        <v>0</v>
      </c>
      <c r="AJ9" s="4">
        <f t="shared" si="11"/>
        <v>1474318.7011819701</v>
      </c>
      <c r="AP9" s="20">
        <f t="shared" si="12"/>
        <v>16318396.417155666</v>
      </c>
      <c r="AQ9" s="13">
        <f t="shared" si="29"/>
        <v>0.18110302201492023</v>
      </c>
      <c r="AR9" s="9">
        <f t="shared" si="30"/>
        <v>0.18110302201492023</v>
      </c>
      <c r="AS9" s="13">
        <f t="shared" si="31"/>
        <v>6.9658086469331637E-3</v>
      </c>
      <c r="AT9" s="16">
        <f t="shared" si="32"/>
        <v>10242054.227718459</v>
      </c>
      <c r="AU9" s="16">
        <f t="shared" si="13"/>
        <v>1533294.1594335411</v>
      </c>
      <c r="AV9" s="4">
        <f t="shared" si="33"/>
        <v>0</v>
      </c>
      <c r="AW9" s="16">
        <f t="shared" si="14"/>
        <v>0</v>
      </c>
      <c r="AX9">
        <f t="shared" si="15"/>
        <v>2.3140153125970255</v>
      </c>
      <c r="AY9" s="9">
        <f t="shared" si="34"/>
        <v>0.10953320939289721</v>
      </c>
      <c r="AZ9" s="20">
        <f t="shared" si="35"/>
        <v>56.287398449270313</v>
      </c>
      <c r="BA9" s="20">
        <f t="shared" si="36"/>
        <v>56.17114921989765</v>
      </c>
      <c r="BB9" s="20">
        <f t="shared" si="37"/>
        <v>56.287398449270427</v>
      </c>
      <c r="BC9" s="20">
        <f t="shared" si="38"/>
        <v>56.171149219897664</v>
      </c>
    </row>
    <row r="10" spans="2:55" x14ac:dyDescent="0.3">
      <c r="B10" s="102" t="str">
        <f>""</f>
        <v/>
      </c>
      <c r="C10" s="4">
        <v>7</v>
      </c>
      <c r="D10" s="96" t="str">
        <f t="shared" si="16"/>
        <v/>
      </c>
      <c r="E10" s="3"/>
      <c r="F10" s="97" t="str">
        <f>IFERROR(INDEX('Input - Target'!$Z$3:$Z$200,MATCH('Calculations - Target'!$C10,'Input - Target'!$AA$3:$AA$200,0)),"")</f>
        <v/>
      </c>
      <c r="G10" s="20" t="str">
        <f>IFERROR(INDEX('Input - Target'!S$2:S$200,MATCH('Calculations - Target'!$D10,'Input - Target'!$P$2:$P$200,0)),"")</f>
        <v/>
      </c>
      <c r="H10" s="20" t="str">
        <f>IFERROR(INDEX('Input - Target'!T$2:T$200,MATCH('Calculations - Target'!$D10,'Input - Target'!$P$2:$P$200,0)),"")</f>
        <v/>
      </c>
      <c r="I10" s="27" t="str">
        <f>IFERROR(INDEX('Input - Target'!U$2:U$200,MATCH('Calculations - Target'!$D10,'Input - Target'!$P$2:$P$200,0)),"")</f>
        <v/>
      </c>
      <c r="J10" s="27" t="str">
        <f>IFERROR(INDEX('Input - Target'!V$2:V$200,MATCH('Calculations - Target'!$D10,'Input - Target'!$P$2:$P$200,0)),"")</f>
        <v/>
      </c>
      <c r="K10" s="20" t="str">
        <f>IFERROR(INDEX('Input - Target'!W$2:W$200,MATCH('Calculations - Target'!$D10,'Input - Target'!$P$2:$P$200,0)),"")</f>
        <v/>
      </c>
      <c r="L10" s="20" t="str">
        <f>IFERROR(INDEX('Input - Target'!X$2:X$200,MATCH('Calculations - Target'!$D10,'Input - Target'!$P$2:$P$200,0)),"")</f>
        <v/>
      </c>
      <c r="M10" s="21" t="str">
        <f t="shared" si="17"/>
        <v/>
      </c>
      <c r="N10" s="21" t="str">
        <f t="shared" si="2"/>
        <v/>
      </c>
      <c r="O10" s="21" t="str">
        <f t="shared" si="18"/>
        <v/>
      </c>
      <c r="P10" s="9" t="str">
        <f t="shared" si="3"/>
        <v/>
      </c>
      <c r="Q10" s="9" t="str">
        <f t="shared" si="4"/>
        <v/>
      </c>
      <c r="R10" s="8" t="str">
        <f t="shared" si="5"/>
        <v>-</v>
      </c>
      <c r="S10" s="8" t="str">
        <f t="shared" si="19"/>
        <v>-</v>
      </c>
      <c r="T10" t="str">
        <f t="shared" si="6"/>
        <v>-</v>
      </c>
      <c r="U10" t="str">
        <f t="shared" si="6"/>
        <v>-</v>
      </c>
      <c r="V10" t="str">
        <f t="shared" si="20"/>
        <v>-</v>
      </c>
      <c r="W10" t="str">
        <f t="shared" si="7"/>
        <v>-</v>
      </c>
      <c r="X10" s="10" t="str">
        <f t="shared" si="8"/>
        <v>-</v>
      </c>
      <c r="Y10" s="7" t="str">
        <f t="shared" si="21"/>
        <v/>
      </c>
      <c r="Z10" s="13" t="str">
        <f t="shared" si="22"/>
        <v>-</v>
      </c>
      <c r="AA10" t="str">
        <f t="shared" si="23"/>
        <v>-</v>
      </c>
      <c r="AB10" s="16" t="str">
        <f t="shared" si="9"/>
        <v>-</v>
      </c>
      <c r="AC10" s="16" t="str">
        <f t="shared" si="24"/>
        <v>-</v>
      </c>
      <c r="AD10" s="16" t="str">
        <f t="shared" si="25"/>
        <v>-</v>
      </c>
      <c r="AE10" s="9" t="str">
        <f t="shared" si="26"/>
        <v/>
      </c>
      <c r="AF10" s="27" t="str" cm="1">
        <f t="array" ref="AF10">IFERROR(SUM(_xlfn._xlws.FILTER($AH$32:$AH$229*$AL$32:$AL$229,$B$32:$B$229=D10))/SUM(_xlfn._xlws.FILTER($AL$32:$AL$229,$B$32:$B$229=D10)),"-")</f>
        <v>-</v>
      </c>
      <c r="AG10" s="163" t="str">
        <f t="shared" si="27"/>
        <v>-</v>
      </c>
      <c r="AH10" s="126" t="str">
        <f t="shared" si="28"/>
        <v>-</v>
      </c>
      <c r="AI10" s="9" t="str">
        <f t="shared" si="10"/>
        <v/>
      </c>
      <c r="AJ10" s="4" t="str">
        <f t="shared" si="11"/>
        <v/>
      </c>
      <c r="AP10" s="20" t="str">
        <f t="shared" si="12"/>
        <v>-</v>
      </c>
      <c r="AQ10" s="13" t="str">
        <f t="shared" si="29"/>
        <v/>
      </c>
      <c r="AR10" s="9" t="str">
        <f t="shared" si="30"/>
        <v/>
      </c>
      <c r="AS10" s="13" t="str">
        <f t="shared" si="31"/>
        <v/>
      </c>
      <c r="AT10" s="16" t="str">
        <f t="shared" si="32"/>
        <v>-</v>
      </c>
      <c r="AU10" s="16" t="str">
        <f t="shared" si="13"/>
        <v>-</v>
      </c>
      <c r="AV10" s="4" t="str">
        <f t="shared" si="33"/>
        <v>-</v>
      </c>
      <c r="AW10" s="16" t="str">
        <f t="shared" si="14"/>
        <v>-</v>
      </c>
      <c r="AX10" t="str">
        <f t="shared" si="15"/>
        <v/>
      </c>
      <c r="AY10" s="9" t="str">
        <f t="shared" si="34"/>
        <v>-</v>
      </c>
      <c r="AZ10" s="20" t="str">
        <f t="shared" si="35"/>
        <v/>
      </c>
      <c r="BA10" s="20" t="str">
        <f t="shared" si="36"/>
        <v/>
      </c>
      <c r="BB10" s="20" t="str">
        <f t="shared" si="37"/>
        <v/>
      </c>
      <c r="BC10" s="20" t="str">
        <f t="shared" si="38"/>
        <v/>
      </c>
    </row>
    <row r="11" spans="2:55" x14ac:dyDescent="0.3">
      <c r="B11" s="102" t="str">
        <f>""</f>
        <v/>
      </c>
      <c r="C11" s="4">
        <v>8</v>
      </c>
      <c r="D11" s="96" t="str">
        <f t="shared" si="16"/>
        <v/>
      </c>
      <c r="E11" s="3"/>
      <c r="F11" s="97" t="str">
        <f>IFERROR(INDEX('Input - Target'!$Z$3:$Z$200,MATCH('Calculations - Target'!$C11,'Input - Target'!$AA$3:$AA$200,0)),"")</f>
        <v/>
      </c>
      <c r="G11" s="20" t="str">
        <f>IFERROR(INDEX('Input - Target'!S$2:S$200,MATCH('Calculations - Target'!$D11,'Input - Target'!$P$2:$P$200,0)),"")</f>
        <v/>
      </c>
      <c r="H11" s="20" t="str">
        <f>IFERROR(INDEX('Input - Target'!T$2:T$200,MATCH('Calculations - Target'!$D11,'Input - Target'!$P$2:$P$200,0)),"")</f>
        <v/>
      </c>
      <c r="I11" s="27" t="str">
        <f>IFERROR(INDEX('Input - Target'!U$2:U$200,MATCH('Calculations - Target'!$D11,'Input - Target'!$P$2:$P$200,0)),"")</f>
        <v/>
      </c>
      <c r="J11" s="27" t="str">
        <f>IFERROR(INDEX('Input - Target'!V$2:V$200,MATCH('Calculations - Target'!$D11,'Input - Target'!$P$2:$P$200,0)),"")</f>
        <v/>
      </c>
      <c r="K11" s="20" t="str">
        <f>IFERROR(INDEX('Input - Target'!W$2:W$200,MATCH('Calculations - Target'!$D11,'Input - Target'!$P$2:$P$200,0)),"")</f>
        <v/>
      </c>
      <c r="L11" s="20" t="str">
        <f>IFERROR(INDEX('Input - Target'!X$2:X$200,MATCH('Calculations - Target'!$D11,'Input - Target'!$P$2:$P$200,0)),"")</f>
        <v/>
      </c>
      <c r="M11" s="21" t="str">
        <f t="shared" si="17"/>
        <v/>
      </c>
      <c r="N11" s="21" t="str">
        <f t="shared" si="2"/>
        <v/>
      </c>
      <c r="O11" s="21" t="str">
        <f t="shared" si="18"/>
        <v/>
      </c>
      <c r="P11" s="9" t="str">
        <f t="shared" si="3"/>
        <v/>
      </c>
      <c r="Q11" s="9" t="str">
        <f t="shared" si="4"/>
        <v/>
      </c>
      <c r="R11" s="8" t="str">
        <f t="shared" si="5"/>
        <v>-</v>
      </c>
      <c r="S11" s="8" t="str">
        <f t="shared" si="19"/>
        <v>-</v>
      </c>
      <c r="T11" t="str">
        <f t="shared" si="6"/>
        <v>-</v>
      </c>
      <c r="U11" t="str">
        <f t="shared" si="6"/>
        <v>-</v>
      </c>
      <c r="V11" t="str">
        <f t="shared" si="20"/>
        <v>-</v>
      </c>
      <c r="W11" t="str">
        <f t="shared" si="7"/>
        <v>-</v>
      </c>
      <c r="X11" s="10" t="str">
        <f t="shared" si="8"/>
        <v>-</v>
      </c>
      <c r="Y11" s="7" t="str">
        <f t="shared" si="21"/>
        <v/>
      </c>
      <c r="Z11" s="13" t="str">
        <f t="shared" si="22"/>
        <v>-</v>
      </c>
      <c r="AA11" t="str">
        <f t="shared" si="23"/>
        <v>-</v>
      </c>
      <c r="AB11" s="16" t="str">
        <f t="shared" si="9"/>
        <v>-</v>
      </c>
      <c r="AC11" s="16" t="str">
        <f t="shared" si="24"/>
        <v>-</v>
      </c>
      <c r="AD11" s="16" t="str">
        <f t="shared" si="25"/>
        <v>-</v>
      </c>
      <c r="AE11" s="9" t="str">
        <f t="shared" si="26"/>
        <v/>
      </c>
      <c r="AF11" s="27" t="str" cm="1">
        <f t="array" ref="AF11">IFERROR(SUM(_xlfn._xlws.FILTER($AH$32:$AH$229*$AL$32:$AL$229,$B$32:$B$229=D11))/SUM(_xlfn._xlws.FILTER($AL$32:$AL$229,$B$32:$B$229=D11)),"-")</f>
        <v>-</v>
      </c>
      <c r="AG11" s="163" t="str">
        <f t="shared" si="27"/>
        <v>-</v>
      </c>
      <c r="AH11" s="126" t="str">
        <f t="shared" si="28"/>
        <v>-</v>
      </c>
      <c r="AI11" s="9" t="str">
        <f t="shared" si="10"/>
        <v/>
      </c>
      <c r="AJ11" s="4" t="str">
        <f t="shared" si="11"/>
        <v/>
      </c>
      <c r="AP11" s="20" t="str">
        <f t="shared" si="12"/>
        <v>-</v>
      </c>
      <c r="AQ11" s="13" t="str">
        <f t="shared" si="29"/>
        <v/>
      </c>
      <c r="AR11" s="9" t="str">
        <f t="shared" si="30"/>
        <v/>
      </c>
      <c r="AS11" s="13" t="str">
        <f t="shared" si="31"/>
        <v/>
      </c>
      <c r="AT11" s="16" t="str">
        <f t="shared" si="32"/>
        <v>-</v>
      </c>
      <c r="AU11" s="16" t="str">
        <f t="shared" si="13"/>
        <v>-</v>
      </c>
      <c r="AV11" s="4" t="str">
        <f t="shared" si="33"/>
        <v>-</v>
      </c>
      <c r="AW11" s="16" t="str">
        <f t="shared" si="14"/>
        <v>-</v>
      </c>
      <c r="AX11" t="str">
        <f t="shared" si="15"/>
        <v/>
      </c>
      <c r="AY11" s="9" t="str">
        <f t="shared" si="34"/>
        <v>-</v>
      </c>
      <c r="AZ11" s="20" t="str">
        <f t="shared" si="35"/>
        <v/>
      </c>
      <c r="BA11" s="20" t="str">
        <f t="shared" si="36"/>
        <v/>
      </c>
      <c r="BB11" s="20" t="str">
        <f t="shared" si="37"/>
        <v/>
      </c>
      <c r="BC11" s="20" t="str">
        <f t="shared" si="38"/>
        <v/>
      </c>
    </row>
    <row r="12" spans="2:55" x14ac:dyDescent="0.3">
      <c r="B12" s="102" t="str">
        <f>""</f>
        <v/>
      </c>
      <c r="C12" s="4">
        <v>9</v>
      </c>
      <c r="D12" s="96" t="str">
        <f t="shared" si="16"/>
        <v/>
      </c>
      <c r="E12" s="3"/>
      <c r="F12" s="97" t="str">
        <f>IFERROR(INDEX('Input - Target'!$Z$3:$Z$200,MATCH('Calculations - Target'!$C12,'Input - Target'!$AA$3:$AA$200,0)),"")</f>
        <v/>
      </c>
      <c r="G12" s="20" t="str">
        <f>IFERROR(INDEX('Input - Target'!S$2:S$200,MATCH('Calculations - Target'!$D12,'Input - Target'!$P$2:$P$200,0)),"")</f>
        <v/>
      </c>
      <c r="H12" s="20" t="str">
        <f>IFERROR(INDEX('Input - Target'!T$2:T$200,MATCH('Calculations - Target'!$D12,'Input - Target'!$P$2:$P$200,0)),"")</f>
        <v/>
      </c>
      <c r="I12" s="27" t="str">
        <f>IFERROR(INDEX('Input - Target'!U$2:U$200,MATCH('Calculations - Target'!$D12,'Input - Target'!$P$2:$P$200,0)),"")</f>
        <v/>
      </c>
      <c r="J12" s="27" t="str">
        <f>IFERROR(INDEX('Input - Target'!V$2:V$200,MATCH('Calculations - Target'!$D12,'Input - Target'!$P$2:$P$200,0)),"")</f>
        <v/>
      </c>
      <c r="K12" s="20" t="str">
        <f>IFERROR(INDEX('Input - Target'!W$2:W$200,MATCH('Calculations - Target'!$D12,'Input - Target'!$P$2:$P$200,0)),"")</f>
        <v/>
      </c>
      <c r="L12" s="20" t="str">
        <f>IFERROR(INDEX('Input - Target'!X$2:X$200,MATCH('Calculations - Target'!$D12,'Input - Target'!$P$2:$P$200,0)),"")</f>
        <v/>
      </c>
      <c r="M12" s="21" t="str">
        <f t="shared" si="17"/>
        <v/>
      </c>
      <c r="N12" s="21" t="str">
        <f t="shared" si="2"/>
        <v/>
      </c>
      <c r="O12" s="21" t="str">
        <f t="shared" si="18"/>
        <v/>
      </c>
      <c r="P12" s="9" t="str">
        <f t="shared" si="3"/>
        <v/>
      </c>
      <c r="Q12" s="9" t="str">
        <f t="shared" si="4"/>
        <v/>
      </c>
      <c r="R12" s="8" t="str">
        <f t="shared" si="5"/>
        <v>-</v>
      </c>
      <c r="S12" s="8" t="str">
        <f t="shared" si="19"/>
        <v>-</v>
      </c>
      <c r="T12" t="str">
        <f t="shared" si="6"/>
        <v>-</v>
      </c>
      <c r="U12" t="str">
        <f t="shared" si="6"/>
        <v>-</v>
      </c>
      <c r="V12" t="str">
        <f t="shared" si="20"/>
        <v>-</v>
      </c>
      <c r="W12" t="str">
        <f t="shared" si="7"/>
        <v>-</v>
      </c>
      <c r="X12" s="10" t="str">
        <f t="shared" si="8"/>
        <v>-</v>
      </c>
      <c r="Y12" s="7" t="str">
        <f t="shared" si="21"/>
        <v/>
      </c>
      <c r="Z12" s="13" t="str">
        <f t="shared" si="22"/>
        <v>-</v>
      </c>
      <c r="AA12" t="str">
        <f t="shared" si="23"/>
        <v>-</v>
      </c>
      <c r="AB12" s="16" t="str">
        <f t="shared" si="9"/>
        <v>-</v>
      </c>
      <c r="AC12" s="16" t="str">
        <f t="shared" si="24"/>
        <v>-</v>
      </c>
      <c r="AD12" s="16" t="str">
        <f t="shared" si="25"/>
        <v>-</v>
      </c>
      <c r="AE12" s="9" t="str">
        <f t="shared" si="26"/>
        <v/>
      </c>
      <c r="AF12" s="27" t="str" cm="1">
        <f t="array" ref="AF12">IFERROR(SUM(_xlfn._xlws.FILTER($AH$32:$AH$229*$AL$32:$AL$229,$B$32:$B$229=D12))/SUM(_xlfn._xlws.FILTER($AL$32:$AL$229,$B$32:$B$229=D12)),"-")</f>
        <v>-</v>
      </c>
      <c r="AG12" s="163" t="str">
        <f t="shared" si="27"/>
        <v>-</v>
      </c>
      <c r="AH12" s="126" t="str">
        <f t="shared" si="28"/>
        <v>-</v>
      </c>
      <c r="AI12" s="9" t="str">
        <f t="shared" si="10"/>
        <v/>
      </c>
      <c r="AJ12" s="4" t="str">
        <f t="shared" si="11"/>
        <v/>
      </c>
      <c r="AP12" s="20" t="str">
        <f t="shared" si="12"/>
        <v>-</v>
      </c>
      <c r="AQ12" s="13" t="str">
        <f t="shared" si="29"/>
        <v/>
      </c>
      <c r="AR12" s="9" t="str">
        <f t="shared" si="30"/>
        <v/>
      </c>
      <c r="AS12" s="13" t="str">
        <f t="shared" si="31"/>
        <v/>
      </c>
      <c r="AT12" s="16" t="str">
        <f t="shared" si="32"/>
        <v>-</v>
      </c>
      <c r="AU12" s="16" t="str">
        <f t="shared" si="13"/>
        <v>-</v>
      </c>
      <c r="AV12" s="4" t="str">
        <f t="shared" si="33"/>
        <v>-</v>
      </c>
      <c r="AW12" s="16" t="str">
        <f t="shared" si="14"/>
        <v>-</v>
      </c>
      <c r="AX12" t="str">
        <f t="shared" si="15"/>
        <v/>
      </c>
      <c r="AY12" s="9" t="str">
        <f t="shared" si="34"/>
        <v>-</v>
      </c>
      <c r="AZ12" s="20" t="str">
        <f t="shared" si="35"/>
        <v/>
      </c>
      <c r="BA12" s="20" t="str">
        <f t="shared" si="36"/>
        <v/>
      </c>
      <c r="BB12" s="20" t="str">
        <f t="shared" si="37"/>
        <v/>
      </c>
      <c r="BC12" s="20" t="str">
        <f t="shared" si="38"/>
        <v/>
      </c>
    </row>
    <row r="13" spans="2:55" x14ac:dyDescent="0.3">
      <c r="B13" s="102" t="str">
        <f>""</f>
        <v/>
      </c>
      <c r="C13" s="4">
        <v>10</v>
      </c>
      <c r="D13" s="96" t="str">
        <f t="shared" si="16"/>
        <v/>
      </c>
      <c r="E13" s="3"/>
      <c r="F13" s="97" t="str">
        <f>IFERROR(INDEX('Input - Target'!$Z$3:$Z$200,MATCH('Calculations - Target'!$C13,'Input - Target'!$AA$3:$AA$200,0)),"")</f>
        <v/>
      </c>
      <c r="G13" s="20" t="str">
        <f>IFERROR(INDEX('Input - Target'!S$2:S$200,MATCH('Calculations - Target'!$D13,'Input - Target'!$P$2:$P$200,0)),"")</f>
        <v/>
      </c>
      <c r="H13" s="20" t="str">
        <f>IFERROR(INDEX('Input - Target'!T$2:T$200,MATCH('Calculations - Target'!$D13,'Input - Target'!$P$2:$P$200,0)),"")</f>
        <v/>
      </c>
      <c r="I13" s="27" t="str">
        <f>IFERROR(INDEX('Input - Target'!U$2:U$200,MATCH('Calculations - Target'!$D13,'Input - Target'!$P$2:$P$200,0)),"")</f>
        <v/>
      </c>
      <c r="J13" s="27" t="str">
        <f>IFERROR(INDEX('Input - Target'!V$2:V$200,MATCH('Calculations - Target'!$D13,'Input - Target'!$P$2:$P$200,0)),"")</f>
        <v/>
      </c>
      <c r="K13" s="20" t="str">
        <f>IFERROR(INDEX('Input - Target'!W$2:W$200,MATCH('Calculations - Target'!$D13,'Input - Target'!$P$2:$P$200,0)),"")</f>
        <v/>
      </c>
      <c r="L13" s="20" t="str">
        <f>IFERROR(INDEX('Input - Target'!X$2:X$200,MATCH('Calculations - Target'!$D13,'Input - Target'!$P$2:$P$200,0)),"")</f>
        <v/>
      </c>
      <c r="M13" s="21" t="str">
        <f t="shared" si="17"/>
        <v/>
      </c>
      <c r="N13" s="21" t="str">
        <f t="shared" si="2"/>
        <v/>
      </c>
      <c r="O13" s="21" t="str">
        <f t="shared" si="18"/>
        <v/>
      </c>
      <c r="P13" s="9" t="str">
        <f t="shared" si="3"/>
        <v/>
      </c>
      <c r="Q13" s="9" t="str">
        <f t="shared" si="4"/>
        <v/>
      </c>
      <c r="R13" s="8" t="str">
        <f t="shared" si="5"/>
        <v>-</v>
      </c>
      <c r="S13" s="8" t="str">
        <f t="shared" si="19"/>
        <v>-</v>
      </c>
      <c r="T13" t="str">
        <f t="shared" si="6"/>
        <v>-</v>
      </c>
      <c r="U13" t="str">
        <f t="shared" si="6"/>
        <v>-</v>
      </c>
      <c r="V13" t="str">
        <f t="shared" si="20"/>
        <v>-</v>
      </c>
      <c r="W13" t="str">
        <f t="shared" si="7"/>
        <v>-</v>
      </c>
      <c r="X13" s="10" t="str">
        <f t="shared" si="8"/>
        <v>-</v>
      </c>
      <c r="Y13" s="7" t="str">
        <f t="shared" si="21"/>
        <v/>
      </c>
      <c r="Z13" s="13" t="str">
        <f t="shared" si="22"/>
        <v>-</v>
      </c>
      <c r="AA13" t="str">
        <f t="shared" si="23"/>
        <v>-</v>
      </c>
      <c r="AB13" s="16" t="str">
        <f t="shared" si="9"/>
        <v>-</v>
      </c>
      <c r="AC13" s="16" t="str">
        <f t="shared" si="24"/>
        <v>-</v>
      </c>
      <c r="AD13" s="16" t="str">
        <f t="shared" si="25"/>
        <v>-</v>
      </c>
      <c r="AE13" s="9" t="str">
        <f t="shared" si="26"/>
        <v/>
      </c>
      <c r="AF13" s="27" t="str" cm="1">
        <f t="array" ref="AF13">IFERROR(SUM(_xlfn._xlws.FILTER($AH$32:$AH$229*$AL$32:$AL$229,$B$32:$B$229=D13))/SUM(_xlfn._xlws.FILTER($AL$32:$AL$229,$B$32:$B$229=D13)),"-")</f>
        <v>-</v>
      </c>
      <c r="AG13" s="163" t="str">
        <f t="shared" si="27"/>
        <v>-</v>
      </c>
      <c r="AH13" s="126" t="str">
        <f t="shared" si="28"/>
        <v>-</v>
      </c>
      <c r="AI13" s="9" t="str">
        <f t="shared" si="10"/>
        <v/>
      </c>
      <c r="AJ13" s="4" t="str">
        <f t="shared" si="11"/>
        <v/>
      </c>
      <c r="AP13" s="20" t="str">
        <f t="shared" si="12"/>
        <v>-</v>
      </c>
      <c r="AQ13" s="13" t="str">
        <f t="shared" si="29"/>
        <v/>
      </c>
      <c r="AR13" s="9" t="str">
        <f t="shared" si="30"/>
        <v/>
      </c>
      <c r="AS13" s="13" t="str">
        <f t="shared" si="31"/>
        <v/>
      </c>
      <c r="AT13" s="16" t="str">
        <f t="shared" si="32"/>
        <v>-</v>
      </c>
      <c r="AU13" s="16" t="str">
        <f t="shared" si="13"/>
        <v>-</v>
      </c>
      <c r="AV13" s="4" t="str">
        <f t="shared" si="33"/>
        <v>-</v>
      </c>
      <c r="AW13" s="16" t="str">
        <f t="shared" si="14"/>
        <v>-</v>
      </c>
      <c r="AX13" t="str">
        <f t="shared" si="15"/>
        <v/>
      </c>
      <c r="AY13" s="9" t="str">
        <f t="shared" si="34"/>
        <v>-</v>
      </c>
      <c r="AZ13" s="20" t="str">
        <f t="shared" si="35"/>
        <v/>
      </c>
      <c r="BA13" s="20" t="str">
        <f t="shared" si="36"/>
        <v/>
      </c>
      <c r="BB13" s="20" t="str">
        <f t="shared" si="37"/>
        <v/>
      </c>
      <c r="BC13" s="20" t="str">
        <f t="shared" si="38"/>
        <v/>
      </c>
    </row>
    <row r="14" spans="2:55" x14ac:dyDescent="0.3">
      <c r="B14" s="102" t="str">
        <f>""</f>
        <v/>
      </c>
      <c r="C14" s="4">
        <v>11</v>
      </c>
      <c r="D14" s="96" t="str">
        <f t="shared" si="16"/>
        <v/>
      </c>
      <c r="E14" s="3"/>
      <c r="F14" s="97" t="str">
        <f>IFERROR(INDEX('Input - Target'!$Z$3:$Z$200,MATCH('Calculations - Target'!$C14,'Input - Target'!$AA$3:$AA$200,0)),"")</f>
        <v/>
      </c>
      <c r="G14" s="20" t="str">
        <f>IFERROR(INDEX('Input - Target'!S$2:S$200,MATCH('Calculations - Target'!$D14,'Input - Target'!$P$2:$P$200,0)),"")</f>
        <v/>
      </c>
      <c r="H14" s="20" t="str">
        <f>IFERROR(INDEX('Input - Target'!T$2:T$200,MATCH('Calculations - Target'!$D14,'Input - Target'!$P$2:$P$200,0)),"")</f>
        <v/>
      </c>
      <c r="I14" s="27" t="str">
        <f>IFERROR(INDEX('Input - Target'!U$2:U$200,MATCH('Calculations - Target'!$D14,'Input - Target'!$P$2:$P$200,0)),"")</f>
        <v/>
      </c>
      <c r="J14" s="27" t="str">
        <f>IFERROR(INDEX('Input - Target'!V$2:V$200,MATCH('Calculations - Target'!$D14,'Input - Target'!$P$2:$P$200,0)),"")</f>
        <v/>
      </c>
      <c r="K14" s="20" t="str">
        <f>IFERROR(INDEX('Input - Target'!W$2:W$200,MATCH('Calculations - Target'!$D14,'Input - Target'!$P$2:$P$200,0)),"")</f>
        <v/>
      </c>
      <c r="L14" s="20" t="str">
        <f>IFERROR(INDEX('Input - Target'!X$2:X$200,MATCH('Calculations - Target'!$D14,'Input - Target'!$P$2:$P$200,0)),"")</f>
        <v/>
      </c>
      <c r="M14" s="21" t="str">
        <f t="shared" si="17"/>
        <v/>
      </c>
      <c r="N14" s="21" t="str">
        <f t="shared" si="2"/>
        <v/>
      </c>
      <c r="O14" s="21" t="str">
        <f t="shared" si="18"/>
        <v/>
      </c>
      <c r="P14" s="9" t="str">
        <f t="shared" si="3"/>
        <v/>
      </c>
      <c r="Q14" s="9" t="str">
        <f t="shared" si="4"/>
        <v/>
      </c>
      <c r="R14" s="8" t="str">
        <f t="shared" si="5"/>
        <v>-</v>
      </c>
      <c r="S14" s="8" t="str">
        <f t="shared" si="19"/>
        <v>-</v>
      </c>
      <c r="T14" t="str">
        <f t="shared" si="6"/>
        <v>-</v>
      </c>
      <c r="U14" t="str">
        <f t="shared" si="6"/>
        <v>-</v>
      </c>
      <c r="V14" t="str">
        <f t="shared" si="20"/>
        <v>-</v>
      </c>
      <c r="W14" t="str">
        <f t="shared" si="7"/>
        <v>-</v>
      </c>
      <c r="X14" s="10" t="str">
        <f t="shared" si="8"/>
        <v>-</v>
      </c>
      <c r="Y14" s="7" t="str">
        <f t="shared" si="21"/>
        <v/>
      </c>
      <c r="Z14" s="13" t="str">
        <f t="shared" si="22"/>
        <v>-</v>
      </c>
      <c r="AA14" t="str">
        <f t="shared" si="23"/>
        <v>-</v>
      </c>
      <c r="AB14" s="16" t="str">
        <f t="shared" si="9"/>
        <v>-</v>
      </c>
      <c r="AC14" s="16" t="str">
        <f t="shared" si="24"/>
        <v>-</v>
      </c>
      <c r="AD14" s="16" t="str">
        <f t="shared" si="25"/>
        <v>-</v>
      </c>
      <c r="AE14" s="9" t="str">
        <f t="shared" si="26"/>
        <v/>
      </c>
      <c r="AF14" s="27" t="str" cm="1">
        <f t="array" ref="AF14">IFERROR(SUM(_xlfn._xlws.FILTER($AH$32:$AH$229*$AL$32:$AL$229,$B$32:$B$229=D14))/SUM(_xlfn._xlws.FILTER($AL$32:$AL$229,$B$32:$B$229=D14)),"-")</f>
        <v>-</v>
      </c>
      <c r="AG14" s="163" t="str">
        <f t="shared" si="27"/>
        <v>-</v>
      </c>
      <c r="AH14" s="126" t="str">
        <f t="shared" si="28"/>
        <v>-</v>
      </c>
      <c r="AI14" s="9" t="str">
        <f t="shared" si="10"/>
        <v/>
      </c>
      <c r="AJ14" s="4" t="str">
        <f t="shared" si="11"/>
        <v/>
      </c>
      <c r="AP14" s="20" t="str">
        <f t="shared" si="12"/>
        <v>-</v>
      </c>
      <c r="AQ14" s="13" t="str">
        <f t="shared" si="29"/>
        <v/>
      </c>
      <c r="AR14" s="9" t="str">
        <f t="shared" si="30"/>
        <v/>
      </c>
      <c r="AS14" s="13" t="str">
        <f t="shared" si="31"/>
        <v/>
      </c>
      <c r="AT14" s="16" t="str">
        <f t="shared" si="32"/>
        <v>-</v>
      </c>
      <c r="AU14" s="16" t="str">
        <f t="shared" si="13"/>
        <v>-</v>
      </c>
      <c r="AV14" s="4" t="str">
        <f t="shared" si="33"/>
        <v>-</v>
      </c>
      <c r="AW14" s="16" t="str">
        <f t="shared" si="14"/>
        <v>-</v>
      </c>
      <c r="AX14" t="str">
        <f t="shared" si="15"/>
        <v/>
      </c>
      <c r="AY14" s="9" t="str">
        <f t="shared" si="34"/>
        <v>-</v>
      </c>
      <c r="AZ14" s="20" t="str">
        <f t="shared" si="35"/>
        <v/>
      </c>
      <c r="BA14" s="20" t="str">
        <f t="shared" si="36"/>
        <v/>
      </c>
      <c r="BB14" s="20" t="str">
        <f t="shared" si="37"/>
        <v/>
      </c>
      <c r="BC14" s="20" t="str">
        <f t="shared" si="38"/>
        <v/>
      </c>
    </row>
    <row r="15" spans="2:55" x14ac:dyDescent="0.3">
      <c r="B15" s="102" t="str">
        <f>""</f>
        <v/>
      </c>
      <c r="C15" s="4">
        <v>12</v>
      </c>
      <c r="D15" s="96" t="str">
        <f t="shared" si="16"/>
        <v/>
      </c>
      <c r="E15" s="3"/>
      <c r="F15" s="97" t="str">
        <f>IFERROR(INDEX('Input - Target'!$Z$3:$Z$200,MATCH('Calculations - Target'!$C15,'Input - Target'!$AA$3:$AA$200,0)),"")</f>
        <v/>
      </c>
      <c r="G15" s="20" t="str">
        <f>IFERROR(INDEX('Input - Target'!S$2:S$200,MATCH('Calculations - Target'!$D15,'Input - Target'!$P$2:$P$200,0)),"")</f>
        <v/>
      </c>
      <c r="H15" s="20" t="str">
        <f>IFERROR(INDEX('Input - Target'!T$2:T$200,MATCH('Calculations - Target'!$D15,'Input - Target'!$P$2:$P$200,0)),"")</f>
        <v/>
      </c>
      <c r="I15" s="27" t="str">
        <f>IFERROR(INDEX('Input - Target'!U$2:U$200,MATCH('Calculations - Target'!$D15,'Input - Target'!$P$2:$P$200,0)),"")</f>
        <v/>
      </c>
      <c r="J15" s="27" t="str">
        <f>IFERROR(INDEX('Input - Target'!V$2:V$200,MATCH('Calculations - Target'!$D15,'Input - Target'!$P$2:$P$200,0)),"")</f>
        <v/>
      </c>
      <c r="K15" s="20" t="str">
        <f>IFERROR(INDEX('Input - Target'!W$2:W$200,MATCH('Calculations - Target'!$D15,'Input - Target'!$P$2:$P$200,0)),"")</f>
        <v/>
      </c>
      <c r="L15" s="20" t="str">
        <f>IFERROR(INDEX('Input - Target'!X$2:X$200,MATCH('Calculations - Target'!$D15,'Input - Target'!$P$2:$P$200,0)),"")</f>
        <v/>
      </c>
      <c r="M15" s="21" t="str">
        <f t="shared" si="17"/>
        <v/>
      </c>
      <c r="N15" s="21" t="str">
        <f t="shared" si="2"/>
        <v/>
      </c>
      <c r="O15" s="21" t="str">
        <f t="shared" si="18"/>
        <v/>
      </c>
      <c r="P15" s="9" t="str">
        <f t="shared" si="3"/>
        <v/>
      </c>
      <c r="Q15" s="9" t="str">
        <f t="shared" si="4"/>
        <v/>
      </c>
      <c r="R15" s="8" t="str">
        <f t="shared" si="5"/>
        <v>-</v>
      </c>
      <c r="S15" s="8" t="str">
        <f t="shared" si="19"/>
        <v>-</v>
      </c>
      <c r="T15" t="str">
        <f t="shared" si="6"/>
        <v>-</v>
      </c>
      <c r="U15" t="str">
        <f t="shared" si="6"/>
        <v>-</v>
      </c>
      <c r="V15" t="str">
        <f t="shared" si="20"/>
        <v>-</v>
      </c>
      <c r="W15" t="str">
        <f t="shared" si="7"/>
        <v>-</v>
      </c>
      <c r="X15" s="10" t="str">
        <f t="shared" si="8"/>
        <v>-</v>
      </c>
      <c r="Y15" s="7" t="str">
        <f t="shared" si="21"/>
        <v/>
      </c>
      <c r="Z15" s="13" t="str">
        <f t="shared" si="22"/>
        <v>-</v>
      </c>
      <c r="AA15" t="str">
        <f t="shared" si="23"/>
        <v>-</v>
      </c>
      <c r="AB15" s="16" t="str">
        <f t="shared" si="9"/>
        <v>-</v>
      </c>
      <c r="AC15" s="16" t="str">
        <f t="shared" si="24"/>
        <v>-</v>
      </c>
      <c r="AD15" s="16" t="str">
        <f t="shared" si="25"/>
        <v>-</v>
      </c>
      <c r="AE15" s="9" t="str">
        <f t="shared" si="26"/>
        <v/>
      </c>
      <c r="AF15" s="27" t="str" cm="1">
        <f t="array" ref="AF15">IFERROR(SUM(_xlfn._xlws.FILTER($AH$32:$AH$229*$AL$32:$AL$229,$B$32:$B$229=D15))/SUM(_xlfn._xlws.FILTER($AL$32:$AL$229,$B$32:$B$229=D15)),"-")</f>
        <v>-</v>
      </c>
      <c r="AG15" s="163" t="str">
        <f t="shared" si="27"/>
        <v>-</v>
      </c>
      <c r="AH15" s="126" t="str">
        <f t="shared" si="28"/>
        <v>-</v>
      </c>
      <c r="AI15" s="9" t="str">
        <f t="shared" si="10"/>
        <v/>
      </c>
      <c r="AJ15" s="4" t="str">
        <f t="shared" si="11"/>
        <v/>
      </c>
      <c r="AP15" s="20" t="str">
        <f t="shared" si="12"/>
        <v>-</v>
      </c>
      <c r="AQ15" s="13" t="str">
        <f t="shared" si="29"/>
        <v/>
      </c>
      <c r="AR15" s="9" t="str">
        <f t="shared" si="30"/>
        <v/>
      </c>
      <c r="AS15" s="13" t="str">
        <f t="shared" si="31"/>
        <v/>
      </c>
      <c r="AT15" s="16" t="str">
        <f t="shared" si="32"/>
        <v>-</v>
      </c>
      <c r="AU15" s="16" t="str">
        <f t="shared" si="13"/>
        <v>-</v>
      </c>
      <c r="AV15" s="4" t="str">
        <f t="shared" si="33"/>
        <v>-</v>
      </c>
      <c r="AW15" s="16" t="str">
        <f t="shared" si="14"/>
        <v>-</v>
      </c>
      <c r="AX15" t="str">
        <f t="shared" si="15"/>
        <v/>
      </c>
      <c r="AY15" s="9" t="str">
        <f t="shared" si="34"/>
        <v>-</v>
      </c>
      <c r="AZ15" s="20" t="str">
        <f t="shared" si="35"/>
        <v/>
      </c>
      <c r="BA15" s="20" t="str">
        <f t="shared" si="36"/>
        <v/>
      </c>
      <c r="BB15" s="20" t="str">
        <f t="shared" si="37"/>
        <v/>
      </c>
      <c r="BC15" s="20" t="str">
        <f t="shared" si="38"/>
        <v/>
      </c>
    </row>
    <row r="16" spans="2:55" x14ac:dyDescent="0.3">
      <c r="B16" s="102" t="str">
        <f>""</f>
        <v/>
      </c>
      <c r="C16" s="4">
        <v>13</v>
      </c>
      <c r="D16" s="96" t="str">
        <f t="shared" si="16"/>
        <v/>
      </c>
      <c r="E16" s="3"/>
      <c r="F16" s="97" t="str">
        <f>IFERROR(INDEX('Input - Target'!$Z$3:$Z$200,MATCH('Calculations - Target'!$C16,'Input - Target'!$AA$3:$AA$200,0)),"")</f>
        <v/>
      </c>
      <c r="G16" s="20" t="str">
        <f>IFERROR(INDEX('Input - Target'!S$2:S$200,MATCH('Calculations - Target'!$D16,'Input - Target'!$P$2:$P$200,0)),"")</f>
        <v/>
      </c>
      <c r="H16" s="20" t="str">
        <f>IFERROR(INDEX('Input - Target'!T$2:T$200,MATCH('Calculations - Target'!$D16,'Input - Target'!$P$2:$P$200,0)),"")</f>
        <v/>
      </c>
      <c r="I16" s="27" t="str">
        <f>IFERROR(INDEX('Input - Target'!U$2:U$200,MATCH('Calculations - Target'!$D16,'Input - Target'!$P$2:$P$200,0)),"")</f>
        <v/>
      </c>
      <c r="J16" s="27" t="str">
        <f>IFERROR(INDEX('Input - Target'!V$2:V$200,MATCH('Calculations - Target'!$D16,'Input - Target'!$P$2:$P$200,0)),"")</f>
        <v/>
      </c>
      <c r="K16" s="20" t="str">
        <f>IFERROR(INDEX('Input - Target'!W$2:W$200,MATCH('Calculations - Target'!$D16,'Input - Target'!$P$2:$P$200,0)),"")</f>
        <v/>
      </c>
      <c r="L16" s="20" t="str">
        <f>IFERROR(INDEX('Input - Target'!X$2:X$200,MATCH('Calculations - Target'!$D16,'Input - Target'!$P$2:$P$200,0)),"")</f>
        <v/>
      </c>
      <c r="M16" s="21" t="str">
        <f t="shared" si="17"/>
        <v/>
      </c>
      <c r="N16" s="21" t="str">
        <f t="shared" si="2"/>
        <v/>
      </c>
      <c r="O16" s="21" t="str">
        <f t="shared" si="18"/>
        <v/>
      </c>
      <c r="P16" s="9" t="str">
        <f t="shared" si="3"/>
        <v/>
      </c>
      <c r="Q16" s="9" t="str">
        <f t="shared" si="4"/>
        <v/>
      </c>
      <c r="R16" s="8" t="str">
        <f t="shared" si="5"/>
        <v>-</v>
      </c>
      <c r="S16" s="8" t="str">
        <f t="shared" si="19"/>
        <v>-</v>
      </c>
      <c r="T16" t="str">
        <f t="shared" si="6"/>
        <v>-</v>
      </c>
      <c r="U16" t="str">
        <f t="shared" si="6"/>
        <v>-</v>
      </c>
      <c r="V16" t="str">
        <f t="shared" si="20"/>
        <v>-</v>
      </c>
      <c r="W16" t="str">
        <f t="shared" si="7"/>
        <v>-</v>
      </c>
      <c r="X16" s="10" t="str">
        <f t="shared" si="8"/>
        <v>-</v>
      </c>
      <c r="Y16" s="7" t="str">
        <f t="shared" si="21"/>
        <v/>
      </c>
      <c r="Z16" s="13" t="str">
        <f t="shared" si="22"/>
        <v>-</v>
      </c>
      <c r="AA16" t="str">
        <f t="shared" si="23"/>
        <v>-</v>
      </c>
      <c r="AB16" s="16" t="str">
        <f t="shared" si="9"/>
        <v>-</v>
      </c>
      <c r="AC16" s="16" t="str">
        <f t="shared" si="24"/>
        <v>-</v>
      </c>
      <c r="AD16" s="16" t="str">
        <f t="shared" si="25"/>
        <v>-</v>
      </c>
      <c r="AE16" s="9" t="str">
        <f t="shared" si="26"/>
        <v/>
      </c>
      <c r="AF16" s="27" t="str" cm="1">
        <f t="array" ref="AF16">IFERROR(SUM(_xlfn._xlws.FILTER($AH$32:$AH$229*$AL$32:$AL$229,$B$32:$B$229=D16))/SUM(_xlfn._xlws.FILTER($AL$32:$AL$229,$B$32:$B$229=D16)),"-")</f>
        <v>-</v>
      </c>
      <c r="AG16" s="163" t="str">
        <f t="shared" si="27"/>
        <v>-</v>
      </c>
      <c r="AH16" s="126" t="str">
        <f t="shared" si="28"/>
        <v>-</v>
      </c>
      <c r="AI16" s="9" t="str">
        <f t="shared" si="10"/>
        <v/>
      </c>
      <c r="AJ16" s="4" t="str">
        <f t="shared" si="11"/>
        <v/>
      </c>
      <c r="AP16" s="20" t="str">
        <f t="shared" si="12"/>
        <v>-</v>
      </c>
      <c r="AQ16" s="13" t="str">
        <f t="shared" si="29"/>
        <v/>
      </c>
      <c r="AR16" s="9" t="str">
        <f t="shared" si="30"/>
        <v/>
      </c>
      <c r="AS16" s="13" t="str">
        <f t="shared" si="31"/>
        <v/>
      </c>
      <c r="AT16" s="16" t="str">
        <f t="shared" si="32"/>
        <v>-</v>
      </c>
      <c r="AU16" s="16" t="str">
        <f t="shared" si="13"/>
        <v>-</v>
      </c>
      <c r="AV16" s="4" t="str">
        <f t="shared" si="33"/>
        <v>-</v>
      </c>
      <c r="AW16" s="16" t="str">
        <f t="shared" si="14"/>
        <v>-</v>
      </c>
      <c r="AX16" t="str">
        <f t="shared" si="15"/>
        <v/>
      </c>
      <c r="AY16" s="9" t="str">
        <f t="shared" si="34"/>
        <v>-</v>
      </c>
      <c r="AZ16" s="20" t="str">
        <f t="shared" si="35"/>
        <v/>
      </c>
      <c r="BA16" s="20" t="str">
        <f t="shared" si="36"/>
        <v/>
      </c>
      <c r="BB16" s="20" t="str">
        <f t="shared" si="37"/>
        <v/>
      </c>
      <c r="BC16" s="20" t="str">
        <f t="shared" si="38"/>
        <v/>
      </c>
    </row>
    <row r="17" spans="2:70" x14ac:dyDescent="0.3">
      <c r="B17" s="102" t="str">
        <f>""</f>
        <v/>
      </c>
      <c r="C17" s="4">
        <v>14</v>
      </c>
      <c r="D17" s="96" t="str">
        <f t="shared" si="16"/>
        <v/>
      </c>
      <c r="E17" s="3"/>
      <c r="F17" s="97" t="str">
        <f>IFERROR(INDEX('Input - Target'!$Z$3:$Z$200,MATCH('Calculations - Target'!$C17,'Input - Target'!$AA$3:$AA$200,0)),"")</f>
        <v/>
      </c>
      <c r="G17" s="20" t="str">
        <f>IFERROR(INDEX('Input - Target'!S$2:S$200,MATCH('Calculations - Target'!$D17,'Input - Target'!$P$2:$P$200,0)),"")</f>
        <v/>
      </c>
      <c r="H17" s="20" t="str">
        <f>IFERROR(INDEX('Input - Target'!T$2:T$200,MATCH('Calculations - Target'!$D17,'Input - Target'!$P$2:$P$200,0)),"")</f>
        <v/>
      </c>
      <c r="I17" s="27" t="str">
        <f>IFERROR(INDEX('Input - Target'!U$2:U$200,MATCH('Calculations - Target'!$D17,'Input - Target'!$P$2:$P$200,0)),"")</f>
        <v/>
      </c>
      <c r="J17" s="27" t="str">
        <f>IFERROR(INDEX('Input - Target'!V$2:V$200,MATCH('Calculations - Target'!$D17,'Input - Target'!$P$2:$P$200,0)),"")</f>
        <v/>
      </c>
      <c r="K17" s="20" t="str">
        <f>IFERROR(INDEX('Input - Target'!W$2:W$200,MATCH('Calculations - Target'!$D17,'Input - Target'!$P$2:$P$200,0)),"")</f>
        <v/>
      </c>
      <c r="L17" s="20" t="str">
        <f>IFERROR(INDEX('Input - Target'!X$2:X$200,MATCH('Calculations - Target'!$D17,'Input - Target'!$P$2:$P$200,0)),"")</f>
        <v/>
      </c>
      <c r="M17" s="21" t="str">
        <f t="shared" si="17"/>
        <v/>
      </c>
      <c r="N17" s="21" t="str">
        <f t="shared" si="2"/>
        <v/>
      </c>
      <c r="O17" s="21" t="str">
        <f t="shared" si="18"/>
        <v/>
      </c>
      <c r="P17" s="9" t="str">
        <f t="shared" si="3"/>
        <v/>
      </c>
      <c r="Q17" s="9" t="str">
        <f t="shared" si="4"/>
        <v/>
      </c>
      <c r="R17" s="8" t="str">
        <f t="shared" si="5"/>
        <v>-</v>
      </c>
      <c r="S17" s="8" t="str">
        <f t="shared" si="19"/>
        <v>-</v>
      </c>
      <c r="T17" t="str">
        <f t="shared" si="6"/>
        <v>-</v>
      </c>
      <c r="U17" t="str">
        <f t="shared" si="6"/>
        <v>-</v>
      </c>
      <c r="V17" t="str">
        <f t="shared" si="20"/>
        <v>-</v>
      </c>
      <c r="W17" t="str">
        <f t="shared" si="7"/>
        <v>-</v>
      </c>
      <c r="X17" s="10" t="str">
        <f t="shared" si="8"/>
        <v>-</v>
      </c>
      <c r="Y17" s="7" t="str">
        <f t="shared" si="21"/>
        <v/>
      </c>
      <c r="Z17" s="13" t="str">
        <f t="shared" si="22"/>
        <v>-</v>
      </c>
      <c r="AA17" t="str">
        <f t="shared" si="23"/>
        <v>-</v>
      </c>
      <c r="AB17" s="16" t="str">
        <f t="shared" si="9"/>
        <v>-</v>
      </c>
      <c r="AC17" s="16" t="str">
        <f t="shared" si="24"/>
        <v>-</v>
      </c>
      <c r="AD17" s="16" t="str">
        <f t="shared" si="25"/>
        <v>-</v>
      </c>
      <c r="AE17" s="9" t="str">
        <f t="shared" si="26"/>
        <v/>
      </c>
      <c r="AF17" s="27" t="str" cm="1">
        <f t="array" ref="AF17">IFERROR(SUM(_xlfn._xlws.FILTER($AH$32:$AH$229*$AL$32:$AL$229,$B$32:$B$229=D17))/SUM(_xlfn._xlws.FILTER($AL$32:$AL$229,$B$32:$B$229=D17)),"-")</f>
        <v>-</v>
      </c>
      <c r="AG17" s="163" t="str">
        <f t="shared" si="27"/>
        <v>-</v>
      </c>
      <c r="AH17" s="126" t="str">
        <f t="shared" si="28"/>
        <v>-</v>
      </c>
      <c r="AI17" s="9" t="str">
        <f t="shared" si="10"/>
        <v/>
      </c>
      <c r="AJ17" s="4" t="str">
        <f t="shared" si="11"/>
        <v/>
      </c>
      <c r="AP17" s="20" t="str">
        <f t="shared" si="12"/>
        <v>-</v>
      </c>
      <c r="AQ17" s="13" t="str">
        <f t="shared" si="29"/>
        <v/>
      </c>
      <c r="AR17" s="9" t="str">
        <f t="shared" si="30"/>
        <v/>
      </c>
      <c r="AS17" s="13" t="str">
        <f t="shared" si="31"/>
        <v/>
      </c>
      <c r="AT17" s="16" t="str">
        <f t="shared" si="32"/>
        <v>-</v>
      </c>
      <c r="AU17" s="16" t="str">
        <f t="shared" si="13"/>
        <v>-</v>
      </c>
      <c r="AV17" s="4" t="str">
        <f t="shared" si="33"/>
        <v>-</v>
      </c>
      <c r="AW17" s="16" t="str">
        <f t="shared" si="14"/>
        <v>-</v>
      </c>
      <c r="AX17" t="str">
        <f t="shared" si="15"/>
        <v/>
      </c>
      <c r="AY17" s="9" t="str">
        <f t="shared" si="34"/>
        <v>-</v>
      </c>
      <c r="AZ17" s="20" t="str">
        <f t="shared" si="35"/>
        <v/>
      </c>
      <c r="BA17" s="20" t="str">
        <f t="shared" si="36"/>
        <v/>
      </c>
      <c r="BB17" s="20" t="str">
        <f t="shared" si="37"/>
        <v/>
      </c>
      <c r="BC17" s="20" t="str">
        <f t="shared" si="38"/>
        <v/>
      </c>
    </row>
    <row r="18" spans="2:70" x14ac:dyDescent="0.3">
      <c r="B18" s="102" t="str">
        <f>""</f>
        <v/>
      </c>
      <c r="C18" s="4">
        <v>15</v>
      </c>
      <c r="D18" s="96" t="str">
        <f t="shared" si="16"/>
        <v/>
      </c>
      <c r="E18" s="3"/>
      <c r="F18" s="97" t="str">
        <f>IFERROR(INDEX('Input - Target'!$Z$3:$Z$200,MATCH('Calculations - Target'!$C18,'Input - Target'!$AA$3:$AA$200,0)),"")</f>
        <v/>
      </c>
      <c r="G18" s="20" t="str">
        <f>IFERROR(INDEX('Input - Target'!S$2:S$200,MATCH('Calculations - Target'!$D18,'Input - Target'!$P$2:$P$200,0)),"")</f>
        <v/>
      </c>
      <c r="H18" s="20" t="str">
        <f>IFERROR(INDEX('Input - Target'!T$2:T$200,MATCH('Calculations - Target'!$D18,'Input - Target'!$P$2:$P$200,0)),"")</f>
        <v/>
      </c>
      <c r="I18" s="27" t="str">
        <f>IFERROR(INDEX('Input - Target'!U$2:U$200,MATCH('Calculations - Target'!$D18,'Input - Target'!$P$2:$P$200,0)),"")</f>
        <v/>
      </c>
      <c r="J18" s="27" t="str">
        <f>IFERROR(INDEX('Input - Target'!V$2:V$200,MATCH('Calculations - Target'!$D18,'Input - Target'!$P$2:$P$200,0)),"")</f>
        <v/>
      </c>
      <c r="K18" s="20" t="str">
        <f>IFERROR(INDEX('Input - Target'!W$2:W$200,MATCH('Calculations - Target'!$D18,'Input - Target'!$P$2:$P$200,0)),"")</f>
        <v/>
      </c>
      <c r="L18" s="20" t="str">
        <f>IFERROR(INDEX('Input - Target'!X$2:X$200,MATCH('Calculations - Target'!$D18,'Input - Target'!$P$2:$P$200,0)),"")</f>
        <v/>
      </c>
      <c r="M18" s="21" t="str">
        <f t="shared" si="17"/>
        <v/>
      </c>
      <c r="N18" s="21" t="str">
        <f t="shared" si="2"/>
        <v/>
      </c>
      <c r="O18" s="21" t="str">
        <f t="shared" si="18"/>
        <v/>
      </c>
      <c r="P18" s="9" t="str">
        <f t="shared" si="3"/>
        <v/>
      </c>
      <c r="Q18" s="9" t="str">
        <f t="shared" si="4"/>
        <v/>
      </c>
      <c r="R18" s="8" t="str">
        <f t="shared" si="5"/>
        <v>-</v>
      </c>
      <c r="S18" s="8" t="str">
        <f t="shared" si="19"/>
        <v>-</v>
      </c>
      <c r="T18" t="str">
        <f t="shared" si="6"/>
        <v>-</v>
      </c>
      <c r="U18" t="str">
        <f t="shared" si="6"/>
        <v>-</v>
      </c>
      <c r="V18" t="str">
        <f t="shared" si="20"/>
        <v>-</v>
      </c>
      <c r="W18" t="str">
        <f t="shared" si="7"/>
        <v>-</v>
      </c>
      <c r="X18" s="10" t="str">
        <f t="shared" si="8"/>
        <v>-</v>
      </c>
      <c r="Y18" s="7" t="str">
        <f t="shared" si="21"/>
        <v/>
      </c>
      <c r="Z18" s="13" t="str">
        <f t="shared" si="22"/>
        <v>-</v>
      </c>
      <c r="AA18" t="str">
        <f t="shared" si="23"/>
        <v>-</v>
      </c>
      <c r="AB18" s="16" t="str">
        <f t="shared" si="9"/>
        <v>-</v>
      </c>
      <c r="AC18" s="16" t="str">
        <f t="shared" si="24"/>
        <v>-</v>
      </c>
      <c r="AD18" s="16" t="str">
        <f t="shared" si="25"/>
        <v>-</v>
      </c>
      <c r="AE18" s="9" t="str">
        <f t="shared" si="26"/>
        <v/>
      </c>
      <c r="AF18" s="27" t="str" cm="1">
        <f t="array" ref="AF18">IFERROR(SUM(_xlfn._xlws.FILTER($AH$32:$AH$229*$AL$32:$AL$229,$B$32:$B$229=D18))/SUM(_xlfn._xlws.FILTER($AL$32:$AL$229,$B$32:$B$229=D18)),"-")</f>
        <v>-</v>
      </c>
      <c r="AG18" s="163" t="str">
        <f t="shared" si="27"/>
        <v>-</v>
      </c>
      <c r="AH18" s="126" t="str">
        <f t="shared" si="28"/>
        <v>-</v>
      </c>
      <c r="AI18" s="9" t="str">
        <f t="shared" si="10"/>
        <v/>
      </c>
      <c r="AJ18" s="4" t="str">
        <f t="shared" si="11"/>
        <v/>
      </c>
      <c r="AP18" s="20" t="str">
        <f t="shared" si="12"/>
        <v>-</v>
      </c>
      <c r="AQ18" s="13" t="str">
        <f t="shared" si="29"/>
        <v/>
      </c>
      <c r="AR18" s="9" t="str">
        <f t="shared" si="30"/>
        <v/>
      </c>
      <c r="AS18" s="13" t="str">
        <f t="shared" si="31"/>
        <v/>
      </c>
      <c r="AT18" s="16" t="str">
        <f t="shared" si="32"/>
        <v>-</v>
      </c>
      <c r="AU18" s="16" t="str">
        <f t="shared" si="13"/>
        <v>-</v>
      </c>
      <c r="AV18" s="4" t="str">
        <f t="shared" si="33"/>
        <v>-</v>
      </c>
      <c r="AW18" s="16" t="str">
        <f t="shared" si="14"/>
        <v>-</v>
      </c>
      <c r="AX18" t="str">
        <f t="shared" si="15"/>
        <v/>
      </c>
      <c r="AY18" s="9" t="str">
        <f t="shared" si="34"/>
        <v>-</v>
      </c>
      <c r="AZ18" s="20" t="str">
        <f t="shared" si="35"/>
        <v/>
      </c>
      <c r="BA18" s="20" t="str">
        <f t="shared" si="36"/>
        <v/>
      </c>
      <c r="BB18" s="20" t="str">
        <f t="shared" si="37"/>
        <v/>
      </c>
      <c r="BC18" s="20" t="str">
        <f t="shared" si="38"/>
        <v/>
      </c>
    </row>
    <row r="19" spans="2:70" x14ac:dyDescent="0.3">
      <c r="B19" s="102" t="str">
        <f>""</f>
        <v/>
      </c>
      <c r="C19" s="4">
        <v>16</v>
      </c>
      <c r="D19" s="96" t="str">
        <f t="shared" si="16"/>
        <v/>
      </c>
      <c r="E19" s="3"/>
      <c r="F19" s="97" t="str">
        <f>IFERROR(INDEX('Input - Target'!$Z$3:$Z$200,MATCH('Calculations - Target'!$C19,'Input - Target'!$AA$3:$AA$200,0)),"")</f>
        <v/>
      </c>
      <c r="G19" s="20" t="str">
        <f>IFERROR(INDEX('Input - Target'!S$2:S$200,MATCH('Calculations - Target'!$D19,'Input - Target'!$P$2:$P$200,0)),"")</f>
        <v/>
      </c>
      <c r="H19" s="20" t="str">
        <f>IFERROR(INDEX('Input - Target'!T$2:T$200,MATCH('Calculations - Target'!$D19,'Input - Target'!$P$2:$P$200,0)),"")</f>
        <v/>
      </c>
      <c r="I19" s="27" t="str">
        <f>IFERROR(INDEX('Input - Target'!U$2:U$200,MATCH('Calculations - Target'!$D19,'Input - Target'!$P$2:$P$200,0)),"")</f>
        <v/>
      </c>
      <c r="J19" s="27" t="str">
        <f>IFERROR(INDEX('Input - Target'!V$2:V$200,MATCH('Calculations - Target'!$D19,'Input - Target'!$P$2:$P$200,0)),"")</f>
        <v/>
      </c>
      <c r="K19" s="20" t="str">
        <f>IFERROR(INDEX('Input - Target'!W$2:W$200,MATCH('Calculations - Target'!$D19,'Input - Target'!$P$2:$P$200,0)),"")</f>
        <v/>
      </c>
      <c r="L19" s="20" t="str">
        <f>IFERROR(INDEX('Input - Target'!X$2:X$200,MATCH('Calculations - Target'!$D19,'Input - Target'!$P$2:$P$200,0)),"")</f>
        <v/>
      </c>
      <c r="M19" s="21" t="str">
        <f t="shared" si="17"/>
        <v/>
      </c>
      <c r="N19" s="21" t="str">
        <f t="shared" si="2"/>
        <v/>
      </c>
      <c r="O19" s="21" t="str">
        <f t="shared" si="18"/>
        <v/>
      </c>
      <c r="P19" s="9" t="str">
        <f t="shared" si="3"/>
        <v/>
      </c>
      <c r="Q19" s="9" t="str">
        <f t="shared" si="4"/>
        <v/>
      </c>
      <c r="R19" s="8" t="str">
        <f t="shared" si="5"/>
        <v>-</v>
      </c>
      <c r="S19" s="8" t="str">
        <f t="shared" si="19"/>
        <v>-</v>
      </c>
      <c r="T19" t="str">
        <f t="shared" si="6"/>
        <v>-</v>
      </c>
      <c r="U19" t="str">
        <f t="shared" si="6"/>
        <v>-</v>
      </c>
      <c r="V19" t="str">
        <f t="shared" si="20"/>
        <v>-</v>
      </c>
      <c r="W19" t="str">
        <f t="shared" si="7"/>
        <v>-</v>
      </c>
      <c r="X19" s="10" t="str">
        <f t="shared" si="8"/>
        <v>-</v>
      </c>
      <c r="Y19" s="7" t="str">
        <f t="shared" si="21"/>
        <v/>
      </c>
      <c r="Z19" s="13" t="str">
        <f t="shared" si="22"/>
        <v>-</v>
      </c>
      <c r="AA19" t="str">
        <f t="shared" si="23"/>
        <v>-</v>
      </c>
      <c r="AB19" s="16" t="str">
        <f t="shared" si="9"/>
        <v>-</v>
      </c>
      <c r="AC19" s="16" t="str">
        <f t="shared" si="24"/>
        <v>-</v>
      </c>
      <c r="AD19" s="16" t="str">
        <f t="shared" si="25"/>
        <v>-</v>
      </c>
      <c r="AE19" s="9" t="str">
        <f t="shared" si="26"/>
        <v/>
      </c>
      <c r="AF19" s="27" t="str" cm="1">
        <f t="array" ref="AF19">IFERROR(SUM(_xlfn._xlws.FILTER($AH$32:$AH$229*$AL$32:$AL$229,$B$32:$B$229=D19))/SUM(_xlfn._xlws.FILTER($AL$32:$AL$229,$B$32:$B$229=D19)),"-")</f>
        <v>-</v>
      </c>
      <c r="AG19" s="163" t="str">
        <f t="shared" si="27"/>
        <v>-</v>
      </c>
      <c r="AH19" s="126" t="str">
        <f t="shared" si="28"/>
        <v>-</v>
      </c>
      <c r="AI19" s="9" t="str">
        <f t="shared" si="10"/>
        <v/>
      </c>
      <c r="AJ19" s="4" t="str">
        <f t="shared" si="11"/>
        <v/>
      </c>
      <c r="AP19" s="20" t="str">
        <f t="shared" si="12"/>
        <v>-</v>
      </c>
      <c r="AQ19" s="13" t="str">
        <f t="shared" si="29"/>
        <v/>
      </c>
      <c r="AR19" s="9" t="str">
        <f t="shared" si="30"/>
        <v/>
      </c>
      <c r="AS19" s="13" t="str">
        <f t="shared" si="31"/>
        <v/>
      </c>
      <c r="AT19" s="16" t="str">
        <f t="shared" si="32"/>
        <v>-</v>
      </c>
      <c r="AU19" s="16" t="str">
        <f t="shared" si="13"/>
        <v>-</v>
      </c>
      <c r="AV19" s="4" t="str">
        <f t="shared" si="33"/>
        <v>-</v>
      </c>
      <c r="AW19" s="16" t="str">
        <f t="shared" si="14"/>
        <v>-</v>
      </c>
      <c r="AX19" t="str">
        <f t="shared" si="15"/>
        <v/>
      </c>
      <c r="AY19" s="9" t="str">
        <f t="shared" si="34"/>
        <v>-</v>
      </c>
      <c r="AZ19" s="20" t="str">
        <f t="shared" si="35"/>
        <v/>
      </c>
      <c r="BA19" s="20" t="str">
        <f t="shared" si="36"/>
        <v/>
      </c>
      <c r="BB19" s="20" t="str">
        <f t="shared" si="37"/>
        <v/>
      </c>
      <c r="BC19" s="20" t="str">
        <f t="shared" si="38"/>
        <v/>
      </c>
    </row>
    <row r="20" spans="2:70" x14ac:dyDescent="0.3">
      <c r="B20" s="102" t="str">
        <f>""</f>
        <v/>
      </c>
      <c r="C20" s="4">
        <v>17</v>
      </c>
      <c r="D20" s="96" t="str">
        <f t="shared" si="16"/>
        <v/>
      </c>
      <c r="E20" s="3"/>
      <c r="F20" s="97" t="str">
        <f>IFERROR(INDEX('Input - Target'!$Z$3:$Z$200,MATCH('Calculations - Target'!$C20,'Input - Target'!$AA$3:$AA$200,0)),"")</f>
        <v/>
      </c>
      <c r="G20" s="20" t="str">
        <f>IFERROR(INDEX('Input - Target'!S$2:S$200,MATCH('Calculations - Target'!$D20,'Input - Target'!$P$2:$P$200,0)),"")</f>
        <v/>
      </c>
      <c r="H20" s="20" t="str">
        <f>IFERROR(INDEX('Input - Target'!T$2:T$200,MATCH('Calculations - Target'!$D20,'Input - Target'!$P$2:$P$200,0)),"")</f>
        <v/>
      </c>
      <c r="I20" s="27" t="str">
        <f>IFERROR(INDEX('Input - Target'!U$2:U$200,MATCH('Calculations - Target'!$D20,'Input - Target'!$P$2:$P$200,0)),"")</f>
        <v/>
      </c>
      <c r="J20" s="27" t="str">
        <f>IFERROR(INDEX('Input - Target'!V$2:V$200,MATCH('Calculations - Target'!$D20,'Input - Target'!$P$2:$P$200,0)),"")</f>
        <v/>
      </c>
      <c r="K20" s="20" t="str">
        <f>IFERROR(INDEX('Input - Target'!W$2:W$200,MATCH('Calculations - Target'!$D20,'Input - Target'!$P$2:$P$200,0)),"")</f>
        <v/>
      </c>
      <c r="L20" s="20" t="str">
        <f>IFERROR(INDEX('Input - Target'!X$2:X$200,MATCH('Calculations - Target'!$D20,'Input - Target'!$P$2:$P$200,0)),"")</f>
        <v/>
      </c>
      <c r="M20" s="21" t="str">
        <f t="shared" si="17"/>
        <v/>
      </c>
      <c r="N20" s="21" t="str">
        <f t="shared" si="2"/>
        <v/>
      </c>
      <c r="O20" s="21" t="str">
        <f t="shared" si="18"/>
        <v/>
      </c>
      <c r="P20" s="9" t="str">
        <f t="shared" si="3"/>
        <v/>
      </c>
      <c r="Q20" s="9" t="str">
        <f t="shared" si="4"/>
        <v/>
      </c>
      <c r="R20" s="8" t="str">
        <f t="shared" si="5"/>
        <v>-</v>
      </c>
      <c r="S20" s="8" t="str">
        <f t="shared" si="19"/>
        <v>-</v>
      </c>
      <c r="T20" t="str">
        <f t="shared" si="6"/>
        <v>-</v>
      </c>
      <c r="U20" t="str">
        <f t="shared" si="6"/>
        <v>-</v>
      </c>
      <c r="V20" t="str">
        <f t="shared" si="20"/>
        <v>-</v>
      </c>
      <c r="W20" t="str">
        <f t="shared" si="7"/>
        <v>-</v>
      </c>
      <c r="X20" s="10" t="str">
        <f t="shared" si="8"/>
        <v>-</v>
      </c>
      <c r="Y20" s="7" t="str">
        <f t="shared" si="21"/>
        <v/>
      </c>
      <c r="Z20" s="13" t="str">
        <f t="shared" si="22"/>
        <v>-</v>
      </c>
      <c r="AA20" t="str">
        <f t="shared" si="23"/>
        <v>-</v>
      </c>
      <c r="AB20" s="16" t="str">
        <f t="shared" si="9"/>
        <v>-</v>
      </c>
      <c r="AC20" s="16" t="str">
        <f t="shared" si="24"/>
        <v>-</v>
      </c>
      <c r="AD20" s="16" t="str">
        <f t="shared" si="25"/>
        <v>-</v>
      </c>
      <c r="AE20" s="9" t="str">
        <f t="shared" si="26"/>
        <v/>
      </c>
      <c r="AF20" s="27" t="str" cm="1">
        <f t="array" ref="AF20">IFERROR(SUM(_xlfn._xlws.FILTER($AH$32:$AH$229*$AL$32:$AL$229,$B$32:$B$229=D20))/SUM(_xlfn._xlws.FILTER($AL$32:$AL$229,$B$32:$B$229=D20)),"-")</f>
        <v>-</v>
      </c>
      <c r="AG20" s="163" t="str">
        <f t="shared" si="27"/>
        <v>-</v>
      </c>
      <c r="AH20" s="126" t="str">
        <f t="shared" si="28"/>
        <v>-</v>
      </c>
      <c r="AI20" s="9" t="str">
        <f t="shared" si="10"/>
        <v/>
      </c>
      <c r="AJ20" s="4" t="str">
        <f t="shared" si="11"/>
        <v/>
      </c>
      <c r="AP20" s="20" t="str">
        <f t="shared" si="12"/>
        <v>-</v>
      </c>
      <c r="AQ20" s="13" t="str">
        <f t="shared" si="29"/>
        <v/>
      </c>
      <c r="AR20" s="9" t="str">
        <f t="shared" si="30"/>
        <v/>
      </c>
      <c r="AS20" s="13" t="str">
        <f t="shared" si="31"/>
        <v/>
      </c>
      <c r="AT20" s="16" t="str">
        <f t="shared" si="32"/>
        <v>-</v>
      </c>
      <c r="AU20" s="16" t="str">
        <f t="shared" si="13"/>
        <v>-</v>
      </c>
      <c r="AV20" s="4" t="str">
        <f t="shared" si="33"/>
        <v>-</v>
      </c>
      <c r="AW20" s="16" t="str">
        <f t="shared" si="14"/>
        <v>-</v>
      </c>
      <c r="AX20" t="str">
        <f t="shared" si="15"/>
        <v/>
      </c>
      <c r="AY20" s="9" t="str">
        <f t="shared" si="34"/>
        <v>-</v>
      </c>
      <c r="AZ20" s="20" t="str">
        <f t="shared" si="35"/>
        <v/>
      </c>
      <c r="BA20" s="20" t="str">
        <f t="shared" si="36"/>
        <v/>
      </c>
      <c r="BB20" s="20" t="str">
        <f t="shared" si="37"/>
        <v/>
      </c>
      <c r="BC20" s="20" t="str">
        <f t="shared" si="38"/>
        <v/>
      </c>
    </row>
    <row r="21" spans="2:70" x14ac:dyDescent="0.3">
      <c r="B21" s="102" t="str">
        <f>""</f>
        <v/>
      </c>
      <c r="C21" s="4">
        <v>18</v>
      </c>
      <c r="D21" s="96" t="str">
        <f t="shared" si="16"/>
        <v/>
      </c>
      <c r="E21" s="3"/>
      <c r="F21" s="97" t="str">
        <f>IFERROR(INDEX('Input - Target'!$Z$3:$Z$200,MATCH('Calculations - Target'!$C21,'Input - Target'!$AA$3:$AA$200,0)),"")</f>
        <v/>
      </c>
      <c r="G21" s="20" t="str">
        <f>IFERROR(INDEX('Input - Target'!S$2:S$200,MATCH('Calculations - Target'!$D21,'Input - Target'!$P$2:$P$200,0)),"")</f>
        <v/>
      </c>
      <c r="H21" s="20" t="str">
        <f>IFERROR(INDEX('Input - Target'!T$2:T$200,MATCH('Calculations - Target'!$D21,'Input - Target'!$P$2:$P$200,0)),"")</f>
        <v/>
      </c>
      <c r="I21" s="27" t="str">
        <f>IFERROR(INDEX('Input - Target'!U$2:U$200,MATCH('Calculations - Target'!$D21,'Input - Target'!$P$2:$P$200,0)),"")</f>
        <v/>
      </c>
      <c r="J21" s="27" t="str">
        <f>IFERROR(INDEX('Input - Target'!V$2:V$200,MATCH('Calculations - Target'!$D21,'Input - Target'!$P$2:$P$200,0)),"")</f>
        <v/>
      </c>
      <c r="K21" s="20" t="str">
        <f>IFERROR(INDEX('Input - Target'!W$2:W$200,MATCH('Calculations - Target'!$D21,'Input - Target'!$P$2:$P$200,0)),"")</f>
        <v/>
      </c>
      <c r="L21" s="20" t="str">
        <f>IFERROR(INDEX('Input - Target'!X$2:X$200,MATCH('Calculations - Target'!$D21,'Input - Target'!$P$2:$P$200,0)),"")</f>
        <v/>
      </c>
      <c r="M21" s="21" t="str">
        <f t="shared" si="17"/>
        <v/>
      </c>
      <c r="N21" s="21" t="str">
        <f t="shared" si="2"/>
        <v/>
      </c>
      <c r="O21" s="21" t="str">
        <f t="shared" si="18"/>
        <v/>
      </c>
      <c r="P21" s="9" t="str">
        <f t="shared" si="3"/>
        <v/>
      </c>
      <c r="Q21" s="9" t="str">
        <f t="shared" si="4"/>
        <v/>
      </c>
      <c r="R21" s="8" t="str">
        <f t="shared" si="5"/>
        <v>-</v>
      </c>
      <c r="S21" s="8" t="str">
        <f t="shared" si="19"/>
        <v>-</v>
      </c>
      <c r="T21" t="str">
        <f t="shared" si="6"/>
        <v>-</v>
      </c>
      <c r="U21" t="str">
        <f t="shared" si="6"/>
        <v>-</v>
      </c>
      <c r="V21" t="str">
        <f t="shared" si="20"/>
        <v>-</v>
      </c>
      <c r="W21" t="str">
        <f t="shared" si="7"/>
        <v>-</v>
      </c>
      <c r="X21" s="10" t="str">
        <f t="shared" si="8"/>
        <v>-</v>
      </c>
      <c r="Y21" s="7" t="str">
        <f t="shared" si="21"/>
        <v/>
      </c>
      <c r="Z21" s="13" t="str">
        <f t="shared" si="22"/>
        <v>-</v>
      </c>
      <c r="AA21" t="str">
        <f t="shared" si="23"/>
        <v>-</v>
      </c>
      <c r="AB21" s="16" t="str">
        <f t="shared" si="9"/>
        <v>-</v>
      </c>
      <c r="AC21" s="16" t="str">
        <f t="shared" si="24"/>
        <v>-</v>
      </c>
      <c r="AD21" s="16" t="str">
        <f t="shared" si="25"/>
        <v>-</v>
      </c>
      <c r="AE21" s="9" t="str">
        <f t="shared" si="26"/>
        <v/>
      </c>
      <c r="AF21" s="27" t="str" cm="1">
        <f t="array" ref="AF21">IFERROR(SUM(_xlfn._xlws.FILTER($AH$32:$AH$229*$AL$32:$AL$229,$B$32:$B$229=D21))/SUM(_xlfn._xlws.FILTER($AL$32:$AL$229,$B$32:$B$229=D21)),"-")</f>
        <v>-</v>
      </c>
      <c r="AG21" s="163" t="str">
        <f t="shared" si="27"/>
        <v>-</v>
      </c>
      <c r="AH21" s="126" t="str">
        <f t="shared" si="28"/>
        <v>-</v>
      </c>
      <c r="AI21" s="9" t="str">
        <f t="shared" si="10"/>
        <v/>
      </c>
      <c r="AJ21" s="4" t="str">
        <f t="shared" si="11"/>
        <v/>
      </c>
      <c r="AP21" s="20" t="str">
        <f t="shared" si="12"/>
        <v>-</v>
      </c>
      <c r="AQ21" s="13" t="str">
        <f t="shared" si="29"/>
        <v/>
      </c>
      <c r="AR21" s="9" t="str">
        <f t="shared" si="30"/>
        <v/>
      </c>
      <c r="AS21" s="13" t="str">
        <f t="shared" si="31"/>
        <v/>
      </c>
      <c r="AT21" s="16" t="str">
        <f t="shared" si="32"/>
        <v>-</v>
      </c>
      <c r="AU21" s="16" t="str">
        <f t="shared" si="13"/>
        <v>-</v>
      </c>
      <c r="AV21" s="4" t="str">
        <f t="shared" si="33"/>
        <v>-</v>
      </c>
      <c r="AW21" s="16" t="str">
        <f t="shared" si="14"/>
        <v>-</v>
      </c>
      <c r="AX21" t="str">
        <f t="shared" si="15"/>
        <v/>
      </c>
      <c r="AY21" s="9" t="str">
        <f t="shared" si="34"/>
        <v>-</v>
      </c>
      <c r="AZ21" s="20" t="str">
        <f t="shared" si="35"/>
        <v/>
      </c>
      <c r="BA21" s="20" t="str">
        <f t="shared" si="36"/>
        <v/>
      </c>
      <c r="BB21" s="20" t="str">
        <f t="shared" si="37"/>
        <v/>
      </c>
      <c r="BC21" s="20" t="str">
        <f t="shared" si="38"/>
        <v/>
      </c>
    </row>
    <row r="22" spans="2:70" x14ac:dyDescent="0.3">
      <c r="B22" s="102" t="str">
        <f>""</f>
        <v/>
      </c>
      <c r="C22" s="4">
        <v>19</v>
      </c>
      <c r="D22" s="96" t="str">
        <f t="shared" si="16"/>
        <v/>
      </c>
      <c r="E22" s="3"/>
      <c r="F22" s="97" t="str">
        <f>IFERROR(INDEX('Input - Target'!$Z$3:$Z$200,MATCH('Calculations - Target'!$C22,'Input - Target'!$AA$3:$AA$200,0)),"")</f>
        <v/>
      </c>
      <c r="G22" s="20" t="str">
        <f>IFERROR(INDEX('Input - Target'!S$2:S$200,MATCH('Calculations - Target'!$D22,'Input - Target'!$P$2:$P$200,0)),"")</f>
        <v/>
      </c>
      <c r="H22" s="20" t="str">
        <f>IFERROR(INDEX('Input - Target'!T$2:T$200,MATCH('Calculations - Target'!$D22,'Input - Target'!$P$2:$P$200,0)),"")</f>
        <v/>
      </c>
      <c r="I22" s="27" t="str">
        <f>IFERROR(INDEX('Input - Target'!U$2:U$200,MATCH('Calculations - Target'!$D22,'Input - Target'!$P$2:$P$200,0)),"")</f>
        <v/>
      </c>
      <c r="J22" s="27" t="str">
        <f>IFERROR(INDEX('Input - Target'!V$2:V$200,MATCH('Calculations - Target'!$D22,'Input - Target'!$P$2:$P$200,0)),"")</f>
        <v/>
      </c>
      <c r="K22" s="20" t="str">
        <f>IFERROR(INDEX('Input - Target'!W$2:W$200,MATCH('Calculations - Target'!$D22,'Input - Target'!$P$2:$P$200,0)),"")</f>
        <v/>
      </c>
      <c r="L22" s="20" t="str">
        <f>IFERROR(INDEX('Input - Target'!X$2:X$200,MATCH('Calculations - Target'!$D22,'Input - Target'!$P$2:$P$200,0)),"")</f>
        <v/>
      </c>
      <c r="M22" s="21" t="str">
        <f t="shared" si="17"/>
        <v/>
      </c>
      <c r="N22" s="21" t="str">
        <f t="shared" si="2"/>
        <v/>
      </c>
      <c r="O22" s="21" t="str">
        <f t="shared" si="18"/>
        <v/>
      </c>
      <c r="P22" s="9" t="str">
        <f t="shared" si="3"/>
        <v/>
      </c>
      <c r="Q22" s="9" t="str">
        <f t="shared" si="4"/>
        <v/>
      </c>
      <c r="R22" s="8" t="str">
        <f t="shared" si="5"/>
        <v>-</v>
      </c>
      <c r="S22" s="8" t="str">
        <f t="shared" si="19"/>
        <v>-</v>
      </c>
      <c r="T22" t="str">
        <f t="shared" si="6"/>
        <v>-</v>
      </c>
      <c r="U22" t="str">
        <f t="shared" si="6"/>
        <v>-</v>
      </c>
      <c r="V22" t="str">
        <f t="shared" si="20"/>
        <v>-</v>
      </c>
      <c r="W22" t="str">
        <f t="shared" si="7"/>
        <v>-</v>
      </c>
      <c r="X22" s="10" t="str">
        <f t="shared" si="8"/>
        <v>-</v>
      </c>
      <c r="Y22" s="7" t="str">
        <f t="shared" si="21"/>
        <v/>
      </c>
      <c r="Z22" s="13" t="str">
        <f t="shared" si="22"/>
        <v>-</v>
      </c>
      <c r="AA22" t="str">
        <f t="shared" si="23"/>
        <v>-</v>
      </c>
      <c r="AB22" s="16" t="str">
        <f t="shared" si="9"/>
        <v>-</v>
      </c>
      <c r="AC22" s="16" t="str">
        <f t="shared" si="24"/>
        <v>-</v>
      </c>
      <c r="AD22" s="16" t="str">
        <f t="shared" si="25"/>
        <v>-</v>
      </c>
      <c r="AE22" s="9" t="str">
        <f t="shared" si="26"/>
        <v/>
      </c>
      <c r="AF22" s="27" t="str" cm="1">
        <f t="array" ref="AF22">IFERROR(SUM(_xlfn._xlws.FILTER($AH$32:$AH$229*$AL$32:$AL$229,$B$32:$B$229=D22))/SUM(_xlfn._xlws.FILTER($AL$32:$AL$229,$B$32:$B$229=D22)),"-")</f>
        <v>-</v>
      </c>
      <c r="AG22" s="163" t="str">
        <f t="shared" si="27"/>
        <v>-</v>
      </c>
      <c r="AH22" s="126" t="str">
        <f t="shared" si="28"/>
        <v>-</v>
      </c>
      <c r="AI22" s="9" t="str">
        <f t="shared" si="10"/>
        <v/>
      </c>
      <c r="AJ22" s="4" t="str">
        <f t="shared" si="11"/>
        <v/>
      </c>
      <c r="AP22" s="20" t="str">
        <f t="shared" si="12"/>
        <v>-</v>
      </c>
      <c r="AQ22" s="13" t="str">
        <f t="shared" si="29"/>
        <v/>
      </c>
      <c r="AR22" s="9" t="str">
        <f t="shared" si="30"/>
        <v/>
      </c>
      <c r="AS22" s="13" t="str">
        <f t="shared" si="31"/>
        <v/>
      </c>
      <c r="AT22" s="16" t="str">
        <f t="shared" si="32"/>
        <v>-</v>
      </c>
      <c r="AU22" s="16" t="str">
        <f t="shared" si="13"/>
        <v>-</v>
      </c>
      <c r="AV22" s="4" t="str">
        <f t="shared" si="33"/>
        <v>-</v>
      </c>
      <c r="AW22" s="16" t="str">
        <f t="shared" si="14"/>
        <v>-</v>
      </c>
      <c r="AX22" t="str">
        <f t="shared" si="15"/>
        <v/>
      </c>
      <c r="AY22" s="9" t="str">
        <f t="shared" si="34"/>
        <v>-</v>
      </c>
      <c r="AZ22" s="20" t="str">
        <f t="shared" si="35"/>
        <v/>
      </c>
      <c r="BA22" s="20" t="str">
        <f t="shared" si="36"/>
        <v/>
      </c>
      <c r="BB22" s="20" t="str">
        <f t="shared" si="37"/>
        <v/>
      </c>
      <c r="BC22" s="20" t="str">
        <f t="shared" si="38"/>
        <v/>
      </c>
    </row>
    <row r="23" spans="2:70" x14ac:dyDescent="0.3">
      <c r="B23" s="102" t="str">
        <f>""</f>
        <v/>
      </c>
      <c r="C23" s="4">
        <v>20</v>
      </c>
      <c r="D23" s="96" t="str">
        <f t="shared" si="16"/>
        <v/>
      </c>
      <c r="E23" s="3"/>
      <c r="F23" s="97" t="str">
        <f>IFERROR(INDEX('Input - Target'!$Z$3:$Z$200,MATCH('Calculations - Target'!$C23,'Input - Target'!$AA$3:$AA$200,0)),"")</f>
        <v/>
      </c>
      <c r="G23" s="20" t="str">
        <f>IFERROR(INDEX('Input - Target'!S$2:S$200,MATCH('Calculations - Target'!$D23,'Input - Target'!$P$2:$P$200,0)),"")</f>
        <v/>
      </c>
      <c r="H23" s="20" t="str">
        <f>IFERROR(INDEX('Input - Target'!T$2:T$200,MATCH('Calculations - Target'!$D23,'Input - Target'!$P$2:$P$200,0)),"")</f>
        <v/>
      </c>
      <c r="I23" s="27" t="str">
        <f>IFERROR(INDEX('Input - Target'!U$2:U$200,MATCH('Calculations - Target'!$D23,'Input - Target'!$P$2:$P$200,0)),"")</f>
        <v/>
      </c>
      <c r="J23" s="27" t="str">
        <f>IFERROR(INDEX('Input - Target'!V$2:V$200,MATCH('Calculations - Target'!$D23,'Input - Target'!$P$2:$P$200,0)),"")</f>
        <v/>
      </c>
      <c r="K23" s="20" t="str">
        <f>IFERROR(INDEX('Input - Target'!W$2:W$200,MATCH('Calculations - Target'!$D23,'Input - Target'!$P$2:$P$200,0)),"")</f>
        <v/>
      </c>
      <c r="L23" s="20" t="str">
        <f>IFERROR(INDEX('Input - Target'!X$2:X$200,MATCH('Calculations - Target'!$D23,'Input - Target'!$P$2:$P$200,0)),"")</f>
        <v/>
      </c>
      <c r="M23" s="21" t="str">
        <f t="shared" si="17"/>
        <v/>
      </c>
      <c r="N23" s="21" t="str">
        <f t="shared" si="2"/>
        <v/>
      </c>
      <c r="O23" s="21" t="str">
        <f t="shared" si="18"/>
        <v/>
      </c>
      <c r="P23" s="9" t="str">
        <f t="shared" si="3"/>
        <v/>
      </c>
      <c r="Q23" s="9" t="str">
        <f t="shared" si="4"/>
        <v/>
      </c>
      <c r="R23" s="8" t="str">
        <f t="shared" si="5"/>
        <v>-</v>
      </c>
      <c r="S23" s="8" t="str">
        <f t="shared" si="19"/>
        <v>-</v>
      </c>
      <c r="T23" t="str">
        <f t="shared" si="6"/>
        <v>-</v>
      </c>
      <c r="U23" t="str">
        <f t="shared" si="6"/>
        <v>-</v>
      </c>
      <c r="V23" t="str">
        <f t="shared" si="20"/>
        <v>-</v>
      </c>
      <c r="W23" t="str">
        <f t="shared" si="7"/>
        <v>-</v>
      </c>
      <c r="X23" s="10" t="str">
        <f t="shared" si="8"/>
        <v>-</v>
      </c>
      <c r="Y23" s="7" t="str">
        <f t="shared" si="21"/>
        <v/>
      </c>
      <c r="Z23" s="13" t="str">
        <f t="shared" si="22"/>
        <v>-</v>
      </c>
      <c r="AA23" t="str">
        <f t="shared" si="23"/>
        <v>-</v>
      </c>
      <c r="AB23" s="16" t="str">
        <f t="shared" si="9"/>
        <v>-</v>
      </c>
      <c r="AC23" s="16" t="str">
        <f t="shared" si="24"/>
        <v>-</v>
      </c>
      <c r="AD23" s="16" t="str">
        <f t="shared" si="25"/>
        <v>-</v>
      </c>
      <c r="AE23" s="9" t="str">
        <f t="shared" si="26"/>
        <v/>
      </c>
      <c r="AF23" s="27" t="str" cm="1">
        <f t="array" ref="AF23">IFERROR(SUM(_xlfn._xlws.FILTER($AH$32:$AH$229*$AL$32:$AL$229,$B$32:$B$229=D23))/SUM(_xlfn._xlws.FILTER($AL$32:$AL$229,$B$32:$B$229=D23)),"-")</f>
        <v>-</v>
      </c>
      <c r="AG23" s="163" t="str">
        <f t="shared" si="27"/>
        <v>-</v>
      </c>
      <c r="AH23" s="126" t="str">
        <f t="shared" si="28"/>
        <v>-</v>
      </c>
      <c r="AI23" s="9" t="str">
        <f t="shared" si="10"/>
        <v/>
      </c>
      <c r="AJ23" s="4" t="str">
        <f t="shared" si="11"/>
        <v/>
      </c>
      <c r="AP23" s="20" t="str">
        <f t="shared" si="12"/>
        <v>-</v>
      </c>
      <c r="AQ23" s="13" t="str">
        <f t="shared" si="29"/>
        <v/>
      </c>
      <c r="AR23" s="9" t="str">
        <f t="shared" si="30"/>
        <v/>
      </c>
      <c r="AS23" s="13" t="str">
        <f t="shared" si="31"/>
        <v/>
      </c>
      <c r="AT23" s="16" t="str">
        <f t="shared" si="32"/>
        <v>-</v>
      </c>
      <c r="AU23" s="16" t="str">
        <f t="shared" si="13"/>
        <v>-</v>
      </c>
      <c r="AV23" s="4" t="str">
        <f t="shared" si="33"/>
        <v>-</v>
      </c>
      <c r="AW23" s="16" t="str">
        <f t="shared" si="14"/>
        <v>-</v>
      </c>
      <c r="AX23" t="str">
        <f t="shared" si="15"/>
        <v/>
      </c>
      <c r="AY23" s="9" t="str">
        <f t="shared" si="34"/>
        <v>-</v>
      </c>
      <c r="AZ23" s="20" t="str">
        <f t="shared" si="35"/>
        <v/>
      </c>
      <c r="BA23" s="20" t="str">
        <f t="shared" si="36"/>
        <v/>
      </c>
      <c r="BB23" s="20" t="str">
        <f t="shared" si="37"/>
        <v/>
      </c>
      <c r="BC23" s="20" t="str">
        <f t="shared" si="38"/>
        <v/>
      </c>
    </row>
    <row r="24" spans="2:70" x14ac:dyDescent="0.3">
      <c r="D24" s="96" t="str">
        <f t="shared" si="16"/>
        <v>TARGETTOTAL CATEGORY</v>
      </c>
      <c r="E24" s="97" t="str">
        <f>E4</f>
        <v>TARGET</v>
      </c>
      <c r="F24" s="3" t="s">
        <v>43</v>
      </c>
      <c r="G24" s="20">
        <f>SUM(G4:G23)</f>
        <v>56553745.562979423</v>
      </c>
      <c r="H24" s="20">
        <f>SUM(H4:H23)</f>
        <v>14042440.031728672</v>
      </c>
      <c r="I24" s="27" t="str">
        <f>IFERROR(INDEX('Input - Target'!U$2:U$200,MATCH('Calculations - Target'!$D24,'Input - Target'!$P$2:$P$200,0)),"")</f>
        <v/>
      </c>
      <c r="J24" s="27">
        <f>'Input - Target'!N3</f>
        <v>10.10828079</v>
      </c>
      <c r="K24" s="20">
        <f t="shared" ref="K24:L24" si="39">SUM(K4:K23)</f>
        <v>190700294.57467008</v>
      </c>
      <c r="L24" s="20">
        <f t="shared" si="39"/>
        <v>54970612.25086917</v>
      </c>
      <c r="M24" s="21">
        <f t="shared" si="17"/>
        <v>4.0273446377692999</v>
      </c>
      <c r="N24" s="21">
        <f t="shared" si="2"/>
        <v>3.4691317190423838</v>
      </c>
      <c r="O24" s="21">
        <f t="shared" si="18"/>
        <v>-3.3114511786905778</v>
      </c>
      <c r="P24" s="9">
        <f>IFERROR(G24/SUM(G$4:G$23),"")</f>
        <v>1</v>
      </c>
      <c r="Q24" s="8">
        <f t="shared" ref="Q24" si="40">SUM(Q4:Q23)</f>
        <v>0.99999999999999989</v>
      </c>
      <c r="R24" s="20"/>
      <c r="S24" s="20"/>
      <c r="T24" s="20">
        <f t="shared" ref="T24:X24" si="41">SUM(T4:T23)</f>
        <v>7838544.6201620791</v>
      </c>
      <c r="U24" s="20">
        <f t="shared" si="41"/>
        <v>2351563.3860486234</v>
      </c>
      <c r="V24" s="8"/>
      <c r="W24" s="20"/>
      <c r="X24" s="20">
        <f t="shared" si="41"/>
        <v>90105599.760843694</v>
      </c>
      <c r="Y24" s="20"/>
      <c r="AA24" s="20">
        <f t="shared" ref="AA24:AB24" si="42">SUM(AA4:AA23)</f>
        <v>56553745.562979415</v>
      </c>
      <c r="AB24" s="20">
        <f t="shared" si="42"/>
        <v>13998440.910588065</v>
      </c>
      <c r="AC24" s="20"/>
      <c r="AD24" s="20"/>
      <c r="AF24" s="27">
        <f>AT24/AU24</f>
        <v>4.0400031635097013</v>
      </c>
      <c r="AJ24" s="20">
        <f t="shared" ref="AJ24" si="43">SUM(AJ4:AJ23)</f>
        <v>14042440.031728672</v>
      </c>
      <c r="AP24" s="15">
        <f>SUM(AP4:AP23)</f>
        <v>90105599.760843694</v>
      </c>
      <c r="AQ24" s="13">
        <f t="shared" si="29"/>
        <v>1</v>
      </c>
      <c r="AR24" s="9">
        <f t="shared" si="30"/>
        <v>1</v>
      </c>
      <c r="AS24" s="13">
        <f t="shared" si="31"/>
        <v>0</v>
      </c>
      <c r="AT24" s="15">
        <f t="shared" ref="AT24" si="44">SUM(AT4:AT23)</f>
        <v>56553745.562979408</v>
      </c>
      <c r="AU24" s="15">
        <f>SUM(AU4:AU23)</f>
        <v>13998440.910588065</v>
      </c>
      <c r="AZ24" s="20">
        <f t="shared" si="35"/>
        <v>93.35852257981314</v>
      </c>
      <c r="BA24" s="20">
        <f t="shared" si="36"/>
        <v>93.165711105055507</v>
      </c>
      <c r="BB24" s="20">
        <f t="shared" si="37"/>
        <v>93.066002694721007</v>
      </c>
      <c r="BC24" s="20">
        <f t="shared" si="38"/>
        <v>92.873795355385283</v>
      </c>
    </row>
    <row r="29" spans="2:70" x14ac:dyDescent="0.3">
      <c r="B29" t="str">
        <f>"L3_"&amp;B31</f>
        <v>L3_Key_Brand</v>
      </c>
      <c r="C29" t="str">
        <f>"L3_"&amp;C31</f>
        <v>L3_L2_Key</v>
      </c>
      <c r="D29" t="str">
        <f t="shared" ref="D29:BE29" si="45">"L3_"&amp;D31</f>
        <v>L3_Key_Input</v>
      </c>
      <c r="E29" t="str">
        <f t="shared" si="45"/>
        <v>L3_Channel</v>
      </c>
      <c r="F29" t="str">
        <f t="shared" si="45"/>
        <v>L3_Brand</v>
      </c>
      <c r="G29" t="str">
        <f t="shared" si="45"/>
        <v>L3_Variant</v>
      </c>
      <c r="H29" t="str">
        <f t="shared" si="45"/>
        <v>L3_PPG</v>
      </c>
      <c r="I29" t="str">
        <f t="shared" si="45"/>
        <v>L3_RSV</v>
      </c>
      <c r="J29" t="str">
        <f t="shared" si="45"/>
        <v>L3_Vol</v>
      </c>
      <c r="K29" t="str">
        <f t="shared" si="45"/>
        <v>L3_CSF</v>
      </c>
      <c r="L29" t="str">
        <f t="shared" si="45"/>
        <v>L3_MCV</v>
      </c>
      <c r="M29" t="str">
        <f t="shared" si="45"/>
        <v>L3_RSV_Total</v>
      </c>
      <c r="N29" t="str">
        <f t="shared" si="45"/>
        <v>L3_Volume_Total</v>
      </c>
      <c r="O29" t="str">
        <f t="shared" si="45"/>
        <v>L3_Current Price</v>
      </c>
      <c r="P29" t="str">
        <f t="shared" si="45"/>
        <v>L3_Price_FP</v>
      </c>
      <c r="Q29" t="str">
        <f t="shared" si="45"/>
        <v>L3_Elasticity</v>
      </c>
      <c r="R29" t="str">
        <f t="shared" si="45"/>
        <v>L3_Val Share</v>
      </c>
      <c r="S29" t="str">
        <f t="shared" si="45"/>
        <v>L3_Vol. Share</v>
      </c>
      <c r="T29" t="str">
        <f t="shared" si="45"/>
        <v>L3_NSV_to_RSV_o</v>
      </c>
      <c r="U29" t="str">
        <f t="shared" si="45"/>
        <v>L3_NSV_to_GM_o</v>
      </c>
      <c r="V29" t="str">
        <f t="shared" si="45"/>
        <v>L3_NSV_o</v>
      </c>
      <c r="W29" t="str">
        <f t="shared" si="45"/>
        <v>L3_GM_o</v>
      </c>
      <c r="X29" t="str">
        <f t="shared" si="45"/>
        <v>L3_Fixed Cost</v>
      </c>
      <c r="Y29" t="str">
        <f t="shared" si="45"/>
        <v>L3_Fixed Cost per Unit</v>
      </c>
      <c r="Z29" t="str">
        <f t="shared" si="45"/>
        <v>L3_TPV</v>
      </c>
      <c r="AA29" t="str">
        <f t="shared" si="45"/>
        <v>L3_PVS</v>
      </c>
      <c r="AB29" t="str">
        <f t="shared" si="45"/>
        <v>L3_MS Headroom</v>
      </c>
      <c r="AC29" t="str">
        <f t="shared" si="45"/>
        <v>L3_New RSV</v>
      </c>
      <c r="AD29" t="str">
        <f t="shared" si="45"/>
        <v>L3_Vol_i</v>
      </c>
      <c r="AE29" t="str">
        <f t="shared" si="45"/>
        <v>L3_NSV_i</v>
      </c>
      <c r="AF29" t="str">
        <f t="shared" si="45"/>
        <v>L3_GM</v>
      </c>
      <c r="AG29" t="str">
        <f t="shared" si="45"/>
        <v>L3_</v>
      </c>
      <c r="AH29" t="str">
        <f t="shared" si="45"/>
        <v>L3_New Price</v>
      </c>
      <c r="AI29" t="str">
        <f t="shared" si="45"/>
        <v>L3_NSV_to_RSV</v>
      </c>
      <c r="AJ29" t="str">
        <f t="shared" si="45"/>
        <v>L3_NSV_to_GM</v>
      </c>
      <c r="AK29" t="str">
        <f t="shared" si="45"/>
        <v>L3_Price_Chng</v>
      </c>
      <c r="AL29" t="str">
        <f t="shared" si="45"/>
        <v>L3_Revised_New_Vol</v>
      </c>
      <c r="AM29" t="str">
        <f t="shared" si="45"/>
        <v>L3_New Category Price</v>
      </c>
      <c r="AN29" t="str">
        <f t="shared" si="45"/>
        <v>L3_Chg Category Price</v>
      </c>
      <c r="AO29" t="str">
        <f t="shared" si="45"/>
        <v>L3_Chng in Cat Vol.</v>
      </c>
      <c r="AP29" t="str">
        <f t="shared" si="45"/>
        <v>L3_New Cat Vol</v>
      </c>
      <c r="AQ29" t="str">
        <f t="shared" si="45"/>
        <v>L3_New Cat Val</v>
      </c>
      <c r="AR29" t="str">
        <f t="shared" si="45"/>
        <v>L3_TPV_n</v>
      </c>
      <c r="AS29" t="str">
        <f t="shared" si="45"/>
        <v>L3_TPV_Share</v>
      </c>
      <c r="AT29" t="str">
        <f t="shared" si="45"/>
        <v>L3_PVS_N</v>
      </c>
      <c r="AU29" t="str">
        <f t="shared" si="45"/>
        <v>L3_MSP_N</v>
      </c>
      <c r="AV29" t="str">
        <f t="shared" si="45"/>
        <v>L3_RSV_N</v>
      </c>
      <c r="AW29" t="str">
        <f t="shared" si="45"/>
        <v>L3_New Vol</v>
      </c>
      <c r="AX29" t="str">
        <f t="shared" si="45"/>
        <v>L3_New NSV</v>
      </c>
      <c r="AY29" t="str">
        <f t="shared" si="45"/>
        <v>L3_New GP</v>
      </c>
      <c r="AZ29" s="96" t="str">
        <f t="shared" si="45"/>
        <v>L3_Vol_Contri</v>
      </c>
      <c r="BA29" s="96" t="str">
        <f t="shared" si="45"/>
        <v>L3_Updated_Vol</v>
      </c>
      <c r="BB29" s="96" t="str">
        <f t="shared" si="45"/>
        <v>L3_Sim. Vol Share</v>
      </c>
      <c r="BC29" s="96" t="str">
        <f t="shared" si="45"/>
        <v>L3_Val_Contri</v>
      </c>
      <c r="BD29" s="96" t="str">
        <f t="shared" si="45"/>
        <v>L3_Updated_Val</v>
      </c>
      <c r="BE29" s="96" t="str">
        <f t="shared" si="45"/>
        <v>L3_Sim. Val Share</v>
      </c>
    </row>
    <row r="30" spans="2:70" x14ac:dyDescent="0.3">
      <c r="B30" s="26" t="str">
        <f>IFERROR(E30&amp;F30,"")</f>
        <v>TARGETTOTAL CATEGORY</v>
      </c>
      <c r="C30" s="26"/>
      <c r="E30" s="97" t="str">
        <f>E32</f>
        <v>TARGET</v>
      </c>
      <c r="F30" s="3" t="s">
        <v>43</v>
      </c>
      <c r="I30" s="15">
        <f>SUM(I32:I229)</f>
        <v>56553745.5629794</v>
      </c>
      <c r="J30" s="15">
        <f>SUM(J32:J229)</f>
        <v>14042440.031728664</v>
      </c>
      <c r="L30" s="29">
        <f>'Input - Target'!N3</f>
        <v>10.10828079</v>
      </c>
      <c r="M30" s="15">
        <f t="shared" ref="M30:N30" si="46">SUM(M32:M229)</f>
        <v>190076582.02037439</v>
      </c>
      <c r="N30" s="15">
        <f t="shared" si="46"/>
        <v>54876538.593761273</v>
      </c>
      <c r="O30" s="14">
        <f>IFERROR(I30/J30,"")</f>
        <v>4.0273446377693007</v>
      </c>
      <c r="P30" s="14">
        <f>IFERROR(M30/N30,"")</f>
        <v>3.4637130345896772</v>
      </c>
      <c r="Q30" s="14">
        <f>IFERROR((O30/(O30-L30)*5),0)</f>
        <v>-3.3114511786905787</v>
      </c>
      <c r="R30" s="19">
        <f>SUM(R32:R229)</f>
        <v>1</v>
      </c>
      <c r="Z30" s="12">
        <f>SUM(Z32:Z229)</f>
        <v>90105599.76084362</v>
      </c>
      <c r="AR30" s="15">
        <f>SUM(AR32:AR229)</f>
        <v>90105599.76084362</v>
      </c>
      <c r="AZ30" s="96"/>
      <c r="BA30" s="96"/>
      <c r="BB30" s="96"/>
      <c r="BC30" s="96"/>
      <c r="BD30" s="96"/>
      <c r="BE30" s="96"/>
      <c r="BG30" s="4"/>
    </row>
    <row r="31" spans="2:70" x14ac:dyDescent="0.3">
      <c r="B31" s="4" t="s">
        <v>42</v>
      </c>
      <c r="C31" s="4" t="s">
        <v>103</v>
      </c>
      <c r="D31" s="4" t="s">
        <v>41</v>
      </c>
      <c r="E31" s="4" t="s">
        <v>0</v>
      </c>
      <c r="F31" s="4" t="s">
        <v>1</v>
      </c>
      <c r="G31" s="4" t="s">
        <v>100</v>
      </c>
      <c r="H31" s="4" t="s">
        <v>2</v>
      </c>
      <c r="I31" s="6" t="s">
        <v>3</v>
      </c>
      <c r="J31" s="6" t="s">
        <v>4</v>
      </c>
      <c r="K31" s="6" t="s">
        <v>5</v>
      </c>
      <c r="L31" s="6" t="s">
        <v>6</v>
      </c>
      <c r="M31" s="6" t="s">
        <v>7</v>
      </c>
      <c r="N31" s="6" t="s">
        <v>8</v>
      </c>
      <c r="O31" s="5" t="s">
        <v>10</v>
      </c>
      <c r="P31" s="5" t="s">
        <v>12</v>
      </c>
      <c r="Q31" s="5" t="s">
        <v>11</v>
      </c>
      <c r="R31" s="5" t="s">
        <v>20</v>
      </c>
      <c r="S31" s="5" t="s">
        <v>19</v>
      </c>
      <c r="T31" s="5" t="s">
        <v>27</v>
      </c>
      <c r="U31" s="5" t="s">
        <v>28</v>
      </c>
      <c r="V31" s="9" t="s">
        <v>29</v>
      </c>
      <c r="W31" s="9" t="s">
        <v>30</v>
      </c>
      <c r="X31" s="9" t="s">
        <v>47</v>
      </c>
      <c r="Y31" s="9" t="s">
        <v>48</v>
      </c>
      <c r="Z31" s="5" t="s">
        <v>22</v>
      </c>
      <c r="AA31" s="5" t="s">
        <v>23</v>
      </c>
      <c r="AB31" s="5" t="s">
        <v>24</v>
      </c>
      <c r="AC31" s="5" t="s">
        <v>25</v>
      </c>
      <c r="AD31" s="5" t="s">
        <v>26</v>
      </c>
      <c r="AE31" s="5" t="s">
        <v>21</v>
      </c>
      <c r="AF31" s="5" t="s">
        <v>18</v>
      </c>
      <c r="AG31" s="5"/>
      <c r="AH31" s="5" t="s">
        <v>13</v>
      </c>
      <c r="AI31" s="5" t="s">
        <v>16</v>
      </c>
      <c r="AJ31" s="5" t="s">
        <v>17</v>
      </c>
      <c r="AK31" s="5" t="s">
        <v>14</v>
      </c>
      <c r="AL31" s="5" t="s">
        <v>15</v>
      </c>
      <c r="AM31" s="17" t="s">
        <v>31</v>
      </c>
      <c r="AN31" s="17" t="s">
        <v>83</v>
      </c>
      <c r="AO31" s="18" t="s">
        <v>32</v>
      </c>
      <c r="AP31" s="18" t="s">
        <v>34</v>
      </c>
      <c r="AQ31" s="18" t="s">
        <v>35</v>
      </c>
      <c r="AR31" s="4" t="s">
        <v>36</v>
      </c>
      <c r="AS31" s="4" t="s">
        <v>37</v>
      </c>
      <c r="AT31" s="4" t="s">
        <v>44</v>
      </c>
      <c r="AU31" s="4" t="s">
        <v>45</v>
      </c>
      <c r="AV31" s="4" t="s">
        <v>46</v>
      </c>
      <c r="AW31" s="4" t="s">
        <v>38</v>
      </c>
      <c r="AX31" s="4" t="s">
        <v>39</v>
      </c>
      <c r="AY31" s="4" t="s">
        <v>40</v>
      </c>
      <c r="AZ31" s="122" t="s">
        <v>128</v>
      </c>
      <c r="BA31" s="123" t="s">
        <v>129</v>
      </c>
      <c r="BB31" s="123" t="s">
        <v>130</v>
      </c>
      <c r="BC31" s="122" t="s">
        <v>157</v>
      </c>
      <c r="BD31" s="123" t="s">
        <v>158</v>
      </c>
      <c r="BE31" s="123" t="s">
        <v>159</v>
      </c>
    </row>
    <row r="32" spans="2:70" x14ac:dyDescent="0.3">
      <c r="B32" s="96" t="str">
        <f>IFERROR(E32&amp;F32,"")</f>
        <v>TARGETHELLMANNS BEST FOODS</v>
      </c>
      <c r="C32" s="96" t="str">
        <f>E32&amp;F32&amp;G32</f>
        <v>TARGETHELLMANNS BEST FOODSAIOLI</v>
      </c>
      <c r="D32" s="96" t="str">
        <f>IFERROR(E32&amp;F32&amp;G32&amp;H32,"")</f>
        <v>TARGETHELLMANNS BEST FOODSAIOLIOTHER</v>
      </c>
      <c r="E32" s="3" t="s">
        <v>134</v>
      </c>
      <c r="F32" s="3" t="s">
        <v>106</v>
      </c>
      <c r="G32" s="3" t="s">
        <v>112</v>
      </c>
      <c r="H32" s="3" t="s">
        <v>115</v>
      </c>
      <c r="I32" s="20">
        <f>IFERROR(INDEX('Input - Target'!G$2:G$200,MATCH('Calculations - Target'!$D32,'Input - Target'!$B$2:$B$200,0)),"")</f>
        <v>996229.74720400001</v>
      </c>
      <c r="J32" s="20">
        <f>IFERROR(INDEX('Input - Target'!H$2:H$200,MATCH('Calculations - Target'!$D32,'Input - Target'!$B$2:$B$200,0)),"")</f>
        <v>156661.174597</v>
      </c>
      <c r="K32" s="21">
        <f>IFERROR(INDEX('Input - Target'!I$2:I$200,MATCH('Calculations - Target'!$D32,'Input - Target'!$B$2:$B$200,0)),"")</f>
        <v>2.2662913956264701</v>
      </c>
      <c r="L32" s="21">
        <f>IFERROR(INDEX('Input - Target'!J$2:J$200,MATCH('Calculations - Target'!$D32,'Input - Target'!$B$2:$B$200,0)),"")</f>
        <v>14.4116556636541</v>
      </c>
      <c r="M32" s="20">
        <f>IFERROR(INDEX('Input - Target'!K$2:K$200,MATCH('Calculations - Target'!$D32,'Input - Target'!$B$2:$B$200,0)),"")</f>
        <v>1837510.1279849999</v>
      </c>
      <c r="N32" s="20">
        <f>IFERROR(INDEX('Input - Target'!L$2:L$200,MATCH('Calculations - Target'!$D32,'Input - Target'!$B$2:$B$200,0)),"")</f>
        <v>310378.03755900002</v>
      </c>
      <c r="O32" s="21">
        <f>IFERROR(I32/J32,"")</f>
        <v>6.3591362044024748</v>
      </c>
      <c r="P32" s="21">
        <f t="shared" ref="P32:P95" si="47">IFERROR(M32/N32,"")</f>
        <v>5.920232444396798</v>
      </c>
      <c r="Q32" s="21">
        <f>IFERROR((O32/(O32-L32)*5),0)</f>
        <v>-3.9485382410944663</v>
      </c>
      <c r="R32" s="9">
        <f t="shared" ref="R32:R63" si="48">I32/SUM(I$32:I$229)</f>
        <v>1.7615628059410818E-2</v>
      </c>
      <c r="S32" s="9">
        <f t="shared" ref="S32:S63" si="49">J32/SUM(J$32:J$229)</f>
        <v>1.1156264455680539E-2</v>
      </c>
      <c r="T32" s="22">
        <f>IFERROR(INDEX(Target!$S$11:$S$167,MATCH('Calculations - Target'!$D32,Target!$N$11:$N$167,0)),"")</f>
        <v>0</v>
      </c>
      <c r="U32" s="22">
        <f>IFERROR(INDEX(Target!$T$11:$T$167,MATCH('Calculations - Target'!$D32,Target!$N$11:$N$167,0)),"")</f>
        <v>0</v>
      </c>
      <c r="V32" s="16">
        <f t="shared" ref="V32:V95" si="50">T32*I32</f>
        <v>0</v>
      </c>
      <c r="W32" s="16">
        <f>U32*V32</f>
        <v>0</v>
      </c>
      <c r="X32" s="16">
        <f>V32-W32</f>
        <v>0</v>
      </c>
      <c r="Y32" s="10">
        <f t="shared" ref="Y32:Y95" si="51">IFERROR(X32/J32,"-")</f>
        <v>0</v>
      </c>
      <c r="Z32" s="10">
        <f t="shared" ref="Z32:Z95" si="52">IFERROR((L32+O32)*J32*0.5,"-")</f>
        <v>1626988.3256797798</v>
      </c>
      <c r="AA32" s="13">
        <f>IFERROR(Z32/$Z$30,"-")</f>
        <v>1.8056461862504637E-2</v>
      </c>
      <c r="AB32" s="9">
        <f t="shared" ref="AB32:AB95" si="53">IFERROR(AA32-R32,"-")</f>
        <v>4.4083380309381873E-4</v>
      </c>
      <c r="AC32" s="16">
        <f>IFERROR(AA32*$I$30,"-")</f>
        <v>1021160.5499397283</v>
      </c>
      <c r="AD32" s="16">
        <f t="shared" ref="AD32:AD95" si="54">IFERROR(AC32/O32,"-")</f>
        <v>160581.64460021656</v>
      </c>
      <c r="AE32" s="16">
        <f t="shared" ref="AE32:AE95" si="55">IFERROR(T32*AC32,"-")</f>
        <v>0</v>
      </c>
      <c r="AF32" s="16">
        <f>IFERROR(AE32-(Y32)*AD32,"-")</f>
        <v>0</v>
      </c>
      <c r="AG32" s="16"/>
      <c r="AH32" s="32">
        <f>IFERROR(INDEX(Target!$R$11:$R$167,MATCH('Calculations - Target'!D32,Target!$N$11:$N$167,0)),"")</f>
        <v>6.3591362044024748</v>
      </c>
      <c r="AI32" s="23">
        <f>T32</f>
        <v>0</v>
      </c>
      <c r="AJ32" s="23">
        <f>U32</f>
        <v>0</v>
      </c>
      <c r="AK32" s="9">
        <f t="shared" ref="AK32:AK95" si="56">IFERROR((AH32-O32)/O32,"")</f>
        <v>0</v>
      </c>
      <c r="AL32" s="4">
        <f t="shared" ref="AL32:AL95" si="57">IFERROR(MAX((1+AK32*Q32/5)*J32,0),"")</f>
        <v>156661.174597</v>
      </c>
      <c r="AM32" s="18">
        <f>SUMPRODUCT(AH$32:AH$229,AL$32:AL$229)/SUM(AL$32:AL$229)</f>
        <v>4.0273446377693007</v>
      </c>
      <c r="AN32" s="24">
        <f>$AM32/$O$30-1</f>
        <v>0</v>
      </c>
      <c r="AO32" s="24">
        <f>$AN32*$Q$30/5</f>
        <v>0</v>
      </c>
      <c r="AP32" s="25">
        <f>(1+$AO32)*$J$30</f>
        <v>14042440.031728664</v>
      </c>
      <c r="AQ32" s="25">
        <f>AP32*AM32</f>
        <v>56553745.562979408</v>
      </c>
      <c r="AR32" s="20">
        <f t="shared" ref="AR32:AR95" si="58">IFERROR(0.5*(L32+AH32)*AL32,"-")</f>
        <v>1626988.3256797798</v>
      </c>
      <c r="AS32" s="13">
        <f>IFERROR(AR32/AR$30,"-")</f>
        <v>1.8056461862504637E-2</v>
      </c>
      <c r="AT32" s="13">
        <f>IFERROR(AS32*$R$30,"-")</f>
        <v>1.8056461862504637E-2</v>
      </c>
      <c r="AU32" s="13">
        <f t="shared" ref="AU32:AU95" si="59">IFERROR(AT32-R32,"-")</f>
        <v>4.4083380309381873E-4</v>
      </c>
      <c r="AV32" s="16">
        <f>IFERROR(AT32*AQ$32,"-")</f>
        <v>1021160.5499397285</v>
      </c>
      <c r="AW32" s="16">
        <f t="shared" ref="AW32:AW95" si="60">IFERROR(AV32/AH32,"-")</f>
        <v>160581.64460021659</v>
      </c>
      <c r="AX32" s="16">
        <f t="shared" ref="AX32:AX95" si="61">IFERROR(AI32*AV32,"-")</f>
        <v>0</v>
      </c>
      <c r="AY32" s="16">
        <f>IFERROR(AX32-(Y32*AW32),"-")</f>
        <v>0</v>
      </c>
      <c r="AZ32" s="13">
        <f>IFERROR(AW32/SUMIFS($AW$32:$AW$229,$B$32:$B$229,B32),"-")</f>
        <v>2.1737773308987404E-2</v>
      </c>
      <c r="BA32" s="10">
        <f>IFERROR(AZ32*INDEX($AU$4:$AU$24,MATCH($B32,$D$4:$D$24,0)),"-")</f>
        <v>160058.27717304931</v>
      </c>
      <c r="BB32" s="9">
        <f>IFERROR(BA32/SUM($BA$32:$BA$229),"-")</f>
        <v>1.1434007415210456E-2</v>
      </c>
      <c r="BC32" s="13">
        <f>IFERROR(AV32/SUMIFS($AV$32:$AV$229,$B$32:$B$229,B32),"-")</f>
        <v>3.3336660827139868E-2</v>
      </c>
      <c r="BD32" s="10">
        <f>IFERROR(BC32*INDEX($AT$4:$AT$24,MATCH($B32,$D$4:$D$24,0)),"-")</f>
        <v>1021160.5499397283</v>
      </c>
      <c r="BE32" s="13">
        <f>IFERROR(BD32/SUM($BD$32:$BD$229),"-")</f>
        <v>1.805646186250463E-2</v>
      </c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</row>
    <row r="33" spans="2:70" x14ac:dyDescent="0.3">
      <c r="B33" s="96" t="str">
        <f t="shared" ref="B33:B96" si="62">IFERROR(E33&amp;F33,"")</f>
        <v>TARGETKRAFT</v>
      </c>
      <c r="C33" s="96" t="str">
        <f t="shared" ref="C33:C96" si="63">E33&amp;F33&amp;G33</f>
        <v>TARGETKRAFTAIOLI</v>
      </c>
      <c r="D33" s="96" t="str">
        <f t="shared" ref="D33:D96" si="64">IFERROR(E33&amp;F33&amp;G33&amp;H33,"")</f>
        <v>TARGETKRAFTAIOLIJAR 30OZ</v>
      </c>
      <c r="E33" s="3" t="s">
        <v>134</v>
      </c>
      <c r="F33" s="3" t="s">
        <v>107</v>
      </c>
      <c r="G33" s="3" t="s">
        <v>112</v>
      </c>
      <c r="H33" s="3" t="s">
        <v>118</v>
      </c>
      <c r="I33" s="20">
        <f>IFERROR(INDEX('Input - Target'!G$2:G$200,MATCH('Calculations - Target'!$D33,'Input - Target'!$B$2:$B$200,0)),"")</f>
        <v>17580.673688568</v>
      </c>
      <c r="J33" s="20">
        <f>IFERROR(INDEX('Input - Target'!H$2:H$200,MATCH('Calculations - Target'!$D33,'Input - Target'!$B$2:$B$200,0)),"")</f>
        <v>8349.5648062759992</v>
      </c>
      <c r="K33" s="21">
        <f>IFERROR(INDEX('Input - Target'!I$2:I$200,MATCH('Calculations - Target'!$D33,'Input - Target'!$B$2:$B$200,0)),"")</f>
        <v>2.9912551050493201</v>
      </c>
      <c r="L33" s="21">
        <f>IFERROR(INDEX('Input - Target'!J$2:J$200,MATCH('Calculations - Target'!$D33,'Input - Target'!$B$2:$B$200,0)),"")</f>
        <v>6.2983258578467396</v>
      </c>
      <c r="M33" s="20">
        <f>IFERROR(INDEX('Input - Target'!K$2:K$200,MATCH('Calculations - Target'!$D33,'Input - Target'!$B$2:$B$200,0)),"")</f>
        <v>32632.93269863</v>
      </c>
      <c r="N33" s="20">
        <f>IFERROR(INDEX('Input - Target'!L$2:L$200,MATCH('Calculations - Target'!$D33,'Input - Target'!$B$2:$B$200,0)),"")</f>
        <v>13815.303944039</v>
      </c>
      <c r="O33" s="21">
        <f t="shared" ref="O33:O96" si="65">IFERROR(I33/J33,"")</f>
        <v>2.1055796435466174</v>
      </c>
      <c r="P33" s="21">
        <f t="shared" si="47"/>
        <v>2.362085758721971</v>
      </c>
      <c r="Q33" s="21">
        <f t="shared" ref="Q33:Q96" si="66">IFERROR((O33/(O33-L33)*5),0)</f>
        <v>-2.5109791243328248</v>
      </c>
      <c r="R33" s="9">
        <f t="shared" si="48"/>
        <v>3.1086665460539309E-4</v>
      </c>
      <c r="S33" s="9">
        <f t="shared" si="49"/>
        <v>5.9459501250568232E-4</v>
      </c>
      <c r="T33" s="22">
        <f>IFERROR(INDEX(Target!$S$11:$S$167,MATCH('Calculations - Target'!$D33,Target!$N$11:$N$167,0)),"")</f>
        <v>0.8</v>
      </c>
      <c r="U33" s="22">
        <f>IFERROR(INDEX(Target!$T$11:$T$167,MATCH('Calculations - Target'!$D33,Target!$N$11:$N$167,0)),"")</f>
        <v>0.3</v>
      </c>
      <c r="V33" s="16">
        <f t="shared" si="50"/>
        <v>14064.538950854401</v>
      </c>
      <c r="W33" s="16">
        <f t="shared" ref="W33:W96" si="67">U33*V33</f>
        <v>4219.36168525632</v>
      </c>
      <c r="X33" s="16">
        <f t="shared" ref="X33:X96" si="68">V33-W33</f>
        <v>9845.1772655980822</v>
      </c>
      <c r="Y33" s="10">
        <f t="shared" si="51"/>
        <v>1.179124600386106</v>
      </c>
      <c r="Z33" s="10">
        <f t="shared" si="52"/>
        <v>35084.476804851613</v>
      </c>
      <c r="AA33" s="13">
        <f t="shared" ref="AA33:AA96" si="69">IFERROR(Z33/$Z$30,"-")</f>
        <v>3.8937065951474815E-4</v>
      </c>
      <c r="AB33" s="9">
        <f t="shared" si="53"/>
        <v>7.850400490935506E-5</v>
      </c>
      <c r="AC33" s="16">
        <f t="shared" ref="AC33:AC96" si="70">IFERROR(AA33*$I$30,"-")</f>
        <v>22020.36920788655</v>
      </c>
      <c r="AD33" s="16">
        <f t="shared" si="54"/>
        <v>10458.103199931995</v>
      </c>
      <c r="AE33" s="16">
        <f t="shared" si="55"/>
        <v>17616.295366309241</v>
      </c>
      <c r="AF33" s="16">
        <f t="shared" ref="AF33:AF96" si="71">IFERROR(AE33-(Y33)*AD33,"-")</f>
        <v>5284.8886098927705</v>
      </c>
      <c r="AG33" s="16"/>
      <c r="AH33" s="32">
        <f>IFERROR(INDEX(Target!$R$11:$R$167,MATCH('Calculations - Target'!D33,Target!$N$11:$N$167,0)),"")</f>
        <v>2.1055796435466174</v>
      </c>
      <c r="AI33" s="23">
        <f t="shared" ref="AI33:AI96" si="72">T33</f>
        <v>0.8</v>
      </c>
      <c r="AJ33" s="23">
        <f t="shared" ref="AJ33:AJ96" si="73">U33</f>
        <v>0.3</v>
      </c>
      <c r="AK33" s="9">
        <f t="shared" si="56"/>
        <v>0</v>
      </c>
      <c r="AL33" s="4">
        <f t="shared" si="57"/>
        <v>8349.5648062759992</v>
      </c>
      <c r="AM33" s="4"/>
      <c r="AN33" s="4"/>
      <c r="AO33" s="4"/>
      <c r="AP33" s="4"/>
      <c r="AQ33" s="4"/>
      <c r="AR33" s="20">
        <f t="shared" si="58"/>
        <v>35084.476804851613</v>
      </c>
      <c r="AS33" s="13">
        <f t="shared" ref="AS33:AS96" si="74">IFERROR(AR33/AR$30,"-")</f>
        <v>3.8937065951474815E-4</v>
      </c>
      <c r="AT33" s="13">
        <f t="shared" ref="AT33:AT96" si="75">IFERROR(AS33*$R$30,"-")</f>
        <v>3.8937065951474815E-4</v>
      </c>
      <c r="AU33" s="13">
        <f t="shared" si="59"/>
        <v>7.850400490935506E-5</v>
      </c>
      <c r="AV33" s="16">
        <f t="shared" ref="AV33:AV96" si="76">IFERROR(AT33*AQ$32,"-")</f>
        <v>22020.369207886553</v>
      </c>
      <c r="AW33" s="16">
        <f t="shared" si="60"/>
        <v>10458.103199931997</v>
      </c>
      <c r="AX33" s="16">
        <f t="shared" si="61"/>
        <v>17616.295366309245</v>
      </c>
      <c r="AY33" s="16">
        <f t="shared" ref="AY33:AY96" si="77">IFERROR(AX33-(Y33*AW33),"-")</f>
        <v>5284.8886098927724</v>
      </c>
      <c r="AZ33" s="13">
        <f t="shared" ref="AZ33:AZ96" si="78">IFERROR(AW33/SUMIFS($AW$32:$AW$229,$B$32:$B$229,B33),"-")</f>
        <v>6.6643166242977671E-3</v>
      </c>
      <c r="BA33" s="10">
        <f t="shared" ref="BA33:BA96" si="79">IFERROR(AZ33*INDEX($AU$4:$AU$24,MATCH($B33,$D$4:$D$24,0)),"-")</f>
        <v>10526.680470442268</v>
      </c>
      <c r="BB33" s="9">
        <f t="shared" ref="BB33:BB96" si="80">IFERROR(BA33/SUM($BA$32:$BA$229),"-")</f>
        <v>7.5198949209266284E-4</v>
      </c>
      <c r="BC33" s="13">
        <f t="shared" ref="BC33:BC96" si="81">IFERROR(AV33/SUMIFS($AV$32:$AV$229,$B$32:$B$229,B33),"-")</f>
        <v>3.7077975429398542E-3</v>
      </c>
      <c r="BD33" s="10">
        <f t="shared" ref="BD33:BD96" si="82">IFERROR(BC33*INDEX($AT$4:$AT$24,MATCH($B33,$D$4:$D$24,0)),"-")</f>
        <v>22020.369207886575</v>
      </c>
      <c r="BE33" s="13">
        <f t="shared" ref="BE33:BE96" si="83">IFERROR(BD33/SUM($BD$32:$BD$229),"-")</f>
        <v>3.8937065951474842E-4</v>
      </c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2:70" x14ac:dyDescent="0.3">
      <c r="B34" s="96" t="str">
        <f t="shared" si="62"/>
        <v>TARGETKRAFT</v>
      </c>
      <c r="C34" s="96" t="str">
        <f t="shared" si="63"/>
        <v>TARGETKRAFTAIOLI</v>
      </c>
      <c r="D34" s="96" t="str">
        <f t="shared" si="64"/>
        <v>TARGETKRAFTAIOLISQUEEZY 12OZ</v>
      </c>
      <c r="E34" s="3" t="s">
        <v>134</v>
      </c>
      <c r="F34" s="3" t="s">
        <v>107</v>
      </c>
      <c r="G34" s="3" t="s">
        <v>112</v>
      </c>
      <c r="H34" s="3" t="s">
        <v>117</v>
      </c>
      <c r="I34" s="20">
        <f>IFERROR(INDEX('Input - Target'!G$2:G$200,MATCH('Calculations - Target'!$D34,'Input - Target'!$B$2:$B$200,0)),"")</f>
        <v>2119477.4537999998</v>
      </c>
      <c r="J34" s="20">
        <f>IFERROR(INDEX('Input - Target'!H$2:H$200,MATCH('Calculations - Target'!$D34,'Input - Target'!$B$2:$B$200,0)),"")</f>
        <v>353967.31307700003</v>
      </c>
      <c r="K34" s="21">
        <f>IFERROR(INDEX('Input - Target'!I$2:I$200,MATCH('Calculations - Target'!$D34,'Input - Target'!$B$2:$B$200,0)),"")</f>
        <v>2.2234327909365801</v>
      </c>
      <c r="L34" s="21">
        <f>IFERROR(INDEX('Input - Target'!J$2:J$200,MATCH('Calculations - Target'!$D34,'Input - Target'!$B$2:$B$200,0)),"")</f>
        <v>13.313420466608299</v>
      </c>
      <c r="M34" s="20">
        <f>IFERROR(INDEX('Input - Target'!K$2:K$200,MATCH('Calculations - Target'!$D34,'Input - Target'!$B$2:$B$200,0)),"")</f>
        <v>5365942.5206300002</v>
      </c>
      <c r="N34" s="20">
        <f>IFERROR(INDEX('Input - Target'!L$2:L$200,MATCH('Calculations - Target'!$D34,'Input - Target'!$B$2:$B$200,0)),"")</f>
        <v>1049172.2632520001</v>
      </c>
      <c r="O34" s="21">
        <f t="shared" si="65"/>
        <v>5.9877773328153063</v>
      </c>
      <c r="P34" s="21">
        <f t="shared" si="47"/>
        <v>5.1144532776703393</v>
      </c>
      <c r="Q34" s="21">
        <f t="shared" si="66"/>
        <v>-4.0868611966598891</v>
      </c>
      <c r="R34" s="9">
        <f t="shared" si="48"/>
        <v>3.747722511924001E-2</v>
      </c>
      <c r="S34" s="9">
        <f t="shared" si="49"/>
        <v>2.5206966330439486E-2</v>
      </c>
      <c r="T34" s="22">
        <f>IFERROR(INDEX(Target!$S$11:$S$167,MATCH('Calculations - Target'!$D34,Target!$N$11:$N$167,0)),"")</f>
        <v>0.8</v>
      </c>
      <c r="U34" s="22">
        <f>IFERROR(INDEX(Target!$T$11:$T$167,MATCH('Calculations - Target'!$D34,Target!$N$11:$N$167,0)),"")</f>
        <v>0.3</v>
      </c>
      <c r="V34" s="16">
        <f t="shared" si="50"/>
        <v>1695581.9630399998</v>
      </c>
      <c r="W34" s="16">
        <f t="shared" si="67"/>
        <v>508674.58891199995</v>
      </c>
      <c r="X34" s="16">
        <f t="shared" si="68"/>
        <v>1186907.3741279999</v>
      </c>
      <c r="Y34" s="10">
        <f t="shared" si="51"/>
        <v>3.3531553063765718</v>
      </c>
      <c r="Z34" s="10">
        <f t="shared" si="52"/>
        <v>3415996.5621148394</v>
      </c>
      <c r="AA34" s="13">
        <f t="shared" si="69"/>
        <v>3.7911035176298756E-2</v>
      </c>
      <c r="AB34" s="9">
        <f t="shared" si="53"/>
        <v>4.3381005705874637E-4</v>
      </c>
      <c r="AC34" s="16">
        <f t="shared" si="70"/>
        <v>2144011.0373895615</v>
      </c>
      <c r="AD34" s="16">
        <f t="shared" si="54"/>
        <v>358064.59028453886</v>
      </c>
      <c r="AE34" s="16">
        <f t="shared" si="55"/>
        <v>1715208.8299116492</v>
      </c>
      <c r="AF34" s="16">
        <f t="shared" si="71"/>
        <v>514562.64897349477</v>
      </c>
      <c r="AG34" s="16"/>
      <c r="AH34" s="32">
        <f>IFERROR(INDEX(Target!$R$11:$R$167,MATCH('Calculations - Target'!D34,Target!$N$11:$N$167,0)),"")</f>
        <v>5.9877773328153063</v>
      </c>
      <c r="AI34" s="23">
        <f t="shared" si="72"/>
        <v>0.8</v>
      </c>
      <c r="AJ34" s="23">
        <f t="shared" si="73"/>
        <v>0.3</v>
      </c>
      <c r="AK34" s="9">
        <f t="shared" si="56"/>
        <v>0</v>
      </c>
      <c r="AL34" s="4">
        <f t="shared" si="57"/>
        <v>353967.31307700003</v>
      </c>
      <c r="AM34" s="4"/>
      <c r="AN34" s="4"/>
      <c r="AO34" s="4"/>
      <c r="AP34" s="4"/>
      <c r="AQ34" s="4"/>
      <c r="AR34" s="20">
        <f t="shared" si="58"/>
        <v>3415996.5621148394</v>
      </c>
      <c r="AS34" s="13">
        <f t="shared" si="74"/>
        <v>3.7911035176298756E-2</v>
      </c>
      <c r="AT34" s="13">
        <f t="shared" si="75"/>
        <v>3.7911035176298756E-2</v>
      </c>
      <c r="AU34" s="13">
        <f t="shared" si="59"/>
        <v>4.3381005705874637E-4</v>
      </c>
      <c r="AV34" s="16">
        <f t="shared" si="76"/>
        <v>2144011.037389562</v>
      </c>
      <c r="AW34" s="16">
        <f t="shared" si="60"/>
        <v>358064.59028453892</v>
      </c>
      <c r="AX34" s="16">
        <f t="shared" si="61"/>
        <v>1715208.8299116497</v>
      </c>
      <c r="AY34" s="16">
        <f t="shared" si="77"/>
        <v>514562.648973495</v>
      </c>
      <c r="AZ34" s="13">
        <f t="shared" si="78"/>
        <v>0.22817290630877862</v>
      </c>
      <c r="BA34" s="10">
        <f t="shared" si="79"/>
        <v>360412.53921931825</v>
      </c>
      <c r="BB34" s="9">
        <f t="shared" si="80"/>
        <v>2.5746620035857811E-2</v>
      </c>
      <c r="BC34" s="13">
        <f t="shared" si="81"/>
        <v>0.36100933555745407</v>
      </c>
      <c r="BD34" s="10">
        <f t="shared" si="82"/>
        <v>2144011.0373895639</v>
      </c>
      <c r="BE34" s="13">
        <f t="shared" si="83"/>
        <v>3.7911035176298777E-2</v>
      </c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2:70" x14ac:dyDescent="0.3">
      <c r="B35" s="96" t="str">
        <f t="shared" si="62"/>
        <v>TARGETKRAFT</v>
      </c>
      <c r="C35" s="96" t="str">
        <f t="shared" si="63"/>
        <v>TARGETKRAFTAIOLI</v>
      </c>
      <c r="D35" s="96" t="str">
        <f t="shared" si="64"/>
        <v>TARGETKRAFTAIOLIOTHER</v>
      </c>
      <c r="E35" s="3" t="s">
        <v>134</v>
      </c>
      <c r="F35" s="3" t="s">
        <v>107</v>
      </c>
      <c r="G35" s="3" t="s">
        <v>112</v>
      </c>
      <c r="H35" s="3" t="s">
        <v>115</v>
      </c>
      <c r="I35" s="20">
        <f>IFERROR(INDEX('Input - Target'!G$2:G$200,MATCH('Calculations - Target'!$D35,'Input - Target'!$B$2:$B$200,0)),"")</f>
        <v>62081.763912030001</v>
      </c>
      <c r="J35" s="20">
        <f>IFERROR(INDEX('Input - Target'!H$2:H$200,MATCH('Calculations - Target'!$D35,'Input - Target'!$B$2:$B$200,0)),"")</f>
        <v>19464.13676447</v>
      </c>
      <c r="K35" s="21">
        <f>IFERROR(INDEX('Input - Target'!I$2:I$200,MATCH('Calculations - Target'!$D35,'Input - Target'!$B$2:$B$200,0)),"")</f>
        <v>4.9906116544205403</v>
      </c>
      <c r="L35" s="21">
        <f>IFERROR(INDEX('Input - Target'!J$2:J$200,MATCH('Calculations - Target'!$D35,'Input - Target'!$B$2:$B$200,0)),"")</f>
        <v>15.917786555626799</v>
      </c>
      <c r="M35" s="20">
        <f>IFERROR(INDEX('Input - Target'!K$2:K$200,MATCH('Calculations - Target'!$D35,'Input - Target'!$B$2:$B$200,0)),"")</f>
        <v>235455.8486271</v>
      </c>
      <c r="N35" s="20">
        <f>IFERROR(INDEX('Input - Target'!L$2:L$200,MATCH('Calculations - Target'!$D35,'Input - Target'!$B$2:$B$200,0)),"")</f>
        <v>71879.507633269997</v>
      </c>
      <c r="O35" s="21">
        <f t="shared" si="65"/>
        <v>3.1895462235630494</v>
      </c>
      <c r="P35" s="21">
        <f t="shared" si="47"/>
        <v>3.275702023842431</v>
      </c>
      <c r="Q35" s="21">
        <f t="shared" si="66"/>
        <v>-1.2529407602118627</v>
      </c>
      <c r="R35" s="9">
        <f t="shared" si="48"/>
        <v>1.0977480500012945E-3</v>
      </c>
      <c r="S35" s="9">
        <f t="shared" si="49"/>
        <v>1.3860936361836762E-3</v>
      </c>
      <c r="T35" s="22">
        <f>IFERROR(INDEX(Target!$S$11:$S$167,MATCH('Calculations - Target'!$D35,Target!$N$11:$N$167,0)),"")</f>
        <v>0.8</v>
      </c>
      <c r="U35" s="22">
        <f>IFERROR(INDEX(Target!$T$11:$T$167,MATCH('Calculations - Target'!$D35,Target!$N$11:$N$167,0)),"")</f>
        <v>0.3</v>
      </c>
      <c r="V35" s="16">
        <f t="shared" si="50"/>
        <v>49665.411129624001</v>
      </c>
      <c r="W35" s="16">
        <f t="shared" si="67"/>
        <v>14899.623338887199</v>
      </c>
      <c r="X35" s="16">
        <f t="shared" si="68"/>
        <v>34765.787790736802</v>
      </c>
      <c r="Y35" s="10">
        <f t="shared" si="51"/>
        <v>1.7861458851953078</v>
      </c>
      <c r="Z35" s="10">
        <f t="shared" si="52"/>
        <v>185953.86920919595</v>
      </c>
      <c r="AA35" s="13">
        <f t="shared" si="69"/>
        <v>2.0637326614855326E-3</v>
      </c>
      <c r="AB35" s="9">
        <f t="shared" si="53"/>
        <v>9.6598461148423805E-4</v>
      </c>
      <c r="AC35" s="16">
        <f t="shared" si="70"/>
        <v>116711.81184766311</v>
      </c>
      <c r="AD35" s="16">
        <f t="shared" si="54"/>
        <v>36591.980070846592</v>
      </c>
      <c r="AE35" s="16">
        <f t="shared" si="55"/>
        <v>93369.449478130497</v>
      </c>
      <c r="AF35" s="16">
        <f t="shared" si="71"/>
        <v>28010.834843439152</v>
      </c>
      <c r="AG35" s="16"/>
      <c r="AH35" s="32">
        <f>IFERROR(INDEX(Target!$R$11:$R$167,MATCH('Calculations - Target'!D35,Target!$N$11:$N$167,0)),"")</f>
        <v>3.1895462235630494</v>
      </c>
      <c r="AI35" s="23">
        <f t="shared" si="72"/>
        <v>0.8</v>
      </c>
      <c r="AJ35" s="23">
        <f t="shared" si="73"/>
        <v>0.3</v>
      </c>
      <c r="AK35" s="9">
        <f t="shared" si="56"/>
        <v>0</v>
      </c>
      <c r="AL35" s="4">
        <f t="shared" si="57"/>
        <v>19464.13676447</v>
      </c>
      <c r="AM35" s="4"/>
      <c r="AN35" s="4"/>
      <c r="AO35" s="4"/>
      <c r="AP35" s="4"/>
      <c r="AQ35" s="4"/>
      <c r="AR35" s="20">
        <f t="shared" si="58"/>
        <v>185953.86920919595</v>
      </c>
      <c r="AS35" s="13">
        <f t="shared" si="74"/>
        <v>2.0637326614855326E-3</v>
      </c>
      <c r="AT35" s="13">
        <f t="shared" si="75"/>
        <v>2.0637326614855326E-3</v>
      </c>
      <c r="AU35" s="13">
        <f t="shared" si="59"/>
        <v>9.6598461148423805E-4</v>
      </c>
      <c r="AV35" s="16">
        <f t="shared" si="76"/>
        <v>116711.81184766312</v>
      </c>
      <c r="AW35" s="16">
        <f t="shared" si="60"/>
        <v>36591.980070846592</v>
      </c>
      <c r="AX35" s="16">
        <f t="shared" si="61"/>
        <v>93369.449478130497</v>
      </c>
      <c r="AY35" s="16">
        <f t="shared" si="77"/>
        <v>28010.834843439152</v>
      </c>
      <c r="AZ35" s="13">
        <f t="shared" si="78"/>
        <v>2.3317855679957453E-2</v>
      </c>
      <c r="BA35" s="10">
        <f t="shared" si="79"/>
        <v>36831.925887774589</v>
      </c>
      <c r="BB35" s="9">
        <f t="shared" si="80"/>
        <v>2.6311448627050933E-3</v>
      </c>
      <c r="BC35" s="13">
        <f t="shared" si="81"/>
        <v>1.9651976091565146E-2</v>
      </c>
      <c r="BD35" s="10">
        <f t="shared" si="82"/>
        <v>116711.81184766324</v>
      </c>
      <c r="BE35" s="13">
        <f t="shared" si="83"/>
        <v>2.0637326614855339E-3</v>
      </c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</row>
    <row r="36" spans="2:70" x14ac:dyDescent="0.3">
      <c r="B36" s="96" t="str">
        <f t="shared" si="62"/>
        <v>TARGETDUKES</v>
      </c>
      <c r="C36" s="96" t="str">
        <f t="shared" si="63"/>
        <v>TARGETDUKESMAYO</v>
      </c>
      <c r="D36" s="96" t="str">
        <f t="shared" si="64"/>
        <v>TARGETDUKESMAYOJAR 8OZ</v>
      </c>
      <c r="E36" s="3" t="s">
        <v>134</v>
      </c>
      <c r="F36" s="3" t="s">
        <v>105</v>
      </c>
      <c r="G36" s="3" t="s">
        <v>113</v>
      </c>
      <c r="H36" s="3" t="s">
        <v>119</v>
      </c>
      <c r="I36" s="20">
        <f>IFERROR(INDEX('Input - Target'!G$2:G$200,MATCH('Calculations - Target'!$D36,'Input - Target'!$B$2:$B$200,0)),"")</f>
        <v>169934.39720899999</v>
      </c>
      <c r="J36" s="20">
        <f>IFERROR(INDEX('Input - Target'!H$2:H$200,MATCH('Calculations - Target'!$D36,'Input - Target'!$B$2:$B$200,0)),"")</f>
        <v>28967.991636300001</v>
      </c>
      <c r="K36" s="21">
        <f>IFERROR(INDEX('Input - Target'!I$2:I$200,MATCH('Calculations - Target'!$D36,'Input - Target'!$B$2:$B$200,0)),"")</f>
        <v>2.4768476715164001</v>
      </c>
      <c r="L36" s="21">
        <f>IFERROR(INDEX('Input - Target'!J$2:J$200,MATCH('Calculations - Target'!$D36,'Input - Target'!$B$2:$B$200,0)),"")</f>
        <v>14.529885997005699</v>
      </c>
      <c r="M36" s="20">
        <f>IFERROR(INDEX('Input - Target'!K$2:K$200,MATCH('Calculations - Target'!$D36,'Input - Target'!$B$2:$B$200,0)),"")</f>
        <v>230457.67224403599</v>
      </c>
      <c r="N36" s="20">
        <f>IFERROR(INDEX('Input - Target'!L$2:L$200,MATCH('Calculations - Target'!$D36,'Input - Target'!$B$2:$B$200,0)),"")</f>
        <v>39358.369846128997</v>
      </c>
      <c r="O36" s="21">
        <f t="shared" si="65"/>
        <v>5.8662816305171104</v>
      </c>
      <c r="P36" s="21">
        <f t="shared" si="47"/>
        <v>5.855366295530203</v>
      </c>
      <c r="Q36" s="21">
        <f t="shared" si="66"/>
        <v>-3.3855895204588791</v>
      </c>
      <c r="R36" s="9">
        <f t="shared" si="48"/>
        <v>3.004830104838195E-3</v>
      </c>
      <c r="S36" s="9">
        <f t="shared" si="49"/>
        <v>2.0628887551484851E-3</v>
      </c>
      <c r="T36" s="22">
        <f>IFERROR(INDEX(Target!$S$11:$S$167,MATCH('Calculations - Target'!$D36,Target!$N$11:$N$167,0)),"")</f>
        <v>0</v>
      </c>
      <c r="U36" s="22">
        <f>IFERROR(INDEX(Target!$T$11:$T$167,MATCH('Calculations - Target'!$D36,Target!$N$11:$N$167,0)),"")</f>
        <v>0</v>
      </c>
      <c r="V36" s="16">
        <f t="shared" si="50"/>
        <v>0</v>
      </c>
      <c r="W36" s="16">
        <f t="shared" si="67"/>
        <v>0</v>
      </c>
      <c r="X36" s="16">
        <f t="shared" si="68"/>
        <v>0</v>
      </c>
      <c r="Y36" s="10">
        <f t="shared" si="51"/>
        <v>0</v>
      </c>
      <c r="Z36" s="10">
        <f t="shared" si="52"/>
        <v>295418.0066233268</v>
      </c>
      <c r="AA36" s="13">
        <f t="shared" si="69"/>
        <v>3.2785754426741406E-3</v>
      </c>
      <c r="AB36" s="9">
        <f t="shared" si="53"/>
        <v>2.7374533783594557E-4</v>
      </c>
      <c r="AC36" s="16">
        <f t="shared" si="70"/>
        <v>185415.7213940259</v>
      </c>
      <c r="AD36" s="16">
        <f t="shared" si="54"/>
        <v>31607.026916244657</v>
      </c>
      <c r="AE36" s="16">
        <f t="shared" si="55"/>
        <v>0</v>
      </c>
      <c r="AF36" s="16">
        <f t="shared" si="71"/>
        <v>0</v>
      </c>
      <c r="AG36" s="16"/>
      <c r="AH36" s="32">
        <f>IFERROR(INDEX(Target!$R$11:$R$167,MATCH('Calculations - Target'!D36,Target!$N$11:$N$167,0)),"")</f>
        <v>5.8662816305171104</v>
      </c>
      <c r="AI36" s="23">
        <f t="shared" si="72"/>
        <v>0</v>
      </c>
      <c r="AJ36" s="23">
        <f t="shared" si="73"/>
        <v>0</v>
      </c>
      <c r="AK36" s="9">
        <f t="shared" si="56"/>
        <v>0</v>
      </c>
      <c r="AL36" s="4">
        <f t="shared" si="57"/>
        <v>28967.991636300001</v>
      </c>
      <c r="AM36" s="4"/>
      <c r="AN36" s="4"/>
      <c r="AO36" s="4"/>
      <c r="AP36" s="4"/>
      <c r="AQ36" s="4"/>
      <c r="AR36" s="20">
        <f t="shared" si="58"/>
        <v>295418.0066233268</v>
      </c>
      <c r="AS36" s="13">
        <f t="shared" si="74"/>
        <v>3.2785754426741406E-3</v>
      </c>
      <c r="AT36" s="13">
        <f t="shared" si="75"/>
        <v>3.2785754426741406E-3</v>
      </c>
      <c r="AU36" s="13">
        <f t="shared" si="59"/>
        <v>2.7374533783594557E-4</v>
      </c>
      <c r="AV36" s="16">
        <f t="shared" si="76"/>
        <v>185415.72139402592</v>
      </c>
      <c r="AW36" s="16">
        <f t="shared" si="60"/>
        <v>31607.02691624466</v>
      </c>
      <c r="AX36" s="16">
        <f t="shared" si="61"/>
        <v>0</v>
      </c>
      <c r="AY36" s="16">
        <f t="shared" si="77"/>
        <v>0</v>
      </c>
      <c r="AZ36" s="13">
        <f t="shared" si="78"/>
        <v>6.5357676557023736E-2</v>
      </c>
      <c r="BA36" s="10">
        <f t="shared" si="79"/>
        <v>31605.877136130137</v>
      </c>
      <c r="BB36" s="9">
        <f t="shared" si="80"/>
        <v>2.2578140907266509E-3</v>
      </c>
      <c r="BC36" s="13">
        <f t="shared" si="81"/>
        <v>0.11962927831086047</v>
      </c>
      <c r="BD36" s="10">
        <f t="shared" si="82"/>
        <v>185415.72139402587</v>
      </c>
      <c r="BE36" s="13">
        <f t="shared" si="83"/>
        <v>3.2785754426741388E-3</v>
      </c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</row>
    <row r="37" spans="2:70" x14ac:dyDescent="0.3">
      <c r="B37" s="96" t="str">
        <f t="shared" si="62"/>
        <v>TARGETDUKES</v>
      </c>
      <c r="C37" s="96" t="str">
        <f t="shared" si="63"/>
        <v>TARGETDUKESMAYO</v>
      </c>
      <c r="D37" s="96" t="str">
        <f t="shared" si="64"/>
        <v>TARGETDUKESMAYOJAR 30OZ</v>
      </c>
      <c r="E37" s="3" t="s">
        <v>134</v>
      </c>
      <c r="F37" s="3" t="s">
        <v>105</v>
      </c>
      <c r="G37" s="3" t="s">
        <v>113</v>
      </c>
      <c r="H37" s="3" t="s">
        <v>118</v>
      </c>
      <c r="I37" s="20">
        <f>IFERROR(INDEX('Input - Target'!G$2:G$200,MATCH('Calculations - Target'!$D37,'Input - Target'!$B$2:$B$200,0)),"")</f>
        <v>770771.31189999997</v>
      </c>
      <c r="J37" s="20">
        <f>IFERROR(INDEX('Input - Target'!H$2:H$200,MATCH('Calculations - Target'!$D37,'Input - Target'!$B$2:$B$200,0)),"")</f>
        <v>305844.45165599999</v>
      </c>
      <c r="K37" s="21">
        <f>IFERROR(INDEX('Input - Target'!I$2:I$200,MATCH('Calculations - Target'!$D37,'Input - Target'!$B$2:$B$200,0)),"")</f>
        <v>2.1592032241628698</v>
      </c>
      <c r="L37" s="21">
        <f>IFERROR(INDEX('Input - Target'!J$2:J$200,MATCH('Calculations - Target'!$D37,'Input - Target'!$B$2:$B$200,0)),"")</f>
        <v>5.4414977703064498</v>
      </c>
      <c r="M37" s="20">
        <f>IFERROR(INDEX('Input - Target'!K$2:K$200,MATCH('Calculations - Target'!$D37,'Input - Target'!$B$2:$B$200,0)),"")</f>
        <v>2591216.1022640001</v>
      </c>
      <c r="N37" s="20">
        <f>IFERROR(INDEX('Input - Target'!L$2:L$200,MATCH('Calculations - Target'!$D37,'Input - Target'!$B$2:$B$200,0)),"")</f>
        <v>1139487.5855779999</v>
      </c>
      <c r="O37" s="21">
        <f t="shared" si="65"/>
        <v>2.5201415547238004</v>
      </c>
      <c r="P37" s="21">
        <f t="shared" si="47"/>
        <v>2.2740187212742802</v>
      </c>
      <c r="Q37" s="21">
        <f t="shared" si="66"/>
        <v>-4.3133075338112628</v>
      </c>
      <c r="R37" s="9">
        <f t="shared" si="48"/>
        <v>1.3629005545559372E-2</v>
      </c>
      <c r="S37" s="9">
        <f t="shared" si="49"/>
        <v>2.17800076742325E-2</v>
      </c>
      <c r="T37" s="22">
        <f>IFERROR(INDEX(Target!$S$11:$S$167,MATCH('Calculations - Target'!$D37,Target!$N$11:$N$167,0)),"")</f>
        <v>0</v>
      </c>
      <c r="U37" s="22">
        <f>IFERROR(INDEX(Target!$T$11:$T$167,MATCH('Calculations - Target'!$D37,Target!$N$11:$N$167,0)),"")</f>
        <v>0</v>
      </c>
      <c r="V37" s="16">
        <f t="shared" si="50"/>
        <v>0</v>
      </c>
      <c r="W37" s="16">
        <f t="shared" si="67"/>
        <v>0</v>
      </c>
      <c r="X37" s="16">
        <f t="shared" si="68"/>
        <v>0</v>
      </c>
      <c r="Y37" s="10">
        <f t="shared" si="51"/>
        <v>0</v>
      </c>
      <c r="Z37" s="10">
        <f t="shared" si="52"/>
        <v>1217511.6068233612</v>
      </c>
      <c r="AA37" s="13">
        <f t="shared" si="69"/>
        <v>1.3512052636626967E-2</v>
      </c>
      <c r="AB37" s="9">
        <f t="shared" si="53"/>
        <v>-1.1695290893240506E-4</v>
      </c>
      <c r="AC37" s="16">
        <f t="shared" si="70"/>
        <v>764157.1868453864</v>
      </c>
      <c r="AD37" s="16">
        <f t="shared" si="54"/>
        <v>303219.94628160307</v>
      </c>
      <c r="AE37" s="16">
        <f t="shared" si="55"/>
        <v>0</v>
      </c>
      <c r="AF37" s="16">
        <f t="shared" si="71"/>
        <v>0</v>
      </c>
      <c r="AG37" s="16"/>
      <c r="AH37" s="32">
        <f>IFERROR(INDEX(Target!$R$11:$R$167,MATCH('Calculations - Target'!D37,Target!$N$11:$N$167,0)),"")</f>
        <v>2.5201415547238004</v>
      </c>
      <c r="AI37" s="23">
        <f t="shared" si="72"/>
        <v>0</v>
      </c>
      <c r="AJ37" s="23">
        <f t="shared" si="73"/>
        <v>0</v>
      </c>
      <c r="AK37" s="9">
        <f t="shared" si="56"/>
        <v>0</v>
      </c>
      <c r="AL37" s="4">
        <f t="shared" si="57"/>
        <v>305844.45165599999</v>
      </c>
      <c r="AM37" s="4"/>
      <c r="AN37" s="4"/>
      <c r="AO37" s="4"/>
      <c r="AP37" s="4"/>
      <c r="AQ37" s="4"/>
      <c r="AR37" s="20">
        <f t="shared" si="58"/>
        <v>1217511.6068233612</v>
      </c>
      <c r="AS37" s="13">
        <f t="shared" si="74"/>
        <v>1.3512052636626967E-2</v>
      </c>
      <c r="AT37" s="13">
        <f t="shared" si="75"/>
        <v>1.3512052636626967E-2</v>
      </c>
      <c r="AU37" s="13">
        <f t="shared" si="59"/>
        <v>-1.1695290893240506E-4</v>
      </c>
      <c r="AV37" s="16">
        <f t="shared" si="76"/>
        <v>764157.18684538652</v>
      </c>
      <c r="AW37" s="16">
        <f t="shared" si="60"/>
        <v>303219.94628160313</v>
      </c>
      <c r="AX37" s="16">
        <f t="shared" si="61"/>
        <v>0</v>
      </c>
      <c r="AY37" s="16">
        <f t="shared" si="77"/>
        <v>0</v>
      </c>
      <c r="AZ37" s="13">
        <f t="shared" si="78"/>
        <v>0.62700459702287448</v>
      </c>
      <c r="BA37" s="10">
        <f t="shared" si="79"/>
        <v>303208.91594124609</v>
      </c>
      <c r="BB37" s="9">
        <f t="shared" si="80"/>
        <v>2.1660191865503154E-2</v>
      </c>
      <c r="BC37" s="13">
        <f t="shared" si="81"/>
        <v>0.49303032176060313</v>
      </c>
      <c r="BD37" s="10">
        <f t="shared" si="82"/>
        <v>764157.18684538628</v>
      </c>
      <c r="BE37" s="13">
        <f t="shared" si="83"/>
        <v>1.351205263662696E-2</v>
      </c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2:70" x14ac:dyDescent="0.3">
      <c r="B38" s="96" t="str">
        <f t="shared" si="62"/>
        <v>TARGETDUKES</v>
      </c>
      <c r="C38" s="96" t="str">
        <f t="shared" si="63"/>
        <v>TARGETDUKESMAYO</v>
      </c>
      <c r="D38" s="96" t="str">
        <f t="shared" si="64"/>
        <v>TARGETDUKESMAYOSQUEEZY 18 TO 22OZ</v>
      </c>
      <c r="E38" s="3" t="s">
        <v>134</v>
      </c>
      <c r="F38" s="3" t="s">
        <v>105</v>
      </c>
      <c r="G38" s="3" t="s">
        <v>113</v>
      </c>
      <c r="H38" s="3" t="s">
        <v>120</v>
      </c>
      <c r="I38" s="20">
        <f>IFERROR(INDEX('Input - Target'!G$2:G$200,MATCH('Calculations - Target'!$D38,'Input - Target'!$B$2:$B$200,0)),"")</f>
        <v>643493.06232000003</v>
      </c>
      <c r="J38" s="20">
        <f>IFERROR(INDEX('Input - Target'!H$2:H$200,MATCH('Calculations - Target'!$D38,'Input - Target'!$B$2:$B$200,0)),"")</f>
        <v>159466.19603600001</v>
      </c>
      <c r="K38" s="21">
        <f>IFERROR(INDEX('Input - Target'!I$2:I$200,MATCH('Calculations - Target'!$D38,'Input - Target'!$B$2:$B$200,0)),"")</f>
        <v>1.9728870133716001</v>
      </c>
      <c r="L38" s="21">
        <f>IFERROR(INDEX('Input - Target'!J$2:J$200,MATCH('Calculations - Target'!$D38,'Input - Target'!$B$2:$B$200,0)),"")</f>
        <v>7.9611800958696204</v>
      </c>
      <c r="M38" s="20">
        <f>IFERROR(INDEX('Input - Target'!K$2:K$200,MATCH('Calculations - Target'!$D38,'Input - Target'!$B$2:$B$200,0)),"")</f>
        <v>2654595.6363869999</v>
      </c>
      <c r="N38" s="20">
        <f>IFERROR(INDEX('Input - Target'!L$2:L$200,MATCH('Calculations - Target'!$D38,'Input - Target'!$B$2:$B$200,0)),"")</f>
        <v>786260.73773299996</v>
      </c>
      <c r="O38" s="21">
        <f t="shared" si="65"/>
        <v>4.0352944907190826</v>
      </c>
      <c r="P38" s="21">
        <f t="shared" si="47"/>
        <v>3.3762281505253706</v>
      </c>
      <c r="Q38" s="21">
        <f t="shared" si="66"/>
        <v>-5.1393429363109897</v>
      </c>
      <c r="R38" s="9">
        <f t="shared" si="48"/>
        <v>1.1378434017308245E-2</v>
      </c>
      <c r="S38" s="9">
        <f t="shared" si="49"/>
        <v>1.1356017592077213E-2</v>
      </c>
      <c r="T38" s="22">
        <f>IFERROR(INDEX(Target!$S$11:$S$167,MATCH('Calculations - Target'!$D38,Target!$N$11:$N$167,0)),"")</f>
        <v>0</v>
      </c>
      <c r="U38" s="22">
        <f>IFERROR(INDEX(Target!$T$11:$T$167,MATCH('Calculations - Target'!$D38,Target!$N$11:$N$167,0)),"")</f>
        <v>0</v>
      </c>
      <c r="V38" s="16">
        <f t="shared" si="50"/>
        <v>0</v>
      </c>
      <c r="W38" s="16">
        <f t="shared" si="67"/>
        <v>0</v>
      </c>
      <c r="X38" s="16">
        <f t="shared" si="68"/>
        <v>0</v>
      </c>
      <c r="Y38" s="10">
        <f t="shared" si="51"/>
        <v>0</v>
      </c>
      <c r="Z38" s="10">
        <f t="shared" si="52"/>
        <v>956516.08408292325</v>
      </c>
      <c r="AA38" s="13">
        <f t="shared" si="69"/>
        <v>1.0615500996849121E-2</v>
      </c>
      <c r="AB38" s="9">
        <f t="shared" si="53"/>
        <v>-7.6293302045912434E-4</v>
      </c>
      <c r="AC38" s="16">
        <f t="shared" si="70"/>
        <v>600346.34239935933</v>
      </c>
      <c r="AD38" s="16">
        <f t="shared" si="54"/>
        <v>148773.86118413843</v>
      </c>
      <c r="AE38" s="16">
        <f t="shared" si="55"/>
        <v>0</v>
      </c>
      <c r="AF38" s="16">
        <f t="shared" si="71"/>
        <v>0</v>
      </c>
      <c r="AG38" s="16"/>
      <c r="AH38" s="32">
        <f>IFERROR(INDEX(Target!$R$11:$R$167,MATCH('Calculations - Target'!D38,Target!$N$11:$N$167,0)),"")</f>
        <v>4.0352944907190826</v>
      </c>
      <c r="AI38" s="23">
        <f t="shared" si="72"/>
        <v>0</v>
      </c>
      <c r="AJ38" s="23">
        <f t="shared" si="73"/>
        <v>0</v>
      </c>
      <c r="AK38" s="9">
        <f t="shared" si="56"/>
        <v>0</v>
      </c>
      <c r="AL38" s="4">
        <f t="shared" si="57"/>
        <v>159466.19603600001</v>
      </c>
      <c r="AM38" s="4"/>
      <c r="AN38" s="4"/>
      <c r="AO38" s="4"/>
      <c r="AP38" s="4"/>
      <c r="AQ38" s="4"/>
      <c r="AR38" s="20">
        <f t="shared" si="58"/>
        <v>956516.08408292325</v>
      </c>
      <c r="AS38" s="13">
        <f t="shared" si="74"/>
        <v>1.0615500996849121E-2</v>
      </c>
      <c r="AT38" s="13">
        <f t="shared" si="75"/>
        <v>1.0615500996849121E-2</v>
      </c>
      <c r="AU38" s="13">
        <f t="shared" si="59"/>
        <v>-7.6293302045912434E-4</v>
      </c>
      <c r="AV38" s="16">
        <f t="shared" si="76"/>
        <v>600346.34239935945</v>
      </c>
      <c r="AW38" s="16">
        <f t="shared" si="60"/>
        <v>148773.86118413846</v>
      </c>
      <c r="AX38" s="16">
        <f t="shared" si="61"/>
        <v>0</v>
      </c>
      <c r="AY38" s="16">
        <f t="shared" si="77"/>
        <v>0</v>
      </c>
      <c r="AZ38" s="13">
        <f t="shared" si="78"/>
        <v>0.30763772642010184</v>
      </c>
      <c r="BA38" s="10">
        <f t="shared" si="79"/>
        <v>148768.44918421822</v>
      </c>
      <c r="BB38" s="9">
        <f t="shared" si="80"/>
        <v>1.0627501314928121E-2</v>
      </c>
      <c r="BC38" s="13">
        <f t="shared" si="81"/>
        <v>0.38734039992853647</v>
      </c>
      <c r="BD38" s="10">
        <f t="shared" si="82"/>
        <v>600346.34239935922</v>
      </c>
      <c r="BE38" s="13">
        <f t="shared" si="83"/>
        <v>1.0615500996849114E-2</v>
      </c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</row>
    <row r="39" spans="2:70" x14ac:dyDescent="0.3">
      <c r="B39" s="96" t="str">
        <f t="shared" si="62"/>
        <v>TARGETHELLMANNS BEST FOODS</v>
      </c>
      <c r="C39" s="96" t="str">
        <f t="shared" si="63"/>
        <v>TARGETHELLMANNS BEST FOODSMAYO</v>
      </c>
      <c r="D39" s="96" t="str">
        <f t="shared" si="64"/>
        <v>TARGETHELLMANNS BEST FOODSMAYOJAR 15OZ</v>
      </c>
      <c r="E39" s="3" t="s">
        <v>134</v>
      </c>
      <c r="F39" s="3" t="s">
        <v>106</v>
      </c>
      <c r="G39" s="3" t="s">
        <v>113</v>
      </c>
      <c r="H39" s="3" t="s">
        <v>116</v>
      </c>
      <c r="I39" s="20">
        <f>IFERROR(INDEX('Input - Target'!G$2:G$200,MATCH('Calculations - Target'!$D39,'Input - Target'!$B$2:$B$200,0)),"")</f>
        <v>2515858.2374499999</v>
      </c>
      <c r="J39" s="20">
        <f>IFERROR(INDEX('Input - Target'!H$2:H$200,MATCH('Calculations - Target'!$D39,'Input - Target'!$B$2:$B$200,0)),"")</f>
        <v>558041.91636699997</v>
      </c>
      <c r="K39" s="21">
        <f>IFERROR(INDEX('Input - Target'!I$2:I$200,MATCH('Calculations - Target'!$D39,'Input - Target'!$B$2:$B$200,0)),"")</f>
        <v>2.7992446590089402</v>
      </c>
      <c r="L39" s="21">
        <f>IFERROR(INDEX('Input - Target'!J$2:J$200,MATCH('Calculations - Target'!$D39,'Input - Target'!$B$2:$B$200,0)),"")</f>
        <v>12.620024638747701</v>
      </c>
      <c r="M39" s="20">
        <f>IFERROR(INDEX('Input - Target'!K$2:K$200,MATCH('Calculations - Target'!$D39,'Input - Target'!$B$2:$B$200,0)),"")</f>
        <v>7508082.1533500003</v>
      </c>
      <c r="N39" s="20">
        <f>IFERROR(INDEX('Input - Target'!L$2:L$200,MATCH('Calculations - Target'!$D39,'Input - Target'!$B$2:$B$200,0)),"")</f>
        <v>1748596.0810799999</v>
      </c>
      <c r="O39" s="21">
        <f t="shared" si="65"/>
        <v>4.5083678549254875</v>
      </c>
      <c r="P39" s="21">
        <f t="shared" si="47"/>
        <v>4.293777296305457</v>
      </c>
      <c r="Q39" s="21">
        <f t="shared" si="66"/>
        <v>-2.7789439168068109</v>
      </c>
      <c r="R39" s="9">
        <f t="shared" si="48"/>
        <v>4.4486146981163058E-2</v>
      </c>
      <c r="S39" s="9">
        <f t="shared" si="49"/>
        <v>3.973966882579618E-2</v>
      </c>
      <c r="T39" s="22">
        <f>IFERROR(INDEX(Target!$S$11:$S$167,MATCH('Calculations - Target'!$D39,Target!$N$11:$N$167,0)),"")</f>
        <v>0</v>
      </c>
      <c r="U39" s="22">
        <f>IFERROR(INDEX(Target!$T$11:$T$167,MATCH('Calculations - Target'!$D39,Target!$N$11:$N$167,0)),"")</f>
        <v>0</v>
      </c>
      <c r="V39" s="16">
        <f t="shared" si="50"/>
        <v>0</v>
      </c>
      <c r="W39" s="16">
        <f t="shared" si="67"/>
        <v>0</v>
      </c>
      <c r="X39" s="16">
        <f t="shared" si="68"/>
        <v>0</v>
      </c>
      <c r="Y39" s="10">
        <f t="shared" si="51"/>
        <v>0</v>
      </c>
      <c r="Z39" s="10">
        <f t="shared" si="52"/>
        <v>4779180.4857277619</v>
      </c>
      <c r="AA39" s="13">
        <f t="shared" si="69"/>
        <v>5.3039772205196588E-2</v>
      </c>
      <c r="AB39" s="9">
        <f t="shared" si="53"/>
        <v>8.55362522403353E-3</v>
      </c>
      <c r="AC39" s="16">
        <f t="shared" si="70"/>
        <v>2999597.7820110745</v>
      </c>
      <c r="AD39" s="16">
        <f t="shared" si="54"/>
        <v>665340.06951849558</v>
      </c>
      <c r="AE39" s="16">
        <f t="shared" si="55"/>
        <v>0</v>
      </c>
      <c r="AF39" s="16">
        <f t="shared" si="71"/>
        <v>0</v>
      </c>
      <c r="AG39" s="16"/>
      <c r="AH39" s="32">
        <f>IFERROR(INDEX(Target!$R$11:$R$167,MATCH('Calculations - Target'!D39,Target!$N$11:$N$167,0)),"")</f>
        <v>4.5083678549254875</v>
      </c>
      <c r="AI39" s="23">
        <f t="shared" si="72"/>
        <v>0</v>
      </c>
      <c r="AJ39" s="23">
        <f t="shared" si="73"/>
        <v>0</v>
      </c>
      <c r="AK39" s="9">
        <f t="shared" si="56"/>
        <v>0</v>
      </c>
      <c r="AL39" s="4">
        <f t="shared" si="57"/>
        <v>558041.91636699997</v>
      </c>
      <c r="AM39" s="4"/>
      <c r="AN39" s="4"/>
      <c r="AO39" s="4"/>
      <c r="AP39" s="4"/>
      <c r="AQ39" s="4"/>
      <c r="AR39" s="20">
        <f t="shared" si="58"/>
        <v>4779180.4857277619</v>
      </c>
      <c r="AS39" s="13">
        <f t="shared" si="74"/>
        <v>5.3039772205196588E-2</v>
      </c>
      <c r="AT39" s="13">
        <f t="shared" si="75"/>
        <v>5.3039772205196588E-2</v>
      </c>
      <c r="AU39" s="13">
        <f t="shared" si="59"/>
        <v>8.55362522403353E-3</v>
      </c>
      <c r="AV39" s="16">
        <f t="shared" si="76"/>
        <v>2999597.7820110749</v>
      </c>
      <c r="AW39" s="16">
        <f t="shared" si="60"/>
        <v>665340.06951849558</v>
      </c>
      <c r="AX39" s="16">
        <f t="shared" si="61"/>
        <v>0</v>
      </c>
      <c r="AY39" s="16">
        <f t="shared" si="77"/>
        <v>0</v>
      </c>
      <c r="AZ39" s="13">
        <f t="shared" si="78"/>
        <v>9.0066406036543173E-2</v>
      </c>
      <c r="BA39" s="10">
        <f t="shared" si="79"/>
        <v>663171.59427811496</v>
      </c>
      <c r="BB39" s="9">
        <f t="shared" si="80"/>
        <v>4.7374675402352059E-2</v>
      </c>
      <c r="BC39" s="13">
        <f t="shared" si="81"/>
        <v>9.7924438897141391E-2</v>
      </c>
      <c r="BD39" s="10">
        <f t="shared" si="82"/>
        <v>2999597.7820110745</v>
      </c>
      <c r="BE39" s="13">
        <f t="shared" si="83"/>
        <v>5.3039772205196567E-2</v>
      </c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</row>
    <row r="40" spans="2:70" x14ac:dyDescent="0.3">
      <c r="B40" s="96" t="str">
        <f t="shared" si="62"/>
        <v>TARGETHELLMANNS BEST FOODS</v>
      </c>
      <c r="C40" s="96" t="str">
        <f t="shared" si="63"/>
        <v>TARGETHELLMANNS BEST FOODSMAYO</v>
      </c>
      <c r="D40" s="96" t="str">
        <f t="shared" si="64"/>
        <v>TARGETHELLMANNS BEST FOODSMAYOJAR 30OZ</v>
      </c>
      <c r="E40" s="3" t="s">
        <v>134</v>
      </c>
      <c r="F40" s="3" t="s">
        <v>106</v>
      </c>
      <c r="G40" s="3" t="s">
        <v>113</v>
      </c>
      <c r="H40" s="3" t="s">
        <v>118</v>
      </c>
      <c r="I40" s="20">
        <f>IFERROR(INDEX('Input - Target'!G$2:G$200,MATCH('Calculations - Target'!$D40,'Input - Target'!$B$2:$B$200,0)),"")</f>
        <v>11012882.0834</v>
      </c>
      <c r="J40" s="20">
        <f>IFERROR(INDEX('Input - Target'!H$2:H$200,MATCH('Calculations - Target'!$D40,'Input - Target'!$B$2:$B$200,0)),"")</f>
        <v>3604025.1326199998</v>
      </c>
      <c r="K40" s="21">
        <f>IFERROR(INDEX('Input - Target'!I$2:I$200,MATCH('Calculations - Target'!$D40,'Input - Target'!$B$2:$B$200,0)),"")</f>
        <v>2.1491006239637098</v>
      </c>
      <c r="L40" s="21">
        <f>IFERROR(INDEX('Input - Target'!J$2:J$200,MATCH('Calculations - Target'!$D40,'Input - Target'!$B$2:$B$200,0)),"")</f>
        <v>6.5670440371951599</v>
      </c>
      <c r="M40" s="20">
        <f>IFERROR(INDEX('Input - Target'!K$2:K$200,MATCH('Calculations - Target'!$D40,'Input - Target'!$B$2:$B$200,0)),"")</f>
        <v>41304052.759000003</v>
      </c>
      <c r="N40" s="20">
        <f>IFERROR(INDEX('Input - Target'!L$2:L$200,MATCH('Calculations - Target'!$D40,'Input - Target'!$B$2:$B$200,0)),"")</f>
        <v>15973909.133959999</v>
      </c>
      <c r="O40" s="21">
        <f t="shared" si="65"/>
        <v>3.0557173377406559</v>
      </c>
      <c r="P40" s="21">
        <f t="shared" si="47"/>
        <v>2.5857197767069402</v>
      </c>
      <c r="Q40" s="21">
        <f t="shared" si="66"/>
        <v>-4.3512290357592924</v>
      </c>
      <c r="R40" s="9">
        <f t="shared" si="48"/>
        <v>0.19473302738429288</v>
      </c>
      <c r="S40" s="9">
        <f t="shared" si="49"/>
        <v>0.25665234278919929</v>
      </c>
      <c r="T40" s="22">
        <f>IFERROR(INDEX(Target!$S$11:$S$167,MATCH('Calculations - Target'!$D40,Target!$N$11:$N$167,0)),"")</f>
        <v>0</v>
      </c>
      <c r="U40" s="22">
        <f>IFERROR(INDEX(Target!$T$11:$T$167,MATCH('Calculations - Target'!$D40,Target!$N$11:$N$167,0)),"")</f>
        <v>0</v>
      </c>
      <c r="V40" s="16">
        <f t="shared" si="50"/>
        <v>0</v>
      </c>
      <c r="W40" s="16">
        <f t="shared" si="67"/>
        <v>0</v>
      </c>
      <c r="X40" s="16">
        <f t="shared" si="68"/>
        <v>0</v>
      </c>
      <c r="Y40" s="10">
        <f t="shared" si="51"/>
        <v>0</v>
      </c>
      <c r="Z40" s="10">
        <f t="shared" si="52"/>
        <v>17340336.920236833</v>
      </c>
      <c r="AA40" s="13">
        <f t="shared" si="69"/>
        <v>0.19244460906160316</v>
      </c>
      <c r="AB40" s="9">
        <f t="shared" si="53"/>
        <v>-2.2884183226897226E-3</v>
      </c>
      <c r="AC40" s="16">
        <f t="shared" si="70"/>
        <v>10883463.455836944</v>
      </c>
      <c r="AD40" s="16">
        <f t="shared" si="54"/>
        <v>3561672.1878745458</v>
      </c>
      <c r="AE40" s="16">
        <f t="shared" si="55"/>
        <v>0</v>
      </c>
      <c r="AF40" s="16">
        <f t="shared" si="71"/>
        <v>0</v>
      </c>
      <c r="AG40" s="16"/>
      <c r="AH40" s="32">
        <f>IFERROR(INDEX(Target!$R$11:$R$167,MATCH('Calculations - Target'!D40,Target!$N$11:$N$167,0)),"")</f>
        <v>3.0557173377406559</v>
      </c>
      <c r="AI40" s="23">
        <f t="shared" si="72"/>
        <v>0</v>
      </c>
      <c r="AJ40" s="23">
        <f t="shared" si="73"/>
        <v>0</v>
      </c>
      <c r="AK40" s="9">
        <f t="shared" si="56"/>
        <v>0</v>
      </c>
      <c r="AL40" s="4">
        <f t="shared" si="57"/>
        <v>3604025.1326199998</v>
      </c>
      <c r="AM40" s="4"/>
      <c r="AN40" s="4"/>
      <c r="AO40" s="4"/>
      <c r="AP40" s="4"/>
      <c r="AQ40" s="4"/>
      <c r="AR40" s="20">
        <f t="shared" si="58"/>
        <v>17340336.920236833</v>
      </c>
      <c r="AS40" s="13">
        <f t="shared" si="74"/>
        <v>0.19244460906160316</v>
      </c>
      <c r="AT40" s="13">
        <f t="shared" si="75"/>
        <v>0.19244460906160316</v>
      </c>
      <c r="AU40" s="13">
        <f t="shared" si="59"/>
        <v>-2.2884183226897226E-3</v>
      </c>
      <c r="AV40" s="16">
        <f t="shared" si="76"/>
        <v>10883463.455836946</v>
      </c>
      <c r="AW40" s="16">
        <f t="shared" si="60"/>
        <v>3561672.1878745463</v>
      </c>
      <c r="AX40" s="16">
        <f t="shared" si="61"/>
        <v>0</v>
      </c>
      <c r="AY40" s="16">
        <f t="shared" si="77"/>
        <v>0</v>
      </c>
      <c r="AZ40" s="13">
        <f t="shared" si="78"/>
        <v>0.48213992834419916</v>
      </c>
      <c r="BA40" s="10">
        <f t="shared" si="79"/>
        <v>3550063.9918442848</v>
      </c>
      <c r="BB40" s="9">
        <f t="shared" si="80"/>
        <v>0.25360424168087942</v>
      </c>
      <c r="BC40" s="13">
        <f t="shared" si="81"/>
        <v>0.35529998673883584</v>
      </c>
      <c r="BD40" s="10">
        <f t="shared" si="82"/>
        <v>10883463.455836946</v>
      </c>
      <c r="BE40" s="13">
        <f t="shared" si="83"/>
        <v>0.1924446090616031</v>
      </c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2:70" x14ac:dyDescent="0.3">
      <c r="B41" s="96" t="str">
        <f t="shared" si="62"/>
        <v>TARGETHELLMANNS BEST FOODS</v>
      </c>
      <c r="C41" s="96" t="str">
        <f t="shared" si="63"/>
        <v>TARGETHELLMANNS BEST FOODSMAYO</v>
      </c>
      <c r="D41" s="96" t="str">
        <f t="shared" si="64"/>
        <v>TARGETHELLMANNS BEST FOODSMAYOJAR 48OZ</v>
      </c>
      <c r="E41" s="3" t="s">
        <v>134</v>
      </c>
      <c r="F41" s="3" t="s">
        <v>106</v>
      </c>
      <c r="G41" s="3" t="s">
        <v>113</v>
      </c>
      <c r="H41" s="3" t="s">
        <v>121</v>
      </c>
      <c r="I41" s="20">
        <f>IFERROR(INDEX('Input - Target'!G$2:G$200,MATCH('Calculations - Target'!$D41,'Input - Target'!$B$2:$B$200,0)),"")</f>
        <v>188810.856462</v>
      </c>
      <c r="J41" s="20">
        <f>IFERROR(INDEX('Input - Target'!H$2:H$200,MATCH('Calculations - Target'!$D41,'Input - Target'!$B$2:$B$200,0)),"")</f>
        <v>74517.220178799995</v>
      </c>
      <c r="K41" s="21">
        <f>IFERROR(INDEX('Input - Target'!I$2:I$200,MATCH('Calculations - Target'!$D41,'Input - Target'!$B$2:$B$200,0)),"")</f>
        <v>2.6150477422781901</v>
      </c>
      <c r="L41" s="21">
        <f>IFERROR(INDEX('Input - Target'!J$2:J$200,MATCH('Calculations - Target'!$D41,'Input - Target'!$B$2:$B$200,0)),"")</f>
        <v>6.6259772267918704</v>
      </c>
      <c r="M41" s="20">
        <f>IFERROR(INDEX('Input - Target'!K$2:K$200,MATCH('Calculations - Target'!$D41,'Input - Target'!$B$2:$B$200,0)),"")</f>
        <v>869778.407878233</v>
      </c>
      <c r="N41" s="20">
        <f>IFERROR(INDEX('Input - Target'!L$2:L$200,MATCH('Calculations - Target'!$D41,'Input - Target'!$B$2:$B$200,0)),"")</f>
        <v>356733.33901105699</v>
      </c>
      <c r="O41" s="21">
        <f t="shared" si="65"/>
        <v>2.5337882439650685</v>
      </c>
      <c r="P41" s="21">
        <f t="shared" si="47"/>
        <v>2.4381752776161862</v>
      </c>
      <c r="Q41" s="21">
        <f t="shared" si="66"/>
        <v>-3.0958837123582432</v>
      </c>
      <c r="R41" s="9">
        <f t="shared" si="48"/>
        <v>3.338609221766512E-3</v>
      </c>
      <c r="S41" s="9">
        <f t="shared" si="49"/>
        <v>5.3065720779600662E-3</v>
      </c>
      <c r="T41" s="22">
        <f>IFERROR(INDEX(Target!$S$11:$S$167,MATCH('Calculations - Target'!$D41,Target!$N$11:$N$167,0)),"")</f>
        <v>0</v>
      </c>
      <c r="U41" s="22">
        <f>IFERROR(INDEX(Target!$T$11:$T$167,MATCH('Calculations - Target'!$D41,Target!$N$11:$N$167,0)),"")</f>
        <v>0</v>
      </c>
      <c r="V41" s="16">
        <f t="shared" si="50"/>
        <v>0</v>
      </c>
      <c r="W41" s="16">
        <f t="shared" si="67"/>
        <v>0</v>
      </c>
      <c r="X41" s="16">
        <f t="shared" si="68"/>
        <v>0</v>
      </c>
      <c r="Y41" s="10">
        <f t="shared" si="51"/>
        <v>0</v>
      </c>
      <c r="Z41" s="10">
        <f t="shared" si="52"/>
        <v>341280.13018528221</v>
      </c>
      <c r="AA41" s="13">
        <f t="shared" si="69"/>
        <v>3.7875573892310879E-3</v>
      </c>
      <c r="AB41" s="9">
        <f t="shared" si="53"/>
        <v>4.4894816746457586E-4</v>
      </c>
      <c r="AC41" s="16">
        <f t="shared" si="70"/>
        <v>214200.55689575747</v>
      </c>
      <c r="AD41" s="16">
        <f t="shared" si="54"/>
        <v>84537.670977808244</v>
      </c>
      <c r="AE41" s="16">
        <f t="shared" si="55"/>
        <v>0</v>
      </c>
      <c r="AF41" s="16">
        <f t="shared" si="71"/>
        <v>0</v>
      </c>
      <c r="AG41" s="16"/>
      <c r="AH41" s="32">
        <f>IFERROR(INDEX(Target!$R$11:$R$167,MATCH('Calculations - Target'!D41,Target!$N$11:$N$167,0)),"")</f>
        <v>2.5337882439650685</v>
      </c>
      <c r="AI41" s="23">
        <f t="shared" si="72"/>
        <v>0</v>
      </c>
      <c r="AJ41" s="23">
        <f t="shared" si="73"/>
        <v>0</v>
      </c>
      <c r="AK41" s="9">
        <f t="shared" si="56"/>
        <v>0</v>
      </c>
      <c r="AL41" s="4">
        <f t="shared" si="57"/>
        <v>74517.220178799995</v>
      </c>
      <c r="AM41" s="4"/>
      <c r="AN41" s="4"/>
      <c r="AO41" s="4"/>
      <c r="AP41" s="4"/>
      <c r="AQ41" s="4"/>
      <c r="AR41" s="20">
        <f t="shared" si="58"/>
        <v>341280.13018528221</v>
      </c>
      <c r="AS41" s="13">
        <f t="shared" si="74"/>
        <v>3.7875573892310879E-3</v>
      </c>
      <c r="AT41" s="13">
        <f t="shared" si="75"/>
        <v>3.7875573892310879E-3</v>
      </c>
      <c r="AU41" s="13">
        <f t="shared" si="59"/>
        <v>4.4894816746457586E-4</v>
      </c>
      <c r="AV41" s="16">
        <f t="shared" si="76"/>
        <v>214200.5568957575</v>
      </c>
      <c r="AW41" s="16">
        <f t="shared" si="60"/>
        <v>84537.670977808244</v>
      </c>
      <c r="AX41" s="16">
        <f t="shared" si="61"/>
        <v>0</v>
      </c>
      <c r="AY41" s="16">
        <f t="shared" si="77"/>
        <v>0</v>
      </c>
      <c r="AZ41" s="13">
        <f t="shared" si="78"/>
        <v>1.1443778224842521E-2</v>
      </c>
      <c r="BA41" s="10">
        <f t="shared" si="79"/>
        <v>84262.145942126124</v>
      </c>
      <c r="BB41" s="9">
        <f t="shared" si="80"/>
        <v>6.0193950512297699E-3</v>
      </c>
      <c r="BC41" s="13">
        <f t="shared" si="81"/>
        <v>6.9927606531997423E-3</v>
      </c>
      <c r="BD41" s="10">
        <f t="shared" si="82"/>
        <v>214200.55689575747</v>
      </c>
      <c r="BE41" s="13">
        <f t="shared" si="83"/>
        <v>3.7875573892310862E-3</v>
      </c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</row>
    <row r="42" spans="2:70" x14ac:dyDescent="0.3">
      <c r="B42" s="96" t="str">
        <f t="shared" si="62"/>
        <v>TARGETHELLMANNS BEST FOODS</v>
      </c>
      <c r="C42" s="96" t="str">
        <f t="shared" si="63"/>
        <v>TARGETHELLMANNS BEST FOODSMAYO</v>
      </c>
      <c r="D42" s="96" t="str">
        <f t="shared" si="64"/>
        <v>TARGETHELLMANNS BEST FOODSMAYOSQUEEZY 12OZ</v>
      </c>
      <c r="E42" s="3" t="s">
        <v>134</v>
      </c>
      <c r="F42" s="3" t="s">
        <v>106</v>
      </c>
      <c r="G42" s="3" t="s">
        <v>113</v>
      </c>
      <c r="H42" s="3" t="s">
        <v>117</v>
      </c>
      <c r="I42" s="20">
        <f>IFERROR(INDEX('Input - Target'!G$2:G$200,MATCH('Calculations - Target'!$D42,'Input - Target'!$B$2:$B$200,0)),"")</f>
        <v>4086944.0112200002</v>
      </c>
      <c r="J42" s="20">
        <f>IFERROR(INDEX('Input - Target'!H$2:H$200,MATCH('Calculations - Target'!$D42,'Input - Target'!$B$2:$B$200,0)),"")</f>
        <v>645076.44624800002</v>
      </c>
      <c r="K42" s="21">
        <f>IFERROR(INDEX('Input - Target'!I$2:I$200,MATCH('Calculations - Target'!$D42,'Input - Target'!$B$2:$B$200,0)),"")</f>
        <v>2.1910230541203002</v>
      </c>
      <c r="L42" s="21">
        <f>IFERROR(INDEX('Input - Target'!J$2:J$200,MATCH('Calculations - Target'!$D42,'Input - Target'!$B$2:$B$200,0)),"")</f>
        <v>13.881437776197</v>
      </c>
      <c r="M42" s="20">
        <f>IFERROR(INDEX('Input - Target'!K$2:K$200,MATCH('Calculations - Target'!$D42,'Input - Target'!$B$2:$B$200,0)),"")</f>
        <v>12542742.274110001</v>
      </c>
      <c r="N42" s="20">
        <f>IFERROR(INDEX('Input - Target'!L$2:L$200,MATCH('Calculations - Target'!$D42,'Input - Target'!$B$2:$B$200,0)),"")</f>
        <v>2176262.8657999998</v>
      </c>
      <c r="O42" s="21">
        <f t="shared" si="65"/>
        <v>6.3355964010020172</v>
      </c>
      <c r="P42" s="21">
        <f t="shared" si="47"/>
        <v>5.7634316475364091</v>
      </c>
      <c r="Q42" s="21">
        <f t="shared" si="66"/>
        <v>-4.1980715509264908</v>
      </c>
      <c r="R42" s="9">
        <f t="shared" si="48"/>
        <v>7.2266548758803187E-2</v>
      </c>
      <c r="S42" s="9">
        <f t="shared" si="49"/>
        <v>4.5937632262659504E-2</v>
      </c>
      <c r="T42" s="22">
        <f>IFERROR(INDEX(Target!$S$11:$S$167,MATCH('Calculations - Target'!$D42,Target!$N$11:$N$167,0)),"")</f>
        <v>0</v>
      </c>
      <c r="U42" s="22">
        <f>IFERROR(INDEX(Target!$T$11:$T$167,MATCH('Calculations - Target'!$D42,Target!$N$11:$N$167,0)),"")</f>
        <v>0</v>
      </c>
      <c r="V42" s="16">
        <f t="shared" si="50"/>
        <v>0</v>
      </c>
      <c r="W42" s="16">
        <f t="shared" si="67"/>
        <v>0</v>
      </c>
      <c r="X42" s="16">
        <f t="shared" si="68"/>
        <v>0</v>
      </c>
      <c r="Y42" s="10">
        <f t="shared" si="51"/>
        <v>0</v>
      </c>
      <c r="Z42" s="10">
        <f t="shared" si="52"/>
        <v>6520766.2803509505</v>
      </c>
      <c r="AA42" s="13">
        <f t="shared" si="69"/>
        <v>7.2368047021031223E-2</v>
      </c>
      <c r="AB42" s="9">
        <f t="shared" si="53"/>
        <v>1.0149826222803637E-4</v>
      </c>
      <c r="AC42" s="16">
        <f t="shared" si="70"/>
        <v>4092684.118117129</v>
      </c>
      <c r="AD42" s="16">
        <f t="shared" si="54"/>
        <v>645982.45517499244</v>
      </c>
      <c r="AE42" s="16">
        <f t="shared" si="55"/>
        <v>0</v>
      </c>
      <c r="AF42" s="16">
        <f t="shared" si="71"/>
        <v>0</v>
      </c>
      <c r="AG42" s="16"/>
      <c r="AH42" s="32">
        <f>IFERROR(INDEX(Target!$R$11:$R$167,MATCH('Calculations - Target'!D42,Target!$N$11:$N$167,0)),"")</f>
        <v>6.3355964010020172</v>
      </c>
      <c r="AI42" s="23">
        <f t="shared" si="72"/>
        <v>0</v>
      </c>
      <c r="AJ42" s="23">
        <f t="shared" si="73"/>
        <v>0</v>
      </c>
      <c r="AK42" s="9">
        <f t="shared" si="56"/>
        <v>0</v>
      </c>
      <c r="AL42" s="4">
        <f t="shared" si="57"/>
        <v>645076.44624800002</v>
      </c>
      <c r="AM42" s="4"/>
      <c r="AN42" s="4"/>
      <c r="AO42" s="4"/>
      <c r="AP42" s="4"/>
      <c r="AQ42" s="4"/>
      <c r="AR42" s="20">
        <f t="shared" si="58"/>
        <v>6520766.2803509505</v>
      </c>
      <c r="AS42" s="13">
        <f t="shared" si="74"/>
        <v>7.2368047021031223E-2</v>
      </c>
      <c r="AT42" s="13">
        <f t="shared" si="75"/>
        <v>7.2368047021031223E-2</v>
      </c>
      <c r="AU42" s="13">
        <f t="shared" si="59"/>
        <v>1.0149826222803637E-4</v>
      </c>
      <c r="AV42" s="16">
        <f t="shared" si="76"/>
        <v>4092684.1181171299</v>
      </c>
      <c r="AW42" s="16">
        <f t="shared" si="60"/>
        <v>645982.45517499256</v>
      </c>
      <c r="AX42" s="16">
        <f t="shared" si="61"/>
        <v>0</v>
      </c>
      <c r="AY42" s="16">
        <f t="shared" si="77"/>
        <v>0</v>
      </c>
      <c r="AZ42" s="13">
        <f t="shared" si="78"/>
        <v>8.7445985542971366E-2</v>
      </c>
      <c r="BA42" s="10">
        <f t="shared" si="79"/>
        <v>643877.07023886347</v>
      </c>
      <c r="BB42" s="9">
        <f t="shared" si="80"/>
        <v>4.5996341617719108E-2</v>
      </c>
      <c r="BC42" s="13">
        <f t="shared" si="81"/>
        <v>0.13360917862166299</v>
      </c>
      <c r="BD42" s="10">
        <f t="shared" si="82"/>
        <v>4092684.118117129</v>
      </c>
      <c r="BE42" s="13">
        <f t="shared" si="83"/>
        <v>7.2368047021031195E-2</v>
      </c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</row>
    <row r="43" spans="2:70" x14ac:dyDescent="0.3">
      <c r="B43" s="96" t="str">
        <f t="shared" si="62"/>
        <v>TARGETHELLMANNS BEST FOODS</v>
      </c>
      <c r="C43" s="96" t="str">
        <f t="shared" si="63"/>
        <v>TARGETHELLMANNS BEST FOODSMAYO</v>
      </c>
      <c r="D43" s="96" t="str">
        <f t="shared" si="64"/>
        <v>TARGETHELLMANNS BEST FOODSMAYOSQUEEZY 18 TO 22OZ</v>
      </c>
      <c r="E43" s="3" t="s">
        <v>134</v>
      </c>
      <c r="F43" s="3" t="s">
        <v>106</v>
      </c>
      <c r="G43" s="3" t="s">
        <v>113</v>
      </c>
      <c r="H43" s="3" t="s">
        <v>120</v>
      </c>
      <c r="I43" s="20">
        <f>IFERROR(INDEX('Input - Target'!G$2:G$200,MATCH('Calculations - Target'!$D43,'Input - Target'!$B$2:$B$200,0)),"")</f>
        <v>9835251.6579999998</v>
      </c>
      <c r="J43" s="20">
        <f>IFERROR(INDEX('Input - Target'!H$2:H$200,MATCH('Calculations - Target'!$D43,'Input - Target'!$B$2:$B$200,0)),"")</f>
        <v>2132444.5483599999</v>
      </c>
      <c r="K43" s="21">
        <f>IFERROR(INDEX('Input - Target'!I$2:I$200,MATCH('Calculations - Target'!$D43,'Input - Target'!$B$2:$B$200,0)),"")</f>
        <v>2.0831531100351</v>
      </c>
      <c r="L43" s="21">
        <f>IFERROR(INDEX('Input - Target'!J$2:J$200,MATCH('Calculations - Target'!$D43,'Input - Target'!$B$2:$B$200,0)),"")</f>
        <v>9.6079098962256992</v>
      </c>
      <c r="M43" s="20">
        <f>IFERROR(INDEX('Input - Target'!K$2:K$200,MATCH('Calculations - Target'!$D43,'Input - Target'!$B$2:$B$200,0)),"")</f>
        <v>35595478.734899998</v>
      </c>
      <c r="N43" s="20">
        <f>IFERROR(INDEX('Input - Target'!L$2:L$200,MATCH('Calculations - Target'!$D43,'Input - Target'!$B$2:$B$200,0)),"")</f>
        <v>9093453.8787600007</v>
      </c>
      <c r="O43" s="21">
        <f t="shared" si="65"/>
        <v>4.6121957382497945</v>
      </c>
      <c r="P43" s="21">
        <f t="shared" si="47"/>
        <v>3.9144069139715985</v>
      </c>
      <c r="Q43" s="21">
        <f t="shared" si="66"/>
        <v>-4.6161525583746581</v>
      </c>
      <c r="R43" s="9">
        <f t="shared" si="48"/>
        <v>0.17390981905959285</v>
      </c>
      <c r="S43" s="9">
        <f t="shared" si="49"/>
        <v>0.15185712337327245</v>
      </c>
      <c r="T43" s="22">
        <f>IFERROR(INDEX(Target!$S$11:$S$167,MATCH('Calculations - Target'!$D43,Target!$N$11:$N$167,0)),"")</f>
        <v>0</v>
      </c>
      <c r="U43" s="22">
        <f>IFERROR(INDEX(Target!$T$11:$T$167,MATCH('Calculations - Target'!$D43,Target!$N$11:$N$167,0)),"")</f>
        <v>0</v>
      </c>
      <c r="V43" s="16">
        <f t="shared" si="50"/>
        <v>0</v>
      </c>
      <c r="W43" s="16">
        <f t="shared" si="67"/>
        <v>0</v>
      </c>
      <c r="X43" s="16">
        <f t="shared" si="68"/>
        <v>0</v>
      </c>
      <c r="Y43" s="10">
        <f t="shared" si="51"/>
        <v>0</v>
      </c>
      <c r="Z43" s="10">
        <f t="shared" si="52"/>
        <v>15161793.368670292</v>
      </c>
      <c r="AA43" s="13">
        <f t="shared" si="69"/>
        <v>0.16826693800288112</v>
      </c>
      <c r="AB43" s="9">
        <f t="shared" si="53"/>
        <v>-5.6428810567117349E-3</v>
      </c>
      <c r="AC43" s="16">
        <f t="shared" si="70"/>
        <v>9516125.5984765682</v>
      </c>
      <c r="AD43" s="16">
        <f t="shared" si="54"/>
        <v>2063252.7625741409</v>
      </c>
      <c r="AE43" s="16">
        <f t="shared" si="55"/>
        <v>0</v>
      </c>
      <c r="AF43" s="16">
        <f t="shared" si="71"/>
        <v>0</v>
      </c>
      <c r="AG43" s="16"/>
      <c r="AH43" s="32">
        <f>IFERROR(INDEX(Target!$R$11:$R$167,MATCH('Calculations - Target'!D43,Target!$N$11:$N$167,0)),"")</f>
        <v>4.6121957382497945</v>
      </c>
      <c r="AI43" s="23">
        <f t="shared" si="72"/>
        <v>0</v>
      </c>
      <c r="AJ43" s="23">
        <f t="shared" si="73"/>
        <v>0</v>
      </c>
      <c r="AK43" s="9">
        <f t="shared" si="56"/>
        <v>0</v>
      </c>
      <c r="AL43" s="4">
        <f t="shared" si="57"/>
        <v>2132444.5483599999</v>
      </c>
      <c r="AM43" s="4"/>
      <c r="AN43" s="4"/>
      <c r="AO43" s="4"/>
      <c r="AP43" s="4"/>
      <c r="AQ43" s="4"/>
      <c r="AR43" s="20">
        <f t="shared" si="58"/>
        <v>15161793.368670292</v>
      </c>
      <c r="AS43" s="13">
        <f t="shared" si="74"/>
        <v>0.16826693800288112</v>
      </c>
      <c r="AT43" s="13">
        <f t="shared" si="75"/>
        <v>0.16826693800288112</v>
      </c>
      <c r="AU43" s="13">
        <f t="shared" si="59"/>
        <v>-5.6428810567117349E-3</v>
      </c>
      <c r="AV43" s="16">
        <f t="shared" si="76"/>
        <v>9516125.5984765682</v>
      </c>
      <c r="AW43" s="16">
        <f t="shared" si="60"/>
        <v>2063252.7625741409</v>
      </c>
      <c r="AX43" s="16">
        <f t="shared" si="61"/>
        <v>0</v>
      </c>
      <c r="AY43" s="16">
        <f t="shared" si="77"/>
        <v>0</v>
      </c>
      <c r="AZ43" s="13">
        <f t="shared" si="78"/>
        <v>0.27930042031664554</v>
      </c>
      <c r="BA43" s="10">
        <f t="shared" si="79"/>
        <v>2056528.2126255305</v>
      </c>
      <c r="BB43" s="9">
        <f t="shared" si="80"/>
        <v>0.14691123288380104</v>
      </c>
      <c r="BC43" s="13">
        <f t="shared" si="81"/>
        <v>0.31066207119301742</v>
      </c>
      <c r="BD43" s="10">
        <f t="shared" si="82"/>
        <v>9516125.5984765664</v>
      </c>
      <c r="BE43" s="13">
        <f t="shared" si="83"/>
        <v>0.16826693800288103</v>
      </c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2:70" x14ac:dyDescent="0.3">
      <c r="B44" s="96" t="str">
        <f t="shared" si="62"/>
        <v>TARGETHELLMANNS BEST FOODS</v>
      </c>
      <c r="C44" s="96" t="str">
        <f t="shared" si="63"/>
        <v>TARGETHELLMANNS BEST FOODSMAYO</v>
      </c>
      <c r="D44" s="96" t="str">
        <f t="shared" si="64"/>
        <v>TARGETHELLMANNS BEST FOODSMAYOOTHER</v>
      </c>
      <c r="E44" s="3" t="s">
        <v>134</v>
      </c>
      <c r="F44" s="3" t="s">
        <v>106</v>
      </c>
      <c r="G44" s="3" t="s">
        <v>113</v>
      </c>
      <c r="H44" s="3" t="s">
        <v>115</v>
      </c>
      <c r="I44" s="20">
        <f>IFERROR(INDEX('Input - Target'!G$2:G$200,MATCH('Calculations - Target'!$D44,'Input - Target'!$B$2:$B$200,0)),"")</f>
        <v>2172205.9794700001</v>
      </c>
      <c r="J44" s="20">
        <f>IFERROR(INDEX('Input - Target'!H$2:H$200,MATCH('Calculations - Target'!$D44,'Input - Target'!$B$2:$B$200,0)),"")</f>
        <v>234782.04837900001</v>
      </c>
      <c r="K44" s="21">
        <f>IFERROR(INDEX('Input - Target'!I$2:I$200,MATCH('Calculations - Target'!$D44,'Input - Target'!$B$2:$B$200,0)),"")</f>
        <v>1.79387163127399</v>
      </c>
      <c r="L44" s="21">
        <f>IFERROR(INDEX('Input - Target'!J$2:J$200,MATCH('Calculations - Target'!$D44,'Input - Target'!$B$2:$B$200,0)),"")</f>
        <v>16.5969191884924</v>
      </c>
      <c r="M44" s="20">
        <f>IFERROR(INDEX('Input - Target'!K$2:K$200,MATCH('Calculations - Target'!$D44,'Input - Target'!$B$2:$B$200,0)),"")</f>
        <v>7552481.9263899997</v>
      </c>
      <c r="N44" s="20">
        <f>IFERROR(INDEX('Input - Target'!L$2:L$200,MATCH('Calculations - Target'!$D44,'Input - Target'!$B$2:$B$200,0)),"")</f>
        <v>956115.06339999998</v>
      </c>
      <c r="O44" s="21">
        <f t="shared" si="65"/>
        <v>9.2520105113125517</v>
      </c>
      <c r="P44" s="21">
        <f t="shared" si="47"/>
        <v>7.899134963456115</v>
      </c>
      <c r="Q44" s="21">
        <f t="shared" si="66"/>
        <v>-6.2982474785955773</v>
      </c>
      <c r="R44" s="9">
        <f t="shared" si="48"/>
        <v>3.8409586453491171E-2</v>
      </c>
      <c r="S44" s="9">
        <f t="shared" si="49"/>
        <v>1.6719462418818512E-2</v>
      </c>
      <c r="T44" s="22">
        <f>IFERROR(INDEX(Target!$S$11:$S$167,MATCH('Calculations - Target'!$D44,Target!$N$11:$N$167,0)),"")</f>
        <v>0</v>
      </c>
      <c r="U44" s="22">
        <f>IFERROR(INDEX(Target!$T$11:$T$167,MATCH('Calculations - Target'!$D44,Target!$N$11:$N$167,0)),"")</f>
        <v>0</v>
      </c>
      <c r="V44" s="16">
        <f t="shared" si="50"/>
        <v>0</v>
      </c>
      <c r="W44" s="16">
        <f t="shared" si="67"/>
        <v>0</v>
      </c>
      <c r="X44" s="16">
        <f t="shared" si="68"/>
        <v>0</v>
      </c>
      <c r="Y44" s="10">
        <f t="shared" si="51"/>
        <v>0</v>
      </c>
      <c r="Z44" s="10">
        <f t="shared" si="52"/>
        <v>3034432.3316624882</v>
      </c>
      <c r="AA44" s="13">
        <f t="shared" si="69"/>
        <v>3.3676401241614445E-2</v>
      </c>
      <c r="AB44" s="9">
        <f t="shared" si="53"/>
        <v>-4.7331852118767254E-3</v>
      </c>
      <c r="AC44" s="16">
        <f t="shared" si="70"/>
        <v>1904526.6272950668</v>
      </c>
      <c r="AD44" s="16">
        <f t="shared" si="54"/>
        <v>205850.02848476855</v>
      </c>
      <c r="AE44" s="16">
        <f t="shared" si="55"/>
        <v>0</v>
      </c>
      <c r="AF44" s="16">
        <f t="shared" si="71"/>
        <v>0</v>
      </c>
      <c r="AG44" s="16"/>
      <c r="AH44" s="32">
        <f>IFERROR(INDEX(Target!$R$11:$R$167,MATCH('Calculations - Target'!D44,Target!$N$11:$N$167,0)),"")</f>
        <v>9.2520105113125517</v>
      </c>
      <c r="AI44" s="23">
        <f t="shared" si="72"/>
        <v>0</v>
      </c>
      <c r="AJ44" s="23">
        <f t="shared" si="73"/>
        <v>0</v>
      </c>
      <c r="AK44" s="9">
        <f t="shared" si="56"/>
        <v>0</v>
      </c>
      <c r="AL44" s="4">
        <f t="shared" si="57"/>
        <v>234782.04837900001</v>
      </c>
      <c r="AM44" s="4"/>
      <c r="AN44" s="4"/>
      <c r="AO44" s="4"/>
      <c r="AP44" s="4"/>
      <c r="AQ44" s="4"/>
      <c r="AR44" s="20">
        <f t="shared" si="58"/>
        <v>3034432.3316624882</v>
      </c>
      <c r="AS44" s="13">
        <f t="shared" si="74"/>
        <v>3.3676401241614445E-2</v>
      </c>
      <c r="AT44" s="13">
        <f t="shared" si="75"/>
        <v>3.3676401241614445E-2</v>
      </c>
      <c r="AU44" s="13">
        <f t="shared" si="59"/>
        <v>-4.7331852118767254E-3</v>
      </c>
      <c r="AV44" s="16">
        <f t="shared" si="76"/>
        <v>1904526.6272950671</v>
      </c>
      <c r="AW44" s="16">
        <f t="shared" si="60"/>
        <v>205850.02848476858</v>
      </c>
      <c r="AX44" s="16">
        <f t="shared" si="61"/>
        <v>0</v>
      </c>
      <c r="AY44" s="16">
        <f t="shared" si="77"/>
        <v>0</v>
      </c>
      <c r="AZ44" s="13">
        <f t="shared" si="78"/>
        <v>2.7865708225810908E-2</v>
      </c>
      <c r="BA44" s="10">
        <f t="shared" si="79"/>
        <v>205179.12241665227</v>
      </c>
      <c r="BB44" s="9">
        <f t="shared" si="80"/>
        <v>1.4657283888054994E-2</v>
      </c>
      <c r="BC44" s="13">
        <f t="shared" si="81"/>
        <v>6.2174903069002863E-2</v>
      </c>
      <c r="BD44" s="10">
        <f t="shared" si="82"/>
        <v>1904526.6272950668</v>
      </c>
      <c r="BE44" s="13">
        <f t="shared" si="83"/>
        <v>3.3676401241614431E-2</v>
      </c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2:70" x14ac:dyDescent="0.3">
      <c r="B45" s="96" t="str">
        <f t="shared" si="62"/>
        <v>TARGETKRAFT</v>
      </c>
      <c r="C45" s="96" t="str">
        <f t="shared" si="63"/>
        <v>TARGETKRAFTMAYO</v>
      </c>
      <c r="D45" s="96" t="str">
        <f t="shared" si="64"/>
        <v>TARGETKRAFTMAYOJAR 30OZ</v>
      </c>
      <c r="E45" s="3" t="s">
        <v>134</v>
      </c>
      <c r="F45" s="3" t="s">
        <v>107</v>
      </c>
      <c r="G45" s="3" t="s">
        <v>113</v>
      </c>
      <c r="H45" s="3" t="s">
        <v>118</v>
      </c>
      <c r="I45" s="20">
        <f>IFERROR(INDEX('Input - Target'!G$2:G$200,MATCH('Calculations - Target'!$D45,'Input - Target'!$B$2:$B$200,0)),"")</f>
        <v>2286480.08</v>
      </c>
      <c r="J45" s="20">
        <f>IFERROR(INDEX('Input - Target'!H$2:H$200,MATCH('Calculations - Target'!$D45,'Input - Target'!$B$2:$B$200,0)),"")</f>
        <v>873856.76671</v>
      </c>
      <c r="K45" s="21">
        <f>IFERROR(INDEX('Input - Target'!I$2:I$200,MATCH('Calculations - Target'!$D45,'Input - Target'!$B$2:$B$200,0)),"")</f>
        <v>2.0220963971263299</v>
      </c>
      <c r="L45" s="21">
        <f>IFERROR(INDEX('Input - Target'!J$2:J$200,MATCH('Calculations - Target'!$D45,'Input - Target'!$B$2:$B$200,0)),"")</f>
        <v>5.2908935514411199</v>
      </c>
      <c r="M45" s="20">
        <f>IFERROR(INDEX('Input - Target'!K$2:K$200,MATCH('Calculations - Target'!$D45,'Input - Target'!$B$2:$B$200,0)),"")</f>
        <v>8844833.1616799999</v>
      </c>
      <c r="N45" s="20">
        <f>IFERROR(INDEX('Input - Target'!L$2:L$200,MATCH('Calculations - Target'!$D45,'Input - Target'!$B$2:$B$200,0)),"")</f>
        <v>4063723.0777599998</v>
      </c>
      <c r="O45" s="21">
        <f t="shared" si="65"/>
        <v>2.6165387362146459</v>
      </c>
      <c r="P45" s="21">
        <f t="shared" si="47"/>
        <v>2.1765344223591727</v>
      </c>
      <c r="Q45" s="21">
        <f t="shared" si="66"/>
        <v>-4.8919064914598254</v>
      </c>
      <c r="R45" s="9">
        <f t="shared" si="48"/>
        <v>4.043021478486742E-2</v>
      </c>
      <c r="S45" s="9">
        <f t="shared" si="49"/>
        <v>6.2229695461439381E-2</v>
      </c>
      <c r="T45" s="22">
        <f>IFERROR(INDEX(Target!$S$11:$S$167,MATCH('Calculations - Target'!$D45,Target!$N$11:$N$167,0)),"")</f>
        <v>0.8</v>
      </c>
      <c r="U45" s="22">
        <f>IFERROR(INDEX(Target!$T$11:$T$167,MATCH('Calculations - Target'!$D45,Target!$N$11:$N$167,0)),"")</f>
        <v>0.3</v>
      </c>
      <c r="V45" s="16">
        <f t="shared" si="50"/>
        <v>1829184.0640000002</v>
      </c>
      <c r="W45" s="16">
        <f t="shared" si="67"/>
        <v>548755.21920000005</v>
      </c>
      <c r="X45" s="16">
        <f t="shared" si="68"/>
        <v>1280428.8448000001</v>
      </c>
      <c r="Y45" s="10">
        <f t="shared" si="51"/>
        <v>1.4652616922802018</v>
      </c>
      <c r="Z45" s="10">
        <f t="shared" si="52"/>
        <v>3454981.6059345631</v>
      </c>
      <c r="AA45" s="13">
        <f t="shared" si="69"/>
        <v>3.8343694677186568E-2</v>
      </c>
      <c r="AB45" s="9">
        <f t="shared" si="53"/>
        <v>-2.0865201076808518E-3</v>
      </c>
      <c r="AC45" s="16">
        <f t="shared" si="70"/>
        <v>2168479.5527181765</v>
      </c>
      <c r="AD45" s="16">
        <f t="shared" si="54"/>
        <v>828758.81893318426</v>
      </c>
      <c r="AE45" s="16">
        <f t="shared" si="55"/>
        <v>1734783.6421745413</v>
      </c>
      <c r="AF45" s="16">
        <f t="shared" si="71"/>
        <v>520435.09265236231</v>
      </c>
      <c r="AG45" s="16"/>
      <c r="AH45" s="32">
        <f>IFERROR(INDEX(Target!$R$11:$R$167,MATCH('Calculations - Target'!D45,Target!$N$11:$N$167,0)),"")</f>
        <v>2.6165387362146459</v>
      </c>
      <c r="AI45" s="23">
        <f t="shared" si="72"/>
        <v>0.8</v>
      </c>
      <c r="AJ45" s="23">
        <f t="shared" si="73"/>
        <v>0.3</v>
      </c>
      <c r="AK45" s="9">
        <f t="shared" si="56"/>
        <v>0</v>
      </c>
      <c r="AL45" s="4">
        <f t="shared" si="57"/>
        <v>873856.76671</v>
      </c>
      <c r="AM45" s="4"/>
      <c r="AN45" s="4"/>
      <c r="AO45" s="4"/>
      <c r="AP45" s="4"/>
      <c r="AQ45" s="4"/>
      <c r="AR45" s="20">
        <f t="shared" si="58"/>
        <v>3454981.6059345631</v>
      </c>
      <c r="AS45" s="13">
        <f t="shared" si="74"/>
        <v>3.8343694677186568E-2</v>
      </c>
      <c r="AT45" s="13">
        <f t="shared" si="75"/>
        <v>3.8343694677186568E-2</v>
      </c>
      <c r="AU45" s="13">
        <f t="shared" si="59"/>
        <v>-2.0865201076808518E-3</v>
      </c>
      <c r="AV45" s="16">
        <f t="shared" si="76"/>
        <v>2168479.552718177</v>
      </c>
      <c r="AW45" s="16">
        <f t="shared" si="60"/>
        <v>828758.81893318438</v>
      </c>
      <c r="AX45" s="16">
        <f t="shared" si="61"/>
        <v>1734783.6421745417</v>
      </c>
      <c r="AY45" s="16">
        <f t="shared" si="77"/>
        <v>520435.09265236277</v>
      </c>
      <c r="AZ45" s="13">
        <f t="shared" si="78"/>
        <v>0.52811786888713408</v>
      </c>
      <c r="BA45" s="10">
        <f t="shared" si="79"/>
        <v>834193.26690402906</v>
      </c>
      <c r="BB45" s="9">
        <f t="shared" si="80"/>
        <v>5.9591869711223822E-2</v>
      </c>
      <c r="BC45" s="13">
        <f t="shared" si="81"/>
        <v>0.36512935280867853</v>
      </c>
      <c r="BD45" s="10">
        <f t="shared" si="82"/>
        <v>2168479.5527181788</v>
      </c>
      <c r="BE45" s="13">
        <f t="shared" si="83"/>
        <v>3.8343694677186589E-2</v>
      </c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</row>
    <row r="46" spans="2:70" x14ac:dyDescent="0.3">
      <c r="B46" s="96" t="str">
        <f t="shared" si="62"/>
        <v>TARGETKRAFT</v>
      </c>
      <c r="C46" s="96" t="str">
        <f t="shared" si="63"/>
        <v>TARGETKRAFTMAYO</v>
      </c>
      <c r="D46" s="96" t="str">
        <f t="shared" si="64"/>
        <v>TARGETKRAFTMAYOSQUEEZY 12OZ</v>
      </c>
      <c r="E46" s="3" t="s">
        <v>134</v>
      </c>
      <c r="F46" s="3" t="s">
        <v>107</v>
      </c>
      <c r="G46" s="3" t="s">
        <v>113</v>
      </c>
      <c r="H46" s="3" t="s">
        <v>117</v>
      </c>
      <c r="I46" s="20">
        <f>IFERROR(INDEX('Input - Target'!G$2:G$200,MATCH('Calculations - Target'!$D46,'Input - Target'!$B$2:$B$200,0)),"")</f>
        <v>885839.41984999995</v>
      </c>
      <c r="J46" s="20">
        <f>IFERROR(INDEX('Input - Target'!H$2:H$200,MATCH('Calculations - Target'!$D46,'Input - Target'!$B$2:$B$200,0)),"")</f>
        <v>164667.29629999999</v>
      </c>
      <c r="K46" s="21">
        <f>IFERROR(INDEX('Input - Target'!I$2:I$200,MATCH('Calculations - Target'!$D46,'Input - Target'!$B$2:$B$200,0)),"")</f>
        <v>2.0789588749711401</v>
      </c>
      <c r="L46" s="21">
        <f>IFERROR(INDEX('Input - Target'!J$2:J$200,MATCH('Calculations - Target'!$D46,'Input - Target'!$B$2:$B$200,0)),"")</f>
        <v>11.183906975318701</v>
      </c>
      <c r="M46" s="20">
        <f>IFERROR(INDEX('Input - Target'!K$2:K$200,MATCH('Calculations - Target'!$D46,'Input - Target'!$B$2:$B$200,0)),"")</f>
        <v>4252007.0469500003</v>
      </c>
      <c r="N46" s="20">
        <f>IFERROR(INDEX('Input - Target'!L$2:L$200,MATCH('Calculations - Target'!$D46,'Input - Target'!$B$2:$B$200,0)),"")</f>
        <v>929560.83681100002</v>
      </c>
      <c r="O46" s="21">
        <f t="shared" si="65"/>
        <v>5.379571048741389</v>
      </c>
      <c r="P46" s="21">
        <f t="shared" si="47"/>
        <v>4.5742106149148425</v>
      </c>
      <c r="Q46" s="21">
        <f t="shared" si="66"/>
        <v>-4.6340969206391218</v>
      </c>
      <c r="R46" s="9">
        <f t="shared" si="48"/>
        <v>1.566367375019416E-2</v>
      </c>
      <c r="S46" s="9">
        <f t="shared" si="49"/>
        <v>1.1726401959199179E-2</v>
      </c>
      <c r="T46" s="22">
        <f>IFERROR(INDEX(Target!$S$11:$S$167,MATCH('Calculations - Target'!$D46,Target!$N$11:$N$167,0)),"")</f>
        <v>0.8</v>
      </c>
      <c r="U46" s="22">
        <f>IFERROR(INDEX(Target!$T$11:$T$167,MATCH('Calculations - Target'!$D46,Target!$N$11:$N$167,0)),"")</f>
        <v>0.3</v>
      </c>
      <c r="V46" s="16">
        <f t="shared" si="50"/>
        <v>708671.53587999998</v>
      </c>
      <c r="W46" s="16">
        <f t="shared" si="67"/>
        <v>212601.46076399999</v>
      </c>
      <c r="X46" s="16">
        <f t="shared" si="68"/>
        <v>496070.07511600002</v>
      </c>
      <c r="Y46" s="10">
        <f t="shared" si="51"/>
        <v>3.0125597872951779</v>
      </c>
      <c r="Z46" s="10">
        <f t="shared" si="52"/>
        <v>1363731.5717732206</v>
      </c>
      <c r="AA46" s="13">
        <f t="shared" si="69"/>
        <v>1.5134814877130923E-2</v>
      </c>
      <c r="AB46" s="9">
        <f t="shared" si="53"/>
        <v>-5.288588730632364E-4</v>
      </c>
      <c r="AC46" s="16">
        <f t="shared" si="70"/>
        <v>855930.46970405756</v>
      </c>
      <c r="AD46" s="16">
        <f t="shared" si="54"/>
        <v>159107.56860517943</v>
      </c>
      <c r="AE46" s="16">
        <f t="shared" si="55"/>
        <v>684744.37576324609</v>
      </c>
      <c r="AF46" s="16">
        <f t="shared" si="71"/>
        <v>205423.3127289738</v>
      </c>
      <c r="AG46" s="16"/>
      <c r="AH46" s="32">
        <f>IFERROR(INDEX(Target!$R$11:$R$167,MATCH('Calculations - Target'!D46,Target!$N$11:$N$167,0)),"")</f>
        <v>5.379571048741389</v>
      </c>
      <c r="AI46" s="23">
        <f t="shared" si="72"/>
        <v>0.8</v>
      </c>
      <c r="AJ46" s="23">
        <f t="shared" si="73"/>
        <v>0.3</v>
      </c>
      <c r="AK46" s="9">
        <f t="shared" si="56"/>
        <v>0</v>
      </c>
      <c r="AL46" s="4">
        <f t="shared" si="57"/>
        <v>164667.29629999999</v>
      </c>
      <c r="AM46" s="4"/>
      <c r="AN46" s="4"/>
      <c r="AO46" s="4"/>
      <c r="AP46" s="4"/>
      <c r="AQ46" s="4"/>
      <c r="AR46" s="20">
        <f t="shared" si="58"/>
        <v>1363731.5717732206</v>
      </c>
      <c r="AS46" s="13">
        <f t="shared" si="74"/>
        <v>1.5134814877130923E-2</v>
      </c>
      <c r="AT46" s="13">
        <f t="shared" si="75"/>
        <v>1.5134814877130923E-2</v>
      </c>
      <c r="AU46" s="13">
        <f t="shared" si="59"/>
        <v>-5.288588730632364E-4</v>
      </c>
      <c r="AV46" s="16">
        <f t="shared" si="76"/>
        <v>855930.46970405767</v>
      </c>
      <c r="AW46" s="16">
        <f t="shared" si="60"/>
        <v>159107.56860517943</v>
      </c>
      <c r="AX46" s="16">
        <f t="shared" si="61"/>
        <v>684744.37576324621</v>
      </c>
      <c r="AY46" s="16">
        <f t="shared" si="77"/>
        <v>205423.31272897392</v>
      </c>
      <c r="AZ46" s="13">
        <f t="shared" si="78"/>
        <v>0.10138963005394608</v>
      </c>
      <c r="BA46" s="10">
        <f t="shared" si="79"/>
        <v>160150.88999567213</v>
      </c>
      <c r="BB46" s="9">
        <f t="shared" si="80"/>
        <v>1.1440623353600621E-2</v>
      </c>
      <c r="BC46" s="13">
        <f t="shared" si="81"/>
        <v>0.14412187473039442</v>
      </c>
      <c r="BD46" s="10">
        <f t="shared" si="82"/>
        <v>855930.46970405849</v>
      </c>
      <c r="BE46" s="13">
        <f t="shared" si="83"/>
        <v>1.5134814877130934E-2</v>
      </c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</row>
    <row r="47" spans="2:70" x14ac:dyDescent="0.3">
      <c r="B47" s="96" t="str">
        <f t="shared" si="62"/>
        <v>TARGETKRAFT</v>
      </c>
      <c r="C47" s="96" t="str">
        <f t="shared" si="63"/>
        <v>TARGETKRAFTMAYO</v>
      </c>
      <c r="D47" s="96" t="str">
        <f t="shared" si="64"/>
        <v>TARGETKRAFTMAYOSQUEEZY 18 TO 22OZ</v>
      </c>
      <c r="E47" s="3" t="s">
        <v>134</v>
      </c>
      <c r="F47" s="3" t="s">
        <v>107</v>
      </c>
      <c r="G47" s="3" t="s">
        <v>113</v>
      </c>
      <c r="H47" s="3" t="s">
        <v>120</v>
      </c>
      <c r="I47" s="20">
        <f>IFERROR(INDEX('Input - Target'!G$2:G$200,MATCH('Calculations - Target'!$D47,'Input - Target'!$B$2:$B$200,0)),"")</f>
        <v>637100.80582600005</v>
      </c>
      <c r="J47" s="20">
        <f>IFERROR(INDEX('Input - Target'!H$2:H$200,MATCH('Calculations - Target'!$D47,'Input - Target'!$B$2:$B$200,0)),"")</f>
        <v>177771.73648600001</v>
      </c>
      <c r="K47" s="21">
        <f>IFERROR(INDEX('Input - Target'!I$2:I$200,MATCH('Calculations - Target'!$D47,'Input - Target'!$B$2:$B$200,0)),"")</f>
        <v>2.1599444261587601</v>
      </c>
      <c r="L47" s="21">
        <f>IFERROR(INDEX('Input - Target'!J$2:J$200,MATCH('Calculations - Target'!$D47,'Input - Target'!$B$2:$B$200,0)),"")</f>
        <v>7.7408386824949202</v>
      </c>
      <c r="M47" s="20">
        <f>IFERROR(INDEX('Input - Target'!K$2:K$200,MATCH('Calculations - Target'!$D47,'Input - Target'!$B$2:$B$200,0)),"")</f>
        <v>1674318.55857329</v>
      </c>
      <c r="N47" s="20">
        <f>IFERROR(INDEX('Input - Target'!L$2:L$200,MATCH('Calculations - Target'!$D47,'Input - Target'!$B$2:$B$200,0)),"")</f>
        <v>542461.319303417</v>
      </c>
      <c r="O47" s="21">
        <f t="shared" si="65"/>
        <v>3.5838138188866338</v>
      </c>
      <c r="P47" s="21">
        <f t="shared" si="47"/>
        <v>3.0865215619858546</v>
      </c>
      <c r="Q47" s="21">
        <f t="shared" si="66"/>
        <v>-4.3105513395653503</v>
      </c>
      <c r="R47" s="9">
        <f t="shared" si="48"/>
        <v>1.1265404253667189E-2</v>
      </c>
      <c r="S47" s="9">
        <f t="shared" si="49"/>
        <v>1.2659604462210818E-2</v>
      </c>
      <c r="T47" s="22">
        <f>IFERROR(INDEX(Target!$S$11:$S$167,MATCH('Calculations - Target'!$D47,Target!$N$11:$N$167,0)),"")</f>
        <v>0.8</v>
      </c>
      <c r="U47" s="22">
        <f>IFERROR(INDEX(Target!$T$11:$T$167,MATCH('Calculations - Target'!$D47,Target!$N$11:$N$167,0)),"")</f>
        <v>0.3</v>
      </c>
      <c r="V47" s="16">
        <f t="shared" si="50"/>
        <v>509680.64466080006</v>
      </c>
      <c r="W47" s="16">
        <f t="shared" si="67"/>
        <v>152904.19339824002</v>
      </c>
      <c r="X47" s="16">
        <f t="shared" si="68"/>
        <v>356776.45126256003</v>
      </c>
      <c r="Y47" s="10">
        <f t="shared" si="51"/>
        <v>2.006935738576515</v>
      </c>
      <c r="Z47" s="10">
        <f t="shared" si="52"/>
        <v>1006601.5701355612</v>
      </c>
      <c r="AA47" s="13">
        <f t="shared" si="69"/>
        <v>1.117135419782191E-2</v>
      </c>
      <c r="AB47" s="9">
        <f t="shared" si="53"/>
        <v>-9.4050055845279826E-5</v>
      </c>
      <c r="AC47" s="16">
        <f t="shared" si="70"/>
        <v>631781.92289754213</v>
      </c>
      <c r="AD47" s="16">
        <f t="shared" si="54"/>
        <v>176287.59607099646</v>
      </c>
      <c r="AE47" s="16">
        <f t="shared" si="55"/>
        <v>505425.53831803374</v>
      </c>
      <c r="AF47" s="16">
        <f t="shared" si="71"/>
        <v>151627.66149541014</v>
      </c>
      <c r="AG47" s="16"/>
      <c r="AH47" s="32">
        <f>IFERROR(INDEX(Target!$R$11:$R$167,MATCH('Calculations - Target'!D47,Target!$N$11:$N$167,0)),"")</f>
        <v>3.5838138188866338</v>
      </c>
      <c r="AI47" s="23">
        <f t="shared" si="72"/>
        <v>0.8</v>
      </c>
      <c r="AJ47" s="23">
        <f t="shared" si="73"/>
        <v>0.3</v>
      </c>
      <c r="AK47" s="9">
        <f t="shared" si="56"/>
        <v>0</v>
      </c>
      <c r="AL47" s="4">
        <f t="shared" si="57"/>
        <v>177771.73648600001</v>
      </c>
      <c r="AM47" s="4"/>
      <c r="AN47" s="4"/>
      <c r="AO47" s="4"/>
      <c r="AP47" s="4"/>
      <c r="AQ47" s="4"/>
      <c r="AR47" s="20">
        <f t="shared" si="58"/>
        <v>1006601.5701355612</v>
      </c>
      <c r="AS47" s="13">
        <f t="shared" si="74"/>
        <v>1.117135419782191E-2</v>
      </c>
      <c r="AT47" s="13">
        <f t="shared" si="75"/>
        <v>1.117135419782191E-2</v>
      </c>
      <c r="AU47" s="13">
        <f t="shared" si="59"/>
        <v>-9.4050055845279826E-5</v>
      </c>
      <c r="AV47" s="16">
        <f t="shared" si="76"/>
        <v>631781.92289754224</v>
      </c>
      <c r="AW47" s="16">
        <f t="shared" si="60"/>
        <v>176287.59607099649</v>
      </c>
      <c r="AX47" s="16">
        <f t="shared" si="61"/>
        <v>505425.5383180338</v>
      </c>
      <c r="AY47" s="16">
        <f t="shared" si="77"/>
        <v>151627.66149541014</v>
      </c>
      <c r="AZ47" s="13">
        <f t="shared" si="78"/>
        <v>0.11233742244588588</v>
      </c>
      <c r="BA47" s="10">
        <f t="shared" si="79"/>
        <v>177443.57263120532</v>
      </c>
      <c r="BB47" s="9">
        <f t="shared" si="80"/>
        <v>1.2675952541042736E-2</v>
      </c>
      <c r="BC47" s="13">
        <f t="shared" si="81"/>
        <v>0.10637966326896801</v>
      </c>
      <c r="BD47" s="10">
        <f t="shared" si="82"/>
        <v>631781.92289754283</v>
      </c>
      <c r="BE47" s="13">
        <f t="shared" si="83"/>
        <v>1.1171354197821918E-2</v>
      </c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2:70" x14ac:dyDescent="0.3">
      <c r="B48" s="96" t="str">
        <f t="shared" si="62"/>
        <v>TARGETPRIVATE LABEL</v>
      </c>
      <c r="C48" s="96" t="str">
        <f t="shared" si="63"/>
        <v>TARGETPRIVATE LABELMAYO</v>
      </c>
      <c r="D48" s="96" t="str">
        <f t="shared" si="64"/>
        <v>TARGETPRIVATE LABELMAYOJAR 15OZ</v>
      </c>
      <c r="E48" s="3" t="s">
        <v>134</v>
      </c>
      <c r="F48" s="3" t="s">
        <v>110</v>
      </c>
      <c r="G48" s="3" t="s">
        <v>113</v>
      </c>
      <c r="H48" s="3" t="s">
        <v>116</v>
      </c>
      <c r="I48" s="20">
        <f>IFERROR(INDEX('Input - Target'!G$2:G$200,MATCH('Calculations - Target'!$D48,'Input - Target'!$B$2:$B$200,0)),"")</f>
        <v>461606.40130000003</v>
      </c>
      <c r="J48" s="20">
        <f>IFERROR(INDEX('Input - Target'!H$2:H$200,MATCH('Calculations - Target'!$D48,'Input - Target'!$B$2:$B$200,0)),"")</f>
        <v>90319.906575999994</v>
      </c>
      <c r="K48" s="21">
        <f>IFERROR(INDEX('Input - Target'!I$2:I$200,MATCH('Calculations - Target'!$D48,'Input - Target'!$B$2:$B$200,0)),"")</f>
        <v>1.3268924512323499</v>
      </c>
      <c r="L48" s="21">
        <f>IFERROR(INDEX('Input - Target'!J$2:J$200,MATCH('Calculations - Target'!$D48,'Input - Target'!$B$2:$B$200,0)),"")</f>
        <v>6.7814734596753299</v>
      </c>
      <c r="M48" s="20">
        <f>IFERROR(INDEX('Input - Target'!K$2:K$200,MATCH('Calculations - Target'!$D48,'Input - Target'!$B$2:$B$200,0)),"")</f>
        <v>1461692.999876</v>
      </c>
      <c r="N48" s="20">
        <f>IFERROR(INDEX('Input - Target'!L$2:L$200,MATCH('Calculations - Target'!$D48,'Input - Target'!$B$2:$B$200,0)),"")</f>
        <v>308877.0595417</v>
      </c>
      <c r="O48" s="21">
        <f t="shared" si="65"/>
        <v>5.1107936090653476</v>
      </c>
      <c r="P48" s="21">
        <f t="shared" si="47"/>
        <v>4.7322808694333087</v>
      </c>
      <c r="Q48" s="21">
        <f t="shared" si="66"/>
        <v>-15.295550512563327</v>
      </c>
      <c r="R48" s="9">
        <f t="shared" si="48"/>
        <v>8.1622604604666849E-3</v>
      </c>
      <c r="S48" s="9">
        <f t="shared" si="49"/>
        <v>6.4319239656301635E-3</v>
      </c>
      <c r="T48" s="22">
        <f>IFERROR(INDEX(Target!$S$11:$S$167,MATCH('Calculations - Target'!$D48,Target!$N$11:$N$167,0)),"")</f>
        <v>0</v>
      </c>
      <c r="U48" s="22">
        <f>IFERROR(INDEX(Target!$T$11:$T$167,MATCH('Calculations - Target'!$D48,Target!$N$11:$N$167,0)),"")</f>
        <v>0</v>
      </c>
      <c r="V48" s="16">
        <f t="shared" si="50"/>
        <v>0</v>
      </c>
      <c r="W48" s="16">
        <f t="shared" si="67"/>
        <v>0</v>
      </c>
      <c r="X48" s="16">
        <f t="shared" si="68"/>
        <v>0</v>
      </c>
      <c r="Y48" s="10">
        <f t="shared" si="51"/>
        <v>0</v>
      </c>
      <c r="Z48" s="10">
        <f t="shared" si="52"/>
        <v>537054.22531274962</v>
      </c>
      <c r="AA48" s="13">
        <f t="shared" si="69"/>
        <v>5.9602757957128924E-3</v>
      </c>
      <c r="AB48" s="9">
        <f t="shared" si="53"/>
        <v>-2.2019846647537925E-3</v>
      </c>
      <c r="AC48" s="16">
        <f t="shared" si="70"/>
        <v>337075.92083593149</v>
      </c>
      <c r="AD48" s="16">
        <f t="shared" si="54"/>
        <v>65953.733728953172</v>
      </c>
      <c r="AE48" s="16">
        <f t="shared" si="55"/>
        <v>0</v>
      </c>
      <c r="AF48" s="16">
        <f t="shared" si="71"/>
        <v>0</v>
      </c>
      <c r="AG48" s="16"/>
      <c r="AH48" s="32">
        <f>IFERROR(INDEX(Target!$R$11:$R$167,MATCH('Calculations - Target'!D48,Target!$N$11:$N$167,0)),"")</f>
        <v>5.1107936090653476</v>
      </c>
      <c r="AI48" s="23">
        <f t="shared" si="72"/>
        <v>0</v>
      </c>
      <c r="AJ48" s="23">
        <f t="shared" si="73"/>
        <v>0</v>
      </c>
      <c r="AK48" s="9">
        <f t="shared" si="56"/>
        <v>0</v>
      </c>
      <c r="AL48" s="4">
        <f t="shared" si="57"/>
        <v>90319.906575999994</v>
      </c>
      <c r="AM48" s="4"/>
      <c r="AN48" s="4"/>
      <c r="AO48" s="4"/>
      <c r="AP48" s="4"/>
      <c r="AQ48" s="4"/>
      <c r="AR48" s="20">
        <f t="shared" si="58"/>
        <v>537054.22531274962</v>
      </c>
      <c r="AS48" s="13">
        <f t="shared" si="74"/>
        <v>5.9602757957128924E-3</v>
      </c>
      <c r="AT48" s="13">
        <f t="shared" si="75"/>
        <v>5.9602757957128924E-3</v>
      </c>
      <c r="AU48" s="13">
        <f t="shared" si="59"/>
        <v>-2.2019846647537925E-3</v>
      </c>
      <c r="AV48" s="16">
        <f t="shared" si="76"/>
        <v>337075.92083593155</v>
      </c>
      <c r="AW48" s="16">
        <f t="shared" si="60"/>
        <v>65953.733728953172</v>
      </c>
      <c r="AX48" s="16">
        <f t="shared" si="61"/>
        <v>0</v>
      </c>
      <c r="AY48" s="16">
        <f t="shared" si="77"/>
        <v>0</v>
      </c>
      <c r="AZ48" s="13">
        <f t="shared" si="78"/>
        <v>3.2317548780346372E-2</v>
      </c>
      <c r="BA48" s="10">
        <f t="shared" si="79"/>
        <v>66497.837406200939</v>
      </c>
      <c r="BB48" s="9">
        <f t="shared" si="80"/>
        <v>4.750374547490048E-3</v>
      </c>
      <c r="BC48" s="13">
        <f t="shared" si="81"/>
        <v>7.4749325143037393E-2</v>
      </c>
      <c r="BD48" s="10">
        <f t="shared" si="82"/>
        <v>337075.92083593173</v>
      </c>
      <c r="BE48" s="13">
        <f t="shared" si="83"/>
        <v>5.9602757957128941E-3</v>
      </c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</row>
    <row r="49" spans="2:70" x14ac:dyDescent="0.3">
      <c r="B49" s="96" t="str">
        <f t="shared" si="62"/>
        <v>TARGETPRIVATE LABEL</v>
      </c>
      <c r="C49" s="96" t="str">
        <f t="shared" si="63"/>
        <v>TARGETPRIVATE LABELMAYO</v>
      </c>
      <c r="D49" s="96" t="str">
        <f t="shared" si="64"/>
        <v>TARGETPRIVATE LABELMAYOJAR 30OZ</v>
      </c>
      <c r="E49" s="3" t="s">
        <v>134</v>
      </c>
      <c r="F49" s="3" t="s">
        <v>110</v>
      </c>
      <c r="G49" s="3" t="s">
        <v>113</v>
      </c>
      <c r="H49" s="3" t="s">
        <v>118</v>
      </c>
      <c r="I49" s="20">
        <f>IFERROR(INDEX('Input - Target'!G$2:G$200,MATCH('Calculations - Target'!$D49,'Input - Target'!$B$2:$B$200,0)),"")</f>
        <v>2506207.1948500001</v>
      </c>
      <c r="J49" s="20">
        <f>IFERROR(INDEX('Input - Target'!H$2:H$200,MATCH('Calculations - Target'!$D49,'Input - Target'!$B$2:$B$200,0)),"")</f>
        <v>1368652.2489199999</v>
      </c>
      <c r="K49" s="21">
        <f>IFERROR(INDEX('Input - Target'!I$2:I$200,MATCH('Calculations - Target'!$D49,'Input - Target'!$B$2:$B$200,0)),"")</f>
        <v>1.92712522061865</v>
      </c>
      <c r="L49" s="21">
        <f>IFERROR(INDEX('Input - Target'!J$2:J$200,MATCH('Calculations - Target'!$D49,'Input - Target'!$B$2:$B$200,0)),"")</f>
        <v>3.5288548256889301</v>
      </c>
      <c r="M49" s="20">
        <f>IFERROR(INDEX('Input - Target'!K$2:K$200,MATCH('Calculations - Target'!$D49,'Input - Target'!$B$2:$B$200,0)),"")</f>
        <v>7090826.8705399996</v>
      </c>
      <c r="N49" s="20">
        <f>IFERROR(INDEX('Input - Target'!L$2:L$200,MATCH('Calculations - Target'!$D49,'Input - Target'!$B$2:$B$200,0)),"")</f>
        <v>4176645.0644</v>
      </c>
      <c r="O49" s="21">
        <f t="shared" si="65"/>
        <v>1.8311497291058718</v>
      </c>
      <c r="P49" s="21">
        <f t="shared" si="47"/>
        <v>1.6977326924375939</v>
      </c>
      <c r="Q49" s="21">
        <f t="shared" si="66"/>
        <v>-5.3930147609010408</v>
      </c>
      <c r="R49" s="9">
        <f t="shared" si="48"/>
        <v>4.4315494400968311E-2</v>
      </c>
      <c r="S49" s="9">
        <f t="shared" si="49"/>
        <v>9.7465415257430507E-2</v>
      </c>
      <c r="T49" s="22">
        <f>IFERROR(INDEX(Target!$S$11:$S$167,MATCH('Calculations - Target'!$D49,Target!$N$11:$N$167,0)),"")</f>
        <v>0</v>
      </c>
      <c r="U49" s="22">
        <f>IFERROR(INDEX(Target!$T$11:$T$167,MATCH('Calculations - Target'!$D49,Target!$N$11:$N$167,0)),"")</f>
        <v>0</v>
      </c>
      <c r="V49" s="16">
        <f t="shared" si="50"/>
        <v>0</v>
      </c>
      <c r="W49" s="16">
        <f t="shared" si="67"/>
        <v>0</v>
      </c>
      <c r="X49" s="16">
        <f t="shared" si="68"/>
        <v>0</v>
      </c>
      <c r="Y49" s="10">
        <f t="shared" si="51"/>
        <v>0</v>
      </c>
      <c r="Z49" s="10">
        <f t="shared" si="52"/>
        <v>3667991.1440706742</v>
      </c>
      <c r="AA49" s="13">
        <f t="shared" si="69"/>
        <v>4.0707693570723451E-2</v>
      </c>
      <c r="AB49" s="9">
        <f t="shared" si="53"/>
        <v>-3.6078008302448603E-3</v>
      </c>
      <c r="AC49" s="16">
        <f t="shared" si="70"/>
        <v>2302172.5446544266</v>
      </c>
      <c r="AD49" s="16">
        <f t="shared" si="54"/>
        <v>1257227.9088169101</v>
      </c>
      <c r="AE49" s="16">
        <f t="shared" si="55"/>
        <v>0</v>
      </c>
      <c r="AF49" s="16">
        <f t="shared" si="71"/>
        <v>0</v>
      </c>
      <c r="AG49" s="16"/>
      <c r="AH49" s="32">
        <f>IFERROR(INDEX(Target!$R$11:$R$167,MATCH('Calculations - Target'!D49,Target!$N$11:$N$167,0)),"")</f>
        <v>1.8311497291058718</v>
      </c>
      <c r="AI49" s="23">
        <f t="shared" si="72"/>
        <v>0</v>
      </c>
      <c r="AJ49" s="23">
        <f t="shared" si="73"/>
        <v>0</v>
      </c>
      <c r="AK49" s="9">
        <f t="shared" si="56"/>
        <v>0</v>
      </c>
      <c r="AL49" s="4">
        <f t="shared" si="57"/>
        <v>1368652.2489199999</v>
      </c>
      <c r="AM49" s="4"/>
      <c r="AN49" s="4"/>
      <c r="AO49" s="4"/>
      <c r="AP49" s="4"/>
      <c r="AQ49" s="4"/>
      <c r="AR49" s="20">
        <f t="shared" si="58"/>
        <v>3667991.1440706742</v>
      </c>
      <c r="AS49" s="13">
        <f t="shared" si="74"/>
        <v>4.0707693570723451E-2</v>
      </c>
      <c r="AT49" s="13">
        <f t="shared" si="75"/>
        <v>4.0707693570723451E-2</v>
      </c>
      <c r="AU49" s="13">
        <f t="shared" si="59"/>
        <v>-3.6078008302448603E-3</v>
      </c>
      <c r="AV49" s="16">
        <f t="shared" si="76"/>
        <v>2302172.5446544266</v>
      </c>
      <c r="AW49" s="16">
        <f t="shared" si="60"/>
        <v>1257227.9088169101</v>
      </c>
      <c r="AX49" s="16">
        <f t="shared" si="61"/>
        <v>0</v>
      </c>
      <c r="AY49" s="16">
        <f t="shared" si="77"/>
        <v>0</v>
      </c>
      <c r="AZ49" s="13">
        <f t="shared" si="78"/>
        <v>0.61604585478330354</v>
      </c>
      <c r="BA49" s="10">
        <f t="shared" si="79"/>
        <v>1267599.7602595752</v>
      </c>
      <c r="BB49" s="9">
        <f t="shared" si="80"/>
        <v>9.0552924311792127E-2</v>
      </c>
      <c r="BC49" s="13">
        <f t="shared" si="81"/>
        <v>0.51052547345708699</v>
      </c>
      <c r="BD49" s="10">
        <f t="shared" si="82"/>
        <v>2302172.544654428</v>
      </c>
      <c r="BE49" s="13">
        <f t="shared" si="83"/>
        <v>4.0707693570723465E-2</v>
      </c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</row>
    <row r="50" spans="2:70" x14ac:dyDescent="0.3">
      <c r="B50" s="96" t="str">
        <f t="shared" si="62"/>
        <v>TARGETPRIVATE LABEL</v>
      </c>
      <c r="C50" s="96" t="str">
        <f t="shared" si="63"/>
        <v>TARGETPRIVATE LABELMAYO</v>
      </c>
      <c r="D50" s="96" t="str">
        <f t="shared" si="64"/>
        <v>TARGETPRIVATE LABELMAYOSQUEEZY 18 TO 22OZ</v>
      </c>
      <c r="E50" s="3" t="s">
        <v>134</v>
      </c>
      <c r="F50" s="3" t="s">
        <v>110</v>
      </c>
      <c r="G50" s="3" t="s">
        <v>113</v>
      </c>
      <c r="H50" s="3" t="s">
        <v>120</v>
      </c>
      <c r="I50" s="20">
        <f>IFERROR(INDEX('Input - Target'!G$2:G$200,MATCH('Calculations - Target'!$D50,'Input - Target'!$B$2:$B$200,0)),"")</f>
        <v>553887.091439615</v>
      </c>
      <c r="J50" s="20">
        <f>IFERROR(INDEX('Input - Target'!H$2:H$200,MATCH('Calculations - Target'!$D50,'Input - Target'!$B$2:$B$200,0)),"")</f>
        <v>252978.50660294201</v>
      </c>
      <c r="K50" s="21">
        <f>IFERROR(INDEX('Input - Target'!I$2:I$200,MATCH('Calculations - Target'!$D50,'Input - Target'!$B$2:$B$200,0)),"")</f>
        <v>2.35806170731371</v>
      </c>
      <c r="L50" s="21">
        <f>IFERROR(INDEX('Input - Target'!J$2:J$200,MATCH('Calculations - Target'!$D50,'Input - Target'!$B$2:$B$200,0)),"")</f>
        <v>5.1628889664887199</v>
      </c>
      <c r="M50" s="20">
        <f>IFERROR(INDEX('Input - Target'!K$2:K$200,MATCH('Calculations - Target'!$D50,'Input - Target'!$B$2:$B$200,0)),"")</f>
        <v>4209993.4069696199</v>
      </c>
      <c r="N50" s="20">
        <f>IFERROR(INDEX('Input - Target'!L$2:L$200,MATCH('Calculations - Target'!$D50,'Input - Target'!$B$2:$B$200,0)),"")</f>
        <v>1793032.7404609399</v>
      </c>
      <c r="O50" s="21">
        <f t="shared" si="65"/>
        <v>2.189463045210235</v>
      </c>
      <c r="P50" s="21">
        <f t="shared" si="47"/>
        <v>2.3479735266224671</v>
      </c>
      <c r="Q50" s="21">
        <f t="shared" si="66"/>
        <v>-3.6817178284852492</v>
      </c>
      <c r="R50" s="9">
        <f t="shared" si="48"/>
        <v>9.7939948260861893E-3</v>
      </c>
      <c r="S50" s="9">
        <f t="shared" si="49"/>
        <v>1.801528124965043E-2</v>
      </c>
      <c r="T50" s="22">
        <f>IFERROR(INDEX(Target!$S$11:$S$167,MATCH('Calculations - Target'!$D50,Target!$N$11:$N$167,0)),"")</f>
        <v>0</v>
      </c>
      <c r="U50" s="22">
        <f>IFERROR(INDEX(Target!$T$11:$T$167,MATCH('Calculations - Target'!$D50,Target!$N$11:$N$167,0)),"")</f>
        <v>0</v>
      </c>
      <c r="V50" s="16">
        <f t="shared" si="50"/>
        <v>0</v>
      </c>
      <c r="W50" s="16">
        <f t="shared" si="67"/>
        <v>0</v>
      </c>
      <c r="X50" s="16">
        <f t="shared" si="68"/>
        <v>0</v>
      </c>
      <c r="Y50" s="10">
        <f t="shared" si="51"/>
        <v>0</v>
      </c>
      <c r="Z50" s="10">
        <f t="shared" si="52"/>
        <v>929993.51596936898</v>
      </c>
      <c r="AA50" s="13">
        <f t="shared" si="69"/>
        <v>1.0321151165274279E-2</v>
      </c>
      <c r="AB50" s="9">
        <f t="shared" si="53"/>
        <v>5.2715633918808992E-4</v>
      </c>
      <c r="AC50" s="16">
        <f t="shared" si="70"/>
        <v>583699.75691796991</v>
      </c>
      <c r="AD50" s="16">
        <f t="shared" si="54"/>
        <v>266594.93440407544</v>
      </c>
      <c r="AE50" s="16">
        <f t="shared" si="55"/>
        <v>0</v>
      </c>
      <c r="AF50" s="16">
        <f t="shared" si="71"/>
        <v>0</v>
      </c>
      <c r="AG50" s="16"/>
      <c r="AH50" s="32">
        <f>IFERROR(INDEX(Target!$R$11:$R$167,MATCH('Calculations - Target'!D50,Target!$N$11:$N$167,0)),"")</f>
        <v>2.189463045210235</v>
      </c>
      <c r="AI50" s="23">
        <f t="shared" si="72"/>
        <v>0</v>
      </c>
      <c r="AJ50" s="23">
        <f t="shared" si="73"/>
        <v>0</v>
      </c>
      <c r="AK50" s="9">
        <f t="shared" si="56"/>
        <v>0</v>
      </c>
      <c r="AL50" s="4">
        <f t="shared" si="57"/>
        <v>252978.50660294201</v>
      </c>
      <c r="AM50" s="4"/>
      <c r="AN50" s="4"/>
      <c r="AO50" s="4"/>
      <c r="AP50" s="4"/>
      <c r="AQ50" s="4"/>
      <c r="AR50" s="20">
        <f t="shared" si="58"/>
        <v>929993.51596936898</v>
      </c>
      <c r="AS50" s="13">
        <f t="shared" si="74"/>
        <v>1.0321151165274279E-2</v>
      </c>
      <c r="AT50" s="13">
        <f t="shared" si="75"/>
        <v>1.0321151165274279E-2</v>
      </c>
      <c r="AU50" s="13">
        <f t="shared" si="59"/>
        <v>5.2715633918808992E-4</v>
      </c>
      <c r="AV50" s="16">
        <f t="shared" si="76"/>
        <v>583699.75691797002</v>
      </c>
      <c r="AW50" s="16">
        <f t="shared" si="60"/>
        <v>266594.93440407549</v>
      </c>
      <c r="AX50" s="16">
        <f t="shared" si="61"/>
        <v>0</v>
      </c>
      <c r="AY50" s="16">
        <f t="shared" si="77"/>
        <v>0</v>
      </c>
      <c r="AZ50" s="13">
        <f t="shared" si="78"/>
        <v>0.13063240411231986</v>
      </c>
      <c r="BA50" s="10">
        <f t="shared" si="79"/>
        <v>268794.28349234711</v>
      </c>
      <c r="BB50" s="9">
        <f t="shared" si="80"/>
        <v>1.9201730050454262E-2</v>
      </c>
      <c r="BC50" s="13">
        <f t="shared" si="81"/>
        <v>0.12944016531222435</v>
      </c>
      <c r="BD50" s="10">
        <f t="shared" si="82"/>
        <v>583699.75691797037</v>
      </c>
      <c r="BE50" s="13">
        <f t="shared" si="83"/>
        <v>1.0321151165274283E-2</v>
      </c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2:70" x14ac:dyDescent="0.3">
      <c r="B51" s="96" t="str">
        <f t="shared" si="62"/>
        <v>TARGETPRIVATE LABEL</v>
      </c>
      <c r="C51" s="96" t="str">
        <f t="shared" si="63"/>
        <v>TARGETPRIVATE LABELMAYO</v>
      </c>
      <c r="D51" s="96" t="str">
        <f t="shared" si="64"/>
        <v>TARGETPRIVATE LABELMAYOOTHER</v>
      </c>
      <c r="E51" s="3" t="s">
        <v>134</v>
      </c>
      <c r="F51" s="3" t="s">
        <v>110</v>
      </c>
      <c r="G51" s="3" t="s">
        <v>113</v>
      </c>
      <c r="H51" s="3" t="s">
        <v>115</v>
      </c>
      <c r="I51" s="20">
        <f>IFERROR(INDEX('Input - Target'!G$2:G$200,MATCH('Calculations - Target'!$D51,'Input - Target'!$B$2:$B$200,0)),"")</f>
        <v>993371.09769279999</v>
      </c>
      <c r="J51" s="20">
        <f>IFERROR(INDEX('Input - Target'!H$2:H$200,MATCH('Calculations - Target'!$D51,'Input - Target'!$B$2:$B$200,0)),"")</f>
        <v>348267.99018641002</v>
      </c>
      <c r="K51" s="21">
        <f>IFERROR(INDEX('Input - Target'!I$2:I$200,MATCH('Calculations - Target'!$D51,'Input - Target'!$B$2:$B$200,0)),"")</f>
        <v>3.1267516139576399</v>
      </c>
      <c r="L51" s="21">
        <f>IFERROR(INDEX('Input - Target'!J$2:J$200,MATCH('Calculations - Target'!$D51,'Input - Target'!$B$2:$B$200,0)),"")</f>
        <v>8.9184902732729991</v>
      </c>
      <c r="M51" s="20">
        <f>IFERROR(INDEX('Input - Target'!K$2:K$200,MATCH('Calculations - Target'!$D51,'Input - Target'!$B$2:$B$200,0)),"")</f>
        <v>993371.09769279999</v>
      </c>
      <c r="N51" s="20">
        <f>IFERROR(INDEX('Input - Target'!L$2:L$200,MATCH('Calculations - Target'!$D51,'Input - Target'!$B$2:$B$200,0)),"")</f>
        <v>348267.99018641002</v>
      </c>
      <c r="O51" s="21">
        <f t="shared" si="65"/>
        <v>2.852318116175705</v>
      </c>
      <c r="P51" s="21">
        <f t="shared" si="47"/>
        <v>2.852318116175705</v>
      </c>
      <c r="Q51" s="21">
        <f t="shared" si="66"/>
        <v>-2.3510032705208941</v>
      </c>
      <c r="R51" s="9">
        <f t="shared" si="48"/>
        <v>1.7565080576078938E-2</v>
      </c>
      <c r="S51" s="9">
        <f t="shared" si="49"/>
        <v>2.4801102187333838E-2</v>
      </c>
      <c r="T51" s="22">
        <f>IFERROR(INDEX(Target!$S$11:$S$167,MATCH('Calculations - Target'!$D51,Target!$N$11:$N$167,0)),"")</f>
        <v>0</v>
      </c>
      <c r="U51" s="22">
        <f>IFERROR(INDEX(Target!$T$11:$T$167,MATCH('Calculations - Target'!$D51,Target!$N$11:$N$167,0)),"")</f>
        <v>0</v>
      </c>
      <c r="V51" s="16">
        <f t="shared" si="50"/>
        <v>0</v>
      </c>
      <c r="W51" s="16">
        <f t="shared" si="67"/>
        <v>0</v>
      </c>
      <c r="X51" s="16">
        <f t="shared" si="68"/>
        <v>0</v>
      </c>
      <c r="Y51" s="10">
        <f t="shared" si="51"/>
        <v>0</v>
      </c>
      <c r="Z51" s="10">
        <f t="shared" si="52"/>
        <v>2049697.890331317</v>
      </c>
      <c r="AA51" s="13">
        <f t="shared" si="69"/>
        <v>2.2747730393799962E-2</v>
      </c>
      <c r="AB51" s="9">
        <f t="shared" si="53"/>
        <v>5.1826498177210238E-3</v>
      </c>
      <c r="AC51" s="16">
        <f t="shared" si="70"/>
        <v>1286469.3568262162</v>
      </c>
      <c r="AD51" s="16">
        <f t="shared" si="54"/>
        <v>451025.90399386181</v>
      </c>
      <c r="AE51" s="16">
        <f t="shared" si="55"/>
        <v>0</v>
      </c>
      <c r="AF51" s="16">
        <f t="shared" si="71"/>
        <v>0</v>
      </c>
      <c r="AG51" s="16"/>
      <c r="AH51" s="32">
        <f>IFERROR(INDEX(Target!$R$11:$R$167,MATCH('Calculations - Target'!D51,Target!$N$11:$N$167,0)),"")</f>
        <v>2.852318116175705</v>
      </c>
      <c r="AI51" s="23">
        <f t="shared" si="72"/>
        <v>0</v>
      </c>
      <c r="AJ51" s="23">
        <f t="shared" si="73"/>
        <v>0</v>
      </c>
      <c r="AK51" s="9">
        <f t="shared" si="56"/>
        <v>0</v>
      </c>
      <c r="AL51" s="4">
        <f t="shared" si="57"/>
        <v>348267.99018641002</v>
      </c>
      <c r="AM51" s="4"/>
      <c r="AN51" s="4"/>
      <c r="AO51" s="4"/>
      <c r="AP51" s="4"/>
      <c r="AQ51" s="4"/>
      <c r="AR51" s="20">
        <f t="shared" si="58"/>
        <v>2049697.890331317</v>
      </c>
      <c r="AS51" s="13">
        <f t="shared" si="74"/>
        <v>2.2747730393799962E-2</v>
      </c>
      <c r="AT51" s="13">
        <f t="shared" si="75"/>
        <v>2.2747730393799962E-2</v>
      </c>
      <c r="AU51" s="13">
        <f t="shared" si="59"/>
        <v>5.1826498177210238E-3</v>
      </c>
      <c r="AV51" s="16">
        <f t="shared" si="76"/>
        <v>1286469.3568262164</v>
      </c>
      <c r="AW51" s="16">
        <f t="shared" si="60"/>
        <v>451025.90399386187</v>
      </c>
      <c r="AX51" s="16">
        <f t="shared" si="61"/>
        <v>0</v>
      </c>
      <c r="AY51" s="16">
        <f t="shared" si="77"/>
        <v>0</v>
      </c>
      <c r="AZ51" s="13">
        <f t="shared" si="78"/>
        <v>0.22100419232403032</v>
      </c>
      <c r="BA51" s="10">
        <f t="shared" si="79"/>
        <v>454746.76768151281</v>
      </c>
      <c r="BB51" s="9">
        <f t="shared" si="80"/>
        <v>3.248552968049135E-2</v>
      </c>
      <c r="BC51" s="13">
        <f t="shared" si="81"/>
        <v>0.28528503608765138</v>
      </c>
      <c r="BD51" s="10">
        <f t="shared" si="82"/>
        <v>1286469.3568262171</v>
      </c>
      <c r="BE51" s="13">
        <f t="shared" si="83"/>
        <v>2.2747730393799969E-2</v>
      </c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</row>
    <row r="52" spans="2:70" x14ac:dyDescent="0.3">
      <c r="B52" s="96" t="str">
        <f t="shared" si="62"/>
        <v>TARGETRESTOFCATEGORY</v>
      </c>
      <c r="C52" s="96" t="str">
        <f t="shared" si="63"/>
        <v>TARGETRESTOFCATEGORYRESTOFCATEGORY</v>
      </c>
      <c r="D52" s="96" t="str">
        <f t="shared" si="64"/>
        <v>TARGETRESTOFCATEGORYRESTOFCATEGORYJAR 15OZ</v>
      </c>
      <c r="E52" s="3" t="s">
        <v>134</v>
      </c>
      <c r="F52" s="3" t="s">
        <v>111</v>
      </c>
      <c r="G52" s="3" t="s">
        <v>111</v>
      </c>
      <c r="H52" s="3" t="s">
        <v>116</v>
      </c>
      <c r="I52" s="20">
        <f>IFERROR(INDEX('Input - Target'!G$2:G$200,MATCH('Calculations - Target'!$D52,'Input - Target'!$B$2:$B$200,0)),"")</f>
        <v>1797630.9669154</v>
      </c>
      <c r="J52" s="20">
        <f>IFERROR(INDEX('Input - Target'!H$2:H$200,MATCH('Calculations - Target'!$D52,'Input - Target'!$B$2:$B$200,0)),"")</f>
        <v>140642.42990339</v>
      </c>
      <c r="K52" s="21">
        <f>IFERROR(INDEX('Input - Target'!I$2:I$200,MATCH('Calculations - Target'!$D52,'Input - Target'!$B$2:$B$200,0)),"")</f>
        <v>1.00586585198483</v>
      </c>
      <c r="L52" s="21">
        <f>IFERROR(INDEX('Input - Target'!J$2:J$200,MATCH('Calculations - Target'!$D52,'Input - Target'!$B$2:$B$200,0)),"")</f>
        <v>12.8565441121342</v>
      </c>
      <c r="M52" s="20">
        <f>IFERROR(INDEX('Input - Target'!K$2:K$200,MATCH('Calculations - Target'!$D52,'Input - Target'!$B$2:$B$200,0)),"")</f>
        <v>8174295.6926784003</v>
      </c>
      <c r="N52" s="20">
        <f>IFERROR(INDEX('Input - Target'!L$2:L$200,MATCH('Calculations - Target'!$D52,'Input - Target'!$B$2:$B$200,0)),"")</f>
        <v>692648.38872958999</v>
      </c>
      <c r="O52" s="21">
        <f t="shared" si="65"/>
        <v>12.781569318378724</v>
      </c>
      <c r="P52" s="21">
        <f t="shared" si="47"/>
        <v>11.801508277051152</v>
      </c>
      <c r="Q52" s="21">
        <f t="shared" si="66"/>
        <v>-852.39109560372015</v>
      </c>
      <c r="R52" s="9">
        <f t="shared" si="48"/>
        <v>3.1786240663998488E-2</v>
      </c>
      <c r="S52" s="9">
        <f t="shared" si="49"/>
        <v>1.0015526474431134E-2</v>
      </c>
      <c r="T52" s="22">
        <f>IFERROR(INDEX(Target!$S$11:$S$167,MATCH('Calculations - Target'!$D52,Target!$N$11:$N$167,0)),"")</f>
        <v>0</v>
      </c>
      <c r="U52" s="22">
        <f>IFERROR(INDEX(Target!$T$11:$T$167,MATCH('Calculations - Target'!$D52,Target!$N$11:$N$167,0)),"")</f>
        <v>0</v>
      </c>
      <c r="V52" s="16">
        <f t="shared" si="50"/>
        <v>0</v>
      </c>
      <c r="W52" s="16">
        <f t="shared" si="67"/>
        <v>0</v>
      </c>
      <c r="X52" s="16">
        <f t="shared" si="68"/>
        <v>0</v>
      </c>
      <c r="Y52" s="10">
        <f t="shared" si="51"/>
        <v>0</v>
      </c>
      <c r="Z52" s="10">
        <f t="shared" si="52"/>
        <v>1802903.2855030377</v>
      </c>
      <c r="AA52" s="13">
        <f t="shared" si="69"/>
        <v>2.0008781810323284E-2</v>
      </c>
      <c r="AB52" s="9">
        <f t="shared" si="53"/>
        <v>-1.1777458853675205E-2</v>
      </c>
      <c r="AC52" s="16">
        <f t="shared" si="70"/>
        <v>1131571.5555261935</v>
      </c>
      <c r="AD52" s="16">
        <f t="shared" si="54"/>
        <v>88531.504022678768</v>
      </c>
      <c r="AE52" s="16">
        <f t="shared" si="55"/>
        <v>0</v>
      </c>
      <c r="AF52" s="16">
        <f t="shared" si="71"/>
        <v>0</v>
      </c>
      <c r="AG52" s="16"/>
      <c r="AH52" s="32">
        <f>IFERROR(INDEX(Target!$R$11:$R$167,MATCH('Calculations - Target'!D52,Target!$N$11:$N$167,0)),"")</f>
        <v>12.781569318378724</v>
      </c>
      <c r="AI52" s="23">
        <f t="shared" si="72"/>
        <v>0</v>
      </c>
      <c r="AJ52" s="23">
        <f t="shared" si="73"/>
        <v>0</v>
      </c>
      <c r="AK52" s="9">
        <f t="shared" si="56"/>
        <v>0</v>
      </c>
      <c r="AL52" s="4">
        <f t="shared" si="57"/>
        <v>140642.42990339</v>
      </c>
      <c r="AM52" s="4"/>
      <c r="AN52" s="4"/>
      <c r="AO52" s="4"/>
      <c r="AP52" s="4"/>
      <c r="AQ52" s="4"/>
      <c r="AR52" s="20">
        <f t="shared" si="58"/>
        <v>1802903.2855030377</v>
      </c>
      <c r="AS52" s="13">
        <f t="shared" si="74"/>
        <v>2.0008781810323284E-2</v>
      </c>
      <c r="AT52" s="13">
        <f t="shared" si="75"/>
        <v>2.0008781810323284E-2</v>
      </c>
      <c r="AU52" s="13">
        <f t="shared" si="59"/>
        <v>-1.1777458853675205E-2</v>
      </c>
      <c r="AV52" s="16">
        <f t="shared" si="76"/>
        <v>1131571.5555261935</v>
      </c>
      <c r="AW52" s="16">
        <f t="shared" si="60"/>
        <v>88531.504022678768</v>
      </c>
      <c r="AX52" s="16">
        <f t="shared" si="61"/>
        <v>0</v>
      </c>
      <c r="AY52" s="16">
        <f t="shared" si="77"/>
        <v>0</v>
      </c>
      <c r="AZ52" s="13">
        <f t="shared" si="78"/>
        <v>5.4697176000679568E-2</v>
      </c>
      <c r="BA52" s="10">
        <f t="shared" si="79"/>
        <v>83866.860499350441</v>
      </c>
      <c r="BB52" s="9">
        <f t="shared" si="80"/>
        <v>5.9911572320825888E-3</v>
      </c>
      <c r="BC52" s="13">
        <f t="shared" si="81"/>
        <v>0.11048287095217477</v>
      </c>
      <c r="BD52" s="10">
        <f t="shared" si="82"/>
        <v>1131571.5555261946</v>
      </c>
      <c r="BE52" s="13">
        <f t="shared" si="83"/>
        <v>2.0008781810323298E-2</v>
      </c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</row>
    <row r="53" spans="2:70" x14ac:dyDescent="0.3">
      <c r="B53" s="96" t="str">
        <f t="shared" si="62"/>
        <v>TARGETRESTOFCATEGORY</v>
      </c>
      <c r="C53" s="96" t="str">
        <f t="shared" si="63"/>
        <v>TARGETRESTOFCATEGORYRESTOFCATEGORY</v>
      </c>
      <c r="D53" s="96" t="str">
        <f t="shared" si="64"/>
        <v>TARGETRESTOFCATEGORYRESTOFCATEGORYJAR 30OZ</v>
      </c>
      <c r="E53" s="3" t="s">
        <v>134</v>
      </c>
      <c r="F53" s="3" t="s">
        <v>111</v>
      </c>
      <c r="G53" s="3" t="s">
        <v>111</v>
      </c>
      <c r="H53" s="3" t="s">
        <v>118</v>
      </c>
      <c r="I53" s="20">
        <f>IFERROR(INDEX('Input - Target'!G$2:G$200,MATCH('Calculations - Target'!$D53,'Input - Target'!$B$2:$B$200,0)),"")</f>
        <v>25380.7264521</v>
      </c>
      <c r="J53" s="20">
        <f>IFERROR(INDEX('Input - Target'!H$2:H$200,MATCH('Calculations - Target'!$D53,'Input - Target'!$B$2:$B$200,0)),"")</f>
        <v>11036.38499853</v>
      </c>
      <c r="K53" s="21">
        <f>IFERROR(INDEX('Input - Target'!I$2:I$200,MATCH('Calculations - Target'!$D53,'Input - Target'!$B$2:$B$200,0)),"")</f>
        <v>2.9090873635896601</v>
      </c>
      <c r="L53" s="21">
        <f>IFERROR(INDEX('Input - Target'!J$2:J$200,MATCH('Calculations - Target'!$D53,'Input - Target'!$B$2:$B$200,0)),"")</f>
        <v>6.6901209599306597</v>
      </c>
      <c r="M53" s="20">
        <f>IFERROR(INDEX('Input - Target'!K$2:K$200,MATCH('Calculations - Target'!$D53,'Input - Target'!$B$2:$B$200,0)),"")</f>
        <v>43017.256452100002</v>
      </c>
      <c r="N53" s="20">
        <f>IFERROR(INDEX('Input - Target'!L$2:L$200,MATCH('Calculations - Target'!$D53,'Input - Target'!$B$2:$B$200,0)),"")</f>
        <v>22014.50999853</v>
      </c>
      <c r="O53" s="21">
        <f t="shared" si="65"/>
        <v>2.2997318828113196</v>
      </c>
      <c r="P53" s="21">
        <f t="shared" si="47"/>
        <v>1.9540410599632898</v>
      </c>
      <c r="Q53" s="21">
        <f t="shared" si="66"/>
        <v>-2.6190524830663064</v>
      </c>
      <c r="R53" s="9">
        <f t="shared" si="48"/>
        <v>4.4878948687555111E-4</v>
      </c>
      <c r="S53" s="9">
        <f t="shared" si="49"/>
        <v>7.8593071956109257E-4</v>
      </c>
      <c r="T53" s="22">
        <f>IFERROR(INDEX(Target!$S$11:$S$167,MATCH('Calculations - Target'!$D53,Target!$N$11:$N$167,0)),"")</f>
        <v>0</v>
      </c>
      <c r="U53" s="22">
        <f>IFERROR(INDEX(Target!$T$11:$T$167,MATCH('Calculations - Target'!$D53,Target!$N$11:$N$167,0)),"")</f>
        <v>0</v>
      </c>
      <c r="V53" s="16">
        <f t="shared" si="50"/>
        <v>0</v>
      </c>
      <c r="W53" s="16">
        <f t="shared" si="67"/>
        <v>0</v>
      </c>
      <c r="X53" s="16">
        <f t="shared" si="68"/>
        <v>0</v>
      </c>
      <c r="Y53" s="10">
        <f t="shared" si="51"/>
        <v>0</v>
      </c>
      <c r="Z53" s="10">
        <f t="shared" si="52"/>
        <v>49607.738526314926</v>
      </c>
      <c r="AA53" s="13">
        <f t="shared" si="69"/>
        <v>5.5055111622343933E-4</v>
      </c>
      <c r="AB53" s="9">
        <f t="shared" si="53"/>
        <v>1.0176162934788822E-4</v>
      </c>
      <c r="AC53" s="16">
        <f t="shared" si="70"/>
        <v>31135.727746314689</v>
      </c>
      <c r="AD53" s="16">
        <f t="shared" si="54"/>
        <v>13538.851193493327</v>
      </c>
      <c r="AE53" s="16">
        <f t="shared" si="55"/>
        <v>0</v>
      </c>
      <c r="AF53" s="16">
        <f t="shared" si="71"/>
        <v>0</v>
      </c>
      <c r="AG53" s="16"/>
      <c r="AH53" s="32">
        <f>IFERROR(INDEX(Target!$R$11:$R$167,MATCH('Calculations - Target'!D53,Target!$N$11:$N$167,0)),"")</f>
        <v>2.2997318828113196</v>
      </c>
      <c r="AI53" s="23">
        <f t="shared" si="72"/>
        <v>0</v>
      </c>
      <c r="AJ53" s="23">
        <f t="shared" si="73"/>
        <v>0</v>
      </c>
      <c r="AK53" s="9">
        <f t="shared" si="56"/>
        <v>0</v>
      </c>
      <c r="AL53" s="4">
        <f t="shared" si="57"/>
        <v>11036.38499853</v>
      </c>
      <c r="AM53" s="4"/>
      <c r="AN53" s="4"/>
      <c r="AO53" s="4"/>
      <c r="AP53" s="4"/>
      <c r="AQ53" s="4"/>
      <c r="AR53" s="20">
        <f t="shared" si="58"/>
        <v>49607.738526314926</v>
      </c>
      <c r="AS53" s="13">
        <f t="shared" si="74"/>
        <v>5.5055111622343933E-4</v>
      </c>
      <c r="AT53" s="13">
        <f t="shared" si="75"/>
        <v>5.5055111622343933E-4</v>
      </c>
      <c r="AU53" s="13">
        <f t="shared" si="59"/>
        <v>1.0176162934788822E-4</v>
      </c>
      <c r="AV53" s="16">
        <f t="shared" si="76"/>
        <v>31135.727746314693</v>
      </c>
      <c r="AW53" s="16">
        <f t="shared" si="60"/>
        <v>13538.851193493329</v>
      </c>
      <c r="AX53" s="16">
        <f t="shared" si="61"/>
        <v>0</v>
      </c>
      <c r="AY53" s="16">
        <f t="shared" si="77"/>
        <v>0</v>
      </c>
      <c r="AZ53" s="13">
        <f t="shared" si="78"/>
        <v>8.3646712518044963E-3</v>
      </c>
      <c r="BA53" s="10">
        <f t="shared" si="79"/>
        <v>12825.501575973482</v>
      </c>
      <c r="BB53" s="9">
        <f t="shared" si="80"/>
        <v>9.1620928772664966E-4</v>
      </c>
      <c r="BC53" s="13">
        <f t="shared" si="81"/>
        <v>3.0399885661658499E-3</v>
      </c>
      <c r="BD53" s="10">
        <f t="shared" si="82"/>
        <v>31135.727746314722</v>
      </c>
      <c r="BE53" s="13">
        <f t="shared" si="83"/>
        <v>5.5055111622343976E-4</v>
      </c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2:70" x14ac:dyDescent="0.3">
      <c r="B54" s="96" t="str">
        <f t="shared" si="62"/>
        <v>TARGETRESTOFCATEGORY</v>
      </c>
      <c r="C54" s="96" t="str">
        <f t="shared" si="63"/>
        <v>TARGETRESTOFCATEGORYRESTOFCATEGORY</v>
      </c>
      <c r="D54" s="96" t="str">
        <f t="shared" si="64"/>
        <v>TARGETRESTOFCATEGORYRESTOFCATEGORYSQUEEZY 18 TO 22OZ</v>
      </c>
      <c r="E54" s="3" t="s">
        <v>134</v>
      </c>
      <c r="F54" s="3" t="s">
        <v>111</v>
      </c>
      <c r="G54" s="3" t="s">
        <v>111</v>
      </c>
      <c r="H54" s="3" t="s">
        <v>120</v>
      </c>
      <c r="I54" s="20">
        <f>IFERROR(INDEX('Input - Target'!G$2:G$200,MATCH('Calculations - Target'!$D54,'Input - Target'!$B$2:$B$200,0)),"")</f>
        <v>1491824.5126598999</v>
      </c>
      <c r="J54" s="20">
        <f>IFERROR(INDEX('Input - Target'!H$2:H$200,MATCH('Calculations - Target'!$D54,'Input - Target'!$B$2:$B$200,0)),"")</f>
        <v>204562.99281565001</v>
      </c>
      <c r="K54" s="21">
        <f>IFERROR(INDEX('Input - Target'!I$2:I$200,MATCH('Calculations - Target'!$D54,'Input - Target'!$B$2:$B$200,0)),"")</f>
        <v>1.3421538238209101</v>
      </c>
      <c r="L54" s="21">
        <f>IFERROR(INDEX('Input - Target'!J$2:J$200,MATCH('Calculations - Target'!$D54,'Input - Target'!$B$2:$B$200,0)),"")</f>
        <v>9.7879775152715993</v>
      </c>
      <c r="M54" s="20">
        <f>IFERROR(INDEX('Input - Target'!K$2:K$200,MATCH('Calculations - Target'!$D54,'Input - Target'!$B$2:$B$200,0)),"")</f>
        <v>4554644.77965461</v>
      </c>
      <c r="N54" s="20">
        <f>IFERROR(INDEX('Input - Target'!L$2:L$200,MATCH('Calculations - Target'!$D54,'Input - Target'!$B$2:$B$200,0)),"")</f>
        <v>757286.25360874401</v>
      </c>
      <c r="O54" s="21">
        <f t="shared" si="65"/>
        <v>7.2927389853174285</v>
      </c>
      <c r="P54" s="21">
        <f t="shared" si="47"/>
        <v>6.0144294947255066</v>
      </c>
      <c r="Q54" s="21">
        <f t="shared" si="66"/>
        <v>-14.613310306352499</v>
      </c>
      <c r="R54" s="9">
        <f t="shared" si="48"/>
        <v>2.6378880793997521E-2</v>
      </c>
      <c r="S54" s="9">
        <f t="shared" si="49"/>
        <v>1.4567482029721563E-2</v>
      </c>
      <c r="T54" s="22">
        <f>IFERROR(INDEX(Target!$S$11:$S$167,MATCH('Calculations - Target'!$D54,Target!$N$11:$N$167,0)),"")</f>
        <v>0</v>
      </c>
      <c r="U54" s="22">
        <f>IFERROR(INDEX(Target!$T$11:$T$167,MATCH('Calculations - Target'!$D54,Target!$N$11:$N$167,0)),"")</f>
        <v>0</v>
      </c>
      <c r="V54" s="16">
        <f t="shared" si="50"/>
        <v>0</v>
      </c>
      <c r="W54" s="16">
        <f t="shared" si="67"/>
        <v>0</v>
      </c>
      <c r="X54" s="16">
        <f t="shared" si="68"/>
        <v>0</v>
      </c>
      <c r="Y54" s="10">
        <f t="shared" si="51"/>
        <v>0</v>
      </c>
      <c r="Z54" s="10">
        <f t="shared" si="52"/>
        <v>1747041.2433980738</v>
      </c>
      <c r="AA54" s="13">
        <f t="shared" si="69"/>
        <v>1.9388819873959375E-2</v>
      </c>
      <c r="AB54" s="9">
        <f t="shared" si="53"/>
        <v>-6.9900609200381457E-3</v>
      </c>
      <c r="AC54" s="16">
        <f t="shared" si="70"/>
        <v>1096510.3859183369</v>
      </c>
      <c r="AD54" s="16">
        <f t="shared" si="54"/>
        <v>150356.45566445697</v>
      </c>
      <c r="AE54" s="16">
        <f t="shared" si="55"/>
        <v>0</v>
      </c>
      <c r="AF54" s="16">
        <f t="shared" si="71"/>
        <v>0</v>
      </c>
      <c r="AG54" s="16"/>
      <c r="AH54" s="32">
        <f>IFERROR(INDEX(Target!$R$11:$R$167,MATCH('Calculations - Target'!D54,Target!$N$11:$N$167,0)),"")</f>
        <v>7.2927389853174285</v>
      </c>
      <c r="AI54" s="23">
        <f t="shared" si="72"/>
        <v>0</v>
      </c>
      <c r="AJ54" s="23">
        <f t="shared" si="73"/>
        <v>0</v>
      </c>
      <c r="AK54" s="9">
        <f t="shared" si="56"/>
        <v>0</v>
      </c>
      <c r="AL54" s="4">
        <f t="shared" si="57"/>
        <v>204562.99281565001</v>
      </c>
      <c r="AM54" s="4"/>
      <c r="AN54" s="4"/>
      <c r="AO54" s="4"/>
      <c r="AP54" s="4"/>
      <c r="AQ54" s="4"/>
      <c r="AR54" s="20">
        <f t="shared" si="58"/>
        <v>1747041.2433980738</v>
      </c>
      <c r="AS54" s="13">
        <f t="shared" si="74"/>
        <v>1.9388819873959375E-2</v>
      </c>
      <c r="AT54" s="13">
        <f t="shared" si="75"/>
        <v>1.9388819873959375E-2</v>
      </c>
      <c r="AU54" s="13">
        <f t="shared" si="59"/>
        <v>-6.9900609200381457E-3</v>
      </c>
      <c r="AV54" s="16">
        <f t="shared" si="76"/>
        <v>1096510.3859183369</v>
      </c>
      <c r="AW54" s="16">
        <f t="shared" si="60"/>
        <v>150356.45566445697</v>
      </c>
      <c r="AX54" s="16">
        <f t="shared" si="61"/>
        <v>0</v>
      </c>
      <c r="AY54" s="16">
        <f t="shared" si="77"/>
        <v>0</v>
      </c>
      <c r="AZ54" s="13">
        <f t="shared" si="78"/>
        <v>9.2894316086739565E-2</v>
      </c>
      <c r="BA54" s="10">
        <f t="shared" si="79"/>
        <v>142434.31230037101</v>
      </c>
      <c r="BB54" s="9">
        <f t="shared" si="80"/>
        <v>1.0175012575338826E-2</v>
      </c>
      <c r="BC54" s="13">
        <f t="shared" si="81"/>
        <v>0.10705961534072045</v>
      </c>
      <c r="BD54" s="10">
        <f t="shared" si="82"/>
        <v>1096510.3859183379</v>
      </c>
      <c r="BE54" s="13">
        <f t="shared" si="83"/>
        <v>1.9388819873959386E-2</v>
      </c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2:70" x14ac:dyDescent="0.3">
      <c r="B55" s="96" t="str">
        <f t="shared" si="62"/>
        <v>TARGETRESTOFCATEGORY</v>
      </c>
      <c r="C55" s="96" t="str">
        <f t="shared" si="63"/>
        <v>TARGETRESTOFCATEGORYRESTOFCATEGORY</v>
      </c>
      <c r="D55" s="96" t="str">
        <f t="shared" si="64"/>
        <v>TARGETRESTOFCATEGORYRESTOFCATEGORYOTHER</v>
      </c>
      <c r="E55" s="3" t="s">
        <v>134</v>
      </c>
      <c r="F55" s="3" t="s">
        <v>111</v>
      </c>
      <c r="G55" s="3" t="s">
        <v>111</v>
      </c>
      <c r="H55" s="3" t="s">
        <v>115</v>
      </c>
      <c r="I55" s="20">
        <f>IFERROR(INDEX('Input - Target'!G$2:G$200,MATCH('Calculations - Target'!$D55,'Input - Target'!$B$2:$B$200,0)),"")</f>
        <v>6533275.4518320002</v>
      </c>
      <c r="J55" s="20">
        <f>IFERROR(INDEX('Input - Target'!H$2:H$200,MATCH('Calculations - Target'!$D55,'Input - Target'!$B$2:$B$200,0)),"")</f>
        <v>1118076.8934644</v>
      </c>
      <c r="K55" s="21">
        <f>IFERROR(INDEX('Input - Target'!I$2:I$200,MATCH('Calculations - Target'!$D55,'Input - Target'!$B$2:$B$200,0)),"")</f>
        <v>2.8935582139466498</v>
      </c>
      <c r="L55" s="21">
        <f>IFERROR(INDEX('Input - Target'!J$2:J$200,MATCH('Calculations - Target'!$D55,'Input - Target'!$B$2:$B$200,0)),"")</f>
        <v>16.907972034954099</v>
      </c>
      <c r="M55" s="20">
        <f>IFERROR(INDEX('Input - Target'!K$2:K$200,MATCH('Calculations - Target'!$D55,'Input - Target'!$B$2:$B$200,0)),"")</f>
        <v>15989454.176287601</v>
      </c>
      <c r="N55" s="20">
        <f>IFERROR(INDEX('Input - Target'!L$2:L$200,MATCH('Calculations - Target'!$D55,'Input - Target'!$B$2:$B$200,0)),"")</f>
        <v>3256509.9929047502</v>
      </c>
      <c r="O55" s="21">
        <f t="shared" si="65"/>
        <v>5.8433149723615339</v>
      </c>
      <c r="P55" s="21">
        <f t="shared" si="47"/>
        <v>4.9099969633519489</v>
      </c>
      <c r="Q55" s="21">
        <f t="shared" si="66"/>
        <v>-2.6405314413750043</v>
      </c>
      <c r="R55" s="9">
        <f t="shared" si="48"/>
        <v>0.11552330242311558</v>
      </c>
      <c r="S55" s="9">
        <f t="shared" si="49"/>
        <v>7.9621268877639748E-2</v>
      </c>
      <c r="T55" s="22">
        <f>IFERROR(INDEX(Target!$S$11:$S$167,MATCH('Calculations - Target'!$D55,Target!$N$11:$N$167,0)),"")</f>
        <v>0</v>
      </c>
      <c r="U55" s="22">
        <f>IFERROR(INDEX(Target!$T$11:$T$167,MATCH('Calculations - Target'!$D55,Target!$N$11:$N$167,0)),"")</f>
        <v>0</v>
      </c>
      <c r="V55" s="16">
        <f t="shared" si="50"/>
        <v>0</v>
      </c>
      <c r="W55" s="16">
        <f t="shared" si="67"/>
        <v>0</v>
      </c>
      <c r="X55" s="16">
        <f t="shared" si="68"/>
        <v>0</v>
      </c>
      <c r="Y55" s="10">
        <f t="shared" si="51"/>
        <v>0</v>
      </c>
      <c r="Z55" s="10">
        <f t="shared" si="52"/>
        <v>12718844.149728214</v>
      </c>
      <c r="AA55" s="13">
        <f t="shared" si="69"/>
        <v>0.141154869214414</v>
      </c>
      <c r="AB55" s="9">
        <f t="shared" si="53"/>
        <v>2.5631566791298424E-2</v>
      </c>
      <c r="AC55" s="16">
        <f t="shared" si="70"/>
        <v>7982836.5585276037</v>
      </c>
      <c r="AD55" s="16">
        <f t="shared" si="54"/>
        <v>1366148.598233341</v>
      </c>
      <c r="AE55" s="16">
        <f t="shared" si="55"/>
        <v>0</v>
      </c>
      <c r="AF55" s="16">
        <f t="shared" si="71"/>
        <v>0</v>
      </c>
      <c r="AG55" s="16"/>
      <c r="AH55" s="32">
        <f>IFERROR(INDEX(Target!$R$11:$R$167,MATCH('Calculations - Target'!D55,Target!$N$11:$N$167,0)),"")</f>
        <v>5.8433149723615339</v>
      </c>
      <c r="AI55" s="23">
        <f t="shared" si="72"/>
        <v>0</v>
      </c>
      <c r="AJ55" s="23">
        <f t="shared" si="73"/>
        <v>0</v>
      </c>
      <c r="AK55" s="9">
        <f t="shared" si="56"/>
        <v>0</v>
      </c>
      <c r="AL55" s="4">
        <f t="shared" si="57"/>
        <v>1118076.8934644</v>
      </c>
      <c r="AM55" s="4"/>
      <c r="AN55" s="4"/>
      <c r="AO55" s="4"/>
      <c r="AP55" s="4"/>
      <c r="AQ55" s="4"/>
      <c r="AR55" s="20">
        <f t="shared" si="58"/>
        <v>12718844.149728214</v>
      </c>
      <c r="AS55" s="13">
        <f t="shared" si="74"/>
        <v>0.141154869214414</v>
      </c>
      <c r="AT55" s="13">
        <f t="shared" si="75"/>
        <v>0.141154869214414</v>
      </c>
      <c r="AU55" s="13">
        <f t="shared" si="59"/>
        <v>2.5631566791298424E-2</v>
      </c>
      <c r="AV55" s="16">
        <f t="shared" si="76"/>
        <v>7982836.5585276047</v>
      </c>
      <c r="AW55" s="16">
        <f t="shared" si="60"/>
        <v>1366148.5982333412</v>
      </c>
      <c r="AX55" s="16">
        <f t="shared" si="61"/>
        <v>0</v>
      </c>
      <c r="AY55" s="16">
        <f t="shared" si="77"/>
        <v>0</v>
      </c>
      <c r="AZ55" s="13">
        <f t="shared" si="78"/>
        <v>0.84404383666077631</v>
      </c>
      <c r="BA55" s="10">
        <f t="shared" si="79"/>
        <v>1294167.4850578462</v>
      </c>
      <c r="BB55" s="9">
        <f t="shared" si="80"/>
        <v>9.245083029774917E-2</v>
      </c>
      <c r="BC55" s="13">
        <f t="shared" si="81"/>
        <v>0.77941752514093887</v>
      </c>
      <c r="BD55" s="10">
        <f t="shared" si="82"/>
        <v>7982836.5585276112</v>
      </c>
      <c r="BE55" s="13">
        <f t="shared" si="83"/>
        <v>0.14115486921441409</v>
      </c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</row>
    <row r="56" spans="2:70" x14ac:dyDescent="0.3">
      <c r="B56" s="96" t="str">
        <f t="shared" si="62"/>
        <v>TARGETMIRACLE WHIP</v>
      </c>
      <c r="C56" s="96" t="str">
        <f t="shared" si="63"/>
        <v>TARGETMIRACLE WHIPWHIPPED DRESSING</v>
      </c>
      <c r="D56" s="96" t="str">
        <f t="shared" si="64"/>
        <v>TARGETMIRACLE WHIPWHIPPED DRESSINGJAR 15OZ</v>
      </c>
      <c r="E56" s="3" t="s">
        <v>134</v>
      </c>
      <c r="F56" s="3" t="s">
        <v>109</v>
      </c>
      <c r="G56" s="3" t="s">
        <v>114</v>
      </c>
      <c r="H56" s="3" t="s">
        <v>116</v>
      </c>
      <c r="I56" s="20">
        <f>IFERROR(INDEX('Input - Target'!G$2:G$200,MATCH('Calculations - Target'!$D56,'Input - Target'!$B$2:$B$200,0)),"")</f>
        <v>413256.79844599997</v>
      </c>
      <c r="J56" s="20">
        <f>IFERROR(INDEX('Input - Target'!H$2:H$200,MATCH('Calculations - Target'!$D56,'Input - Target'!$B$2:$B$200,0)),"")</f>
        <v>78669.168377499998</v>
      </c>
      <c r="K56" s="21">
        <f>IFERROR(INDEX('Input - Target'!I$2:I$200,MATCH('Calculations - Target'!$D56,'Input - Target'!$B$2:$B$200,0)),"")</f>
        <v>2.2121689383118102</v>
      </c>
      <c r="L56" s="21">
        <f>IFERROR(INDEX('Input - Target'!J$2:J$200,MATCH('Calculations - Target'!$D56,'Input - Target'!$B$2:$B$200,0)),"")</f>
        <v>11.6207387458527</v>
      </c>
      <c r="M56" s="20">
        <f>IFERROR(INDEX('Input - Target'!K$2:K$200,MATCH('Calculations - Target'!$D56,'Input - Target'!$B$2:$B$200,0)),"")</f>
        <v>1084869.1287179999</v>
      </c>
      <c r="N56" s="20">
        <f>IFERROR(INDEX('Input - Target'!L$2:L$200,MATCH('Calculations - Target'!$D56,'Input - Target'!$B$2:$B$200,0)),"")</f>
        <v>226503.75319670001</v>
      </c>
      <c r="O56" s="21">
        <f t="shared" si="65"/>
        <v>5.2530973311292133</v>
      </c>
      <c r="P56" s="21">
        <f t="shared" si="47"/>
        <v>4.7896298114578242</v>
      </c>
      <c r="Q56" s="21">
        <f t="shared" si="66"/>
        <v>-4.1248375882024506</v>
      </c>
      <c r="R56" s="9">
        <f t="shared" si="48"/>
        <v>7.3073285302701803E-3</v>
      </c>
      <c r="S56" s="9">
        <f t="shared" si="49"/>
        <v>5.6022434989751275E-3</v>
      </c>
      <c r="T56" s="22">
        <f>IFERROR(INDEX(Target!$S$11:$S$167,MATCH('Calculations - Target'!$D56,Target!$N$11:$N$167,0)),"")</f>
        <v>0.8</v>
      </c>
      <c r="U56" s="22">
        <f>IFERROR(INDEX(Target!$T$11:$T$167,MATCH('Calculations - Target'!$D56,Target!$N$11:$N$167,0)),"")</f>
        <v>0.3</v>
      </c>
      <c r="V56" s="16">
        <f t="shared" si="50"/>
        <v>330605.43875680002</v>
      </c>
      <c r="W56" s="16">
        <f t="shared" si="67"/>
        <v>99181.631627039998</v>
      </c>
      <c r="X56" s="16">
        <f t="shared" si="68"/>
        <v>231423.80712976004</v>
      </c>
      <c r="Y56" s="10">
        <f t="shared" si="51"/>
        <v>2.9417345054323603</v>
      </c>
      <c r="Z56" s="10">
        <f t="shared" si="52"/>
        <v>663725.32575721212</v>
      </c>
      <c r="AA56" s="13">
        <f t="shared" si="69"/>
        <v>7.366082990611659E-3</v>
      </c>
      <c r="AB56" s="9">
        <f t="shared" si="53"/>
        <v>5.8754460341478749E-5</v>
      </c>
      <c r="AC56" s="16">
        <f t="shared" si="70"/>
        <v>416579.58324684214</v>
      </c>
      <c r="AD56" s="16">
        <f t="shared" si="54"/>
        <v>79301.706590936825</v>
      </c>
      <c r="AE56" s="16">
        <f t="shared" si="55"/>
        <v>333263.66659747373</v>
      </c>
      <c r="AF56" s="16">
        <f t="shared" si="71"/>
        <v>99979.099979242048</v>
      </c>
      <c r="AG56" s="16"/>
      <c r="AH56" s="32">
        <f>IFERROR(INDEX(Target!$R$11:$R$167,MATCH('Calculations - Target'!D56,Target!$N$11:$N$167,0)),"")</f>
        <v>5.2530973311292133</v>
      </c>
      <c r="AI56" s="23">
        <f t="shared" si="72"/>
        <v>0.8</v>
      </c>
      <c r="AJ56" s="23">
        <f t="shared" si="73"/>
        <v>0.3</v>
      </c>
      <c r="AK56" s="9">
        <f t="shared" si="56"/>
        <v>0</v>
      </c>
      <c r="AL56" s="4">
        <f t="shared" si="57"/>
        <v>78669.168377499998</v>
      </c>
      <c r="AM56" s="4"/>
      <c r="AN56" s="4"/>
      <c r="AO56" s="4"/>
      <c r="AP56" s="4"/>
      <c r="AQ56" s="4"/>
      <c r="AR56" s="20">
        <f t="shared" si="58"/>
        <v>663725.32575721212</v>
      </c>
      <c r="AS56" s="13">
        <f t="shared" si="74"/>
        <v>7.366082990611659E-3</v>
      </c>
      <c r="AT56" s="13">
        <f t="shared" si="75"/>
        <v>7.366082990611659E-3</v>
      </c>
      <c r="AU56" s="13">
        <f t="shared" si="59"/>
        <v>5.8754460341478749E-5</v>
      </c>
      <c r="AV56" s="16">
        <f t="shared" si="76"/>
        <v>416579.5832468422</v>
      </c>
      <c r="AW56" s="16">
        <f t="shared" si="60"/>
        <v>79301.706590936825</v>
      </c>
      <c r="AX56" s="16">
        <f t="shared" si="61"/>
        <v>333263.66659747378</v>
      </c>
      <c r="AY56" s="16">
        <f t="shared" si="77"/>
        <v>99979.099979242106</v>
      </c>
      <c r="AZ56" s="13">
        <f t="shared" si="78"/>
        <v>8.1108729432746815E-2</v>
      </c>
      <c r="BA56" s="10">
        <f t="shared" si="79"/>
        <v>79585.959304193748</v>
      </c>
      <c r="BB56" s="9">
        <f t="shared" si="80"/>
        <v>5.685344518902599E-3</v>
      </c>
      <c r="BC56" s="13">
        <f t="shared" si="81"/>
        <v>0.11314991317890211</v>
      </c>
      <c r="BD56" s="10">
        <f t="shared" si="82"/>
        <v>416579.58324684168</v>
      </c>
      <c r="BE56" s="13">
        <f t="shared" si="83"/>
        <v>7.3660829906116478E-3</v>
      </c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</row>
    <row r="57" spans="2:70" x14ac:dyDescent="0.3">
      <c r="B57" s="96" t="str">
        <f t="shared" si="62"/>
        <v>TARGETMIRACLE WHIP</v>
      </c>
      <c r="C57" s="96" t="str">
        <f t="shared" si="63"/>
        <v>TARGETMIRACLE WHIPWHIPPED DRESSING</v>
      </c>
      <c r="D57" s="96" t="str">
        <f t="shared" si="64"/>
        <v>TARGETMIRACLE WHIPWHIPPED DRESSINGJAR 30OZ</v>
      </c>
      <c r="E57" s="3" t="s">
        <v>134</v>
      </c>
      <c r="F57" s="3" t="s">
        <v>109</v>
      </c>
      <c r="G57" s="3" t="s">
        <v>114</v>
      </c>
      <c r="H57" s="3" t="s">
        <v>118</v>
      </c>
      <c r="I57" s="20">
        <f>IFERROR(INDEX('Input - Target'!G$2:G$200,MATCH('Calculations - Target'!$D57,'Input - Target'!$B$2:$B$200,0)),"")</f>
        <v>2122685.6885700002</v>
      </c>
      <c r="J57" s="20">
        <f>IFERROR(INDEX('Input - Target'!H$2:H$200,MATCH('Calculations - Target'!$D57,'Input - Target'!$B$2:$B$200,0)),"")</f>
        <v>724031.19160999998</v>
      </c>
      <c r="K57" s="21">
        <f>IFERROR(INDEX('Input - Target'!I$2:I$200,MATCH('Calculations - Target'!$D57,'Input - Target'!$B$2:$B$200,0)),"")</f>
        <v>2.06260016310905</v>
      </c>
      <c r="L57" s="21">
        <f>IFERROR(INDEX('Input - Target'!J$2:J$200,MATCH('Calculations - Target'!$D57,'Input - Target'!$B$2:$B$200,0)),"")</f>
        <v>6.0470486606218996</v>
      </c>
      <c r="M57" s="20">
        <f>IFERROR(INDEX('Input - Target'!K$2:K$200,MATCH('Calculations - Target'!$D57,'Input - Target'!$B$2:$B$200,0)),"")</f>
        <v>7837383.5252499999</v>
      </c>
      <c r="N57" s="20">
        <f>IFERROR(INDEX('Input - Target'!L$2:L$200,MATCH('Calculations - Target'!$D57,'Input - Target'!$B$2:$B$200,0)),"")</f>
        <v>2977145.3513400001</v>
      </c>
      <c r="O57" s="21">
        <f t="shared" si="65"/>
        <v>2.9317600031151514</v>
      </c>
      <c r="P57" s="21">
        <f t="shared" si="47"/>
        <v>2.6325162531021293</v>
      </c>
      <c r="Q57" s="21">
        <f t="shared" si="66"/>
        <v>-4.7054387657635557</v>
      </c>
      <c r="R57" s="9">
        <f t="shared" si="48"/>
        <v>3.7533954072169001E-2</v>
      </c>
      <c r="S57" s="9">
        <f t="shared" si="49"/>
        <v>5.1560212468350464E-2</v>
      </c>
      <c r="T57" s="22">
        <f>IFERROR(INDEX(Target!$S$11:$S$167,MATCH('Calculations - Target'!$D57,Target!$N$11:$N$167,0)),"")</f>
        <v>0.8</v>
      </c>
      <c r="U57" s="22">
        <f>IFERROR(INDEX(Target!$T$11:$T$167,MATCH('Calculations - Target'!$D57,Target!$N$11:$N$167,0)),"")</f>
        <v>0.3</v>
      </c>
      <c r="V57" s="16">
        <f t="shared" si="50"/>
        <v>1698148.5508560003</v>
      </c>
      <c r="W57" s="16">
        <f t="shared" si="67"/>
        <v>509444.56525680004</v>
      </c>
      <c r="X57" s="16">
        <f t="shared" si="68"/>
        <v>1188703.9855992002</v>
      </c>
      <c r="Y57" s="10">
        <f t="shared" si="51"/>
        <v>1.641785601744485</v>
      </c>
      <c r="Z57" s="10">
        <f t="shared" si="52"/>
        <v>3250468.7680218648</v>
      </c>
      <c r="AA57" s="13">
        <f t="shared" si="69"/>
        <v>3.6073992922184529E-2</v>
      </c>
      <c r="AB57" s="9">
        <f t="shared" si="53"/>
        <v>-1.459961149984472E-3</v>
      </c>
      <c r="AC57" s="16">
        <f t="shared" si="70"/>
        <v>2040119.4171619436</v>
      </c>
      <c r="AD57" s="16">
        <f t="shared" si="54"/>
        <v>695868.49366735609</v>
      </c>
      <c r="AE57" s="16">
        <f t="shared" si="55"/>
        <v>1632095.5337295551</v>
      </c>
      <c r="AF57" s="16">
        <f t="shared" si="71"/>
        <v>489628.66011886648</v>
      </c>
      <c r="AG57" s="16"/>
      <c r="AH57" s="32">
        <f>IFERROR(INDEX(Target!$R$11:$R$167,MATCH('Calculations - Target'!D57,Target!$N$11:$N$167,0)),"")</f>
        <v>2.9317600031151514</v>
      </c>
      <c r="AI57" s="23">
        <f t="shared" si="72"/>
        <v>0.8</v>
      </c>
      <c r="AJ57" s="23">
        <f t="shared" si="73"/>
        <v>0.3</v>
      </c>
      <c r="AK57" s="9">
        <f t="shared" si="56"/>
        <v>0</v>
      </c>
      <c r="AL57" s="4">
        <f t="shared" si="57"/>
        <v>724031.19160999998</v>
      </c>
      <c r="AM57" s="4"/>
      <c r="AN57" s="4"/>
      <c r="AO57" s="4"/>
      <c r="AP57" s="4"/>
      <c r="AQ57" s="4"/>
      <c r="AR57" s="20">
        <f t="shared" si="58"/>
        <v>3250468.7680218648</v>
      </c>
      <c r="AS57" s="13">
        <f t="shared" si="74"/>
        <v>3.6073992922184529E-2</v>
      </c>
      <c r="AT57" s="13">
        <f t="shared" si="75"/>
        <v>3.6073992922184529E-2</v>
      </c>
      <c r="AU57" s="13">
        <f t="shared" si="59"/>
        <v>-1.459961149984472E-3</v>
      </c>
      <c r="AV57" s="16">
        <f t="shared" si="76"/>
        <v>2040119.4171619439</v>
      </c>
      <c r="AW57" s="16">
        <f t="shared" si="60"/>
        <v>695868.4936673562</v>
      </c>
      <c r="AX57" s="16">
        <f t="shared" si="61"/>
        <v>1632095.5337295551</v>
      </c>
      <c r="AY57" s="16">
        <f t="shared" si="77"/>
        <v>489628.66011886625</v>
      </c>
      <c r="AZ57" s="13">
        <f t="shared" si="78"/>
        <v>0.71172502837523011</v>
      </c>
      <c r="BA57" s="10">
        <f t="shared" si="79"/>
        <v>698362.79695410992</v>
      </c>
      <c r="BB57" s="9">
        <f t="shared" si="80"/>
        <v>4.9888612697281613E-2</v>
      </c>
      <c r="BC57" s="13">
        <f t="shared" si="81"/>
        <v>0.55413021715392996</v>
      </c>
      <c r="BD57" s="10">
        <f t="shared" si="82"/>
        <v>2040119.4171619413</v>
      </c>
      <c r="BE57" s="13">
        <f t="shared" si="83"/>
        <v>3.6073992922184474E-2</v>
      </c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2:70" x14ac:dyDescent="0.3">
      <c r="B58" s="96" t="str">
        <f t="shared" si="62"/>
        <v>TARGETMIRACLE WHIP</v>
      </c>
      <c r="C58" s="96" t="str">
        <f t="shared" si="63"/>
        <v>TARGETMIRACLE WHIPWHIPPED DRESSING</v>
      </c>
      <c r="D58" s="96" t="str">
        <f t="shared" si="64"/>
        <v>TARGETMIRACLE WHIPWHIPPED DRESSINGSQUEEZY 12OZ</v>
      </c>
      <c r="E58" s="3" t="s">
        <v>134</v>
      </c>
      <c r="F58" s="3" t="s">
        <v>109</v>
      </c>
      <c r="G58" s="3" t="s">
        <v>114</v>
      </c>
      <c r="H58" s="3" t="s">
        <v>117</v>
      </c>
      <c r="I58" s="20">
        <f>IFERROR(INDEX('Input - Target'!G$2:G$200,MATCH('Calculations - Target'!$D58,'Input - Target'!$B$2:$B$200,0)),"")</f>
        <v>1253659.9911100001</v>
      </c>
      <c r="J58" s="20">
        <f>IFERROR(INDEX('Input - Target'!H$2:H$200,MATCH('Calculations - Target'!$D58,'Input - Target'!$B$2:$B$200,0)),"")</f>
        <v>207292.44055199999</v>
      </c>
      <c r="K58" s="21">
        <f>IFERROR(INDEX('Input - Target'!I$2:I$200,MATCH('Calculations - Target'!$D58,'Input - Target'!$B$2:$B$200,0)),"")</f>
        <v>2.1135459010085902</v>
      </c>
      <c r="L58" s="21">
        <f>IFERROR(INDEX('Input - Target'!J$2:J$200,MATCH('Calculations - Target'!$D58,'Input - Target'!$B$2:$B$200,0)),"")</f>
        <v>12.7822699583892</v>
      </c>
      <c r="M58" s="20">
        <f>IFERROR(INDEX('Input - Target'!K$2:K$200,MATCH('Calculations - Target'!$D58,'Input - Target'!$B$2:$B$200,0)),"")</f>
        <v>4158631.78443</v>
      </c>
      <c r="N58" s="20">
        <f>IFERROR(INDEX('Input - Target'!L$2:L$200,MATCH('Calculations - Target'!$D58,'Input - Target'!$B$2:$B$200,0)),"")</f>
        <v>711596.59798299999</v>
      </c>
      <c r="O58" s="21">
        <f t="shared" si="65"/>
        <v>6.0477844139980368</v>
      </c>
      <c r="P58" s="21">
        <f t="shared" si="47"/>
        <v>5.8440860962763477</v>
      </c>
      <c r="Q58" s="21">
        <f t="shared" si="66"/>
        <v>-4.4901606619639658</v>
      </c>
      <c r="R58" s="9">
        <f t="shared" si="48"/>
        <v>2.2167585517636472E-2</v>
      </c>
      <c r="S58" s="9">
        <f t="shared" si="49"/>
        <v>1.4761853359076206E-2</v>
      </c>
      <c r="T58" s="22">
        <f>IFERROR(INDEX(Target!$S$11:$S$167,MATCH('Calculations - Target'!$D58,Target!$N$11:$N$167,0)),"")</f>
        <v>0.8</v>
      </c>
      <c r="U58" s="22">
        <f>IFERROR(INDEX(Target!$T$11:$T$167,MATCH('Calculations - Target'!$D58,Target!$N$11:$N$167,0)),"")</f>
        <v>0.3</v>
      </c>
      <c r="V58" s="16">
        <f t="shared" si="50"/>
        <v>1002927.9928880001</v>
      </c>
      <c r="W58" s="16">
        <f t="shared" si="67"/>
        <v>300878.39786640002</v>
      </c>
      <c r="X58" s="16">
        <f t="shared" si="68"/>
        <v>702049.59502160014</v>
      </c>
      <c r="Y58" s="10">
        <f t="shared" si="51"/>
        <v>3.3867592718389008</v>
      </c>
      <c r="Z58" s="10">
        <f t="shared" si="52"/>
        <v>1951663.9632895044</v>
      </c>
      <c r="AA58" s="13">
        <f t="shared" si="69"/>
        <v>2.1659741108982902E-2</v>
      </c>
      <c r="AB58" s="9">
        <f t="shared" si="53"/>
        <v>-5.0784440865356967E-4</v>
      </c>
      <c r="AC58" s="16">
        <f t="shared" si="70"/>
        <v>1224939.4876374244</v>
      </c>
      <c r="AD58" s="16">
        <f t="shared" si="54"/>
        <v>202543.51077763501</v>
      </c>
      <c r="AE58" s="16">
        <f t="shared" si="55"/>
        <v>979951.59010993957</v>
      </c>
      <c r="AF58" s="16">
        <f t="shared" si="71"/>
        <v>293985.47703298193</v>
      </c>
      <c r="AG58" s="16"/>
      <c r="AH58" s="32">
        <f>IFERROR(INDEX(Target!$R$11:$R$167,MATCH('Calculations - Target'!D58,Target!$N$11:$N$167,0)),"")</f>
        <v>6.0477844139980368</v>
      </c>
      <c r="AI58" s="23">
        <f t="shared" si="72"/>
        <v>0.8</v>
      </c>
      <c r="AJ58" s="23">
        <f t="shared" si="73"/>
        <v>0.3</v>
      </c>
      <c r="AK58" s="9">
        <f t="shared" si="56"/>
        <v>0</v>
      </c>
      <c r="AL58" s="4">
        <f t="shared" si="57"/>
        <v>207292.44055199999</v>
      </c>
      <c r="AM58" s="4"/>
      <c r="AN58" s="4"/>
      <c r="AO58" s="4"/>
      <c r="AP58" s="4"/>
      <c r="AQ58" s="4"/>
      <c r="AR58" s="20">
        <f t="shared" si="58"/>
        <v>1951663.9632895044</v>
      </c>
      <c r="AS58" s="13">
        <f t="shared" si="74"/>
        <v>2.1659741108982902E-2</v>
      </c>
      <c r="AT58" s="13">
        <f t="shared" si="75"/>
        <v>2.1659741108982902E-2</v>
      </c>
      <c r="AU58" s="13">
        <f t="shared" si="59"/>
        <v>-5.0784440865356967E-4</v>
      </c>
      <c r="AV58" s="16">
        <f t="shared" si="76"/>
        <v>1224939.4876374244</v>
      </c>
      <c r="AW58" s="16">
        <f t="shared" si="60"/>
        <v>202543.51077763501</v>
      </c>
      <c r="AX58" s="16">
        <f t="shared" si="61"/>
        <v>979951.59010993957</v>
      </c>
      <c r="AY58" s="16">
        <f t="shared" si="77"/>
        <v>293985.47703298193</v>
      </c>
      <c r="AZ58" s="13">
        <f t="shared" si="78"/>
        <v>0.20715880553192728</v>
      </c>
      <c r="BA58" s="10">
        <f t="shared" si="79"/>
        <v>203269.51712688178</v>
      </c>
      <c r="BB58" s="9">
        <f t="shared" si="80"/>
        <v>1.452086831849495E-2</v>
      </c>
      <c r="BC58" s="13">
        <f t="shared" si="81"/>
        <v>0.332713849284965</v>
      </c>
      <c r="BD58" s="10">
        <f t="shared" si="82"/>
        <v>1224939.4876374227</v>
      </c>
      <c r="BE58" s="13">
        <f t="shared" si="83"/>
        <v>2.1659741108982868E-2</v>
      </c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</row>
    <row r="59" spans="2:70" x14ac:dyDescent="0.3">
      <c r="B59" s="96" t="str">
        <f t="shared" si="62"/>
        <v>TARGETMIRACLE WHIP</v>
      </c>
      <c r="C59" s="96" t="str">
        <f t="shared" si="63"/>
        <v>TARGETMIRACLE WHIPWHIPPED DRESSING</v>
      </c>
      <c r="D59" s="96" t="str">
        <f t="shared" si="64"/>
        <v>TARGETMIRACLE WHIPWHIPPED DRESSINGSQUEEZY 18 TO 22OZ</v>
      </c>
      <c r="E59" s="3" t="s">
        <v>134</v>
      </c>
      <c r="F59" s="3" t="s">
        <v>109</v>
      </c>
      <c r="G59" s="3" t="s">
        <v>114</v>
      </c>
      <c r="H59" s="3" t="s">
        <v>120</v>
      </c>
      <c r="I59" s="20">
        <f>IFERROR(INDEX('Input - Target'!G$2:G$200,MATCH('Calculations - Target'!$D59,'Input - Target'!$B$2:$B$200,0)),"")</f>
        <v>18.100000000000001</v>
      </c>
      <c r="J59" s="20">
        <f>IFERROR(INDEX('Input - Target'!H$2:H$200,MATCH('Calculations - Target'!$D59,'Input - Target'!$B$2:$B$200,0)),"")</f>
        <v>5.9375</v>
      </c>
      <c r="K59" s="21">
        <f>IFERROR(INDEX('Input - Target'!I$2:I$200,MATCH('Calculations - Target'!$D59,'Input - Target'!$B$2:$B$200,0)),"")</f>
        <v>2.90220111172327</v>
      </c>
      <c r="L59" s="21">
        <f>IFERROR(INDEX('Input - Target'!J$2:J$200,MATCH('Calculations - Target'!$D59,'Input - Target'!$B$2:$B$200,0)),"")</f>
        <v>8.8471309679479795</v>
      </c>
      <c r="M59" s="20">
        <f>IFERROR(INDEX('Input - Target'!K$2:K$200,MATCH('Calculations - Target'!$D59,'Input - Target'!$B$2:$B$200,0)),"")</f>
        <v>1386815.4381579999</v>
      </c>
      <c r="N59" s="20">
        <f>IFERROR(INDEX('Input - Target'!L$2:L$200,MATCH('Calculations - Target'!$D59,'Input - Target'!$B$2:$B$200,0)),"")</f>
        <v>354843.48998000001</v>
      </c>
      <c r="O59" s="21">
        <f t="shared" si="65"/>
        <v>3.0484210526315794</v>
      </c>
      <c r="P59" s="21">
        <f t="shared" si="47"/>
        <v>3.9082454020395434</v>
      </c>
      <c r="Q59" s="21">
        <f t="shared" si="66"/>
        <v>-2.6285338438638255</v>
      </c>
      <c r="R59" s="9">
        <f t="shared" si="48"/>
        <v>3.2004953553153209E-7</v>
      </c>
      <c r="S59" s="9">
        <f t="shared" si="49"/>
        <v>4.2282537697040652E-7</v>
      </c>
      <c r="T59" s="22">
        <f>IFERROR(INDEX(Target!$S$11:$S$167,MATCH('Calculations - Target'!$D59,Target!$N$11:$N$167,0)),"")</f>
        <v>0.8</v>
      </c>
      <c r="U59" s="22">
        <f>IFERROR(INDEX(Target!$T$11:$T$167,MATCH('Calculations - Target'!$D59,Target!$N$11:$N$167,0)),"")</f>
        <v>0.3</v>
      </c>
      <c r="V59" s="16">
        <f t="shared" si="50"/>
        <v>14.480000000000002</v>
      </c>
      <c r="W59" s="16">
        <f t="shared" si="67"/>
        <v>4.3440000000000003</v>
      </c>
      <c r="X59" s="16">
        <f t="shared" si="68"/>
        <v>10.136000000000003</v>
      </c>
      <c r="Y59" s="10">
        <f t="shared" si="51"/>
        <v>1.7071157894736846</v>
      </c>
      <c r="Z59" s="10">
        <f t="shared" si="52"/>
        <v>35.314920061095563</v>
      </c>
      <c r="AA59" s="13">
        <f t="shared" si="69"/>
        <v>3.9192813937011328E-7</v>
      </c>
      <c r="AB59" s="9">
        <f t="shared" si="53"/>
        <v>7.1878603838581193E-8</v>
      </c>
      <c r="AC59" s="16">
        <f t="shared" si="70"/>
        <v>22.165004272909314</v>
      </c>
      <c r="AD59" s="16">
        <f t="shared" si="54"/>
        <v>7.2709786116242565</v>
      </c>
      <c r="AE59" s="16">
        <f t="shared" si="55"/>
        <v>17.732003418327452</v>
      </c>
      <c r="AF59" s="16">
        <f t="shared" si="71"/>
        <v>5.3196010254982333</v>
      </c>
      <c r="AG59" s="16"/>
      <c r="AH59" s="32">
        <f>IFERROR(INDEX(Target!$R$11:$R$167,MATCH('Calculations - Target'!D59,Target!$N$11:$N$167,0)),"")</f>
        <v>3.0484210526315794</v>
      </c>
      <c r="AI59" s="23">
        <f t="shared" si="72"/>
        <v>0.8</v>
      </c>
      <c r="AJ59" s="23">
        <f t="shared" si="73"/>
        <v>0.3</v>
      </c>
      <c r="AK59" s="9">
        <f t="shared" si="56"/>
        <v>0</v>
      </c>
      <c r="AL59" s="4">
        <f t="shared" si="57"/>
        <v>5.9375</v>
      </c>
      <c r="AM59" s="4"/>
      <c r="AN59" s="4"/>
      <c r="AO59" s="4"/>
      <c r="AP59" s="4"/>
      <c r="AQ59" s="4"/>
      <c r="AR59" s="20">
        <f t="shared" si="58"/>
        <v>35.314920061095563</v>
      </c>
      <c r="AS59" s="13">
        <f t="shared" si="74"/>
        <v>3.9192813937011328E-7</v>
      </c>
      <c r="AT59" s="13">
        <f t="shared" si="75"/>
        <v>3.9192813937011328E-7</v>
      </c>
      <c r="AU59" s="13">
        <f t="shared" si="59"/>
        <v>7.1878603838581193E-8</v>
      </c>
      <c r="AV59" s="16">
        <f t="shared" si="76"/>
        <v>22.165004272909318</v>
      </c>
      <c r="AW59" s="16">
        <f t="shared" si="60"/>
        <v>7.2709786116242574</v>
      </c>
      <c r="AX59" s="16">
        <f t="shared" si="61"/>
        <v>17.732003418327455</v>
      </c>
      <c r="AY59" s="16">
        <f t="shared" si="77"/>
        <v>5.3196010254982351</v>
      </c>
      <c r="AZ59" s="13">
        <f t="shared" si="78"/>
        <v>7.43666009564693E-6</v>
      </c>
      <c r="BA59" s="10">
        <f t="shared" si="79"/>
        <v>7.2970410444171412</v>
      </c>
      <c r="BB59" s="9">
        <f t="shared" si="80"/>
        <v>5.2127526851207023E-7</v>
      </c>
      <c r="BC59" s="13">
        <f t="shared" si="81"/>
        <v>6.0203822029453595E-6</v>
      </c>
      <c r="BD59" s="10">
        <f t="shared" si="82"/>
        <v>22.16500427290929</v>
      </c>
      <c r="BE59" s="13">
        <f t="shared" si="83"/>
        <v>3.9192813937011265E-7</v>
      </c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</row>
    <row r="60" spans="2:70" x14ac:dyDescent="0.3">
      <c r="B60" s="96" t="str">
        <f t="shared" si="62"/>
        <v/>
      </c>
      <c r="C60" s="96" t="str">
        <f t="shared" si="63"/>
        <v/>
      </c>
      <c r="D60" s="96" t="str">
        <f t="shared" si="64"/>
        <v/>
      </c>
      <c r="E60" s="3"/>
      <c r="F60" s="3"/>
      <c r="G60" s="3"/>
      <c r="H60" s="3"/>
      <c r="I60" s="20">
        <f>IFERROR(INDEX('Input - Target'!G$2:G$200,MATCH('Calculations - Target'!$D60,'Input - Target'!$B$2:$B$200,0)),"")</f>
        <v>0</v>
      </c>
      <c r="J60" s="20">
        <f>IFERROR(INDEX('Input - Target'!H$2:H$200,MATCH('Calculations - Target'!$D60,'Input - Target'!$B$2:$B$200,0)),"")</f>
        <v>0</v>
      </c>
      <c r="K60" s="21">
        <f>IFERROR(INDEX('Input - Target'!I$2:I$200,MATCH('Calculations - Target'!$D60,'Input - Target'!$B$2:$B$200,0)),"")</f>
        <v>0</v>
      </c>
      <c r="L60" s="21">
        <f>IFERROR(INDEX('Input - Target'!J$2:J$200,MATCH('Calculations - Target'!$D60,'Input - Target'!$B$2:$B$200,0)),"")</f>
        <v>0</v>
      </c>
      <c r="M60" s="20">
        <f>IFERROR(INDEX('Input - Target'!K$2:K$200,MATCH('Calculations - Target'!$D60,'Input - Target'!$B$2:$B$200,0)),"")</f>
        <v>0</v>
      </c>
      <c r="N60" s="20">
        <f>IFERROR(INDEX('Input - Target'!L$2:L$200,MATCH('Calculations - Target'!$D60,'Input - Target'!$B$2:$B$200,0)),"")</f>
        <v>0</v>
      </c>
      <c r="O60" s="21" t="str">
        <f t="shared" si="65"/>
        <v/>
      </c>
      <c r="P60" s="21" t="str">
        <f t="shared" si="47"/>
        <v/>
      </c>
      <c r="Q60" s="21">
        <f t="shared" si="66"/>
        <v>0</v>
      </c>
      <c r="R60" s="9">
        <f t="shared" si="48"/>
        <v>0</v>
      </c>
      <c r="S60" s="9">
        <f t="shared" si="49"/>
        <v>0</v>
      </c>
      <c r="T60" s="22" t="str">
        <f>IFERROR(INDEX(Target!$S$11:$S$167,MATCH('Calculations - Target'!$D60,Target!$N$11:$N$167,0)),"")</f>
        <v/>
      </c>
      <c r="U60" s="22" t="str">
        <f>IFERROR(INDEX(Target!$T$11:$T$167,MATCH('Calculations - Target'!$D60,Target!$N$11:$N$167,0)),"")</f>
        <v/>
      </c>
      <c r="V60" s="16" t="e">
        <f t="shared" si="50"/>
        <v>#VALUE!</v>
      </c>
      <c r="W60" s="16" t="e">
        <f t="shared" si="67"/>
        <v>#VALUE!</v>
      </c>
      <c r="X60" s="16" t="e">
        <f t="shared" si="68"/>
        <v>#VALUE!</v>
      </c>
      <c r="Y60" s="10" t="str">
        <f t="shared" si="51"/>
        <v>-</v>
      </c>
      <c r="Z60" s="10" t="str">
        <f t="shared" si="52"/>
        <v>-</v>
      </c>
      <c r="AA60" s="13" t="str">
        <f t="shared" si="69"/>
        <v>-</v>
      </c>
      <c r="AB60" s="9" t="str">
        <f t="shared" si="53"/>
        <v>-</v>
      </c>
      <c r="AC60" s="16" t="str">
        <f t="shared" si="70"/>
        <v>-</v>
      </c>
      <c r="AD60" s="16" t="str">
        <f t="shared" si="54"/>
        <v>-</v>
      </c>
      <c r="AE60" s="16" t="str">
        <f t="shared" si="55"/>
        <v>-</v>
      </c>
      <c r="AF60" s="16" t="str">
        <f t="shared" si="71"/>
        <v>-</v>
      </c>
      <c r="AG60" s="16"/>
      <c r="AH60" s="32" t="str">
        <f>IFERROR(INDEX(Target!$R$11:$R$167,MATCH('Calculations - Target'!D60,Target!$N$11:$N$167,0)),"")</f>
        <v/>
      </c>
      <c r="AI60" s="23" t="str">
        <f t="shared" si="72"/>
        <v/>
      </c>
      <c r="AJ60" s="23" t="str">
        <f t="shared" si="73"/>
        <v/>
      </c>
      <c r="AK60" s="9" t="str">
        <f t="shared" si="56"/>
        <v/>
      </c>
      <c r="AL60" s="4" t="str">
        <f t="shared" si="57"/>
        <v/>
      </c>
      <c r="AM60" s="4"/>
      <c r="AN60" s="4"/>
      <c r="AO60" s="4"/>
      <c r="AP60" s="4"/>
      <c r="AQ60" s="4"/>
      <c r="AR60" s="20" t="str">
        <f t="shared" si="58"/>
        <v>-</v>
      </c>
      <c r="AS60" s="13" t="str">
        <f t="shared" si="74"/>
        <v>-</v>
      </c>
      <c r="AT60" s="13" t="str">
        <f t="shared" si="75"/>
        <v>-</v>
      </c>
      <c r="AU60" s="13" t="str">
        <f t="shared" si="59"/>
        <v>-</v>
      </c>
      <c r="AV60" s="16" t="str">
        <f t="shared" si="76"/>
        <v>-</v>
      </c>
      <c r="AW60" s="16" t="str">
        <f t="shared" si="60"/>
        <v>-</v>
      </c>
      <c r="AX60" s="16" t="str">
        <f t="shared" si="61"/>
        <v>-</v>
      </c>
      <c r="AY60" s="16" t="str">
        <f t="shared" si="77"/>
        <v>-</v>
      </c>
      <c r="AZ60" s="13" t="str">
        <f t="shared" si="78"/>
        <v>-</v>
      </c>
      <c r="BA60" s="10" t="str">
        <f t="shared" si="79"/>
        <v>-</v>
      </c>
      <c r="BB60" s="9" t="str">
        <f t="shared" si="80"/>
        <v>-</v>
      </c>
      <c r="BC60" s="13" t="str">
        <f t="shared" si="81"/>
        <v>-</v>
      </c>
      <c r="BD60" s="10" t="str">
        <f t="shared" si="82"/>
        <v>-</v>
      </c>
      <c r="BE60" s="13" t="str">
        <f t="shared" si="83"/>
        <v>-</v>
      </c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2:70" x14ac:dyDescent="0.3">
      <c r="B61" s="96" t="str">
        <f t="shared" si="62"/>
        <v/>
      </c>
      <c r="C61" s="96" t="str">
        <f t="shared" si="63"/>
        <v/>
      </c>
      <c r="D61" s="96" t="str">
        <f t="shared" si="64"/>
        <v/>
      </c>
      <c r="E61" s="3"/>
      <c r="F61" s="3"/>
      <c r="G61" s="3"/>
      <c r="H61" s="3"/>
      <c r="I61" s="20">
        <f>IFERROR(INDEX('Input - Target'!G$2:G$200,MATCH('Calculations - Target'!$D61,'Input - Target'!$B$2:$B$200,0)),"")</f>
        <v>0</v>
      </c>
      <c r="J61" s="20">
        <f>IFERROR(INDEX('Input - Target'!H$2:H$200,MATCH('Calculations - Target'!$D61,'Input - Target'!$B$2:$B$200,0)),"")</f>
        <v>0</v>
      </c>
      <c r="K61" s="21">
        <f>IFERROR(INDEX('Input - Target'!I$2:I$200,MATCH('Calculations - Target'!$D61,'Input - Target'!$B$2:$B$200,0)),"")</f>
        <v>0</v>
      </c>
      <c r="L61" s="21">
        <f>IFERROR(INDEX('Input - Target'!J$2:J$200,MATCH('Calculations - Target'!$D61,'Input - Target'!$B$2:$B$200,0)),"")</f>
        <v>0</v>
      </c>
      <c r="M61" s="20">
        <f>IFERROR(INDEX('Input - Target'!K$2:K$200,MATCH('Calculations - Target'!$D61,'Input - Target'!$B$2:$B$200,0)),"")</f>
        <v>0</v>
      </c>
      <c r="N61" s="20">
        <f>IFERROR(INDEX('Input - Target'!L$2:L$200,MATCH('Calculations - Target'!$D61,'Input - Target'!$B$2:$B$200,0)),"")</f>
        <v>0</v>
      </c>
      <c r="O61" s="21" t="str">
        <f t="shared" si="65"/>
        <v/>
      </c>
      <c r="P61" s="21" t="str">
        <f t="shared" si="47"/>
        <v/>
      </c>
      <c r="Q61" s="21">
        <f t="shared" si="66"/>
        <v>0</v>
      </c>
      <c r="R61" s="9">
        <f t="shared" si="48"/>
        <v>0</v>
      </c>
      <c r="S61" s="9">
        <f t="shared" si="49"/>
        <v>0</v>
      </c>
      <c r="T61" s="22" t="str">
        <f>IFERROR(INDEX(Target!$S$11:$S$167,MATCH('Calculations - Target'!$D61,Target!$N$11:$N$167,0)),"")</f>
        <v/>
      </c>
      <c r="U61" s="22" t="str">
        <f>IFERROR(INDEX(Target!$T$11:$T$167,MATCH('Calculations - Target'!$D61,Target!$N$11:$N$167,0)),"")</f>
        <v/>
      </c>
      <c r="V61" s="16" t="e">
        <f t="shared" si="50"/>
        <v>#VALUE!</v>
      </c>
      <c r="W61" s="16" t="e">
        <f t="shared" si="67"/>
        <v>#VALUE!</v>
      </c>
      <c r="X61" s="16" t="e">
        <f t="shared" si="68"/>
        <v>#VALUE!</v>
      </c>
      <c r="Y61" s="10" t="str">
        <f t="shared" si="51"/>
        <v>-</v>
      </c>
      <c r="Z61" s="10" t="str">
        <f t="shared" si="52"/>
        <v>-</v>
      </c>
      <c r="AA61" s="13" t="str">
        <f t="shared" si="69"/>
        <v>-</v>
      </c>
      <c r="AB61" s="9" t="str">
        <f t="shared" si="53"/>
        <v>-</v>
      </c>
      <c r="AC61" s="16" t="str">
        <f t="shared" si="70"/>
        <v>-</v>
      </c>
      <c r="AD61" s="16" t="str">
        <f t="shared" si="54"/>
        <v>-</v>
      </c>
      <c r="AE61" s="16" t="str">
        <f t="shared" si="55"/>
        <v>-</v>
      </c>
      <c r="AF61" s="16" t="str">
        <f t="shared" si="71"/>
        <v>-</v>
      </c>
      <c r="AG61" s="16"/>
      <c r="AH61" s="32" t="str">
        <f>IFERROR(INDEX(Target!$R$11:$R$167,MATCH('Calculations - Target'!D61,Target!$N$11:$N$167,0)),"")</f>
        <v/>
      </c>
      <c r="AI61" s="23" t="str">
        <f t="shared" si="72"/>
        <v/>
      </c>
      <c r="AJ61" s="23" t="str">
        <f t="shared" si="73"/>
        <v/>
      </c>
      <c r="AK61" s="9" t="str">
        <f t="shared" si="56"/>
        <v/>
      </c>
      <c r="AL61" s="4" t="str">
        <f t="shared" si="57"/>
        <v/>
      </c>
      <c r="AM61" s="4"/>
      <c r="AN61" s="4"/>
      <c r="AO61" s="4"/>
      <c r="AP61" s="4"/>
      <c r="AQ61" s="4"/>
      <c r="AR61" s="20" t="str">
        <f t="shared" si="58"/>
        <v>-</v>
      </c>
      <c r="AS61" s="13" t="str">
        <f t="shared" si="74"/>
        <v>-</v>
      </c>
      <c r="AT61" s="13" t="str">
        <f t="shared" si="75"/>
        <v>-</v>
      </c>
      <c r="AU61" s="13" t="str">
        <f t="shared" si="59"/>
        <v>-</v>
      </c>
      <c r="AV61" s="16" t="str">
        <f t="shared" si="76"/>
        <v>-</v>
      </c>
      <c r="AW61" s="16" t="str">
        <f t="shared" si="60"/>
        <v>-</v>
      </c>
      <c r="AX61" s="16" t="str">
        <f t="shared" si="61"/>
        <v>-</v>
      </c>
      <c r="AY61" s="16" t="str">
        <f t="shared" si="77"/>
        <v>-</v>
      </c>
      <c r="AZ61" s="13" t="str">
        <f t="shared" si="78"/>
        <v>-</v>
      </c>
      <c r="BA61" s="10" t="str">
        <f t="shared" si="79"/>
        <v>-</v>
      </c>
      <c r="BB61" s="9" t="str">
        <f t="shared" si="80"/>
        <v>-</v>
      </c>
      <c r="BC61" s="13" t="str">
        <f t="shared" si="81"/>
        <v>-</v>
      </c>
      <c r="BD61" s="10" t="str">
        <f t="shared" si="82"/>
        <v>-</v>
      </c>
      <c r="BE61" s="13" t="str">
        <f t="shared" si="83"/>
        <v>-</v>
      </c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</row>
    <row r="62" spans="2:70" x14ac:dyDescent="0.3">
      <c r="B62" s="96" t="str">
        <f t="shared" si="62"/>
        <v/>
      </c>
      <c r="C62" s="96" t="str">
        <f t="shared" si="63"/>
        <v/>
      </c>
      <c r="D62" s="96" t="str">
        <f t="shared" si="64"/>
        <v/>
      </c>
      <c r="E62" s="3"/>
      <c r="F62" s="3"/>
      <c r="G62" s="3"/>
      <c r="H62" s="3"/>
      <c r="I62" s="20">
        <f>IFERROR(INDEX('Input - Target'!G$2:G$200,MATCH('Calculations - Target'!$D62,'Input - Target'!$B$2:$B$200,0)),"")</f>
        <v>0</v>
      </c>
      <c r="J62" s="20">
        <f>IFERROR(INDEX('Input - Target'!H$2:H$200,MATCH('Calculations - Target'!$D62,'Input - Target'!$B$2:$B$200,0)),"")</f>
        <v>0</v>
      </c>
      <c r="K62" s="21">
        <f>IFERROR(INDEX('Input - Target'!I$2:I$200,MATCH('Calculations - Target'!$D62,'Input - Target'!$B$2:$B$200,0)),"")</f>
        <v>0</v>
      </c>
      <c r="L62" s="21">
        <f>IFERROR(INDEX('Input - Target'!J$2:J$200,MATCH('Calculations - Target'!$D62,'Input - Target'!$B$2:$B$200,0)),"")</f>
        <v>0</v>
      </c>
      <c r="M62" s="20">
        <f>IFERROR(INDEX('Input - Target'!K$2:K$200,MATCH('Calculations - Target'!$D62,'Input - Target'!$B$2:$B$200,0)),"")</f>
        <v>0</v>
      </c>
      <c r="N62" s="20">
        <f>IFERROR(INDEX('Input - Target'!L$2:L$200,MATCH('Calculations - Target'!$D62,'Input - Target'!$B$2:$B$200,0)),"")</f>
        <v>0</v>
      </c>
      <c r="O62" s="21" t="str">
        <f t="shared" si="65"/>
        <v/>
      </c>
      <c r="P62" s="21" t="str">
        <f t="shared" si="47"/>
        <v/>
      </c>
      <c r="Q62" s="21">
        <f t="shared" si="66"/>
        <v>0</v>
      </c>
      <c r="R62" s="9">
        <f t="shared" si="48"/>
        <v>0</v>
      </c>
      <c r="S62" s="9">
        <f t="shared" si="49"/>
        <v>0</v>
      </c>
      <c r="T62" s="22" t="str">
        <f>IFERROR(INDEX(Target!$S$11:$S$167,MATCH('Calculations - Target'!$D62,Target!$N$11:$N$167,0)),"")</f>
        <v/>
      </c>
      <c r="U62" s="22" t="str">
        <f>IFERROR(INDEX(Target!$T$11:$T$167,MATCH('Calculations - Target'!$D62,Target!$N$11:$N$167,0)),"")</f>
        <v/>
      </c>
      <c r="V62" s="16" t="e">
        <f t="shared" si="50"/>
        <v>#VALUE!</v>
      </c>
      <c r="W62" s="16" t="e">
        <f t="shared" si="67"/>
        <v>#VALUE!</v>
      </c>
      <c r="X62" s="16" t="e">
        <f t="shared" si="68"/>
        <v>#VALUE!</v>
      </c>
      <c r="Y62" s="10" t="str">
        <f t="shared" si="51"/>
        <v>-</v>
      </c>
      <c r="Z62" s="10" t="str">
        <f t="shared" si="52"/>
        <v>-</v>
      </c>
      <c r="AA62" s="13" t="str">
        <f t="shared" si="69"/>
        <v>-</v>
      </c>
      <c r="AB62" s="9" t="str">
        <f t="shared" si="53"/>
        <v>-</v>
      </c>
      <c r="AC62" s="16" t="str">
        <f t="shared" si="70"/>
        <v>-</v>
      </c>
      <c r="AD62" s="16" t="str">
        <f t="shared" si="54"/>
        <v>-</v>
      </c>
      <c r="AE62" s="16" t="str">
        <f t="shared" si="55"/>
        <v>-</v>
      </c>
      <c r="AF62" s="16" t="str">
        <f t="shared" si="71"/>
        <v>-</v>
      </c>
      <c r="AG62" s="16"/>
      <c r="AH62" s="32" t="str">
        <f>IFERROR(INDEX(Target!$R$11:$R$167,MATCH('Calculations - Target'!D62,Target!$N$11:$N$167,0)),"")</f>
        <v/>
      </c>
      <c r="AI62" s="23" t="str">
        <f t="shared" si="72"/>
        <v/>
      </c>
      <c r="AJ62" s="23" t="str">
        <f t="shared" si="73"/>
        <v/>
      </c>
      <c r="AK62" s="9" t="str">
        <f t="shared" si="56"/>
        <v/>
      </c>
      <c r="AL62" s="4" t="str">
        <f t="shared" si="57"/>
        <v/>
      </c>
      <c r="AM62" s="4"/>
      <c r="AN62" s="4"/>
      <c r="AO62" s="4"/>
      <c r="AP62" s="4"/>
      <c r="AQ62" s="4"/>
      <c r="AR62" s="20" t="str">
        <f t="shared" si="58"/>
        <v>-</v>
      </c>
      <c r="AS62" s="13" t="str">
        <f t="shared" si="74"/>
        <v>-</v>
      </c>
      <c r="AT62" s="13" t="str">
        <f t="shared" si="75"/>
        <v>-</v>
      </c>
      <c r="AU62" s="13" t="str">
        <f t="shared" si="59"/>
        <v>-</v>
      </c>
      <c r="AV62" s="16" t="str">
        <f t="shared" si="76"/>
        <v>-</v>
      </c>
      <c r="AW62" s="16" t="str">
        <f t="shared" si="60"/>
        <v>-</v>
      </c>
      <c r="AX62" s="16" t="str">
        <f t="shared" si="61"/>
        <v>-</v>
      </c>
      <c r="AY62" s="16" t="str">
        <f t="shared" si="77"/>
        <v>-</v>
      </c>
      <c r="AZ62" s="13" t="str">
        <f t="shared" si="78"/>
        <v>-</v>
      </c>
      <c r="BA62" s="10" t="str">
        <f t="shared" si="79"/>
        <v>-</v>
      </c>
      <c r="BB62" s="9" t="str">
        <f t="shared" si="80"/>
        <v>-</v>
      </c>
      <c r="BC62" s="13" t="str">
        <f t="shared" si="81"/>
        <v>-</v>
      </c>
      <c r="BD62" s="10" t="str">
        <f t="shared" si="82"/>
        <v>-</v>
      </c>
      <c r="BE62" s="13" t="str">
        <f t="shared" si="83"/>
        <v>-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</row>
    <row r="63" spans="2:70" x14ac:dyDescent="0.3">
      <c r="B63" s="96" t="str">
        <f t="shared" si="62"/>
        <v/>
      </c>
      <c r="C63" s="96" t="str">
        <f t="shared" si="63"/>
        <v/>
      </c>
      <c r="D63" s="96" t="str">
        <f t="shared" si="64"/>
        <v/>
      </c>
      <c r="E63" s="3"/>
      <c r="F63" s="3"/>
      <c r="G63" s="3"/>
      <c r="H63" s="3"/>
      <c r="I63" s="20">
        <f>IFERROR(INDEX('Input - Target'!G$2:G$200,MATCH('Calculations - Target'!$D63,'Input - Target'!$B$2:$B$200,0)),"")</f>
        <v>0</v>
      </c>
      <c r="J63" s="20">
        <f>IFERROR(INDEX('Input - Target'!H$2:H$200,MATCH('Calculations - Target'!$D63,'Input - Target'!$B$2:$B$200,0)),"")</f>
        <v>0</v>
      </c>
      <c r="K63" s="21">
        <f>IFERROR(INDEX('Input - Target'!I$2:I$200,MATCH('Calculations - Target'!$D63,'Input - Target'!$B$2:$B$200,0)),"")</f>
        <v>0</v>
      </c>
      <c r="L63" s="21">
        <f>IFERROR(INDEX('Input - Target'!J$2:J$200,MATCH('Calculations - Target'!$D63,'Input - Target'!$B$2:$B$200,0)),"")</f>
        <v>0</v>
      </c>
      <c r="M63" s="20">
        <f>IFERROR(INDEX('Input - Target'!K$2:K$200,MATCH('Calculations - Target'!$D63,'Input - Target'!$B$2:$B$200,0)),"")</f>
        <v>0</v>
      </c>
      <c r="N63" s="20">
        <f>IFERROR(INDEX('Input - Target'!L$2:L$200,MATCH('Calculations - Target'!$D63,'Input - Target'!$B$2:$B$200,0)),"")</f>
        <v>0</v>
      </c>
      <c r="O63" s="21" t="str">
        <f t="shared" si="65"/>
        <v/>
      </c>
      <c r="P63" s="21" t="str">
        <f t="shared" si="47"/>
        <v/>
      </c>
      <c r="Q63" s="21">
        <f t="shared" si="66"/>
        <v>0</v>
      </c>
      <c r="R63" s="9">
        <f t="shared" si="48"/>
        <v>0</v>
      </c>
      <c r="S63" s="9">
        <f t="shared" si="49"/>
        <v>0</v>
      </c>
      <c r="T63" s="22" t="str">
        <f>IFERROR(INDEX(Target!$S$11:$S$167,MATCH('Calculations - Target'!$D63,Target!$N$11:$N$167,0)),"")</f>
        <v/>
      </c>
      <c r="U63" s="22" t="str">
        <f>IFERROR(INDEX(Target!$T$11:$T$167,MATCH('Calculations - Target'!$D63,Target!$N$11:$N$167,0)),"")</f>
        <v/>
      </c>
      <c r="V63" s="16" t="e">
        <f t="shared" si="50"/>
        <v>#VALUE!</v>
      </c>
      <c r="W63" s="16" t="e">
        <f t="shared" si="67"/>
        <v>#VALUE!</v>
      </c>
      <c r="X63" s="16" t="e">
        <f t="shared" si="68"/>
        <v>#VALUE!</v>
      </c>
      <c r="Y63" s="10" t="str">
        <f t="shared" si="51"/>
        <v>-</v>
      </c>
      <c r="Z63" s="10" t="str">
        <f t="shared" si="52"/>
        <v>-</v>
      </c>
      <c r="AA63" s="13" t="str">
        <f t="shared" si="69"/>
        <v>-</v>
      </c>
      <c r="AB63" s="9" t="str">
        <f t="shared" si="53"/>
        <v>-</v>
      </c>
      <c r="AC63" s="16" t="str">
        <f t="shared" si="70"/>
        <v>-</v>
      </c>
      <c r="AD63" s="16" t="str">
        <f t="shared" si="54"/>
        <v>-</v>
      </c>
      <c r="AE63" s="16" t="str">
        <f t="shared" si="55"/>
        <v>-</v>
      </c>
      <c r="AF63" s="16" t="str">
        <f t="shared" si="71"/>
        <v>-</v>
      </c>
      <c r="AG63" s="16"/>
      <c r="AH63" s="32" t="str">
        <f>IFERROR(INDEX(Target!$R$11:$R$167,MATCH('Calculations - Target'!D63,Target!$N$11:$N$167,0)),"")</f>
        <v/>
      </c>
      <c r="AI63" s="23" t="str">
        <f t="shared" si="72"/>
        <v/>
      </c>
      <c r="AJ63" s="23" t="str">
        <f t="shared" si="73"/>
        <v/>
      </c>
      <c r="AK63" s="9" t="str">
        <f t="shared" si="56"/>
        <v/>
      </c>
      <c r="AL63" s="4" t="str">
        <f t="shared" si="57"/>
        <v/>
      </c>
      <c r="AM63" s="4"/>
      <c r="AN63" s="4"/>
      <c r="AO63" s="4"/>
      <c r="AP63" s="4"/>
      <c r="AQ63" s="4"/>
      <c r="AR63" s="20" t="str">
        <f t="shared" si="58"/>
        <v>-</v>
      </c>
      <c r="AS63" s="13" t="str">
        <f t="shared" si="74"/>
        <v>-</v>
      </c>
      <c r="AT63" s="13" t="str">
        <f t="shared" si="75"/>
        <v>-</v>
      </c>
      <c r="AU63" s="13" t="str">
        <f t="shared" si="59"/>
        <v>-</v>
      </c>
      <c r="AV63" s="16" t="str">
        <f t="shared" si="76"/>
        <v>-</v>
      </c>
      <c r="AW63" s="16" t="str">
        <f t="shared" si="60"/>
        <v>-</v>
      </c>
      <c r="AX63" s="16" t="str">
        <f t="shared" si="61"/>
        <v>-</v>
      </c>
      <c r="AY63" s="16" t="str">
        <f t="shared" si="77"/>
        <v>-</v>
      </c>
      <c r="AZ63" s="13" t="str">
        <f t="shared" si="78"/>
        <v>-</v>
      </c>
      <c r="BA63" s="10" t="str">
        <f t="shared" si="79"/>
        <v>-</v>
      </c>
      <c r="BB63" s="9" t="str">
        <f t="shared" si="80"/>
        <v>-</v>
      </c>
      <c r="BC63" s="13" t="str">
        <f t="shared" si="81"/>
        <v>-</v>
      </c>
      <c r="BD63" s="10" t="str">
        <f t="shared" si="82"/>
        <v>-</v>
      </c>
      <c r="BE63" s="13" t="str">
        <f t="shared" si="83"/>
        <v>-</v>
      </c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</row>
    <row r="64" spans="2:70" x14ac:dyDescent="0.3">
      <c r="B64" s="96" t="str">
        <f t="shared" si="62"/>
        <v/>
      </c>
      <c r="C64" s="96" t="str">
        <f t="shared" si="63"/>
        <v/>
      </c>
      <c r="D64" s="96" t="str">
        <f t="shared" si="64"/>
        <v/>
      </c>
      <c r="E64" s="3"/>
      <c r="F64" s="3"/>
      <c r="G64" s="3"/>
      <c r="H64" s="3"/>
      <c r="I64" s="20">
        <f>IFERROR(INDEX('Input - Target'!G$2:G$200,MATCH('Calculations - Target'!$D64,'Input - Target'!$B$2:$B$200,0)),"")</f>
        <v>0</v>
      </c>
      <c r="J64" s="20">
        <f>IFERROR(INDEX('Input - Target'!H$2:H$200,MATCH('Calculations - Target'!$D64,'Input - Target'!$B$2:$B$200,0)),"")</f>
        <v>0</v>
      </c>
      <c r="K64" s="21">
        <f>IFERROR(INDEX('Input - Target'!I$2:I$200,MATCH('Calculations - Target'!$D64,'Input - Target'!$B$2:$B$200,0)),"")</f>
        <v>0</v>
      </c>
      <c r="L64" s="21">
        <f>IFERROR(INDEX('Input - Target'!J$2:J$200,MATCH('Calculations - Target'!$D64,'Input - Target'!$B$2:$B$200,0)),"")</f>
        <v>0</v>
      </c>
      <c r="M64" s="20">
        <f>IFERROR(INDEX('Input - Target'!K$2:K$200,MATCH('Calculations - Target'!$D64,'Input - Target'!$B$2:$B$200,0)),"")</f>
        <v>0</v>
      </c>
      <c r="N64" s="20">
        <f>IFERROR(INDEX('Input - Target'!L$2:L$200,MATCH('Calculations - Target'!$D64,'Input - Target'!$B$2:$B$200,0)),"")</f>
        <v>0</v>
      </c>
      <c r="O64" s="21" t="str">
        <f t="shared" si="65"/>
        <v/>
      </c>
      <c r="P64" s="21" t="str">
        <f t="shared" si="47"/>
        <v/>
      </c>
      <c r="Q64" s="21">
        <f t="shared" si="66"/>
        <v>0</v>
      </c>
      <c r="R64" s="9">
        <f t="shared" ref="R64:R127" si="84">I64/SUM(I$32:I$229)</f>
        <v>0</v>
      </c>
      <c r="S64" s="9">
        <f t="shared" ref="S64:S127" si="85">J64/SUM(J$32:J$229)</f>
        <v>0</v>
      </c>
      <c r="T64" s="22" t="str">
        <f>IFERROR(INDEX(Target!$S$11:$S$167,MATCH('Calculations - Target'!$D64,Target!$N$11:$N$167,0)),"")</f>
        <v/>
      </c>
      <c r="U64" s="22" t="str">
        <f>IFERROR(INDEX(Target!$T$11:$T$167,MATCH('Calculations - Target'!$D64,Target!$N$11:$N$167,0)),"")</f>
        <v/>
      </c>
      <c r="V64" s="16" t="e">
        <f t="shared" si="50"/>
        <v>#VALUE!</v>
      </c>
      <c r="W64" s="16" t="e">
        <f t="shared" si="67"/>
        <v>#VALUE!</v>
      </c>
      <c r="X64" s="16" t="e">
        <f t="shared" si="68"/>
        <v>#VALUE!</v>
      </c>
      <c r="Y64" s="10" t="str">
        <f t="shared" si="51"/>
        <v>-</v>
      </c>
      <c r="Z64" s="10" t="str">
        <f t="shared" si="52"/>
        <v>-</v>
      </c>
      <c r="AA64" s="13" t="str">
        <f t="shared" si="69"/>
        <v>-</v>
      </c>
      <c r="AB64" s="9" t="str">
        <f t="shared" si="53"/>
        <v>-</v>
      </c>
      <c r="AC64" s="16" t="str">
        <f t="shared" si="70"/>
        <v>-</v>
      </c>
      <c r="AD64" s="16" t="str">
        <f t="shared" si="54"/>
        <v>-</v>
      </c>
      <c r="AE64" s="16" t="str">
        <f t="shared" si="55"/>
        <v>-</v>
      </c>
      <c r="AF64" s="16" t="str">
        <f t="shared" si="71"/>
        <v>-</v>
      </c>
      <c r="AG64" s="16"/>
      <c r="AH64" s="32" t="str">
        <f>IFERROR(INDEX(Target!$R$11:$R$167,MATCH('Calculations - Target'!D64,Target!$N$11:$N$167,0)),"")</f>
        <v/>
      </c>
      <c r="AI64" s="23" t="str">
        <f t="shared" si="72"/>
        <v/>
      </c>
      <c r="AJ64" s="23" t="str">
        <f t="shared" si="73"/>
        <v/>
      </c>
      <c r="AK64" s="9" t="str">
        <f t="shared" si="56"/>
        <v/>
      </c>
      <c r="AL64" s="4" t="str">
        <f t="shared" si="57"/>
        <v/>
      </c>
      <c r="AM64" s="4"/>
      <c r="AN64" s="4"/>
      <c r="AO64" s="4"/>
      <c r="AP64" s="4"/>
      <c r="AQ64" s="4"/>
      <c r="AR64" s="20" t="str">
        <f t="shared" si="58"/>
        <v>-</v>
      </c>
      <c r="AS64" s="13" t="str">
        <f t="shared" si="74"/>
        <v>-</v>
      </c>
      <c r="AT64" s="13" t="str">
        <f t="shared" si="75"/>
        <v>-</v>
      </c>
      <c r="AU64" s="13" t="str">
        <f t="shared" si="59"/>
        <v>-</v>
      </c>
      <c r="AV64" s="16" t="str">
        <f t="shared" si="76"/>
        <v>-</v>
      </c>
      <c r="AW64" s="16" t="str">
        <f t="shared" si="60"/>
        <v>-</v>
      </c>
      <c r="AX64" s="16" t="str">
        <f t="shared" si="61"/>
        <v>-</v>
      </c>
      <c r="AY64" s="16" t="str">
        <f t="shared" si="77"/>
        <v>-</v>
      </c>
      <c r="AZ64" s="13" t="str">
        <f t="shared" si="78"/>
        <v>-</v>
      </c>
      <c r="BA64" s="10" t="str">
        <f t="shared" si="79"/>
        <v>-</v>
      </c>
      <c r="BB64" s="9" t="str">
        <f t="shared" si="80"/>
        <v>-</v>
      </c>
      <c r="BC64" s="13" t="str">
        <f t="shared" si="81"/>
        <v>-</v>
      </c>
      <c r="BD64" s="10" t="str">
        <f t="shared" si="82"/>
        <v>-</v>
      </c>
      <c r="BE64" s="13" t="str">
        <f t="shared" si="83"/>
        <v>-</v>
      </c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</row>
    <row r="65" spans="2:70" x14ac:dyDescent="0.3">
      <c r="B65" s="96" t="str">
        <f t="shared" si="62"/>
        <v/>
      </c>
      <c r="C65" s="96" t="str">
        <f t="shared" si="63"/>
        <v/>
      </c>
      <c r="D65" s="96" t="str">
        <f t="shared" si="64"/>
        <v/>
      </c>
      <c r="E65" s="3"/>
      <c r="F65" s="3"/>
      <c r="G65" s="3"/>
      <c r="H65" s="3"/>
      <c r="I65" s="20">
        <f>IFERROR(INDEX('Input - Target'!G$2:G$200,MATCH('Calculations - Target'!$D65,'Input - Target'!$B$2:$B$200,0)),"")</f>
        <v>0</v>
      </c>
      <c r="J65" s="20">
        <f>IFERROR(INDEX('Input - Target'!H$2:H$200,MATCH('Calculations - Target'!$D65,'Input - Target'!$B$2:$B$200,0)),"")</f>
        <v>0</v>
      </c>
      <c r="K65" s="21">
        <f>IFERROR(INDEX('Input - Target'!I$2:I$200,MATCH('Calculations - Target'!$D65,'Input - Target'!$B$2:$B$200,0)),"")</f>
        <v>0</v>
      </c>
      <c r="L65" s="21">
        <f>IFERROR(INDEX('Input - Target'!J$2:J$200,MATCH('Calculations - Target'!$D65,'Input - Target'!$B$2:$B$200,0)),"")</f>
        <v>0</v>
      </c>
      <c r="M65" s="20">
        <f>IFERROR(INDEX('Input - Target'!K$2:K$200,MATCH('Calculations - Target'!$D65,'Input - Target'!$B$2:$B$200,0)),"")</f>
        <v>0</v>
      </c>
      <c r="N65" s="20">
        <f>IFERROR(INDEX('Input - Target'!L$2:L$200,MATCH('Calculations - Target'!$D65,'Input - Target'!$B$2:$B$200,0)),"")</f>
        <v>0</v>
      </c>
      <c r="O65" s="21" t="str">
        <f t="shared" si="65"/>
        <v/>
      </c>
      <c r="P65" s="21" t="str">
        <f t="shared" si="47"/>
        <v/>
      </c>
      <c r="Q65" s="21">
        <f t="shared" si="66"/>
        <v>0</v>
      </c>
      <c r="R65" s="9">
        <f t="shared" si="84"/>
        <v>0</v>
      </c>
      <c r="S65" s="9">
        <f t="shared" si="85"/>
        <v>0</v>
      </c>
      <c r="T65" s="22" t="str">
        <f>IFERROR(INDEX(Target!$S$11:$S$167,MATCH('Calculations - Target'!$D65,Target!$N$11:$N$167,0)),"")</f>
        <v/>
      </c>
      <c r="U65" s="22" t="str">
        <f>IFERROR(INDEX(Target!$T$11:$T$167,MATCH('Calculations - Target'!$D65,Target!$N$11:$N$167,0)),"")</f>
        <v/>
      </c>
      <c r="V65" s="16" t="e">
        <f t="shared" si="50"/>
        <v>#VALUE!</v>
      </c>
      <c r="W65" s="16" t="e">
        <f t="shared" si="67"/>
        <v>#VALUE!</v>
      </c>
      <c r="X65" s="16" t="e">
        <f t="shared" si="68"/>
        <v>#VALUE!</v>
      </c>
      <c r="Y65" s="10" t="str">
        <f t="shared" si="51"/>
        <v>-</v>
      </c>
      <c r="Z65" s="10" t="str">
        <f t="shared" si="52"/>
        <v>-</v>
      </c>
      <c r="AA65" s="13" t="str">
        <f t="shared" si="69"/>
        <v>-</v>
      </c>
      <c r="AB65" s="9" t="str">
        <f t="shared" si="53"/>
        <v>-</v>
      </c>
      <c r="AC65" s="16" t="str">
        <f t="shared" si="70"/>
        <v>-</v>
      </c>
      <c r="AD65" s="16" t="str">
        <f t="shared" si="54"/>
        <v>-</v>
      </c>
      <c r="AE65" s="16" t="str">
        <f t="shared" si="55"/>
        <v>-</v>
      </c>
      <c r="AF65" s="16" t="str">
        <f t="shared" si="71"/>
        <v>-</v>
      </c>
      <c r="AG65" s="16"/>
      <c r="AH65" s="32" t="str">
        <f>IFERROR(INDEX(Target!$R$11:$R$167,MATCH('Calculations - Target'!D65,Target!$N$11:$N$167,0)),"")</f>
        <v/>
      </c>
      <c r="AI65" s="23" t="str">
        <f t="shared" si="72"/>
        <v/>
      </c>
      <c r="AJ65" s="23" t="str">
        <f t="shared" si="73"/>
        <v/>
      </c>
      <c r="AK65" s="9" t="str">
        <f t="shared" si="56"/>
        <v/>
      </c>
      <c r="AL65" s="4" t="str">
        <f t="shared" si="57"/>
        <v/>
      </c>
      <c r="AM65" s="4"/>
      <c r="AN65" s="4"/>
      <c r="AO65" s="4"/>
      <c r="AP65" s="4"/>
      <c r="AQ65" s="4"/>
      <c r="AR65" s="20" t="str">
        <f t="shared" si="58"/>
        <v>-</v>
      </c>
      <c r="AS65" s="13" t="str">
        <f t="shared" si="74"/>
        <v>-</v>
      </c>
      <c r="AT65" s="13" t="str">
        <f t="shared" si="75"/>
        <v>-</v>
      </c>
      <c r="AU65" s="13" t="str">
        <f t="shared" si="59"/>
        <v>-</v>
      </c>
      <c r="AV65" s="16" t="str">
        <f t="shared" si="76"/>
        <v>-</v>
      </c>
      <c r="AW65" s="16" t="str">
        <f t="shared" si="60"/>
        <v>-</v>
      </c>
      <c r="AX65" s="16" t="str">
        <f t="shared" si="61"/>
        <v>-</v>
      </c>
      <c r="AY65" s="16" t="str">
        <f t="shared" si="77"/>
        <v>-</v>
      </c>
      <c r="AZ65" s="13" t="str">
        <f t="shared" si="78"/>
        <v>-</v>
      </c>
      <c r="BA65" s="10" t="str">
        <f t="shared" si="79"/>
        <v>-</v>
      </c>
      <c r="BB65" s="9" t="str">
        <f t="shared" si="80"/>
        <v>-</v>
      </c>
      <c r="BC65" s="13" t="str">
        <f t="shared" si="81"/>
        <v>-</v>
      </c>
      <c r="BD65" s="10" t="str">
        <f t="shared" si="82"/>
        <v>-</v>
      </c>
      <c r="BE65" s="13" t="str">
        <f t="shared" si="83"/>
        <v>-</v>
      </c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</row>
    <row r="66" spans="2:70" x14ac:dyDescent="0.3">
      <c r="B66" s="96" t="str">
        <f t="shared" si="62"/>
        <v/>
      </c>
      <c r="C66" s="96" t="str">
        <f t="shared" si="63"/>
        <v/>
      </c>
      <c r="D66" s="96" t="str">
        <f t="shared" si="64"/>
        <v/>
      </c>
      <c r="E66" s="3"/>
      <c r="F66" s="3"/>
      <c r="G66" s="3"/>
      <c r="H66" s="3"/>
      <c r="I66" s="20">
        <f>IFERROR(INDEX('Input - Target'!G$2:G$200,MATCH('Calculations - Target'!$D66,'Input - Target'!$B$2:$B$200,0)),"")</f>
        <v>0</v>
      </c>
      <c r="J66" s="20">
        <f>IFERROR(INDEX('Input - Target'!H$2:H$200,MATCH('Calculations - Target'!$D66,'Input - Target'!$B$2:$B$200,0)),"")</f>
        <v>0</v>
      </c>
      <c r="K66" s="21">
        <f>IFERROR(INDEX('Input - Target'!I$2:I$200,MATCH('Calculations - Target'!$D66,'Input - Target'!$B$2:$B$200,0)),"")</f>
        <v>0</v>
      </c>
      <c r="L66" s="21">
        <f>IFERROR(INDEX('Input - Target'!J$2:J$200,MATCH('Calculations - Target'!$D66,'Input - Target'!$B$2:$B$200,0)),"")</f>
        <v>0</v>
      </c>
      <c r="M66" s="20">
        <f>IFERROR(INDEX('Input - Target'!K$2:K$200,MATCH('Calculations - Target'!$D66,'Input - Target'!$B$2:$B$200,0)),"")</f>
        <v>0</v>
      </c>
      <c r="N66" s="20">
        <f>IFERROR(INDEX('Input - Target'!L$2:L$200,MATCH('Calculations - Target'!$D66,'Input - Target'!$B$2:$B$200,0)),"")</f>
        <v>0</v>
      </c>
      <c r="O66" s="21" t="str">
        <f t="shared" si="65"/>
        <v/>
      </c>
      <c r="P66" s="21" t="str">
        <f t="shared" si="47"/>
        <v/>
      </c>
      <c r="Q66" s="21">
        <f t="shared" si="66"/>
        <v>0</v>
      </c>
      <c r="R66" s="9">
        <f t="shared" si="84"/>
        <v>0</v>
      </c>
      <c r="S66" s="9">
        <f t="shared" si="85"/>
        <v>0</v>
      </c>
      <c r="T66" s="22" t="str">
        <f>IFERROR(INDEX(Target!$S$11:$S$167,MATCH('Calculations - Target'!$D66,Target!$N$11:$N$167,0)),"")</f>
        <v/>
      </c>
      <c r="U66" s="22" t="str">
        <f>IFERROR(INDEX(Target!$T$11:$T$167,MATCH('Calculations - Target'!$D66,Target!$N$11:$N$167,0)),"")</f>
        <v/>
      </c>
      <c r="V66" s="16" t="e">
        <f t="shared" si="50"/>
        <v>#VALUE!</v>
      </c>
      <c r="W66" s="16" t="e">
        <f t="shared" si="67"/>
        <v>#VALUE!</v>
      </c>
      <c r="X66" s="16" t="e">
        <f t="shared" si="68"/>
        <v>#VALUE!</v>
      </c>
      <c r="Y66" s="10" t="str">
        <f t="shared" si="51"/>
        <v>-</v>
      </c>
      <c r="Z66" s="10" t="str">
        <f t="shared" si="52"/>
        <v>-</v>
      </c>
      <c r="AA66" s="13" t="str">
        <f t="shared" si="69"/>
        <v>-</v>
      </c>
      <c r="AB66" s="9" t="str">
        <f t="shared" si="53"/>
        <v>-</v>
      </c>
      <c r="AC66" s="16" t="str">
        <f t="shared" si="70"/>
        <v>-</v>
      </c>
      <c r="AD66" s="16" t="str">
        <f t="shared" si="54"/>
        <v>-</v>
      </c>
      <c r="AE66" s="16" t="str">
        <f t="shared" si="55"/>
        <v>-</v>
      </c>
      <c r="AF66" s="16" t="str">
        <f t="shared" si="71"/>
        <v>-</v>
      </c>
      <c r="AG66" s="16"/>
      <c r="AH66" s="32" t="str">
        <f>IFERROR(INDEX(Target!$R$11:$R$167,MATCH('Calculations - Target'!D66,Target!$N$11:$N$167,0)),"")</f>
        <v/>
      </c>
      <c r="AI66" s="23" t="str">
        <f t="shared" si="72"/>
        <v/>
      </c>
      <c r="AJ66" s="23" t="str">
        <f t="shared" si="73"/>
        <v/>
      </c>
      <c r="AK66" s="9" t="str">
        <f t="shared" si="56"/>
        <v/>
      </c>
      <c r="AL66" s="4" t="str">
        <f t="shared" si="57"/>
        <v/>
      </c>
      <c r="AM66" s="4"/>
      <c r="AN66" s="4"/>
      <c r="AO66" s="4"/>
      <c r="AP66" s="4"/>
      <c r="AQ66" s="4"/>
      <c r="AR66" s="20" t="str">
        <f t="shared" si="58"/>
        <v>-</v>
      </c>
      <c r="AS66" s="13" t="str">
        <f t="shared" si="74"/>
        <v>-</v>
      </c>
      <c r="AT66" s="13" t="str">
        <f t="shared" si="75"/>
        <v>-</v>
      </c>
      <c r="AU66" s="13" t="str">
        <f t="shared" si="59"/>
        <v>-</v>
      </c>
      <c r="AV66" s="16" t="str">
        <f t="shared" si="76"/>
        <v>-</v>
      </c>
      <c r="AW66" s="16" t="str">
        <f t="shared" si="60"/>
        <v>-</v>
      </c>
      <c r="AX66" s="16" t="str">
        <f t="shared" si="61"/>
        <v>-</v>
      </c>
      <c r="AY66" s="16" t="str">
        <f t="shared" si="77"/>
        <v>-</v>
      </c>
      <c r="AZ66" s="13" t="str">
        <f t="shared" si="78"/>
        <v>-</v>
      </c>
      <c r="BA66" s="10" t="str">
        <f t="shared" si="79"/>
        <v>-</v>
      </c>
      <c r="BB66" s="9" t="str">
        <f t="shared" si="80"/>
        <v>-</v>
      </c>
      <c r="BC66" s="13" t="str">
        <f t="shared" si="81"/>
        <v>-</v>
      </c>
      <c r="BD66" s="10" t="str">
        <f t="shared" si="82"/>
        <v>-</v>
      </c>
      <c r="BE66" s="13" t="str">
        <f t="shared" si="83"/>
        <v>-</v>
      </c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</row>
    <row r="67" spans="2:70" x14ac:dyDescent="0.3">
      <c r="B67" s="96" t="str">
        <f t="shared" si="62"/>
        <v/>
      </c>
      <c r="C67" s="96" t="str">
        <f t="shared" si="63"/>
        <v/>
      </c>
      <c r="D67" s="96" t="str">
        <f t="shared" si="64"/>
        <v/>
      </c>
      <c r="E67" s="3"/>
      <c r="F67" s="3"/>
      <c r="G67" s="3"/>
      <c r="H67" s="3"/>
      <c r="I67" s="20">
        <f>IFERROR(INDEX('Input - Target'!G$2:G$200,MATCH('Calculations - Target'!$D67,'Input - Target'!$B$2:$B$200,0)),"")</f>
        <v>0</v>
      </c>
      <c r="J67" s="20">
        <f>IFERROR(INDEX('Input - Target'!H$2:H$200,MATCH('Calculations - Target'!$D67,'Input - Target'!$B$2:$B$200,0)),"")</f>
        <v>0</v>
      </c>
      <c r="K67" s="21">
        <f>IFERROR(INDEX('Input - Target'!I$2:I$200,MATCH('Calculations - Target'!$D67,'Input - Target'!$B$2:$B$200,0)),"")</f>
        <v>0</v>
      </c>
      <c r="L67" s="21">
        <f>IFERROR(INDEX('Input - Target'!J$2:J$200,MATCH('Calculations - Target'!$D67,'Input - Target'!$B$2:$B$200,0)),"")</f>
        <v>0</v>
      </c>
      <c r="M67" s="20">
        <f>IFERROR(INDEX('Input - Target'!K$2:K$200,MATCH('Calculations - Target'!$D67,'Input - Target'!$B$2:$B$200,0)),"")</f>
        <v>0</v>
      </c>
      <c r="N67" s="20">
        <f>IFERROR(INDEX('Input - Target'!L$2:L$200,MATCH('Calculations - Target'!$D67,'Input - Target'!$B$2:$B$200,0)),"")</f>
        <v>0</v>
      </c>
      <c r="O67" s="21" t="str">
        <f t="shared" si="65"/>
        <v/>
      </c>
      <c r="P67" s="21" t="str">
        <f t="shared" si="47"/>
        <v/>
      </c>
      <c r="Q67" s="21">
        <f t="shared" si="66"/>
        <v>0</v>
      </c>
      <c r="R67" s="9">
        <f t="shared" si="84"/>
        <v>0</v>
      </c>
      <c r="S67" s="9">
        <f t="shared" si="85"/>
        <v>0</v>
      </c>
      <c r="T67" s="22" t="str">
        <f>IFERROR(INDEX(Target!$S$11:$S$167,MATCH('Calculations - Target'!$D67,Target!$N$11:$N$167,0)),"")</f>
        <v/>
      </c>
      <c r="U67" s="22" t="str">
        <f>IFERROR(INDEX(Target!$T$11:$T$167,MATCH('Calculations - Target'!$D67,Target!$N$11:$N$167,0)),"")</f>
        <v/>
      </c>
      <c r="V67" s="16" t="e">
        <f t="shared" si="50"/>
        <v>#VALUE!</v>
      </c>
      <c r="W67" s="16" t="e">
        <f t="shared" si="67"/>
        <v>#VALUE!</v>
      </c>
      <c r="X67" s="16" t="e">
        <f t="shared" si="68"/>
        <v>#VALUE!</v>
      </c>
      <c r="Y67" s="10" t="str">
        <f t="shared" si="51"/>
        <v>-</v>
      </c>
      <c r="Z67" s="10" t="str">
        <f t="shared" si="52"/>
        <v>-</v>
      </c>
      <c r="AA67" s="13" t="str">
        <f t="shared" si="69"/>
        <v>-</v>
      </c>
      <c r="AB67" s="9" t="str">
        <f t="shared" si="53"/>
        <v>-</v>
      </c>
      <c r="AC67" s="16" t="str">
        <f t="shared" si="70"/>
        <v>-</v>
      </c>
      <c r="AD67" s="16" t="str">
        <f t="shared" si="54"/>
        <v>-</v>
      </c>
      <c r="AE67" s="16" t="str">
        <f t="shared" si="55"/>
        <v>-</v>
      </c>
      <c r="AF67" s="16" t="str">
        <f t="shared" si="71"/>
        <v>-</v>
      </c>
      <c r="AG67" s="16"/>
      <c r="AH67" s="32" t="str">
        <f>IFERROR(INDEX(Target!$R$11:$R$167,MATCH('Calculations - Target'!D67,Target!$N$11:$N$167,0)),"")</f>
        <v/>
      </c>
      <c r="AI67" s="23" t="str">
        <f t="shared" si="72"/>
        <v/>
      </c>
      <c r="AJ67" s="23" t="str">
        <f t="shared" si="73"/>
        <v/>
      </c>
      <c r="AK67" s="9" t="str">
        <f t="shared" si="56"/>
        <v/>
      </c>
      <c r="AL67" s="4" t="str">
        <f t="shared" si="57"/>
        <v/>
      </c>
      <c r="AM67" s="4"/>
      <c r="AN67" s="4"/>
      <c r="AO67" s="4"/>
      <c r="AP67" s="4"/>
      <c r="AQ67" s="4"/>
      <c r="AR67" s="20" t="str">
        <f t="shared" si="58"/>
        <v>-</v>
      </c>
      <c r="AS67" s="13" t="str">
        <f t="shared" si="74"/>
        <v>-</v>
      </c>
      <c r="AT67" s="13" t="str">
        <f t="shared" si="75"/>
        <v>-</v>
      </c>
      <c r="AU67" s="13" t="str">
        <f t="shared" si="59"/>
        <v>-</v>
      </c>
      <c r="AV67" s="16" t="str">
        <f t="shared" si="76"/>
        <v>-</v>
      </c>
      <c r="AW67" s="16" t="str">
        <f t="shared" si="60"/>
        <v>-</v>
      </c>
      <c r="AX67" s="16" t="str">
        <f t="shared" si="61"/>
        <v>-</v>
      </c>
      <c r="AY67" s="16" t="str">
        <f t="shared" si="77"/>
        <v>-</v>
      </c>
      <c r="AZ67" s="13" t="str">
        <f t="shared" si="78"/>
        <v>-</v>
      </c>
      <c r="BA67" s="10" t="str">
        <f t="shared" si="79"/>
        <v>-</v>
      </c>
      <c r="BB67" s="9" t="str">
        <f t="shared" si="80"/>
        <v>-</v>
      </c>
      <c r="BC67" s="13" t="str">
        <f t="shared" si="81"/>
        <v>-</v>
      </c>
      <c r="BD67" s="10" t="str">
        <f t="shared" si="82"/>
        <v>-</v>
      </c>
      <c r="BE67" s="13" t="str">
        <f t="shared" si="83"/>
        <v>-</v>
      </c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</row>
    <row r="68" spans="2:70" x14ac:dyDescent="0.3">
      <c r="B68" s="96" t="str">
        <f t="shared" si="62"/>
        <v/>
      </c>
      <c r="C68" s="96" t="str">
        <f t="shared" si="63"/>
        <v/>
      </c>
      <c r="D68" s="96" t="str">
        <f t="shared" si="64"/>
        <v/>
      </c>
      <c r="E68" s="3"/>
      <c r="F68" s="3"/>
      <c r="G68" s="3"/>
      <c r="H68" s="3"/>
      <c r="I68" s="20">
        <f>IFERROR(INDEX('Input - Target'!G$2:G$200,MATCH('Calculations - Target'!$D68,'Input - Target'!$B$2:$B$200,0)),"")</f>
        <v>0</v>
      </c>
      <c r="J68" s="20">
        <f>IFERROR(INDEX('Input - Target'!H$2:H$200,MATCH('Calculations - Target'!$D68,'Input - Target'!$B$2:$B$200,0)),"")</f>
        <v>0</v>
      </c>
      <c r="K68" s="21">
        <f>IFERROR(INDEX('Input - Target'!I$2:I$200,MATCH('Calculations - Target'!$D68,'Input - Target'!$B$2:$B$200,0)),"")</f>
        <v>0</v>
      </c>
      <c r="L68" s="21">
        <f>IFERROR(INDEX('Input - Target'!J$2:J$200,MATCH('Calculations - Target'!$D68,'Input - Target'!$B$2:$B$200,0)),"")</f>
        <v>0</v>
      </c>
      <c r="M68" s="20">
        <f>IFERROR(INDEX('Input - Target'!K$2:K$200,MATCH('Calculations - Target'!$D68,'Input - Target'!$B$2:$B$200,0)),"")</f>
        <v>0</v>
      </c>
      <c r="N68" s="20">
        <f>IFERROR(INDEX('Input - Target'!L$2:L$200,MATCH('Calculations - Target'!$D68,'Input - Target'!$B$2:$B$200,0)),"")</f>
        <v>0</v>
      </c>
      <c r="O68" s="21" t="str">
        <f t="shared" si="65"/>
        <v/>
      </c>
      <c r="P68" s="21" t="str">
        <f t="shared" si="47"/>
        <v/>
      </c>
      <c r="Q68" s="21">
        <f t="shared" si="66"/>
        <v>0</v>
      </c>
      <c r="R68" s="9">
        <f t="shared" si="84"/>
        <v>0</v>
      </c>
      <c r="S68" s="9">
        <f t="shared" si="85"/>
        <v>0</v>
      </c>
      <c r="T68" s="22" t="str">
        <f>IFERROR(INDEX(Target!$S$11:$S$167,MATCH('Calculations - Target'!$D68,Target!$N$11:$N$167,0)),"")</f>
        <v/>
      </c>
      <c r="U68" s="22" t="str">
        <f>IFERROR(INDEX(Target!$T$11:$T$167,MATCH('Calculations - Target'!$D68,Target!$N$11:$N$167,0)),"")</f>
        <v/>
      </c>
      <c r="V68" s="16" t="e">
        <f t="shared" si="50"/>
        <v>#VALUE!</v>
      </c>
      <c r="W68" s="16" t="e">
        <f t="shared" si="67"/>
        <v>#VALUE!</v>
      </c>
      <c r="X68" s="16" t="e">
        <f t="shared" si="68"/>
        <v>#VALUE!</v>
      </c>
      <c r="Y68" s="10" t="str">
        <f t="shared" si="51"/>
        <v>-</v>
      </c>
      <c r="Z68" s="10" t="str">
        <f t="shared" si="52"/>
        <v>-</v>
      </c>
      <c r="AA68" s="13" t="str">
        <f t="shared" si="69"/>
        <v>-</v>
      </c>
      <c r="AB68" s="9" t="str">
        <f t="shared" si="53"/>
        <v>-</v>
      </c>
      <c r="AC68" s="16" t="str">
        <f t="shared" si="70"/>
        <v>-</v>
      </c>
      <c r="AD68" s="16" t="str">
        <f t="shared" si="54"/>
        <v>-</v>
      </c>
      <c r="AE68" s="16" t="str">
        <f t="shared" si="55"/>
        <v>-</v>
      </c>
      <c r="AF68" s="16" t="str">
        <f t="shared" si="71"/>
        <v>-</v>
      </c>
      <c r="AG68" s="16"/>
      <c r="AH68" s="32" t="str">
        <f>IFERROR(INDEX(Target!$R$11:$R$167,MATCH('Calculations - Target'!D68,Target!$N$11:$N$167,0)),"")</f>
        <v/>
      </c>
      <c r="AI68" s="23" t="str">
        <f t="shared" si="72"/>
        <v/>
      </c>
      <c r="AJ68" s="23" t="str">
        <f t="shared" si="73"/>
        <v/>
      </c>
      <c r="AK68" s="9" t="str">
        <f t="shared" si="56"/>
        <v/>
      </c>
      <c r="AL68" s="4" t="str">
        <f t="shared" si="57"/>
        <v/>
      </c>
      <c r="AM68" s="4"/>
      <c r="AN68" s="4"/>
      <c r="AO68" s="4"/>
      <c r="AP68" s="4"/>
      <c r="AQ68" s="4"/>
      <c r="AR68" s="20" t="str">
        <f t="shared" si="58"/>
        <v>-</v>
      </c>
      <c r="AS68" s="13" t="str">
        <f t="shared" si="74"/>
        <v>-</v>
      </c>
      <c r="AT68" s="13" t="str">
        <f t="shared" si="75"/>
        <v>-</v>
      </c>
      <c r="AU68" s="13" t="str">
        <f t="shared" si="59"/>
        <v>-</v>
      </c>
      <c r="AV68" s="16" t="str">
        <f t="shared" si="76"/>
        <v>-</v>
      </c>
      <c r="AW68" s="16" t="str">
        <f t="shared" si="60"/>
        <v>-</v>
      </c>
      <c r="AX68" s="16" t="str">
        <f t="shared" si="61"/>
        <v>-</v>
      </c>
      <c r="AY68" s="16" t="str">
        <f t="shared" si="77"/>
        <v>-</v>
      </c>
      <c r="AZ68" s="13" t="str">
        <f t="shared" si="78"/>
        <v>-</v>
      </c>
      <c r="BA68" s="10" t="str">
        <f t="shared" si="79"/>
        <v>-</v>
      </c>
      <c r="BB68" s="9" t="str">
        <f t="shared" si="80"/>
        <v>-</v>
      </c>
      <c r="BC68" s="13" t="str">
        <f t="shared" si="81"/>
        <v>-</v>
      </c>
      <c r="BD68" s="10" t="str">
        <f t="shared" si="82"/>
        <v>-</v>
      </c>
      <c r="BE68" s="13" t="str">
        <f t="shared" si="83"/>
        <v>-</v>
      </c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</row>
    <row r="69" spans="2:70" x14ac:dyDescent="0.3">
      <c r="B69" s="96" t="str">
        <f t="shared" si="62"/>
        <v/>
      </c>
      <c r="C69" s="96" t="str">
        <f t="shared" si="63"/>
        <v/>
      </c>
      <c r="D69" s="96" t="str">
        <f t="shared" si="64"/>
        <v/>
      </c>
      <c r="E69" s="3"/>
      <c r="F69" s="3"/>
      <c r="G69" s="3"/>
      <c r="H69" s="3"/>
      <c r="I69" s="20">
        <f>IFERROR(INDEX('Input - Target'!G$2:G$200,MATCH('Calculations - Target'!$D69,'Input - Target'!$B$2:$B$200,0)),"")</f>
        <v>0</v>
      </c>
      <c r="J69" s="20">
        <f>IFERROR(INDEX('Input - Target'!H$2:H$200,MATCH('Calculations - Target'!$D69,'Input - Target'!$B$2:$B$200,0)),"")</f>
        <v>0</v>
      </c>
      <c r="K69" s="21">
        <f>IFERROR(INDEX('Input - Target'!I$2:I$200,MATCH('Calculations - Target'!$D69,'Input - Target'!$B$2:$B$200,0)),"")</f>
        <v>0</v>
      </c>
      <c r="L69" s="21">
        <f>IFERROR(INDEX('Input - Target'!J$2:J$200,MATCH('Calculations - Target'!$D69,'Input - Target'!$B$2:$B$200,0)),"")</f>
        <v>0</v>
      </c>
      <c r="M69" s="20">
        <f>IFERROR(INDEX('Input - Target'!K$2:K$200,MATCH('Calculations - Target'!$D69,'Input - Target'!$B$2:$B$200,0)),"")</f>
        <v>0</v>
      </c>
      <c r="N69" s="20">
        <f>IFERROR(INDEX('Input - Target'!L$2:L$200,MATCH('Calculations - Target'!$D69,'Input - Target'!$B$2:$B$200,0)),"")</f>
        <v>0</v>
      </c>
      <c r="O69" s="21" t="str">
        <f t="shared" si="65"/>
        <v/>
      </c>
      <c r="P69" s="21" t="str">
        <f t="shared" si="47"/>
        <v/>
      </c>
      <c r="Q69" s="21">
        <f t="shared" si="66"/>
        <v>0</v>
      </c>
      <c r="R69" s="9">
        <f t="shared" si="84"/>
        <v>0</v>
      </c>
      <c r="S69" s="9">
        <f t="shared" si="85"/>
        <v>0</v>
      </c>
      <c r="T69" s="22" t="str">
        <f>IFERROR(INDEX(Target!$S$11:$S$167,MATCH('Calculations - Target'!$D69,Target!$N$11:$N$167,0)),"")</f>
        <v/>
      </c>
      <c r="U69" s="22" t="str">
        <f>IFERROR(INDEX(Target!$T$11:$T$167,MATCH('Calculations - Target'!$D69,Target!$N$11:$N$167,0)),"")</f>
        <v/>
      </c>
      <c r="V69" s="16" t="e">
        <f t="shared" si="50"/>
        <v>#VALUE!</v>
      </c>
      <c r="W69" s="16" t="e">
        <f t="shared" si="67"/>
        <v>#VALUE!</v>
      </c>
      <c r="X69" s="16" t="e">
        <f t="shared" si="68"/>
        <v>#VALUE!</v>
      </c>
      <c r="Y69" s="10" t="str">
        <f t="shared" si="51"/>
        <v>-</v>
      </c>
      <c r="Z69" s="10" t="str">
        <f t="shared" si="52"/>
        <v>-</v>
      </c>
      <c r="AA69" s="13" t="str">
        <f t="shared" si="69"/>
        <v>-</v>
      </c>
      <c r="AB69" s="9" t="str">
        <f t="shared" si="53"/>
        <v>-</v>
      </c>
      <c r="AC69" s="16" t="str">
        <f t="shared" si="70"/>
        <v>-</v>
      </c>
      <c r="AD69" s="16" t="str">
        <f t="shared" si="54"/>
        <v>-</v>
      </c>
      <c r="AE69" s="16" t="str">
        <f t="shared" si="55"/>
        <v>-</v>
      </c>
      <c r="AF69" s="16" t="str">
        <f t="shared" si="71"/>
        <v>-</v>
      </c>
      <c r="AG69" s="16"/>
      <c r="AH69" s="32" t="str">
        <f>IFERROR(INDEX(Target!$R$11:$R$167,MATCH('Calculations - Target'!D69,Target!$N$11:$N$167,0)),"")</f>
        <v/>
      </c>
      <c r="AI69" s="23" t="str">
        <f t="shared" si="72"/>
        <v/>
      </c>
      <c r="AJ69" s="23" t="str">
        <f t="shared" si="73"/>
        <v/>
      </c>
      <c r="AK69" s="9" t="str">
        <f t="shared" si="56"/>
        <v/>
      </c>
      <c r="AL69" s="4" t="str">
        <f t="shared" si="57"/>
        <v/>
      </c>
      <c r="AM69" s="4"/>
      <c r="AN69" s="4"/>
      <c r="AO69" s="4"/>
      <c r="AP69" s="4"/>
      <c r="AQ69" s="4"/>
      <c r="AR69" s="20" t="str">
        <f t="shared" si="58"/>
        <v>-</v>
      </c>
      <c r="AS69" s="13" t="str">
        <f t="shared" si="74"/>
        <v>-</v>
      </c>
      <c r="AT69" s="13" t="str">
        <f t="shared" si="75"/>
        <v>-</v>
      </c>
      <c r="AU69" s="13" t="str">
        <f t="shared" si="59"/>
        <v>-</v>
      </c>
      <c r="AV69" s="16" t="str">
        <f t="shared" si="76"/>
        <v>-</v>
      </c>
      <c r="AW69" s="16" t="str">
        <f t="shared" si="60"/>
        <v>-</v>
      </c>
      <c r="AX69" s="16" t="str">
        <f t="shared" si="61"/>
        <v>-</v>
      </c>
      <c r="AY69" s="16" t="str">
        <f t="shared" si="77"/>
        <v>-</v>
      </c>
      <c r="AZ69" s="13" t="str">
        <f t="shared" si="78"/>
        <v>-</v>
      </c>
      <c r="BA69" s="10" t="str">
        <f t="shared" si="79"/>
        <v>-</v>
      </c>
      <c r="BB69" s="9" t="str">
        <f t="shared" si="80"/>
        <v>-</v>
      </c>
      <c r="BC69" s="13" t="str">
        <f t="shared" si="81"/>
        <v>-</v>
      </c>
      <c r="BD69" s="10" t="str">
        <f t="shared" si="82"/>
        <v>-</v>
      </c>
      <c r="BE69" s="13" t="str">
        <f t="shared" si="83"/>
        <v>-</v>
      </c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</row>
    <row r="70" spans="2:70" x14ac:dyDescent="0.3">
      <c r="B70" s="96" t="str">
        <f t="shared" si="62"/>
        <v/>
      </c>
      <c r="C70" s="96" t="str">
        <f t="shared" si="63"/>
        <v/>
      </c>
      <c r="D70" s="96" t="str">
        <f t="shared" si="64"/>
        <v/>
      </c>
      <c r="E70" s="3"/>
      <c r="F70" s="3"/>
      <c r="G70" s="3"/>
      <c r="H70" s="3"/>
      <c r="I70" s="20">
        <f>IFERROR(INDEX('Input - Target'!G$2:G$200,MATCH('Calculations - Target'!$D70,'Input - Target'!$B$2:$B$200,0)),"")</f>
        <v>0</v>
      </c>
      <c r="J70" s="20">
        <f>IFERROR(INDEX('Input - Target'!H$2:H$200,MATCH('Calculations - Target'!$D70,'Input - Target'!$B$2:$B$200,0)),"")</f>
        <v>0</v>
      </c>
      <c r="K70" s="21">
        <f>IFERROR(INDEX('Input - Target'!I$2:I$200,MATCH('Calculations - Target'!$D70,'Input - Target'!$B$2:$B$200,0)),"")</f>
        <v>0</v>
      </c>
      <c r="L70" s="21">
        <f>IFERROR(INDEX('Input - Target'!J$2:J$200,MATCH('Calculations - Target'!$D70,'Input - Target'!$B$2:$B$200,0)),"")</f>
        <v>0</v>
      </c>
      <c r="M70" s="20">
        <f>IFERROR(INDEX('Input - Target'!K$2:K$200,MATCH('Calculations - Target'!$D70,'Input - Target'!$B$2:$B$200,0)),"")</f>
        <v>0</v>
      </c>
      <c r="N70" s="20">
        <f>IFERROR(INDEX('Input - Target'!L$2:L$200,MATCH('Calculations - Target'!$D70,'Input - Target'!$B$2:$B$200,0)),"")</f>
        <v>0</v>
      </c>
      <c r="O70" s="21" t="str">
        <f t="shared" si="65"/>
        <v/>
      </c>
      <c r="P70" s="21" t="str">
        <f t="shared" si="47"/>
        <v/>
      </c>
      <c r="Q70" s="21">
        <f t="shared" si="66"/>
        <v>0</v>
      </c>
      <c r="R70" s="9">
        <f t="shared" si="84"/>
        <v>0</v>
      </c>
      <c r="S70" s="9">
        <f t="shared" si="85"/>
        <v>0</v>
      </c>
      <c r="T70" s="22" t="str">
        <f>IFERROR(INDEX(Target!$S$11:$S$167,MATCH('Calculations - Target'!$D70,Target!$N$11:$N$167,0)),"")</f>
        <v/>
      </c>
      <c r="U70" s="22" t="str">
        <f>IFERROR(INDEX(Target!$T$11:$T$167,MATCH('Calculations - Target'!$D70,Target!$N$11:$N$167,0)),"")</f>
        <v/>
      </c>
      <c r="V70" s="16" t="e">
        <f t="shared" si="50"/>
        <v>#VALUE!</v>
      </c>
      <c r="W70" s="16" t="e">
        <f t="shared" si="67"/>
        <v>#VALUE!</v>
      </c>
      <c r="X70" s="16" t="e">
        <f t="shared" si="68"/>
        <v>#VALUE!</v>
      </c>
      <c r="Y70" s="10" t="str">
        <f t="shared" si="51"/>
        <v>-</v>
      </c>
      <c r="Z70" s="10" t="str">
        <f t="shared" si="52"/>
        <v>-</v>
      </c>
      <c r="AA70" s="13" t="str">
        <f t="shared" si="69"/>
        <v>-</v>
      </c>
      <c r="AB70" s="9" t="str">
        <f t="shared" si="53"/>
        <v>-</v>
      </c>
      <c r="AC70" s="16" t="str">
        <f t="shared" si="70"/>
        <v>-</v>
      </c>
      <c r="AD70" s="16" t="str">
        <f t="shared" si="54"/>
        <v>-</v>
      </c>
      <c r="AE70" s="16" t="str">
        <f t="shared" si="55"/>
        <v>-</v>
      </c>
      <c r="AF70" s="16" t="str">
        <f t="shared" si="71"/>
        <v>-</v>
      </c>
      <c r="AG70" s="16"/>
      <c r="AH70" s="32" t="str">
        <f>IFERROR(INDEX(Target!$R$11:$R$167,MATCH('Calculations - Target'!D70,Target!$N$11:$N$167,0)),"")</f>
        <v/>
      </c>
      <c r="AI70" s="23" t="str">
        <f t="shared" si="72"/>
        <v/>
      </c>
      <c r="AJ70" s="23" t="str">
        <f t="shared" si="73"/>
        <v/>
      </c>
      <c r="AK70" s="9" t="str">
        <f t="shared" si="56"/>
        <v/>
      </c>
      <c r="AL70" s="4" t="str">
        <f t="shared" si="57"/>
        <v/>
      </c>
      <c r="AM70" s="4"/>
      <c r="AN70" s="4"/>
      <c r="AO70" s="4"/>
      <c r="AP70" s="4"/>
      <c r="AQ70" s="4"/>
      <c r="AR70" s="20" t="str">
        <f t="shared" si="58"/>
        <v>-</v>
      </c>
      <c r="AS70" s="13" t="str">
        <f t="shared" si="74"/>
        <v>-</v>
      </c>
      <c r="AT70" s="13" t="str">
        <f t="shared" si="75"/>
        <v>-</v>
      </c>
      <c r="AU70" s="13" t="str">
        <f t="shared" si="59"/>
        <v>-</v>
      </c>
      <c r="AV70" s="16" t="str">
        <f t="shared" si="76"/>
        <v>-</v>
      </c>
      <c r="AW70" s="16" t="str">
        <f t="shared" si="60"/>
        <v>-</v>
      </c>
      <c r="AX70" s="16" t="str">
        <f t="shared" si="61"/>
        <v>-</v>
      </c>
      <c r="AY70" s="16" t="str">
        <f t="shared" si="77"/>
        <v>-</v>
      </c>
      <c r="AZ70" s="13" t="str">
        <f t="shared" si="78"/>
        <v>-</v>
      </c>
      <c r="BA70" s="10" t="str">
        <f t="shared" si="79"/>
        <v>-</v>
      </c>
      <c r="BB70" s="9" t="str">
        <f t="shared" si="80"/>
        <v>-</v>
      </c>
      <c r="BC70" s="13" t="str">
        <f t="shared" si="81"/>
        <v>-</v>
      </c>
      <c r="BD70" s="10" t="str">
        <f t="shared" si="82"/>
        <v>-</v>
      </c>
      <c r="BE70" s="13" t="str">
        <f t="shared" si="83"/>
        <v>-</v>
      </c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</row>
    <row r="71" spans="2:70" x14ac:dyDescent="0.3">
      <c r="B71" s="96" t="str">
        <f t="shared" si="62"/>
        <v/>
      </c>
      <c r="C71" s="96" t="str">
        <f t="shared" si="63"/>
        <v/>
      </c>
      <c r="D71" s="96" t="str">
        <f t="shared" si="64"/>
        <v/>
      </c>
      <c r="E71" s="3"/>
      <c r="F71" s="3"/>
      <c r="G71" s="3"/>
      <c r="H71" s="3"/>
      <c r="I71" s="20">
        <f>IFERROR(INDEX('Input - Target'!G$2:G$200,MATCH('Calculations - Target'!$D71,'Input - Target'!$B$2:$B$200,0)),"")</f>
        <v>0</v>
      </c>
      <c r="J71" s="20">
        <f>IFERROR(INDEX('Input - Target'!H$2:H$200,MATCH('Calculations - Target'!$D71,'Input - Target'!$B$2:$B$200,0)),"")</f>
        <v>0</v>
      </c>
      <c r="K71" s="21">
        <f>IFERROR(INDEX('Input - Target'!I$2:I$200,MATCH('Calculations - Target'!$D71,'Input - Target'!$B$2:$B$200,0)),"")</f>
        <v>0</v>
      </c>
      <c r="L71" s="21">
        <f>IFERROR(INDEX('Input - Target'!J$2:J$200,MATCH('Calculations - Target'!$D71,'Input - Target'!$B$2:$B$200,0)),"")</f>
        <v>0</v>
      </c>
      <c r="M71" s="20">
        <f>IFERROR(INDEX('Input - Target'!K$2:K$200,MATCH('Calculations - Target'!$D71,'Input - Target'!$B$2:$B$200,0)),"")</f>
        <v>0</v>
      </c>
      <c r="N71" s="20">
        <f>IFERROR(INDEX('Input - Target'!L$2:L$200,MATCH('Calculations - Target'!$D71,'Input - Target'!$B$2:$B$200,0)),"")</f>
        <v>0</v>
      </c>
      <c r="O71" s="21" t="str">
        <f t="shared" si="65"/>
        <v/>
      </c>
      <c r="P71" s="21" t="str">
        <f t="shared" si="47"/>
        <v/>
      </c>
      <c r="Q71" s="21">
        <f t="shared" si="66"/>
        <v>0</v>
      </c>
      <c r="R71" s="9">
        <f t="shared" si="84"/>
        <v>0</v>
      </c>
      <c r="S71" s="9">
        <f t="shared" si="85"/>
        <v>0</v>
      </c>
      <c r="T71" s="22" t="str">
        <f>IFERROR(INDEX(Target!$S$11:$S$167,MATCH('Calculations - Target'!$D71,Target!$N$11:$N$167,0)),"")</f>
        <v/>
      </c>
      <c r="U71" s="22" t="str">
        <f>IFERROR(INDEX(Target!$T$11:$T$167,MATCH('Calculations - Target'!$D71,Target!$N$11:$N$167,0)),"")</f>
        <v/>
      </c>
      <c r="V71" s="16" t="e">
        <f t="shared" si="50"/>
        <v>#VALUE!</v>
      </c>
      <c r="W71" s="16" t="e">
        <f t="shared" si="67"/>
        <v>#VALUE!</v>
      </c>
      <c r="X71" s="16" t="e">
        <f t="shared" si="68"/>
        <v>#VALUE!</v>
      </c>
      <c r="Y71" s="10" t="str">
        <f t="shared" si="51"/>
        <v>-</v>
      </c>
      <c r="Z71" s="10" t="str">
        <f t="shared" si="52"/>
        <v>-</v>
      </c>
      <c r="AA71" s="13" t="str">
        <f t="shared" si="69"/>
        <v>-</v>
      </c>
      <c r="AB71" s="9" t="str">
        <f t="shared" si="53"/>
        <v>-</v>
      </c>
      <c r="AC71" s="16" t="str">
        <f t="shared" si="70"/>
        <v>-</v>
      </c>
      <c r="AD71" s="16" t="str">
        <f t="shared" si="54"/>
        <v>-</v>
      </c>
      <c r="AE71" s="16" t="str">
        <f t="shared" si="55"/>
        <v>-</v>
      </c>
      <c r="AF71" s="16" t="str">
        <f t="shared" si="71"/>
        <v>-</v>
      </c>
      <c r="AG71" s="16"/>
      <c r="AH71" s="32" t="str">
        <f>IFERROR(INDEX(Target!$R$11:$R$167,MATCH('Calculations - Target'!D71,Target!$N$11:$N$167,0)),"")</f>
        <v/>
      </c>
      <c r="AI71" s="23" t="str">
        <f t="shared" si="72"/>
        <v/>
      </c>
      <c r="AJ71" s="23" t="str">
        <f t="shared" si="73"/>
        <v/>
      </c>
      <c r="AK71" s="9" t="str">
        <f t="shared" si="56"/>
        <v/>
      </c>
      <c r="AL71" s="4" t="str">
        <f t="shared" si="57"/>
        <v/>
      </c>
      <c r="AM71" s="4"/>
      <c r="AN71" s="4"/>
      <c r="AO71" s="4"/>
      <c r="AP71" s="4"/>
      <c r="AQ71" s="4"/>
      <c r="AR71" s="20" t="str">
        <f t="shared" si="58"/>
        <v>-</v>
      </c>
      <c r="AS71" s="13" t="str">
        <f t="shared" si="74"/>
        <v>-</v>
      </c>
      <c r="AT71" s="13" t="str">
        <f t="shared" si="75"/>
        <v>-</v>
      </c>
      <c r="AU71" s="13" t="str">
        <f t="shared" si="59"/>
        <v>-</v>
      </c>
      <c r="AV71" s="16" t="str">
        <f t="shared" si="76"/>
        <v>-</v>
      </c>
      <c r="AW71" s="16" t="str">
        <f t="shared" si="60"/>
        <v>-</v>
      </c>
      <c r="AX71" s="16" t="str">
        <f t="shared" si="61"/>
        <v>-</v>
      </c>
      <c r="AY71" s="16" t="str">
        <f t="shared" si="77"/>
        <v>-</v>
      </c>
      <c r="AZ71" s="13" t="str">
        <f t="shared" si="78"/>
        <v>-</v>
      </c>
      <c r="BA71" s="10" t="str">
        <f t="shared" si="79"/>
        <v>-</v>
      </c>
      <c r="BB71" s="9" t="str">
        <f t="shared" si="80"/>
        <v>-</v>
      </c>
      <c r="BC71" s="13" t="str">
        <f t="shared" si="81"/>
        <v>-</v>
      </c>
      <c r="BD71" s="10" t="str">
        <f t="shared" si="82"/>
        <v>-</v>
      </c>
      <c r="BE71" s="13" t="str">
        <f t="shared" si="83"/>
        <v>-</v>
      </c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</row>
    <row r="72" spans="2:70" x14ac:dyDescent="0.3">
      <c r="B72" s="96" t="str">
        <f t="shared" si="62"/>
        <v/>
      </c>
      <c r="C72" s="96" t="str">
        <f t="shared" si="63"/>
        <v/>
      </c>
      <c r="D72" s="96" t="str">
        <f t="shared" si="64"/>
        <v/>
      </c>
      <c r="E72" s="3"/>
      <c r="F72" s="3"/>
      <c r="G72" s="3"/>
      <c r="H72" s="3"/>
      <c r="I72" s="20">
        <f>IFERROR(INDEX('Input - Target'!G$2:G$200,MATCH('Calculations - Target'!$D72,'Input - Target'!$B$2:$B$200,0)),"")</f>
        <v>0</v>
      </c>
      <c r="J72" s="20">
        <f>IFERROR(INDEX('Input - Target'!H$2:H$200,MATCH('Calculations - Target'!$D72,'Input - Target'!$B$2:$B$200,0)),"")</f>
        <v>0</v>
      </c>
      <c r="K72" s="21">
        <f>IFERROR(INDEX('Input - Target'!I$2:I$200,MATCH('Calculations - Target'!$D72,'Input - Target'!$B$2:$B$200,0)),"")</f>
        <v>0</v>
      </c>
      <c r="L72" s="21">
        <f>IFERROR(INDEX('Input - Target'!J$2:J$200,MATCH('Calculations - Target'!$D72,'Input - Target'!$B$2:$B$200,0)),"")</f>
        <v>0</v>
      </c>
      <c r="M72" s="20">
        <f>IFERROR(INDEX('Input - Target'!K$2:K$200,MATCH('Calculations - Target'!$D72,'Input - Target'!$B$2:$B$200,0)),"")</f>
        <v>0</v>
      </c>
      <c r="N72" s="20">
        <f>IFERROR(INDEX('Input - Target'!L$2:L$200,MATCH('Calculations - Target'!$D72,'Input - Target'!$B$2:$B$200,0)),"")</f>
        <v>0</v>
      </c>
      <c r="O72" s="21" t="str">
        <f t="shared" si="65"/>
        <v/>
      </c>
      <c r="P72" s="21" t="str">
        <f t="shared" si="47"/>
        <v/>
      </c>
      <c r="Q72" s="21">
        <f t="shared" si="66"/>
        <v>0</v>
      </c>
      <c r="R72" s="9">
        <f t="shared" si="84"/>
        <v>0</v>
      </c>
      <c r="S72" s="9">
        <f t="shared" si="85"/>
        <v>0</v>
      </c>
      <c r="T72" s="22" t="str">
        <f>IFERROR(INDEX(Target!$S$11:$S$167,MATCH('Calculations - Target'!$D72,Target!$N$11:$N$167,0)),"")</f>
        <v/>
      </c>
      <c r="U72" s="22" t="str">
        <f>IFERROR(INDEX(Target!$T$11:$T$167,MATCH('Calculations - Target'!$D72,Target!$N$11:$N$167,0)),"")</f>
        <v/>
      </c>
      <c r="V72" s="16" t="e">
        <f t="shared" si="50"/>
        <v>#VALUE!</v>
      </c>
      <c r="W72" s="16" t="e">
        <f t="shared" si="67"/>
        <v>#VALUE!</v>
      </c>
      <c r="X72" s="16" t="e">
        <f t="shared" si="68"/>
        <v>#VALUE!</v>
      </c>
      <c r="Y72" s="10" t="str">
        <f t="shared" si="51"/>
        <v>-</v>
      </c>
      <c r="Z72" s="10" t="str">
        <f t="shared" si="52"/>
        <v>-</v>
      </c>
      <c r="AA72" s="13" t="str">
        <f t="shared" si="69"/>
        <v>-</v>
      </c>
      <c r="AB72" s="9" t="str">
        <f t="shared" si="53"/>
        <v>-</v>
      </c>
      <c r="AC72" s="16" t="str">
        <f t="shared" si="70"/>
        <v>-</v>
      </c>
      <c r="AD72" s="16" t="str">
        <f t="shared" si="54"/>
        <v>-</v>
      </c>
      <c r="AE72" s="16" t="str">
        <f t="shared" si="55"/>
        <v>-</v>
      </c>
      <c r="AF72" s="16" t="str">
        <f t="shared" si="71"/>
        <v>-</v>
      </c>
      <c r="AG72" s="16"/>
      <c r="AH72" s="32" t="str">
        <f>IFERROR(INDEX(Target!$R$11:$R$167,MATCH('Calculations - Target'!D72,Target!$N$11:$N$167,0)),"")</f>
        <v/>
      </c>
      <c r="AI72" s="23" t="str">
        <f t="shared" si="72"/>
        <v/>
      </c>
      <c r="AJ72" s="23" t="str">
        <f t="shared" si="73"/>
        <v/>
      </c>
      <c r="AK72" s="9" t="str">
        <f t="shared" si="56"/>
        <v/>
      </c>
      <c r="AL72" s="4" t="str">
        <f t="shared" si="57"/>
        <v/>
      </c>
      <c r="AM72" s="4"/>
      <c r="AN72" s="4"/>
      <c r="AO72" s="4"/>
      <c r="AP72" s="4"/>
      <c r="AQ72" s="4"/>
      <c r="AR72" s="20" t="str">
        <f t="shared" si="58"/>
        <v>-</v>
      </c>
      <c r="AS72" s="13" t="str">
        <f t="shared" si="74"/>
        <v>-</v>
      </c>
      <c r="AT72" s="13" t="str">
        <f t="shared" si="75"/>
        <v>-</v>
      </c>
      <c r="AU72" s="13" t="str">
        <f t="shared" si="59"/>
        <v>-</v>
      </c>
      <c r="AV72" s="16" t="str">
        <f t="shared" si="76"/>
        <v>-</v>
      </c>
      <c r="AW72" s="16" t="str">
        <f t="shared" si="60"/>
        <v>-</v>
      </c>
      <c r="AX72" s="16" t="str">
        <f t="shared" si="61"/>
        <v>-</v>
      </c>
      <c r="AY72" s="16" t="str">
        <f t="shared" si="77"/>
        <v>-</v>
      </c>
      <c r="AZ72" s="13" t="str">
        <f t="shared" si="78"/>
        <v>-</v>
      </c>
      <c r="BA72" s="10" t="str">
        <f t="shared" si="79"/>
        <v>-</v>
      </c>
      <c r="BB72" s="9" t="str">
        <f t="shared" si="80"/>
        <v>-</v>
      </c>
      <c r="BC72" s="13" t="str">
        <f t="shared" si="81"/>
        <v>-</v>
      </c>
      <c r="BD72" s="10" t="str">
        <f t="shared" si="82"/>
        <v>-</v>
      </c>
      <c r="BE72" s="13" t="str">
        <f t="shared" si="83"/>
        <v>-</v>
      </c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</row>
    <row r="73" spans="2:70" x14ac:dyDescent="0.3">
      <c r="B73" s="96" t="str">
        <f t="shared" si="62"/>
        <v/>
      </c>
      <c r="C73" s="96" t="str">
        <f t="shared" si="63"/>
        <v/>
      </c>
      <c r="D73" s="96" t="str">
        <f t="shared" si="64"/>
        <v/>
      </c>
      <c r="E73" s="3"/>
      <c r="F73" s="3"/>
      <c r="G73" s="3"/>
      <c r="H73" s="3"/>
      <c r="I73" s="20">
        <f>IFERROR(INDEX('Input - Target'!G$2:G$200,MATCH('Calculations - Target'!$D73,'Input - Target'!$B$2:$B$200,0)),"")</f>
        <v>0</v>
      </c>
      <c r="J73" s="20">
        <f>IFERROR(INDEX('Input - Target'!H$2:H$200,MATCH('Calculations - Target'!$D73,'Input - Target'!$B$2:$B$200,0)),"")</f>
        <v>0</v>
      </c>
      <c r="K73" s="21">
        <f>IFERROR(INDEX('Input - Target'!I$2:I$200,MATCH('Calculations - Target'!$D73,'Input - Target'!$B$2:$B$200,0)),"")</f>
        <v>0</v>
      </c>
      <c r="L73" s="21">
        <f>IFERROR(INDEX('Input - Target'!J$2:J$200,MATCH('Calculations - Target'!$D73,'Input - Target'!$B$2:$B$200,0)),"")</f>
        <v>0</v>
      </c>
      <c r="M73" s="20">
        <f>IFERROR(INDEX('Input - Target'!K$2:K$200,MATCH('Calculations - Target'!$D73,'Input - Target'!$B$2:$B$200,0)),"")</f>
        <v>0</v>
      </c>
      <c r="N73" s="20">
        <f>IFERROR(INDEX('Input - Target'!L$2:L$200,MATCH('Calculations - Target'!$D73,'Input - Target'!$B$2:$B$200,0)),"")</f>
        <v>0</v>
      </c>
      <c r="O73" s="21" t="str">
        <f t="shared" si="65"/>
        <v/>
      </c>
      <c r="P73" s="21" t="str">
        <f t="shared" si="47"/>
        <v/>
      </c>
      <c r="Q73" s="21">
        <f t="shared" si="66"/>
        <v>0</v>
      </c>
      <c r="R73" s="9">
        <f t="shared" si="84"/>
        <v>0</v>
      </c>
      <c r="S73" s="9">
        <f t="shared" si="85"/>
        <v>0</v>
      </c>
      <c r="T73" s="22" t="str">
        <f>IFERROR(INDEX(Target!$S$11:$S$167,MATCH('Calculations - Target'!$D73,Target!$N$11:$N$167,0)),"")</f>
        <v/>
      </c>
      <c r="U73" s="22" t="str">
        <f>IFERROR(INDEX(Target!$T$11:$T$167,MATCH('Calculations - Target'!$D73,Target!$N$11:$N$167,0)),"")</f>
        <v/>
      </c>
      <c r="V73" s="16" t="e">
        <f t="shared" si="50"/>
        <v>#VALUE!</v>
      </c>
      <c r="W73" s="16" t="e">
        <f t="shared" si="67"/>
        <v>#VALUE!</v>
      </c>
      <c r="X73" s="16" t="e">
        <f t="shared" si="68"/>
        <v>#VALUE!</v>
      </c>
      <c r="Y73" s="10" t="str">
        <f t="shared" si="51"/>
        <v>-</v>
      </c>
      <c r="Z73" s="10" t="str">
        <f t="shared" si="52"/>
        <v>-</v>
      </c>
      <c r="AA73" s="13" t="str">
        <f t="shared" si="69"/>
        <v>-</v>
      </c>
      <c r="AB73" s="9" t="str">
        <f t="shared" si="53"/>
        <v>-</v>
      </c>
      <c r="AC73" s="16" t="str">
        <f t="shared" si="70"/>
        <v>-</v>
      </c>
      <c r="AD73" s="16" t="str">
        <f t="shared" si="54"/>
        <v>-</v>
      </c>
      <c r="AE73" s="16" t="str">
        <f t="shared" si="55"/>
        <v>-</v>
      </c>
      <c r="AF73" s="16" t="str">
        <f t="shared" si="71"/>
        <v>-</v>
      </c>
      <c r="AG73" s="16"/>
      <c r="AH73" s="32" t="str">
        <f>IFERROR(INDEX(Target!$R$11:$R$167,MATCH('Calculations - Target'!D73,Target!$N$11:$N$167,0)),"")</f>
        <v/>
      </c>
      <c r="AI73" s="23" t="str">
        <f t="shared" si="72"/>
        <v/>
      </c>
      <c r="AJ73" s="23" t="str">
        <f t="shared" si="73"/>
        <v/>
      </c>
      <c r="AK73" s="9" t="str">
        <f t="shared" si="56"/>
        <v/>
      </c>
      <c r="AL73" s="4" t="str">
        <f t="shared" si="57"/>
        <v/>
      </c>
      <c r="AM73" s="4"/>
      <c r="AN73" s="4"/>
      <c r="AO73" s="4"/>
      <c r="AP73" s="4"/>
      <c r="AQ73" s="4"/>
      <c r="AR73" s="20" t="str">
        <f t="shared" si="58"/>
        <v>-</v>
      </c>
      <c r="AS73" s="13" t="str">
        <f t="shared" si="74"/>
        <v>-</v>
      </c>
      <c r="AT73" s="13" t="str">
        <f t="shared" si="75"/>
        <v>-</v>
      </c>
      <c r="AU73" s="13" t="str">
        <f t="shared" si="59"/>
        <v>-</v>
      </c>
      <c r="AV73" s="16" t="str">
        <f t="shared" si="76"/>
        <v>-</v>
      </c>
      <c r="AW73" s="16" t="str">
        <f t="shared" si="60"/>
        <v>-</v>
      </c>
      <c r="AX73" s="16" t="str">
        <f t="shared" si="61"/>
        <v>-</v>
      </c>
      <c r="AY73" s="16" t="str">
        <f t="shared" si="77"/>
        <v>-</v>
      </c>
      <c r="AZ73" s="13" t="str">
        <f t="shared" si="78"/>
        <v>-</v>
      </c>
      <c r="BA73" s="10" t="str">
        <f t="shared" si="79"/>
        <v>-</v>
      </c>
      <c r="BB73" s="9" t="str">
        <f t="shared" si="80"/>
        <v>-</v>
      </c>
      <c r="BC73" s="13" t="str">
        <f t="shared" si="81"/>
        <v>-</v>
      </c>
      <c r="BD73" s="10" t="str">
        <f t="shared" si="82"/>
        <v>-</v>
      </c>
      <c r="BE73" s="13" t="str">
        <f t="shared" si="83"/>
        <v>-</v>
      </c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</row>
    <row r="74" spans="2:70" x14ac:dyDescent="0.3">
      <c r="B74" s="96" t="str">
        <f t="shared" si="62"/>
        <v/>
      </c>
      <c r="C74" s="96" t="str">
        <f t="shared" si="63"/>
        <v/>
      </c>
      <c r="D74" s="96" t="str">
        <f t="shared" si="64"/>
        <v/>
      </c>
      <c r="E74" s="3"/>
      <c r="F74" s="3"/>
      <c r="G74" s="3"/>
      <c r="H74" s="3"/>
      <c r="I74" s="20">
        <f>IFERROR(INDEX('Input - Target'!G$2:G$200,MATCH('Calculations - Target'!$D74,'Input - Target'!$B$2:$B$200,0)),"")</f>
        <v>0</v>
      </c>
      <c r="J74" s="20">
        <f>IFERROR(INDEX('Input - Target'!H$2:H$200,MATCH('Calculations - Target'!$D74,'Input - Target'!$B$2:$B$200,0)),"")</f>
        <v>0</v>
      </c>
      <c r="K74" s="21">
        <f>IFERROR(INDEX('Input - Target'!I$2:I$200,MATCH('Calculations - Target'!$D74,'Input - Target'!$B$2:$B$200,0)),"")</f>
        <v>0</v>
      </c>
      <c r="L74" s="21">
        <f>IFERROR(INDEX('Input - Target'!J$2:J$200,MATCH('Calculations - Target'!$D74,'Input - Target'!$B$2:$B$200,0)),"")</f>
        <v>0</v>
      </c>
      <c r="M74" s="20">
        <f>IFERROR(INDEX('Input - Target'!K$2:K$200,MATCH('Calculations - Target'!$D74,'Input - Target'!$B$2:$B$200,0)),"")</f>
        <v>0</v>
      </c>
      <c r="N74" s="20">
        <f>IFERROR(INDEX('Input - Target'!L$2:L$200,MATCH('Calculations - Target'!$D74,'Input - Target'!$B$2:$B$200,0)),"")</f>
        <v>0</v>
      </c>
      <c r="O74" s="21" t="str">
        <f t="shared" si="65"/>
        <v/>
      </c>
      <c r="P74" s="21" t="str">
        <f t="shared" si="47"/>
        <v/>
      </c>
      <c r="Q74" s="21">
        <f t="shared" si="66"/>
        <v>0</v>
      </c>
      <c r="R74" s="9">
        <f t="shared" si="84"/>
        <v>0</v>
      </c>
      <c r="S74" s="9">
        <f t="shared" si="85"/>
        <v>0</v>
      </c>
      <c r="T74" s="22" t="str">
        <f>IFERROR(INDEX(Target!$S$11:$S$167,MATCH('Calculations - Target'!$D74,Target!$N$11:$N$167,0)),"")</f>
        <v/>
      </c>
      <c r="U74" s="22" t="str">
        <f>IFERROR(INDEX(Target!$T$11:$T$167,MATCH('Calculations - Target'!$D74,Target!$N$11:$N$167,0)),"")</f>
        <v/>
      </c>
      <c r="V74" s="16" t="e">
        <f t="shared" si="50"/>
        <v>#VALUE!</v>
      </c>
      <c r="W74" s="16" t="e">
        <f t="shared" si="67"/>
        <v>#VALUE!</v>
      </c>
      <c r="X74" s="16" t="e">
        <f t="shared" si="68"/>
        <v>#VALUE!</v>
      </c>
      <c r="Y74" s="10" t="str">
        <f t="shared" si="51"/>
        <v>-</v>
      </c>
      <c r="Z74" s="10" t="str">
        <f t="shared" si="52"/>
        <v>-</v>
      </c>
      <c r="AA74" s="13" t="str">
        <f t="shared" si="69"/>
        <v>-</v>
      </c>
      <c r="AB74" s="9" t="str">
        <f t="shared" si="53"/>
        <v>-</v>
      </c>
      <c r="AC74" s="16" t="str">
        <f t="shared" si="70"/>
        <v>-</v>
      </c>
      <c r="AD74" s="16" t="str">
        <f t="shared" si="54"/>
        <v>-</v>
      </c>
      <c r="AE74" s="16" t="str">
        <f t="shared" si="55"/>
        <v>-</v>
      </c>
      <c r="AF74" s="16" t="str">
        <f t="shared" si="71"/>
        <v>-</v>
      </c>
      <c r="AG74" s="16"/>
      <c r="AH74" s="32" t="str">
        <f>IFERROR(INDEX(Target!$R$11:$R$167,MATCH('Calculations - Target'!D74,Target!$N$11:$N$167,0)),"")</f>
        <v/>
      </c>
      <c r="AI74" s="23" t="str">
        <f t="shared" si="72"/>
        <v/>
      </c>
      <c r="AJ74" s="23" t="str">
        <f t="shared" si="73"/>
        <v/>
      </c>
      <c r="AK74" s="9" t="str">
        <f t="shared" si="56"/>
        <v/>
      </c>
      <c r="AL74" s="4" t="str">
        <f t="shared" si="57"/>
        <v/>
      </c>
      <c r="AM74" s="4"/>
      <c r="AN74" s="4"/>
      <c r="AO74" s="4"/>
      <c r="AP74" s="4"/>
      <c r="AQ74" s="4"/>
      <c r="AR74" s="20" t="str">
        <f t="shared" si="58"/>
        <v>-</v>
      </c>
      <c r="AS74" s="13" t="str">
        <f t="shared" si="74"/>
        <v>-</v>
      </c>
      <c r="AT74" s="13" t="str">
        <f t="shared" si="75"/>
        <v>-</v>
      </c>
      <c r="AU74" s="13" t="str">
        <f t="shared" si="59"/>
        <v>-</v>
      </c>
      <c r="AV74" s="16" t="str">
        <f t="shared" si="76"/>
        <v>-</v>
      </c>
      <c r="AW74" s="16" t="str">
        <f t="shared" si="60"/>
        <v>-</v>
      </c>
      <c r="AX74" s="16" t="str">
        <f t="shared" si="61"/>
        <v>-</v>
      </c>
      <c r="AY74" s="16" t="str">
        <f t="shared" si="77"/>
        <v>-</v>
      </c>
      <c r="AZ74" s="13" t="str">
        <f t="shared" si="78"/>
        <v>-</v>
      </c>
      <c r="BA74" s="10" t="str">
        <f t="shared" si="79"/>
        <v>-</v>
      </c>
      <c r="BB74" s="9" t="str">
        <f t="shared" si="80"/>
        <v>-</v>
      </c>
      <c r="BC74" s="13" t="str">
        <f t="shared" si="81"/>
        <v>-</v>
      </c>
      <c r="BD74" s="10" t="str">
        <f t="shared" si="82"/>
        <v>-</v>
      </c>
      <c r="BE74" s="13" t="str">
        <f t="shared" si="83"/>
        <v>-</v>
      </c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</row>
    <row r="75" spans="2:70" x14ac:dyDescent="0.3">
      <c r="B75" s="96" t="str">
        <f t="shared" si="62"/>
        <v/>
      </c>
      <c r="C75" s="96" t="str">
        <f t="shared" si="63"/>
        <v/>
      </c>
      <c r="D75" s="96" t="str">
        <f t="shared" si="64"/>
        <v/>
      </c>
      <c r="E75" s="3"/>
      <c r="F75" s="3"/>
      <c r="G75" s="3"/>
      <c r="H75" s="3"/>
      <c r="I75" s="20">
        <f>IFERROR(INDEX('Input - Target'!G$2:G$200,MATCH('Calculations - Target'!$D75,'Input - Target'!$B$2:$B$200,0)),"")</f>
        <v>0</v>
      </c>
      <c r="J75" s="20">
        <f>IFERROR(INDEX('Input - Target'!H$2:H$200,MATCH('Calculations - Target'!$D75,'Input - Target'!$B$2:$B$200,0)),"")</f>
        <v>0</v>
      </c>
      <c r="K75" s="21">
        <f>IFERROR(INDEX('Input - Target'!I$2:I$200,MATCH('Calculations - Target'!$D75,'Input - Target'!$B$2:$B$200,0)),"")</f>
        <v>0</v>
      </c>
      <c r="L75" s="21">
        <f>IFERROR(INDEX('Input - Target'!J$2:J$200,MATCH('Calculations - Target'!$D75,'Input - Target'!$B$2:$B$200,0)),"")</f>
        <v>0</v>
      </c>
      <c r="M75" s="20">
        <f>IFERROR(INDEX('Input - Target'!K$2:K$200,MATCH('Calculations - Target'!$D75,'Input - Target'!$B$2:$B$200,0)),"")</f>
        <v>0</v>
      </c>
      <c r="N75" s="20">
        <f>IFERROR(INDEX('Input - Target'!L$2:L$200,MATCH('Calculations - Target'!$D75,'Input - Target'!$B$2:$B$200,0)),"")</f>
        <v>0</v>
      </c>
      <c r="O75" s="21" t="str">
        <f t="shared" si="65"/>
        <v/>
      </c>
      <c r="P75" s="21" t="str">
        <f t="shared" si="47"/>
        <v/>
      </c>
      <c r="Q75" s="21">
        <f t="shared" si="66"/>
        <v>0</v>
      </c>
      <c r="R75" s="9">
        <f t="shared" si="84"/>
        <v>0</v>
      </c>
      <c r="S75" s="9">
        <f t="shared" si="85"/>
        <v>0</v>
      </c>
      <c r="T75" s="22" t="str">
        <f>IFERROR(INDEX(Target!$S$11:$S$167,MATCH('Calculations - Target'!$D75,Target!$N$11:$N$167,0)),"")</f>
        <v/>
      </c>
      <c r="U75" s="22" t="str">
        <f>IFERROR(INDEX(Target!$T$11:$T$167,MATCH('Calculations - Target'!$D75,Target!$N$11:$N$167,0)),"")</f>
        <v/>
      </c>
      <c r="V75" s="16" t="e">
        <f t="shared" si="50"/>
        <v>#VALUE!</v>
      </c>
      <c r="W75" s="16" t="e">
        <f t="shared" si="67"/>
        <v>#VALUE!</v>
      </c>
      <c r="X75" s="16" t="e">
        <f t="shared" si="68"/>
        <v>#VALUE!</v>
      </c>
      <c r="Y75" s="10" t="str">
        <f t="shared" si="51"/>
        <v>-</v>
      </c>
      <c r="Z75" s="10" t="str">
        <f t="shared" si="52"/>
        <v>-</v>
      </c>
      <c r="AA75" s="13" t="str">
        <f t="shared" si="69"/>
        <v>-</v>
      </c>
      <c r="AB75" s="9" t="str">
        <f t="shared" si="53"/>
        <v>-</v>
      </c>
      <c r="AC75" s="16" t="str">
        <f t="shared" si="70"/>
        <v>-</v>
      </c>
      <c r="AD75" s="16" t="str">
        <f t="shared" si="54"/>
        <v>-</v>
      </c>
      <c r="AE75" s="16" t="str">
        <f t="shared" si="55"/>
        <v>-</v>
      </c>
      <c r="AF75" s="16" t="str">
        <f t="shared" si="71"/>
        <v>-</v>
      </c>
      <c r="AG75" s="16"/>
      <c r="AH75" s="32" t="str">
        <f>IFERROR(INDEX(Target!$R$11:$R$167,MATCH('Calculations - Target'!D75,Target!$N$11:$N$167,0)),"")</f>
        <v/>
      </c>
      <c r="AI75" s="23" t="str">
        <f t="shared" si="72"/>
        <v/>
      </c>
      <c r="AJ75" s="23" t="str">
        <f t="shared" si="73"/>
        <v/>
      </c>
      <c r="AK75" s="9" t="str">
        <f t="shared" si="56"/>
        <v/>
      </c>
      <c r="AL75" s="4" t="str">
        <f t="shared" si="57"/>
        <v/>
      </c>
      <c r="AM75" s="4"/>
      <c r="AN75" s="4"/>
      <c r="AO75" s="4"/>
      <c r="AP75" s="4"/>
      <c r="AQ75" s="4"/>
      <c r="AR75" s="20" t="str">
        <f t="shared" si="58"/>
        <v>-</v>
      </c>
      <c r="AS75" s="13" t="str">
        <f t="shared" si="74"/>
        <v>-</v>
      </c>
      <c r="AT75" s="13" t="str">
        <f t="shared" si="75"/>
        <v>-</v>
      </c>
      <c r="AU75" s="13" t="str">
        <f t="shared" si="59"/>
        <v>-</v>
      </c>
      <c r="AV75" s="16" t="str">
        <f t="shared" si="76"/>
        <v>-</v>
      </c>
      <c r="AW75" s="16" t="str">
        <f t="shared" si="60"/>
        <v>-</v>
      </c>
      <c r="AX75" s="16" t="str">
        <f t="shared" si="61"/>
        <v>-</v>
      </c>
      <c r="AY75" s="16" t="str">
        <f t="shared" si="77"/>
        <v>-</v>
      </c>
      <c r="AZ75" s="13" t="str">
        <f t="shared" si="78"/>
        <v>-</v>
      </c>
      <c r="BA75" s="10" t="str">
        <f t="shared" si="79"/>
        <v>-</v>
      </c>
      <c r="BB75" s="9" t="str">
        <f t="shared" si="80"/>
        <v>-</v>
      </c>
      <c r="BC75" s="13" t="str">
        <f t="shared" si="81"/>
        <v>-</v>
      </c>
      <c r="BD75" s="10" t="str">
        <f t="shared" si="82"/>
        <v>-</v>
      </c>
      <c r="BE75" s="13" t="str">
        <f t="shared" si="83"/>
        <v>-</v>
      </c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</row>
    <row r="76" spans="2:70" x14ac:dyDescent="0.3">
      <c r="B76" s="96" t="str">
        <f t="shared" si="62"/>
        <v/>
      </c>
      <c r="C76" s="96" t="str">
        <f t="shared" si="63"/>
        <v/>
      </c>
      <c r="D76" s="96" t="str">
        <f t="shared" si="64"/>
        <v/>
      </c>
      <c r="E76" s="3"/>
      <c r="F76" s="3"/>
      <c r="G76" s="3"/>
      <c r="H76" s="3"/>
      <c r="I76" s="20">
        <f>IFERROR(INDEX('Input - Target'!G$2:G$200,MATCH('Calculations - Target'!$D76,'Input - Target'!$B$2:$B$200,0)),"")</f>
        <v>0</v>
      </c>
      <c r="J76" s="20">
        <f>IFERROR(INDEX('Input - Target'!H$2:H$200,MATCH('Calculations - Target'!$D76,'Input - Target'!$B$2:$B$200,0)),"")</f>
        <v>0</v>
      </c>
      <c r="K76" s="21">
        <f>IFERROR(INDEX('Input - Target'!I$2:I$200,MATCH('Calculations - Target'!$D76,'Input - Target'!$B$2:$B$200,0)),"")</f>
        <v>0</v>
      </c>
      <c r="L76" s="21">
        <f>IFERROR(INDEX('Input - Target'!J$2:J$200,MATCH('Calculations - Target'!$D76,'Input - Target'!$B$2:$B$200,0)),"")</f>
        <v>0</v>
      </c>
      <c r="M76" s="20">
        <f>IFERROR(INDEX('Input - Target'!K$2:K$200,MATCH('Calculations - Target'!$D76,'Input - Target'!$B$2:$B$200,0)),"")</f>
        <v>0</v>
      </c>
      <c r="N76" s="20">
        <f>IFERROR(INDEX('Input - Target'!L$2:L$200,MATCH('Calculations - Target'!$D76,'Input - Target'!$B$2:$B$200,0)),"")</f>
        <v>0</v>
      </c>
      <c r="O76" s="21" t="str">
        <f t="shared" si="65"/>
        <v/>
      </c>
      <c r="P76" s="21" t="str">
        <f t="shared" si="47"/>
        <v/>
      </c>
      <c r="Q76" s="21">
        <f t="shared" si="66"/>
        <v>0</v>
      </c>
      <c r="R76" s="9">
        <f t="shared" si="84"/>
        <v>0</v>
      </c>
      <c r="S76" s="9">
        <f t="shared" si="85"/>
        <v>0</v>
      </c>
      <c r="T76" s="22" t="str">
        <f>IFERROR(INDEX(Target!$S$11:$S$167,MATCH('Calculations - Target'!$D76,Target!$N$11:$N$167,0)),"")</f>
        <v/>
      </c>
      <c r="U76" s="22" t="str">
        <f>IFERROR(INDEX(Target!$T$11:$T$167,MATCH('Calculations - Target'!$D76,Target!$N$11:$N$167,0)),"")</f>
        <v/>
      </c>
      <c r="V76" s="16" t="e">
        <f t="shared" si="50"/>
        <v>#VALUE!</v>
      </c>
      <c r="W76" s="16" t="e">
        <f t="shared" si="67"/>
        <v>#VALUE!</v>
      </c>
      <c r="X76" s="16" t="e">
        <f t="shared" si="68"/>
        <v>#VALUE!</v>
      </c>
      <c r="Y76" s="10" t="str">
        <f t="shared" si="51"/>
        <v>-</v>
      </c>
      <c r="Z76" s="10" t="str">
        <f t="shared" si="52"/>
        <v>-</v>
      </c>
      <c r="AA76" s="13" t="str">
        <f t="shared" si="69"/>
        <v>-</v>
      </c>
      <c r="AB76" s="9" t="str">
        <f t="shared" si="53"/>
        <v>-</v>
      </c>
      <c r="AC76" s="16" t="str">
        <f t="shared" si="70"/>
        <v>-</v>
      </c>
      <c r="AD76" s="16" t="str">
        <f t="shared" si="54"/>
        <v>-</v>
      </c>
      <c r="AE76" s="16" t="str">
        <f t="shared" si="55"/>
        <v>-</v>
      </c>
      <c r="AF76" s="16" t="str">
        <f t="shared" si="71"/>
        <v>-</v>
      </c>
      <c r="AG76" s="16"/>
      <c r="AH76" s="32" t="str">
        <f>IFERROR(INDEX(Target!$R$11:$R$167,MATCH('Calculations - Target'!D76,Target!$N$11:$N$167,0)),"")</f>
        <v/>
      </c>
      <c r="AI76" s="23" t="str">
        <f t="shared" si="72"/>
        <v/>
      </c>
      <c r="AJ76" s="23" t="str">
        <f t="shared" si="73"/>
        <v/>
      </c>
      <c r="AK76" s="9" t="str">
        <f t="shared" si="56"/>
        <v/>
      </c>
      <c r="AL76" s="4" t="str">
        <f t="shared" si="57"/>
        <v/>
      </c>
      <c r="AM76" s="4"/>
      <c r="AN76" s="4"/>
      <c r="AO76" s="4"/>
      <c r="AP76" s="4"/>
      <c r="AQ76" s="4"/>
      <c r="AR76" s="20" t="str">
        <f t="shared" si="58"/>
        <v>-</v>
      </c>
      <c r="AS76" s="13" t="str">
        <f t="shared" si="74"/>
        <v>-</v>
      </c>
      <c r="AT76" s="13" t="str">
        <f t="shared" si="75"/>
        <v>-</v>
      </c>
      <c r="AU76" s="13" t="str">
        <f t="shared" si="59"/>
        <v>-</v>
      </c>
      <c r="AV76" s="16" t="str">
        <f t="shared" si="76"/>
        <v>-</v>
      </c>
      <c r="AW76" s="16" t="str">
        <f t="shared" si="60"/>
        <v>-</v>
      </c>
      <c r="AX76" s="16" t="str">
        <f t="shared" si="61"/>
        <v>-</v>
      </c>
      <c r="AY76" s="16" t="str">
        <f t="shared" si="77"/>
        <v>-</v>
      </c>
      <c r="AZ76" s="13" t="str">
        <f t="shared" si="78"/>
        <v>-</v>
      </c>
      <c r="BA76" s="10" t="str">
        <f t="shared" si="79"/>
        <v>-</v>
      </c>
      <c r="BB76" s="9" t="str">
        <f t="shared" si="80"/>
        <v>-</v>
      </c>
      <c r="BC76" s="13" t="str">
        <f t="shared" si="81"/>
        <v>-</v>
      </c>
      <c r="BD76" s="10" t="str">
        <f t="shared" si="82"/>
        <v>-</v>
      </c>
      <c r="BE76" s="13" t="str">
        <f t="shared" si="83"/>
        <v>-</v>
      </c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</row>
    <row r="77" spans="2:70" x14ac:dyDescent="0.3">
      <c r="B77" s="96" t="str">
        <f t="shared" si="62"/>
        <v/>
      </c>
      <c r="C77" s="96" t="str">
        <f t="shared" si="63"/>
        <v/>
      </c>
      <c r="D77" s="96" t="str">
        <f t="shared" si="64"/>
        <v/>
      </c>
      <c r="E77" s="3"/>
      <c r="F77" s="3"/>
      <c r="G77" s="3"/>
      <c r="H77" s="3"/>
      <c r="I77" s="20">
        <f>IFERROR(INDEX('Input - Target'!G$2:G$200,MATCH('Calculations - Target'!$D77,'Input - Target'!$B$2:$B$200,0)),"")</f>
        <v>0</v>
      </c>
      <c r="J77" s="20">
        <f>IFERROR(INDEX('Input - Target'!H$2:H$200,MATCH('Calculations - Target'!$D77,'Input - Target'!$B$2:$B$200,0)),"")</f>
        <v>0</v>
      </c>
      <c r="K77" s="21">
        <f>IFERROR(INDEX('Input - Target'!I$2:I$200,MATCH('Calculations - Target'!$D77,'Input - Target'!$B$2:$B$200,0)),"")</f>
        <v>0</v>
      </c>
      <c r="L77" s="21">
        <f>IFERROR(INDEX('Input - Target'!J$2:J$200,MATCH('Calculations - Target'!$D77,'Input - Target'!$B$2:$B$200,0)),"")</f>
        <v>0</v>
      </c>
      <c r="M77" s="20">
        <f>IFERROR(INDEX('Input - Target'!K$2:K$200,MATCH('Calculations - Target'!$D77,'Input - Target'!$B$2:$B$200,0)),"")</f>
        <v>0</v>
      </c>
      <c r="N77" s="20">
        <f>IFERROR(INDEX('Input - Target'!L$2:L$200,MATCH('Calculations - Target'!$D77,'Input - Target'!$B$2:$B$200,0)),"")</f>
        <v>0</v>
      </c>
      <c r="O77" s="21" t="str">
        <f t="shared" si="65"/>
        <v/>
      </c>
      <c r="P77" s="21" t="str">
        <f t="shared" si="47"/>
        <v/>
      </c>
      <c r="Q77" s="21">
        <f t="shared" si="66"/>
        <v>0</v>
      </c>
      <c r="R77" s="9">
        <f t="shared" si="84"/>
        <v>0</v>
      </c>
      <c r="S77" s="9">
        <f t="shared" si="85"/>
        <v>0</v>
      </c>
      <c r="T77" s="22" t="str">
        <f>IFERROR(INDEX(Target!$S$11:$S$167,MATCH('Calculations - Target'!$D77,Target!$N$11:$N$167,0)),"")</f>
        <v/>
      </c>
      <c r="U77" s="22" t="str">
        <f>IFERROR(INDEX(Target!$T$11:$T$167,MATCH('Calculations - Target'!$D77,Target!$N$11:$N$167,0)),"")</f>
        <v/>
      </c>
      <c r="V77" s="16" t="e">
        <f t="shared" si="50"/>
        <v>#VALUE!</v>
      </c>
      <c r="W77" s="16" t="e">
        <f t="shared" si="67"/>
        <v>#VALUE!</v>
      </c>
      <c r="X77" s="16" t="e">
        <f t="shared" si="68"/>
        <v>#VALUE!</v>
      </c>
      <c r="Y77" s="10" t="str">
        <f t="shared" si="51"/>
        <v>-</v>
      </c>
      <c r="Z77" s="10" t="str">
        <f t="shared" si="52"/>
        <v>-</v>
      </c>
      <c r="AA77" s="13" t="str">
        <f t="shared" si="69"/>
        <v>-</v>
      </c>
      <c r="AB77" s="9" t="str">
        <f t="shared" si="53"/>
        <v>-</v>
      </c>
      <c r="AC77" s="16" t="str">
        <f t="shared" si="70"/>
        <v>-</v>
      </c>
      <c r="AD77" s="16" t="str">
        <f t="shared" si="54"/>
        <v>-</v>
      </c>
      <c r="AE77" s="16" t="str">
        <f t="shared" si="55"/>
        <v>-</v>
      </c>
      <c r="AF77" s="16" t="str">
        <f t="shared" si="71"/>
        <v>-</v>
      </c>
      <c r="AG77" s="16"/>
      <c r="AH77" s="32" t="str">
        <f>IFERROR(INDEX(Target!$R$11:$R$167,MATCH('Calculations - Target'!D77,Target!$N$11:$N$167,0)),"")</f>
        <v/>
      </c>
      <c r="AI77" s="23" t="str">
        <f t="shared" si="72"/>
        <v/>
      </c>
      <c r="AJ77" s="23" t="str">
        <f t="shared" si="73"/>
        <v/>
      </c>
      <c r="AK77" s="9" t="str">
        <f t="shared" si="56"/>
        <v/>
      </c>
      <c r="AL77" s="4" t="str">
        <f t="shared" si="57"/>
        <v/>
      </c>
      <c r="AM77" s="4"/>
      <c r="AN77" s="4"/>
      <c r="AO77" s="4"/>
      <c r="AP77" s="4"/>
      <c r="AQ77" s="4"/>
      <c r="AR77" s="20" t="str">
        <f t="shared" si="58"/>
        <v>-</v>
      </c>
      <c r="AS77" s="13" t="str">
        <f t="shared" si="74"/>
        <v>-</v>
      </c>
      <c r="AT77" s="13" t="str">
        <f t="shared" si="75"/>
        <v>-</v>
      </c>
      <c r="AU77" s="13" t="str">
        <f t="shared" si="59"/>
        <v>-</v>
      </c>
      <c r="AV77" s="16" t="str">
        <f t="shared" si="76"/>
        <v>-</v>
      </c>
      <c r="AW77" s="16" t="str">
        <f t="shared" si="60"/>
        <v>-</v>
      </c>
      <c r="AX77" s="16" t="str">
        <f t="shared" si="61"/>
        <v>-</v>
      </c>
      <c r="AY77" s="16" t="str">
        <f t="shared" si="77"/>
        <v>-</v>
      </c>
      <c r="AZ77" s="13" t="str">
        <f t="shared" si="78"/>
        <v>-</v>
      </c>
      <c r="BA77" s="10" t="str">
        <f t="shared" si="79"/>
        <v>-</v>
      </c>
      <c r="BB77" s="9" t="str">
        <f t="shared" si="80"/>
        <v>-</v>
      </c>
      <c r="BC77" s="13" t="str">
        <f t="shared" si="81"/>
        <v>-</v>
      </c>
      <c r="BD77" s="10" t="str">
        <f t="shared" si="82"/>
        <v>-</v>
      </c>
      <c r="BE77" s="13" t="str">
        <f t="shared" si="83"/>
        <v>-</v>
      </c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</row>
    <row r="78" spans="2:70" x14ac:dyDescent="0.3">
      <c r="B78" s="96" t="str">
        <f t="shared" si="62"/>
        <v/>
      </c>
      <c r="C78" s="96" t="str">
        <f t="shared" si="63"/>
        <v/>
      </c>
      <c r="D78" s="96" t="str">
        <f t="shared" si="64"/>
        <v/>
      </c>
      <c r="E78" s="3"/>
      <c r="F78" s="3"/>
      <c r="G78" s="3"/>
      <c r="H78" s="3"/>
      <c r="I78" s="20">
        <f>IFERROR(INDEX('Input - Target'!G$2:G$200,MATCH('Calculations - Target'!$D78,'Input - Target'!$B$2:$B$200,0)),"")</f>
        <v>0</v>
      </c>
      <c r="J78" s="20">
        <f>IFERROR(INDEX('Input - Target'!H$2:H$200,MATCH('Calculations - Target'!$D78,'Input - Target'!$B$2:$B$200,0)),"")</f>
        <v>0</v>
      </c>
      <c r="K78" s="21">
        <f>IFERROR(INDEX('Input - Target'!I$2:I$200,MATCH('Calculations - Target'!$D78,'Input - Target'!$B$2:$B$200,0)),"")</f>
        <v>0</v>
      </c>
      <c r="L78" s="21">
        <f>IFERROR(INDEX('Input - Target'!J$2:J$200,MATCH('Calculations - Target'!$D78,'Input - Target'!$B$2:$B$200,0)),"")</f>
        <v>0</v>
      </c>
      <c r="M78" s="20">
        <f>IFERROR(INDEX('Input - Target'!K$2:K$200,MATCH('Calculations - Target'!$D78,'Input - Target'!$B$2:$B$200,0)),"")</f>
        <v>0</v>
      </c>
      <c r="N78" s="20">
        <f>IFERROR(INDEX('Input - Target'!L$2:L$200,MATCH('Calculations - Target'!$D78,'Input - Target'!$B$2:$B$200,0)),"")</f>
        <v>0</v>
      </c>
      <c r="O78" s="21" t="str">
        <f t="shared" si="65"/>
        <v/>
      </c>
      <c r="P78" s="21" t="str">
        <f t="shared" si="47"/>
        <v/>
      </c>
      <c r="Q78" s="21">
        <f t="shared" si="66"/>
        <v>0</v>
      </c>
      <c r="R78" s="9">
        <f t="shared" si="84"/>
        <v>0</v>
      </c>
      <c r="S78" s="9">
        <f t="shared" si="85"/>
        <v>0</v>
      </c>
      <c r="T78" s="22" t="str">
        <f>IFERROR(INDEX(Target!$S$11:$S$167,MATCH('Calculations - Target'!$D78,Target!$N$11:$N$167,0)),"")</f>
        <v/>
      </c>
      <c r="U78" s="22" t="str">
        <f>IFERROR(INDEX(Target!$T$11:$T$167,MATCH('Calculations - Target'!$D78,Target!$N$11:$N$167,0)),"")</f>
        <v/>
      </c>
      <c r="V78" s="16" t="e">
        <f t="shared" si="50"/>
        <v>#VALUE!</v>
      </c>
      <c r="W78" s="16" t="e">
        <f t="shared" si="67"/>
        <v>#VALUE!</v>
      </c>
      <c r="X78" s="16" t="e">
        <f t="shared" si="68"/>
        <v>#VALUE!</v>
      </c>
      <c r="Y78" s="10" t="str">
        <f t="shared" si="51"/>
        <v>-</v>
      </c>
      <c r="Z78" s="10" t="str">
        <f t="shared" si="52"/>
        <v>-</v>
      </c>
      <c r="AA78" s="13" t="str">
        <f t="shared" si="69"/>
        <v>-</v>
      </c>
      <c r="AB78" s="9" t="str">
        <f t="shared" si="53"/>
        <v>-</v>
      </c>
      <c r="AC78" s="16" t="str">
        <f t="shared" si="70"/>
        <v>-</v>
      </c>
      <c r="AD78" s="16" t="str">
        <f t="shared" si="54"/>
        <v>-</v>
      </c>
      <c r="AE78" s="16" t="str">
        <f t="shared" si="55"/>
        <v>-</v>
      </c>
      <c r="AF78" s="16" t="str">
        <f t="shared" si="71"/>
        <v>-</v>
      </c>
      <c r="AG78" s="16"/>
      <c r="AH78" s="32" t="str">
        <f>IFERROR(INDEX(Target!$R$11:$R$167,MATCH('Calculations - Target'!D78,Target!$N$11:$N$167,0)),"")</f>
        <v/>
      </c>
      <c r="AI78" s="23" t="str">
        <f t="shared" si="72"/>
        <v/>
      </c>
      <c r="AJ78" s="23" t="str">
        <f t="shared" si="73"/>
        <v/>
      </c>
      <c r="AK78" s="9" t="str">
        <f t="shared" si="56"/>
        <v/>
      </c>
      <c r="AL78" s="4" t="str">
        <f t="shared" si="57"/>
        <v/>
      </c>
      <c r="AM78" s="4"/>
      <c r="AN78" s="4"/>
      <c r="AO78" s="4"/>
      <c r="AP78" s="4"/>
      <c r="AQ78" s="4"/>
      <c r="AR78" s="20" t="str">
        <f t="shared" si="58"/>
        <v>-</v>
      </c>
      <c r="AS78" s="13" t="str">
        <f t="shared" si="74"/>
        <v>-</v>
      </c>
      <c r="AT78" s="13" t="str">
        <f t="shared" si="75"/>
        <v>-</v>
      </c>
      <c r="AU78" s="13" t="str">
        <f t="shared" si="59"/>
        <v>-</v>
      </c>
      <c r="AV78" s="16" t="str">
        <f t="shared" si="76"/>
        <v>-</v>
      </c>
      <c r="AW78" s="16" t="str">
        <f t="shared" si="60"/>
        <v>-</v>
      </c>
      <c r="AX78" s="16" t="str">
        <f t="shared" si="61"/>
        <v>-</v>
      </c>
      <c r="AY78" s="16" t="str">
        <f t="shared" si="77"/>
        <v>-</v>
      </c>
      <c r="AZ78" s="13" t="str">
        <f t="shared" si="78"/>
        <v>-</v>
      </c>
      <c r="BA78" s="10" t="str">
        <f t="shared" si="79"/>
        <v>-</v>
      </c>
      <c r="BB78" s="9" t="str">
        <f t="shared" si="80"/>
        <v>-</v>
      </c>
      <c r="BC78" s="13" t="str">
        <f t="shared" si="81"/>
        <v>-</v>
      </c>
      <c r="BD78" s="10" t="str">
        <f t="shared" si="82"/>
        <v>-</v>
      </c>
      <c r="BE78" s="13" t="str">
        <f t="shared" si="83"/>
        <v>-</v>
      </c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</row>
    <row r="79" spans="2:70" x14ac:dyDescent="0.3">
      <c r="B79" s="96" t="str">
        <f t="shared" si="62"/>
        <v/>
      </c>
      <c r="C79" s="96" t="str">
        <f t="shared" si="63"/>
        <v/>
      </c>
      <c r="D79" s="96" t="str">
        <f t="shared" si="64"/>
        <v/>
      </c>
      <c r="E79" s="3"/>
      <c r="F79" s="3"/>
      <c r="G79" s="3"/>
      <c r="H79" s="3"/>
      <c r="I79" s="20">
        <f>IFERROR(INDEX('Input - Target'!G$2:G$200,MATCH('Calculations - Target'!$D79,'Input - Target'!$B$2:$B$200,0)),"")</f>
        <v>0</v>
      </c>
      <c r="J79" s="20">
        <f>IFERROR(INDEX('Input - Target'!H$2:H$200,MATCH('Calculations - Target'!$D79,'Input - Target'!$B$2:$B$200,0)),"")</f>
        <v>0</v>
      </c>
      <c r="K79" s="21">
        <f>IFERROR(INDEX('Input - Target'!I$2:I$200,MATCH('Calculations - Target'!$D79,'Input - Target'!$B$2:$B$200,0)),"")</f>
        <v>0</v>
      </c>
      <c r="L79" s="21">
        <f>IFERROR(INDEX('Input - Target'!J$2:J$200,MATCH('Calculations - Target'!$D79,'Input - Target'!$B$2:$B$200,0)),"")</f>
        <v>0</v>
      </c>
      <c r="M79" s="20">
        <f>IFERROR(INDEX('Input - Target'!K$2:K$200,MATCH('Calculations - Target'!$D79,'Input - Target'!$B$2:$B$200,0)),"")</f>
        <v>0</v>
      </c>
      <c r="N79" s="20">
        <f>IFERROR(INDEX('Input - Target'!L$2:L$200,MATCH('Calculations - Target'!$D79,'Input - Target'!$B$2:$B$200,0)),"")</f>
        <v>0</v>
      </c>
      <c r="O79" s="21" t="str">
        <f t="shared" si="65"/>
        <v/>
      </c>
      <c r="P79" s="21" t="str">
        <f t="shared" si="47"/>
        <v/>
      </c>
      <c r="Q79" s="21">
        <f t="shared" si="66"/>
        <v>0</v>
      </c>
      <c r="R79" s="9">
        <f t="shared" si="84"/>
        <v>0</v>
      </c>
      <c r="S79" s="9">
        <f t="shared" si="85"/>
        <v>0</v>
      </c>
      <c r="T79" s="22" t="str">
        <f>IFERROR(INDEX(Target!$S$11:$S$167,MATCH('Calculations - Target'!$D79,Target!$N$11:$N$167,0)),"")</f>
        <v/>
      </c>
      <c r="U79" s="22" t="str">
        <f>IFERROR(INDEX(Target!$T$11:$T$167,MATCH('Calculations - Target'!$D79,Target!$N$11:$N$167,0)),"")</f>
        <v/>
      </c>
      <c r="V79" s="16" t="e">
        <f t="shared" si="50"/>
        <v>#VALUE!</v>
      </c>
      <c r="W79" s="16" t="e">
        <f t="shared" si="67"/>
        <v>#VALUE!</v>
      </c>
      <c r="X79" s="16" t="e">
        <f t="shared" si="68"/>
        <v>#VALUE!</v>
      </c>
      <c r="Y79" s="10" t="str">
        <f t="shared" si="51"/>
        <v>-</v>
      </c>
      <c r="Z79" s="10" t="str">
        <f t="shared" si="52"/>
        <v>-</v>
      </c>
      <c r="AA79" s="13" t="str">
        <f t="shared" si="69"/>
        <v>-</v>
      </c>
      <c r="AB79" s="9" t="str">
        <f t="shared" si="53"/>
        <v>-</v>
      </c>
      <c r="AC79" s="16" t="str">
        <f t="shared" si="70"/>
        <v>-</v>
      </c>
      <c r="AD79" s="16" t="str">
        <f t="shared" si="54"/>
        <v>-</v>
      </c>
      <c r="AE79" s="16" t="str">
        <f t="shared" si="55"/>
        <v>-</v>
      </c>
      <c r="AF79" s="16" t="str">
        <f t="shared" si="71"/>
        <v>-</v>
      </c>
      <c r="AG79" s="16"/>
      <c r="AH79" s="32" t="str">
        <f>IFERROR(INDEX(Target!$R$11:$R$167,MATCH('Calculations - Target'!D79,Target!$N$11:$N$167,0)),"")</f>
        <v/>
      </c>
      <c r="AI79" s="23" t="str">
        <f t="shared" si="72"/>
        <v/>
      </c>
      <c r="AJ79" s="23" t="str">
        <f t="shared" si="73"/>
        <v/>
      </c>
      <c r="AK79" s="9" t="str">
        <f t="shared" si="56"/>
        <v/>
      </c>
      <c r="AL79" s="4" t="str">
        <f t="shared" si="57"/>
        <v/>
      </c>
      <c r="AM79" s="4"/>
      <c r="AN79" s="4"/>
      <c r="AO79" s="4"/>
      <c r="AP79" s="4"/>
      <c r="AQ79" s="4"/>
      <c r="AR79" s="20" t="str">
        <f t="shared" si="58"/>
        <v>-</v>
      </c>
      <c r="AS79" s="13" t="str">
        <f t="shared" si="74"/>
        <v>-</v>
      </c>
      <c r="AT79" s="13" t="str">
        <f t="shared" si="75"/>
        <v>-</v>
      </c>
      <c r="AU79" s="13" t="str">
        <f t="shared" si="59"/>
        <v>-</v>
      </c>
      <c r="AV79" s="16" t="str">
        <f t="shared" si="76"/>
        <v>-</v>
      </c>
      <c r="AW79" s="16" t="str">
        <f t="shared" si="60"/>
        <v>-</v>
      </c>
      <c r="AX79" s="16" t="str">
        <f t="shared" si="61"/>
        <v>-</v>
      </c>
      <c r="AY79" s="16" t="str">
        <f t="shared" si="77"/>
        <v>-</v>
      </c>
      <c r="AZ79" s="13" t="str">
        <f t="shared" si="78"/>
        <v>-</v>
      </c>
      <c r="BA79" s="10" t="str">
        <f t="shared" si="79"/>
        <v>-</v>
      </c>
      <c r="BB79" s="9" t="str">
        <f t="shared" si="80"/>
        <v>-</v>
      </c>
      <c r="BC79" s="13" t="str">
        <f t="shared" si="81"/>
        <v>-</v>
      </c>
      <c r="BD79" s="10" t="str">
        <f t="shared" si="82"/>
        <v>-</v>
      </c>
      <c r="BE79" s="13" t="str">
        <f t="shared" si="83"/>
        <v>-</v>
      </c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</row>
    <row r="80" spans="2:70" x14ac:dyDescent="0.3">
      <c r="B80" s="96" t="str">
        <f t="shared" si="62"/>
        <v/>
      </c>
      <c r="C80" s="96" t="str">
        <f t="shared" si="63"/>
        <v/>
      </c>
      <c r="D80" s="96" t="str">
        <f t="shared" si="64"/>
        <v/>
      </c>
      <c r="E80" s="3"/>
      <c r="F80" s="3"/>
      <c r="G80" s="3"/>
      <c r="H80" s="3"/>
      <c r="I80" s="20">
        <f>IFERROR(INDEX('Input - Target'!G$2:G$200,MATCH('Calculations - Target'!$D80,'Input - Target'!$B$2:$B$200,0)),"")</f>
        <v>0</v>
      </c>
      <c r="J80" s="20">
        <f>IFERROR(INDEX('Input - Target'!H$2:H$200,MATCH('Calculations - Target'!$D80,'Input - Target'!$B$2:$B$200,0)),"")</f>
        <v>0</v>
      </c>
      <c r="K80" s="21">
        <f>IFERROR(INDEX('Input - Target'!I$2:I$200,MATCH('Calculations - Target'!$D80,'Input - Target'!$B$2:$B$200,0)),"")</f>
        <v>0</v>
      </c>
      <c r="L80" s="21">
        <f>IFERROR(INDEX('Input - Target'!J$2:J$200,MATCH('Calculations - Target'!$D80,'Input - Target'!$B$2:$B$200,0)),"")</f>
        <v>0</v>
      </c>
      <c r="M80" s="20">
        <f>IFERROR(INDEX('Input - Target'!K$2:K$200,MATCH('Calculations - Target'!$D80,'Input - Target'!$B$2:$B$200,0)),"")</f>
        <v>0</v>
      </c>
      <c r="N80" s="20">
        <f>IFERROR(INDEX('Input - Target'!L$2:L$200,MATCH('Calculations - Target'!$D80,'Input - Target'!$B$2:$B$200,0)),"")</f>
        <v>0</v>
      </c>
      <c r="O80" s="21" t="str">
        <f t="shared" si="65"/>
        <v/>
      </c>
      <c r="P80" s="21" t="str">
        <f t="shared" si="47"/>
        <v/>
      </c>
      <c r="Q80" s="21">
        <f t="shared" si="66"/>
        <v>0</v>
      </c>
      <c r="R80" s="9">
        <f t="shared" si="84"/>
        <v>0</v>
      </c>
      <c r="S80" s="9">
        <f t="shared" si="85"/>
        <v>0</v>
      </c>
      <c r="T80" s="22" t="str">
        <f>IFERROR(INDEX(Target!$S$11:$S$167,MATCH('Calculations - Target'!$D80,Target!$N$11:$N$167,0)),"")</f>
        <v/>
      </c>
      <c r="U80" s="22" t="str">
        <f>IFERROR(INDEX(Target!$T$11:$T$167,MATCH('Calculations - Target'!$D80,Target!$N$11:$N$167,0)),"")</f>
        <v/>
      </c>
      <c r="V80" s="16" t="e">
        <f t="shared" si="50"/>
        <v>#VALUE!</v>
      </c>
      <c r="W80" s="16" t="e">
        <f t="shared" si="67"/>
        <v>#VALUE!</v>
      </c>
      <c r="X80" s="16" t="e">
        <f t="shared" si="68"/>
        <v>#VALUE!</v>
      </c>
      <c r="Y80" s="10" t="str">
        <f t="shared" si="51"/>
        <v>-</v>
      </c>
      <c r="Z80" s="10" t="str">
        <f t="shared" si="52"/>
        <v>-</v>
      </c>
      <c r="AA80" s="13" t="str">
        <f t="shared" si="69"/>
        <v>-</v>
      </c>
      <c r="AB80" s="9" t="str">
        <f t="shared" si="53"/>
        <v>-</v>
      </c>
      <c r="AC80" s="16" t="str">
        <f t="shared" si="70"/>
        <v>-</v>
      </c>
      <c r="AD80" s="16" t="str">
        <f t="shared" si="54"/>
        <v>-</v>
      </c>
      <c r="AE80" s="16" t="str">
        <f t="shared" si="55"/>
        <v>-</v>
      </c>
      <c r="AF80" s="16" t="str">
        <f t="shared" si="71"/>
        <v>-</v>
      </c>
      <c r="AG80" s="16"/>
      <c r="AH80" s="32" t="str">
        <f>IFERROR(INDEX(Target!$R$11:$R$167,MATCH('Calculations - Target'!D80,Target!$N$11:$N$167,0)),"")</f>
        <v/>
      </c>
      <c r="AI80" s="23" t="str">
        <f t="shared" si="72"/>
        <v/>
      </c>
      <c r="AJ80" s="23" t="str">
        <f t="shared" si="73"/>
        <v/>
      </c>
      <c r="AK80" s="9" t="str">
        <f t="shared" si="56"/>
        <v/>
      </c>
      <c r="AL80" s="4" t="str">
        <f t="shared" si="57"/>
        <v/>
      </c>
      <c r="AM80" s="4"/>
      <c r="AN80" s="4"/>
      <c r="AO80" s="4"/>
      <c r="AP80" s="4"/>
      <c r="AQ80" s="4"/>
      <c r="AR80" s="20" t="str">
        <f t="shared" si="58"/>
        <v>-</v>
      </c>
      <c r="AS80" s="13" t="str">
        <f t="shared" si="74"/>
        <v>-</v>
      </c>
      <c r="AT80" s="13" t="str">
        <f t="shared" si="75"/>
        <v>-</v>
      </c>
      <c r="AU80" s="13" t="str">
        <f t="shared" si="59"/>
        <v>-</v>
      </c>
      <c r="AV80" s="16" t="str">
        <f t="shared" si="76"/>
        <v>-</v>
      </c>
      <c r="AW80" s="16" t="str">
        <f t="shared" si="60"/>
        <v>-</v>
      </c>
      <c r="AX80" s="16" t="str">
        <f t="shared" si="61"/>
        <v>-</v>
      </c>
      <c r="AY80" s="16" t="str">
        <f t="shared" si="77"/>
        <v>-</v>
      </c>
      <c r="AZ80" s="13" t="str">
        <f t="shared" si="78"/>
        <v>-</v>
      </c>
      <c r="BA80" s="10" t="str">
        <f t="shared" si="79"/>
        <v>-</v>
      </c>
      <c r="BB80" s="9" t="str">
        <f t="shared" si="80"/>
        <v>-</v>
      </c>
      <c r="BC80" s="13" t="str">
        <f t="shared" si="81"/>
        <v>-</v>
      </c>
      <c r="BD80" s="10" t="str">
        <f t="shared" si="82"/>
        <v>-</v>
      </c>
      <c r="BE80" s="13" t="str">
        <f t="shared" si="83"/>
        <v>-</v>
      </c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</row>
    <row r="81" spans="2:70" x14ac:dyDescent="0.3">
      <c r="B81" s="96" t="str">
        <f t="shared" si="62"/>
        <v/>
      </c>
      <c r="C81" s="96" t="str">
        <f t="shared" si="63"/>
        <v/>
      </c>
      <c r="D81" s="96" t="str">
        <f t="shared" si="64"/>
        <v/>
      </c>
      <c r="E81" s="3"/>
      <c r="F81" s="3"/>
      <c r="G81" s="3"/>
      <c r="H81" s="3"/>
      <c r="I81" s="20">
        <f>IFERROR(INDEX('Input - Target'!G$2:G$200,MATCH('Calculations - Target'!$D81,'Input - Target'!$B$2:$B$200,0)),"")</f>
        <v>0</v>
      </c>
      <c r="J81" s="20">
        <f>IFERROR(INDEX('Input - Target'!H$2:H$200,MATCH('Calculations - Target'!$D81,'Input - Target'!$B$2:$B$200,0)),"")</f>
        <v>0</v>
      </c>
      <c r="K81" s="21">
        <f>IFERROR(INDEX('Input - Target'!I$2:I$200,MATCH('Calculations - Target'!$D81,'Input - Target'!$B$2:$B$200,0)),"")</f>
        <v>0</v>
      </c>
      <c r="L81" s="21">
        <f>IFERROR(INDEX('Input - Target'!J$2:J$200,MATCH('Calculations - Target'!$D81,'Input - Target'!$B$2:$B$200,0)),"")</f>
        <v>0</v>
      </c>
      <c r="M81" s="20">
        <f>IFERROR(INDEX('Input - Target'!K$2:K$200,MATCH('Calculations - Target'!$D81,'Input - Target'!$B$2:$B$200,0)),"")</f>
        <v>0</v>
      </c>
      <c r="N81" s="20">
        <f>IFERROR(INDEX('Input - Target'!L$2:L$200,MATCH('Calculations - Target'!$D81,'Input - Target'!$B$2:$B$200,0)),"")</f>
        <v>0</v>
      </c>
      <c r="O81" s="21" t="str">
        <f t="shared" si="65"/>
        <v/>
      </c>
      <c r="P81" s="21" t="str">
        <f t="shared" si="47"/>
        <v/>
      </c>
      <c r="Q81" s="21">
        <f t="shared" si="66"/>
        <v>0</v>
      </c>
      <c r="R81" s="9">
        <f t="shared" si="84"/>
        <v>0</v>
      </c>
      <c r="S81" s="9">
        <f t="shared" si="85"/>
        <v>0</v>
      </c>
      <c r="T81" s="22" t="str">
        <f>IFERROR(INDEX(Target!$S$11:$S$167,MATCH('Calculations - Target'!$D81,Target!$N$11:$N$167,0)),"")</f>
        <v/>
      </c>
      <c r="U81" s="22" t="str">
        <f>IFERROR(INDEX(Target!$T$11:$T$167,MATCH('Calculations - Target'!$D81,Target!$N$11:$N$167,0)),"")</f>
        <v/>
      </c>
      <c r="V81" s="16" t="e">
        <f t="shared" si="50"/>
        <v>#VALUE!</v>
      </c>
      <c r="W81" s="16" t="e">
        <f t="shared" si="67"/>
        <v>#VALUE!</v>
      </c>
      <c r="X81" s="16" t="e">
        <f t="shared" si="68"/>
        <v>#VALUE!</v>
      </c>
      <c r="Y81" s="10" t="str">
        <f t="shared" si="51"/>
        <v>-</v>
      </c>
      <c r="Z81" s="10" t="str">
        <f t="shared" si="52"/>
        <v>-</v>
      </c>
      <c r="AA81" s="13" t="str">
        <f t="shared" si="69"/>
        <v>-</v>
      </c>
      <c r="AB81" s="9" t="str">
        <f t="shared" si="53"/>
        <v>-</v>
      </c>
      <c r="AC81" s="16" t="str">
        <f t="shared" si="70"/>
        <v>-</v>
      </c>
      <c r="AD81" s="16" t="str">
        <f t="shared" si="54"/>
        <v>-</v>
      </c>
      <c r="AE81" s="16" t="str">
        <f t="shared" si="55"/>
        <v>-</v>
      </c>
      <c r="AF81" s="16" t="str">
        <f t="shared" si="71"/>
        <v>-</v>
      </c>
      <c r="AG81" s="16"/>
      <c r="AH81" s="32" t="str">
        <f>IFERROR(INDEX(Target!$R$11:$R$167,MATCH('Calculations - Target'!D81,Target!$N$11:$N$167,0)),"")</f>
        <v/>
      </c>
      <c r="AI81" s="23" t="str">
        <f t="shared" si="72"/>
        <v/>
      </c>
      <c r="AJ81" s="23" t="str">
        <f t="shared" si="73"/>
        <v/>
      </c>
      <c r="AK81" s="9" t="str">
        <f t="shared" si="56"/>
        <v/>
      </c>
      <c r="AL81" s="4" t="str">
        <f t="shared" si="57"/>
        <v/>
      </c>
      <c r="AM81" s="4"/>
      <c r="AN81" s="4"/>
      <c r="AO81" s="4"/>
      <c r="AP81" s="4"/>
      <c r="AQ81" s="4"/>
      <c r="AR81" s="20" t="str">
        <f t="shared" si="58"/>
        <v>-</v>
      </c>
      <c r="AS81" s="13" t="str">
        <f t="shared" si="74"/>
        <v>-</v>
      </c>
      <c r="AT81" s="13" t="str">
        <f t="shared" si="75"/>
        <v>-</v>
      </c>
      <c r="AU81" s="13" t="str">
        <f t="shared" si="59"/>
        <v>-</v>
      </c>
      <c r="AV81" s="16" t="str">
        <f t="shared" si="76"/>
        <v>-</v>
      </c>
      <c r="AW81" s="16" t="str">
        <f t="shared" si="60"/>
        <v>-</v>
      </c>
      <c r="AX81" s="16" t="str">
        <f t="shared" si="61"/>
        <v>-</v>
      </c>
      <c r="AY81" s="16" t="str">
        <f t="shared" si="77"/>
        <v>-</v>
      </c>
      <c r="AZ81" s="13" t="str">
        <f t="shared" si="78"/>
        <v>-</v>
      </c>
      <c r="BA81" s="10" t="str">
        <f t="shared" si="79"/>
        <v>-</v>
      </c>
      <c r="BB81" s="9" t="str">
        <f t="shared" si="80"/>
        <v>-</v>
      </c>
      <c r="BC81" s="13" t="str">
        <f t="shared" si="81"/>
        <v>-</v>
      </c>
      <c r="BD81" s="10" t="str">
        <f t="shared" si="82"/>
        <v>-</v>
      </c>
      <c r="BE81" s="13" t="str">
        <f t="shared" si="83"/>
        <v>-</v>
      </c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</row>
    <row r="82" spans="2:70" x14ac:dyDescent="0.3">
      <c r="B82" s="96" t="str">
        <f t="shared" si="62"/>
        <v/>
      </c>
      <c r="C82" s="96" t="str">
        <f t="shared" si="63"/>
        <v/>
      </c>
      <c r="D82" s="96" t="str">
        <f t="shared" si="64"/>
        <v/>
      </c>
      <c r="E82" s="3"/>
      <c r="F82" s="3"/>
      <c r="G82" s="3"/>
      <c r="H82" s="3"/>
      <c r="I82" s="20">
        <f>IFERROR(INDEX('Input - Target'!G$2:G$200,MATCH('Calculations - Target'!$D82,'Input - Target'!$B$2:$B$200,0)),"")</f>
        <v>0</v>
      </c>
      <c r="J82" s="20">
        <f>IFERROR(INDEX('Input - Target'!H$2:H$200,MATCH('Calculations - Target'!$D82,'Input - Target'!$B$2:$B$200,0)),"")</f>
        <v>0</v>
      </c>
      <c r="K82" s="21">
        <f>IFERROR(INDEX('Input - Target'!I$2:I$200,MATCH('Calculations - Target'!$D82,'Input - Target'!$B$2:$B$200,0)),"")</f>
        <v>0</v>
      </c>
      <c r="L82" s="21">
        <f>IFERROR(INDEX('Input - Target'!J$2:J$200,MATCH('Calculations - Target'!$D82,'Input - Target'!$B$2:$B$200,0)),"")</f>
        <v>0</v>
      </c>
      <c r="M82" s="20">
        <f>IFERROR(INDEX('Input - Target'!K$2:K$200,MATCH('Calculations - Target'!$D82,'Input - Target'!$B$2:$B$200,0)),"")</f>
        <v>0</v>
      </c>
      <c r="N82" s="20">
        <f>IFERROR(INDEX('Input - Target'!L$2:L$200,MATCH('Calculations - Target'!$D82,'Input - Target'!$B$2:$B$200,0)),"")</f>
        <v>0</v>
      </c>
      <c r="O82" s="21" t="str">
        <f t="shared" si="65"/>
        <v/>
      </c>
      <c r="P82" s="21" t="str">
        <f t="shared" si="47"/>
        <v/>
      </c>
      <c r="Q82" s="21">
        <f t="shared" si="66"/>
        <v>0</v>
      </c>
      <c r="R82" s="9">
        <f t="shared" si="84"/>
        <v>0</v>
      </c>
      <c r="S82" s="9">
        <f t="shared" si="85"/>
        <v>0</v>
      </c>
      <c r="T82" s="22" t="str">
        <f>IFERROR(INDEX(Target!$S$11:$S$167,MATCH('Calculations - Target'!$D82,Target!$N$11:$N$167,0)),"")</f>
        <v/>
      </c>
      <c r="U82" s="22" t="str">
        <f>IFERROR(INDEX(Target!$T$11:$T$167,MATCH('Calculations - Target'!$D82,Target!$N$11:$N$167,0)),"")</f>
        <v/>
      </c>
      <c r="V82" s="16" t="e">
        <f t="shared" si="50"/>
        <v>#VALUE!</v>
      </c>
      <c r="W82" s="16" t="e">
        <f t="shared" si="67"/>
        <v>#VALUE!</v>
      </c>
      <c r="X82" s="16" t="e">
        <f t="shared" si="68"/>
        <v>#VALUE!</v>
      </c>
      <c r="Y82" s="10" t="str">
        <f t="shared" si="51"/>
        <v>-</v>
      </c>
      <c r="Z82" s="10" t="str">
        <f t="shared" si="52"/>
        <v>-</v>
      </c>
      <c r="AA82" s="13" t="str">
        <f t="shared" si="69"/>
        <v>-</v>
      </c>
      <c r="AB82" s="9" t="str">
        <f t="shared" si="53"/>
        <v>-</v>
      </c>
      <c r="AC82" s="16" t="str">
        <f t="shared" si="70"/>
        <v>-</v>
      </c>
      <c r="AD82" s="16" t="str">
        <f t="shared" si="54"/>
        <v>-</v>
      </c>
      <c r="AE82" s="16" t="str">
        <f t="shared" si="55"/>
        <v>-</v>
      </c>
      <c r="AF82" s="16" t="str">
        <f t="shared" si="71"/>
        <v>-</v>
      </c>
      <c r="AG82" s="16"/>
      <c r="AH82" s="32" t="str">
        <f>IFERROR(INDEX(Target!$R$11:$R$167,MATCH('Calculations - Target'!D82,Target!$N$11:$N$167,0)),"")</f>
        <v/>
      </c>
      <c r="AI82" s="23" t="str">
        <f t="shared" si="72"/>
        <v/>
      </c>
      <c r="AJ82" s="23" t="str">
        <f t="shared" si="73"/>
        <v/>
      </c>
      <c r="AK82" s="9" t="str">
        <f t="shared" si="56"/>
        <v/>
      </c>
      <c r="AL82" s="4" t="str">
        <f t="shared" si="57"/>
        <v/>
      </c>
      <c r="AM82" s="4"/>
      <c r="AN82" s="4"/>
      <c r="AO82" s="4"/>
      <c r="AP82" s="4"/>
      <c r="AQ82" s="4"/>
      <c r="AR82" s="20" t="str">
        <f t="shared" si="58"/>
        <v>-</v>
      </c>
      <c r="AS82" s="13" t="str">
        <f t="shared" si="74"/>
        <v>-</v>
      </c>
      <c r="AT82" s="13" t="str">
        <f t="shared" si="75"/>
        <v>-</v>
      </c>
      <c r="AU82" s="13" t="str">
        <f t="shared" si="59"/>
        <v>-</v>
      </c>
      <c r="AV82" s="16" t="str">
        <f t="shared" si="76"/>
        <v>-</v>
      </c>
      <c r="AW82" s="16" t="str">
        <f t="shared" si="60"/>
        <v>-</v>
      </c>
      <c r="AX82" s="16" t="str">
        <f t="shared" si="61"/>
        <v>-</v>
      </c>
      <c r="AY82" s="16" t="str">
        <f t="shared" si="77"/>
        <v>-</v>
      </c>
      <c r="AZ82" s="13" t="str">
        <f t="shared" si="78"/>
        <v>-</v>
      </c>
      <c r="BA82" s="10" t="str">
        <f t="shared" si="79"/>
        <v>-</v>
      </c>
      <c r="BB82" s="9" t="str">
        <f t="shared" si="80"/>
        <v>-</v>
      </c>
      <c r="BC82" s="13" t="str">
        <f t="shared" si="81"/>
        <v>-</v>
      </c>
      <c r="BD82" s="10" t="str">
        <f t="shared" si="82"/>
        <v>-</v>
      </c>
      <c r="BE82" s="13" t="str">
        <f t="shared" si="83"/>
        <v>-</v>
      </c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</row>
    <row r="83" spans="2:70" x14ac:dyDescent="0.3">
      <c r="B83" s="96" t="str">
        <f t="shared" si="62"/>
        <v/>
      </c>
      <c r="C83" s="96" t="str">
        <f t="shared" si="63"/>
        <v/>
      </c>
      <c r="D83" s="96" t="str">
        <f t="shared" si="64"/>
        <v/>
      </c>
      <c r="E83" s="3"/>
      <c r="F83" s="3"/>
      <c r="G83" s="3"/>
      <c r="H83" s="3"/>
      <c r="I83" s="20">
        <f>IFERROR(INDEX('Input - Target'!G$2:G$200,MATCH('Calculations - Target'!$D83,'Input - Target'!$B$2:$B$200,0)),"")</f>
        <v>0</v>
      </c>
      <c r="J83" s="20">
        <f>IFERROR(INDEX('Input - Target'!H$2:H$200,MATCH('Calculations - Target'!$D83,'Input - Target'!$B$2:$B$200,0)),"")</f>
        <v>0</v>
      </c>
      <c r="K83" s="21">
        <f>IFERROR(INDEX('Input - Target'!I$2:I$200,MATCH('Calculations - Target'!$D83,'Input - Target'!$B$2:$B$200,0)),"")</f>
        <v>0</v>
      </c>
      <c r="L83" s="21">
        <f>IFERROR(INDEX('Input - Target'!J$2:J$200,MATCH('Calculations - Target'!$D83,'Input - Target'!$B$2:$B$200,0)),"")</f>
        <v>0</v>
      </c>
      <c r="M83" s="20">
        <f>IFERROR(INDEX('Input - Target'!K$2:K$200,MATCH('Calculations - Target'!$D83,'Input - Target'!$B$2:$B$200,0)),"")</f>
        <v>0</v>
      </c>
      <c r="N83" s="20">
        <f>IFERROR(INDEX('Input - Target'!L$2:L$200,MATCH('Calculations - Target'!$D83,'Input - Target'!$B$2:$B$200,0)),"")</f>
        <v>0</v>
      </c>
      <c r="O83" s="21" t="str">
        <f t="shared" si="65"/>
        <v/>
      </c>
      <c r="P83" s="21" t="str">
        <f t="shared" si="47"/>
        <v/>
      </c>
      <c r="Q83" s="21">
        <f t="shared" si="66"/>
        <v>0</v>
      </c>
      <c r="R83" s="9">
        <f t="shared" si="84"/>
        <v>0</v>
      </c>
      <c r="S83" s="9">
        <f t="shared" si="85"/>
        <v>0</v>
      </c>
      <c r="T83" s="22" t="str">
        <f>IFERROR(INDEX(Target!$S$11:$S$167,MATCH('Calculations - Target'!$D83,Target!$N$11:$N$167,0)),"")</f>
        <v/>
      </c>
      <c r="U83" s="22" t="str">
        <f>IFERROR(INDEX(Target!$T$11:$T$167,MATCH('Calculations - Target'!$D83,Target!$N$11:$N$167,0)),"")</f>
        <v/>
      </c>
      <c r="V83" s="16" t="e">
        <f t="shared" si="50"/>
        <v>#VALUE!</v>
      </c>
      <c r="W83" s="16" t="e">
        <f t="shared" si="67"/>
        <v>#VALUE!</v>
      </c>
      <c r="X83" s="16" t="e">
        <f t="shared" si="68"/>
        <v>#VALUE!</v>
      </c>
      <c r="Y83" s="10" t="str">
        <f t="shared" si="51"/>
        <v>-</v>
      </c>
      <c r="Z83" s="10" t="str">
        <f t="shared" si="52"/>
        <v>-</v>
      </c>
      <c r="AA83" s="13" t="str">
        <f t="shared" si="69"/>
        <v>-</v>
      </c>
      <c r="AB83" s="9" t="str">
        <f t="shared" si="53"/>
        <v>-</v>
      </c>
      <c r="AC83" s="16" t="str">
        <f t="shared" si="70"/>
        <v>-</v>
      </c>
      <c r="AD83" s="16" t="str">
        <f t="shared" si="54"/>
        <v>-</v>
      </c>
      <c r="AE83" s="16" t="str">
        <f t="shared" si="55"/>
        <v>-</v>
      </c>
      <c r="AF83" s="16" t="str">
        <f t="shared" si="71"/>
        <v>-</v>
      </c>
      <c r="AG83" s="16"/>
      <c r="AH83" s="32" t="str">
        <f>IFERROR(INDEX(Target!$R$11:$R$167,MATCH('Calculations - Target'!D83,Target!$N$11:$N$167,0)),"")</f>
        <v/>
      </c>
      <c r="AI83" s="23" t="str">
        <f t="shared" si="72"/>
        <v/>
      </c>
      <c r="AJ83" s="23" t="str">
        <f t="shared" si="73"/>
        <v/>
      </c>
      <c r="AK83" s="9" t="str">
        <f t="shared" si="56"/>
        <v/>
      </c>
      <c r="AL83" s="4" t="str">
        <f t="shared" si="57"/>
        <v/>
      </c>
      <c r="AM83" s="4"/>
      <c r="AN83" s="4"/>
      <c r="AO83" s="4"/>
      <c r="AP83" s="4"/>
      <c r="AQ83" s="4"/>
      <c r="AR83" s="20" t="str">
        <f t="shared" si="58"/>
        <v>-</v>
      </c>
      <c r="AS83" s="13" t="str">
        <f t="shared" si="74"/>
        <v>-</v>
      </c>
      <c r="AT83" s="13" t="str">
        <f t="shared" si="75"/>
        <v>-</v>
      </c>
      <c r="AU83" s="13" t="str">
        <f t="shared" si="59"/>
        <v>-</v>
      </c>
      <c r="AV83" s="16" t="str">
        <f t="shared" si="76"/>
        <v>-</v>
      </c>
      <c r="AW83" s="16" t="str">
        <f t="shared" si="60"/>
        <v>-</v>
      </c>
      <c r="AX83" s="16" t="str">
        <f t="shared" si="61"/>
        <v>-</v>
      </c>
      <c r="AY83" s="16" t="str">
        <f t="shared" si="77"/>
        <v>-</v>
      </c>
      <c r="AZ83" s="13" t="str">
        <f t="shared" si="78"/>
        <v>-</v>
      </c>
      <c r="BA83" s="10" t="str">
        <f t="shared" si="79"/>
        <v>-</v>
      </c>
      <c r="BB83" s="9" t="str">
        <f t="shared" si="80"/>
        <v>-</v>
      </c>
      <c r="BC83" s="13" t="str">
        <f t="shared" si="81"/>
        <v>-</v>
      </c>
      <c r="BD83" s="10" t="str">
        <f t="shared" si="82"/>
        <v>-</v>
      </c>
      <c r="BE83" s="13" t="str">
        <f t="shared" si="83"/>
        <v>-</v>
      </c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</row>
    <row r="84" spans="2:70" x14ac:dyDescent="0.3">
      <c r="B84" s="96" t="str">
        <f t="shared" si="62"/>
        <v/>
      </c>
      <c r="C84" s="96" t="str">
        <f t="shared" si="63"/>
        <v/>
      </c>
      <c r="D84" s="96" t="str">
        <f t="shared" si="64"/>
        <v/>
      </c>
      <c r="E84" s="3"/>
      <c r="F84" s="3"/>
      <c r="G84" s="3"/>
      <c r="H84" s="3"/>
      <c r="I84" s="20">
        <f>IFERROR(INDEX('Input - Target'!G$2:G$200,MATCH('Calculations - Target'!$D84,'Input - Target'!$B$2:$B$200,0)),"")</f>
        <v>0</v>
      </c>
      <c r="J84" s="20">
        <f>IFERROR(INDEX('Input - Target'!H$2:H$200,MATCH('Calculations - Target'!$D84,'Input - Target'!$B$2:$B$200,0)),"")</f>
        <v>0</v>
      </c>
      <c r="K84" s="21">
        <f>IFERROR(INDEX('Input - Target'!I$2:I$200,MATCH('Calculations - Target'!$D84,'Input - Target'!$B$2:$B$200,0)),"")</f>
        <v>0</v>
      </c>
      <c r="L84" s="21">
        <f>IFERROR(INDEX('Input - Target'!J$2:J$200,MATCH('Calculations - Target'!$D84,'Input - Target'!$B$2:$B$200,0)),"")</f>
        <v>0</v>
      </c>
      <c r="M84" s="20">
        <f>IFERROR(INDEX('Input - Target'!K$2:K$200,MATCH('Calculations - Target'!$D84,'Input - Target'!$B$2:$B$200,0)),"")</f>
        <v>0</v>
      </c>
      <c r="N84" s="20">
        <f>IFERROR(INDEX('Input - Target'!L$2:L$200,MATCH('Calculations - Target'!$D84,'Input - Target'!$B$2:$B$200,0)),"")</f>
        <v>0</v>
      </c>
      <c r="O84" s="21" t="str">
        <f t="shared" si="65"/>
        <v/>
      </c>
      <c r="P84" s="21" t="str">
        <f t="shared" si="47"/>
        <v/>
      </c>
      <c r="Q84" s="21">
        <f t="shared" si="66"/>
        <v>0</v>
      </c>
      <c r="R84" s="9">
        <f t="shared" si="84"/>
        <v>0</v>
      </c>
      <c r="S84" s="9">
        <f t="shared" si="85"/>
        <v>0</v>
      </c>
      <c r="T84" s="22" t="str">
        <f>IFERROR(INDEX(Target!$S$11:$S$167,MATCH('Calculations - Target'!$D84,Target!$N$11:$N$167,0)),"")</f>
        <v/>
      </c>
      <c r="U84" s="22" t="str">
        <f>IFERROR(INDEX(Target!$T$11:$T$167,MATCH('Calculations - Target'!$D84,Target!$N$11:$N$167,0)),"")</f>
        <v/>
      </c>
      <c r="V84" s="16" t="e">
        <f t="shared" si="50"/>
        <v>#VALUE!</v>
      </c>
      <c r="W84" s="16" t="e">
        <f t="shared" si="67"/>
        <v>#VALUE!</v>
      </c>
      <c r="X84" s="16" t="e">
        <f t="shared" si="68"/>
        <v>#VALUE!</v>
      </c>
      <c r="Y84" s="10" t="str">
        <f t="shared" si="51"/>
        <v>-</v>
      </c>
      <c r="Z84" s="10" t="str">
        <f t="shared" si="52"/>
        <v>-</v>
      </c>
      <c r="AA84" s="13" t="str">
        <f t="shared" si="69"/>
        <v>-</v>
      </c>
      <c r="AB84" s="9" t="str">
        <f t="shared" si="53"/>
        <v>-</v>
      </c>
      <c r="AC84" s="16" t="str">
        <f t="shared" si="70"/>
        <v>-</v>
      </c>
      <c r="AD84" s="16" t="str">
        <f t="shared" si="54"/>
        <v>-</v>
      </c>
      <c r="AE84" s="16" t="str">
        <f t="shared" si="55"/>
        <v>-</v>
      </c>
      <c r="AF84" s="16" t="str">
        <f t="shared" si="71"/>
        <v>-</v>
      </c>
      <c r="AG84" s="16"/>
      <c r="AH84" s="32" t="str">
        <f>IFERROR(INDEX(Target!$R$11:$R$167,MATCH('Calculations - Target'!D84,Target!$N$11:$N$167,0)),"")</f>
        <v/>
      </c>
      <c r="AI84" s="23" t="str">
        <f t="shared" si="72"/>
        <v/>
      </c>
      <c r="AJ84" s="23" t="str">
        <f t="shared" si="73"/>
        <v/>
      </c>
      <c r="AK84" s="9" t="str">
        <f t="shared" si="56"/>
        <v/>
      </c>
      <c r="AL84" s="4" t="str">
        <f t="shared" si="57"/>
        <v/>
      </c>
      <c r="AM84" s="4"/>
      <c r="AN84" s="4"/>
      <c r="AO84" s="4"/>
      <c r="AP84" s="4"/>
      <c r="AQ84" s="4"/>
      <c r="AR84" s="20" t="str">
        <f t="shared" si="58"/>
        <v>-</v>
      </c>
      <c r="AS84" s="13" t="str">
        <f t="shared" si="74"/>
        <v>-</v>
      </c>
      <c r="AT84" s="13" t="str">
        <f t="shared" si="75"/>
        <v>-</v>
      </c>
      <c r="AU84" s="13" t="str">
        <f t="shared" si="59"/>
        <v>-</v>
      </c>
      <c r="AV84" s="16" t="str">
        <f t="shared" si="76"/>
        <v>-</v>
      </c>
      <c r="AW84" s="16" t="str">
        <f t="shared" si="60"/>
        <v>-</v>
      </c>
      <c r="AX84" s="16" t="str">
        <f t="shared" si="61"/>
        <v>-</v>
      </c>
      <c r="AY84" s="16" t="str">
        <f t="shared" si="77"/>
        <v>-</v>
      </c>
      <c r="AZ84" s="13" t="str">
        <f t="shared" si="78"/>
        <v>-</v>
      </c>
      <c r="BA84" s="10" t="str">
        <f t="shared" si="79"/>
        <v>-</v>
      </c>
      <c r="BB84" s="9" t="str">
        <f t="shared" si="80"/>
        <v>-</v>
      </c>
      <c r="BC84" s="13" t="str">
        <f t="shared" si="81"/>
        <v>-</v>
      </c>
      <c r="BD84" s="10" t="str">
        <f t="shared" si="82"/>
        <v>-</v>
      </c>
      <c r="BE84" s="13" t="str">
        <f t="shared" si="83"/>
        <v>-</v>
      </c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</row>
    <row r="85" spans="2:70" x14ac:dyDescent="0.3">
      <c r="B85" s="96" t="str">
        <f t="shared" si="62"/>
        <v/>
      </c>
      <c r="C85" s="96" t="str">
        <f t="shared" si="63"/>
        <v/>
      </c>
      <c r="D85" s="96" t="str">
        <f t="shared" si="64"/>
        <v/>
      </c>
      <c r="E85" s="3"/>
      <c r="F85" s="3"/>
      <c r="G85" s="3"/>
      <c r="H85" s="3"/>
      <c r="I85" s="20">
        <f>IFERROR(INDEX('Input - Target'!G$2:G$200,MATCH('Calculations - Target'!$D85,'Input - Target'!$B$2:$B$200,0)),"")</f>
        <v>0</v>
      </c>
      <c r="J85" s="20">
        <f>IFERROR(INDEX('Input - Target'!H$2:H$200,MATCH('Calculations - Target'!$D85,'Input - Target'!$B$2:$B$200,0)),"")</f>
        <v>0</v>
      </c>
      <c r="K85" s="21">
        <f>IFERROR(INDEX('Input - Target'!I$2:I$200,MATCH('Calculations - Target'!$D85,'Input - Target'!$B$2:$B$200,0)),"")</f>
        <v>0</v>
      </c>
      <c r="L85" s="21">
        <f>IFERROR(INDEX('Input - Target'!J$2:J$200,MATCH('Calculations - Target'!$D85,'Input - Target'!$B$2:$B$200,0)),"")</f>
        <v>0</v>
      </c>
      <c r="M85" s="20">
        <f>IFERROR(INDEX('Input - Target'!K$2:K$200,MATCH('Calculations - Target'!$D85,'Input - Target'!$B$2:$B$200,0)),"")</f>
        <v>0</v>
      </c>
      <c r="N85" s="20">
        <f>IFERROR(INDEX('Input - Target'!L$2:L$200,MATCH('Calculations - Target'!$D85,'Input - Target'!$B$2:$B$200,0)),"")</f>
        <v>0</v>
      </c>
      <c r="O85" s="21" t="str">
        <f t="shared" si="65"/>
        <v/>
      </c>
      <c r="P85" s="21" t="str">
        <f t="shared" si="47"/>
        <v/>
      </c>
      <c r="Q85" s="21">
        <f t="shared" si="66"/>
        <v>0</v>
      </c>
      <c r="R85" s="9">
        <f t="shared" si="84"/>
        <v>0</v>
      </c>
      <c r="S85" s="9">
        <f t="shared" si="85"/>
        <v>0</v>
      </c>
      <c r="T85" s="22" t="str">
        <f>IFERROR(INDEX(Target!$S$11:$S$167,MATCH('Calculations - Target'!$D85,Target!$N$11:$N$167,0)),"")</f>
        <v/>
      </c>
      <c r="U85" s="22" t="str">
        <f>IFERROR(INDEX(Target!$T$11:$T$167,MATCH('Calculations - Target'!$D85,Target!$N$11:$N$167,0)),"")</f>
        <v/>
      </c>
      <c r="V85" s="16" t="e">
        <f t="shared" si="50"/>
        <v>#VALUE!</v>
      </c>
      <c r="W85" s="16" t="e">
        <f t="shared" si="67"/>
        <v>#VALUE!</v>
      </c>
      <c r="X85" s="16" t="e">
        <f t="shared" si="68"/>
        <v>#VALUE!</v>
      </c>
      <c r="Y85" s="10" t="str">
        <f t="shared" si="51"/>
        <v>-</v>
      </c>
      <c r="Z85" s="10" t="str">
        <f t="shared" si="52"/>
        <v>-</v>
      </c>
      <c r="AA85" s="13" t="str">
        <f t="shared" si="69"/>
        <v>-</v>
      </c>
      <c r="AB85" s="9" t="str">
        <f t="shared" si="53"/>
        <v>-</v>
      </c>
      <c r="AC85" s="16" t="str">
        <f t="shared" si="70"/>
        <v>-</v>
      </c>
      <c r="AD85" s="16" t="str">
        <f t="shared" si="54"/>
        <v>-</v>
      </c>
      <c r="AE85" s="16" t="str">
        <f t="shared" si="55"/>
        <v>-</v>
      </c>
      <c r="AF85" s="16" t="str">
        <f t="shared" si="71"/>
        <v>-</v>
      </c>
      <c r="AG85" s="16"/>
      <c r="AH85" s="32" t="str">
        <f>IFERROR(INDEX(Target!$R$11:$R$167,MATCH('Calculations - Target'!D85,Target!$N$11:$N$167,0)),"")</f>
        <v/>
      </c>
      <c r="AI85" s="23" t="str">
        <f t="shared" si="72"/>
        <v/>
      </c>
      <c r="AJ85" s="23" t="str">
        <f t="shared" si="73"/>
        <v/>
      </c>
      <c r="AK85" s="9" t="str">
        <f t="shared" si="56"/>
        <v/>
      </c>
      <c r="AL85" s="4" t="str">
        <f t="shared" si="57"/>
        <v/>
      </c>
      <c r="AM85" s="4"/>
      <c r="AN85" s="4"/>
      <c r="AO85" s="4"/>
      <c r="AP85" s="4"/>
      <c r="AQ85" s="4"/>
      <c r="AR85" s="20" t="str">
        <f t="shared" si="58"/>
        <v>-</v>
      </c>
      <c r="AS85" s="13" t="str">
        <f t="shared" si="74"/>
        <v>-</v>
      </c>
      <c r="AT85" s="13" t="str">
        <f t="shared" si="75"/>
        <v>-</v>
      </c>
      <c r="AU85" s="13" t="str">
        <f t="shared" si="59"/>
        <v>-</v>
      </c>
      <c r="AV85" s="16" t="str">
        <f t="shared" si="76"/>
        <v>-</v>
      </c>
      <c r="AW85" s="16" t="str">
        <f t="shared" si="60"/>
        <v>-</v>
      </c>
      <c r="AX85" s="16" t="str">
        <f t="shared" si="61"/>
        <v>-</v>
      </c>
      <c r="AY85" s="16" t="str">
        <f t="shared" si="77"/>
        <v>-</v>
      </c>
      <c r="AZ85" s="13" t="str">
        <f t="shared" si="78"/>
        <v>-</v>
      </c>
      <c r="BA85" s="10" t="str">
        <f t="shared" si="79"/>
        <v>-</v>
      </c>
      <c r="BB85" s="9" t="str">
        <f t="shared" si="80"/>
        <v>-</v>
      </c>
      <c r="BC85" s="13" t="str">
        <f t="shared" si="81"/>
        <v>-</v>
      </c>
      <c r="BD85" s="10" t="str">
        <f t="shared" si="82"/>
        <v>-</v>
      </c>
      <c r="BE85" s="13" t="str">
        <f t="shared" si="83"/>
        <v>-</v>
      </c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</row>
    <row r="86" spans="2:70" x14ac:dyDescent="0.3">
      <c r="B86" s="96" t="str">
        <f t="shared" si="62"/>
        <v/>
      </c>
      <c r="C86" s="96" t="str">
        <f t="shared" si="63"/>
        <v/>
      </c>
      <c r="D86" s="96" t="str">
        <f t="shared" si="64"/>
        <v/>
      </c>
      <c r="E86" s="3"/>
      <c r="F86" s="3"/>
      <c r="G86" s="3"/>
      <c r="H86" s="3"/>
      <c r="I86" s="20">
        <f>IFERROR(INDEX('Input - Target'!G$2:G$200,MATCH('Calculations - Target'!$D86,'Input - Target'!$B$2:$B$200,0)),"")</f>
        <v>0</v>
      </c>
      <c r="J86" s="20">
        <f>IFERROR(INDEX('Input - Target'!H$2:H$200,MATCH('Calculations - Target'!$D86,'Input - Target'!$B$2:$B$200,0)),"")</f>
        <v>0</v>
      </c>
      <c r="K86" s="21">
        <f>IFERROR(INDEX('Input - Target'!I$2:I$200,MATCH('Calculations - Target'!$D86,'Input - Target'!$B$2:$B$200,0)),"")</f>
        <v>0</v>
      </c>
      <c r="L86" s="21">
        <f>IFERROR(INDEX('Input - Target'!J$2:J$200,MATCH('Calculations - Target'!$D86,'Input - Target'!$B$2:$B$200,0)),"")</f>
        <v>0</v>
      </c>
      <c r="M86" s="20">
        <f>IFERROR(INDEX('Input - Target'!K$2:K$200,MATCH('Calculations - Target'!$D86,'Input - Target'!$B$2:$B$200,0)),"")</f>
        <v>0</v>
      </c>
      <c r="N86" s="20">
        <f>IFERROR(INDEX('Input - Target'!L$2:L$200,MATCH('Calculations - Target'!$D86,'Input - Target'!$B$2:$B$200,0)),"")</f>
        <v>0</v>
      </c>
      <c r="O86" s="21" t="str">
        <f t="shared" si="65"/>
        <v/>
      </c>
      <c r="P86" s="21" t="str">
        <f t="shared" si="47"/>
        <v/>
      </c>
      <c r="Q86" s="21">
        <f t="shared" si="66"/>
        <v>0</v>
      </c>
      <c r="R86" s="9">
        <f t="shared" si="84"/>
        <v>0</v>
      </c>
      <c r="S86" s="9">
        <f t="shared" si="85"/>
        <v>0</v>
      </c>
      <c r="T86" s="22" t="str">
        <f>IFERROR(INDEX(Target!$S$11:$S$167,MATCH('Calculations - Target'!$D86,Target!$N$11:$N$167,0)),"")</f>
        <v/>
      </c>
      <c r="U86" s="22" t="str">
        <f>IFERROR(INDEX(Target!$T$11:$T$167,MATCH('Calculations - Target'!$D86,Target!$N$11:$N$167,0)),"")</f>
        <v/>
      </c>
      <c r="V86" s="16" t="e">
        <f t="shared" si="50"/>
        <v>#VALUE!</v>
      </c>
      <c r="W86" s="16" t="e">
        <f t="shared" si="67"/>
        <v>#VALUE!</v>
      </c>
      <c r="X86" s="16" t="e">
        <f t="shared" si="68"/>
        <v>#VALUE!</v>
      </c>
      <c r="Y86" s="10" t="str">
        <f t="shared" si="51"/>
        <v>-</v>
      </c>
      <c r="Z86" s="10" t="str">
        <f t="shared" si="52"/>
        <v>-</v>
      </c>
      <c r="AA86" s="13" t="str">
        <f t="shared" si="69"/>
        <v>-</v>
      </c>
      <c r="AB86" s="9" t="str">
        <f t="shared" si="53"/>
        <v>-</v>
      </c>
      <c r="AC86" s="16" t="str">
        <f t="shared" si="70"/>
        <v>-</v>
      </c>
      <c r="AD86" s="16" t="str">
        <f t="shared" si="54"/>
        <v>-</v>
      </c>
      <c r="AE86" s="16" t="str">
        <f t="shared" si="55"/>
        <v>-</v>
      </c>
      <c r="AF86" s="16" t="str">
        <f t="shared" si="71"/>
        <v>-</v>
      </c>
      <c r="AG86" s="16"/>
      <c r="AH86" s="32" t="str">
        <f>IFERROR(INDEX(Target!$R$11:$R$167,MATCH('Calculations - Target'!D86,Target!$N$11:$N$167,0)),"")</f>
        <v/>
      </c>
      <c r="AI86" s="23" t="str">
        <f t="shared" si="72"/>
        <v/>
      </c>
      <c r="AJ86" s="23" t="str">
        <f t="shared" si="73"/>
        <v/>
      </c>
      <c r="AK86" s="9" t="str">
        <f t="shared" si="56"/>
        <v/>
      </c>
      <c r="AL86" s="4" t="str">
        <f t="shared" si="57"/>
        <v/>
      </c>
      <c r="AM86" s="4"/>
      <c r="AN86" s="4"/>
      <c r="AO86" s="4"/>
      <c r="AP86" s="4"/>
      <c r="AQ86" s="4"/>
      <c r="AR86" s="20" t="str">
        <f t="shared" si="58"/>
        <v>-</v>
      </c>
      <c r="AS86" s="13" t="str">
        <f t="shared" si="74"/>
        <v>-</v>
      </c>
      <c r="AT86" s="13" t="str">
        <f t="shared" si="75"/>
        <v>-</v>
      </c>
      <c r="AU86" s="13" t="str">
        <f t="shared" si="59"/>
        <v>-</v>
      </c>
      <c r="AV86" s="16" t="str">
        <f t="shared" si="76"/>
        <v>-</v>
      </c>
      <c r="AW86" s="16" t="str">
        <f t="shared" si="60"/>
        <v>-</v>
      </c>
      <c r="AX86" s="16" t="str">
        <f t="shared" si="61"/>
        <v>-</v>
      </c>
      <c r="AY86" s="16" t="str">
        <f t="shared" si="77"/>
        <v>-</v>
      </c>
      <c r="AZ86" s="13" t="str">
        <f t="shared" si="78"/>
        <v>-</v>
      </c>
      <c r="BA86" s="10" t="str">
        <f t="shared" si="79"/>
        <v>-</v>
      </c>
      <c r="BB86" s="9" t="str">
        <f t="shared" si="80"/>
        <v>-</v>
      </c>
      <c r="BC86" s="13" t="str">
        <f t="shared" si="81"/>
        <v>-</v>
      </c>
      <c r="BD86" s="10" t="str">
        <f t="shared" si="82"/>
        <v>-</v>
      </c>
      <c r="BE86" s="13" t="str">
        <f t="shared" si="83"/>
        <v>-</v>
      </c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</row>
    <row r="87" spans="2:70" x14ac:dyDescent="0.3">
      <c r="B87" s="96" t="str">
        <f t="shared" si="62"/>
        <v/>
      </c>
      <c r="C87" s="96" t="str">
        <f t="shared" si="63"/>
        <v/>
      </c>
      <c r="D87" s="96" t="str">
        <f t="shared" si="64"/>
        <v/>
      </c>
      <c r="E87" s="3"/>
      <c r="F87" s="3"/>
      <c r="G87" s="3"/>
      <c r="H87" s="3"/>
      <c r="I87" s="20">
        <f>IFERROR(INDEX('Input - Target'!G$2:G$200,MATCH('Calculations - Target'!$D87,'Input - Target'!$B$2:$B$200,0)),"")</f>
        <v>0</v>
      </c>
      <c r="J87" s="20">
        <f>IFERROR(INDEX('Input - Target'!H$2:H$200,MATCH('Calculations - Target'!$D87,'Input - Target'!$B$2:$B$200,0)),"")</f>
        <v>0</v>
      </c>
      <c r="K87" s="21">
        <f>IFERROR(INDEX('Input - Target'!I$2:I$200,MATCH('Calculations - Target'!$D87,'Input - Target'!$B$2:$B$200,0)),"")</f>
        <v>0</v>
      </c>
      <c r="L87" s="21">
        <f>IFERROR(INDEX('Input - Target'!J$2:J$200,MATCH('Calculations - Target'!$D87,'Input - Target'!$B$2:$B$200,0)),"")</f>
        <v>0</v>
      </c>
      <c r="M87" s="20">
        <f>IFERROR(INDEX('Input - Target'!K$2:K$200,MATCH('Calculations - Target'!$D87,'Input - Target'!$B$2:$B$200,0)),"")</f>
        <v>0</v>
      </c>
      <c r="N87" s="20">
        <f>IFERROR(INDEX('Input - Target'!L$2:L$200,MATCH('Calculations - Target'!$D87,'Input - Target'!$B$2:$B$200,0)),"")</f>
        <v>0</v>
      </c>
      <c r="O87" s="21" t="str">
        <f t="shared" si="65"/>
        <v/>
      </c>
      <c r="P87" s="21" t="str">
        <f t="shared" si="47"/>
        <v/>
      </c>
      <c r="Q87" s="21">
        <f t="shared" si="66"/>
        <v>0</v>
      </c>
      <c r="R87" s="9">
        <f t="shared" si="84"/>
        <v>0</v>
      </c>
      <c r="S87" s="9">
        <f t="shared" si="85"/>
        <v>0</v>
      </c>
      <c r="T87" s="22" t="str">
        <f>IFERROR(INDEX(Target!$S$11:$S$167,MATCH('Calculations - Target'!$D87,Target!$N$11:$N$167,0)),"")</f>
        <v/>
      </c>
      <c r="U87" s="22" t="str">
        <f>IFERROR(INDEX(Target!$T$11:$T$167,MATCH('Calculations - Target'!$D87,Target!$N$11:$N$167,0)),"")</f>
        <v/>
      </c>
      <c r="V87" s="16" t="e">
        <f t="shared" si="50"/>
        <v>#VALUE!</v>
      </c>
      <c r="W87" s="16" t="e">
        <f t="shared" si="67"/>
        <v>#VALUE!</v>
      </c>
      <c r="X87" s="16" t="e">
        <f t="shared" si="68"/>
        <v>#VALUE!</v>
      </c>
      <c r="Y87" s="10" t="str">
        <f t="shared" si="51"/>
        <v>-</v>
      </c>
      <c r="Z87" s="10" t="str">
        <f t="shared" si="52"/>
        <v>-</v>
      </c>
      <c r="AA87" s="13" t="str">
        <f t="shared" si="69"/>
        <v>-</v>
      </c>
      <c r="AB87" s="9" t="str">
        <f t="shared" si="53"/>
        <v>-</v>
      </c>
      <c r="AC87" s="16" t="str">
        <f t="shared" si="70"/>
        <v>-</v>
      </c>
      <c r="AD87" s="16" t="str">
        <f t="shared" si="54"/>
        <v>-</v>
      </c>
      <c r="AE87" s="16" t="str">
        <f t="shared" si="55"/>
        <v>-</v>
      </c>
      <c r="AF87" s="16" t="str">
        <f t="shared" si="71"/>
        <v>-</v>
      </c>
      <c r="AG87" s="16"/>
      <c r="AH87" s="32" t="str">
        <f>IFERROR(INDEX(Target!$R$11:$R$167,MATCH('Calculations - Target'!D87,Target!$N$11:$N$167,0)),"")</f>
        <v/>
      </c>
      <c r="AI87" s="23" t="str">
        <f t="shared" si="72"/>
        <v/>
      </c>
      <c r="AJ87" s="23" t="str">
        <f t="shared" si="73"/>
        <v/>
      </c>
      <c r="AK87" s="9" t="str">
        <f t="shared" si="56"/>
        <v/>
      </c>
      <c r="AL87" s="4" t="str">
        <f t="shared" si="57"/>
        <v/>
      </c>
      <c r="AM87" s="4"/>
      <c r="AN87" s="4"/>
      <c r="AO87" s="4"/>
      <c r="AP87" s="4"/>
      <c r="AQ87" s="4"/>
      <c r="AR87" s="20" t="str">
        <f t="shared" si="58"/>
        <v>-</v>
      </c>
      <c r="AS87" s="13" t="str">
        <f t="shared" si="74"/>
        <v>-</v>
      </c>
      <c r="AT87" s="13" t="str">
        <f t="shared" si="75"/>
        <v>-</v>
      </c>
      <c r="AU87" s="13" t="str">
        <f t="shared" si="59"/>
        <v>-</v>
      </c>
      <c r="AV87" s="16" t="str">
        <f t="shared" si="76"/>
        <v>-</v>
      </c>
      <c r="AW87" s="16" t="str">
        <f t="shared" si="60"/>
        <v>-</v>
      </c>
      <c r="AX87" s="16" t="str">
        <f t="shared" si="61"/>
        <v>-</v>
      </c>
      <c r="AY87" s="16" t="str">
        <f t="shared" si="77"/>
        <v>-</v>
      </c>
      <c r="AZ87" s="13" t="str">
        <f t="shared" si="78"/>
        <v>-</v>
      </c>
      <c r="BA87" s="10" t="str">
        <f t="shared" si="79"/>
        <v>-</v>
      </c>
      <c r="BB87" s="9" t="str">
        <f t="shared" si="80"/>
        <v>-</v>
      </c>
      <c r="BC87" s="13" t="str">
        <f t="shared" si="81"/>
        <v>-</v>
      </c>
      <c r="BD87" s="10" t="str">
        <f t="shared" si="82"/>
        <v>-</v>
      </c>
      <c r="BE87" s="13" t="str">
        <f t="shared" si="83"/>
        <v>-</v>
      </c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</row>
    <row r="88" spans="2:70" x14ac:dyDescent="0.3">
      <c r="B88" s="96" t="str">
        <f t="shared" si="62"/>
        <v/>
      </c>
      <c r="C88" s="96" t="str">
        <f t="shared" si="63"/>
        <v/>
      </c>
      <c r="D88" s="96" t="str">
        <f t="shared" si="64"/>
        <v/>
      </c>
      <c r="E88" s="3"/>
      <c r="F88" s="3"/>
      <c r="G88" s="3"/>
      <c r="H88" s="3"/>
      <c r="I88" s="20">
        <f>IFERROR(INDEX('Input - Target'!G$2:G$200,MATCH('Calculations - Target'!$D88,'Input - Target'!$B$2:$B$200,0)),"")</f>
        <v>0</v>
      </c>
      <c r="J88" s="20">
        <f>IFERROR(INDEX('Input - Target'!H$2:H$200,MATCH('Calculations - Target'!$D88,'Input - Target'!$B$2:$B$200,0)),"")</f>
        <v>0</v>
      </c>
      <c r="K88" s="21">
        <f>IFERROR(INDEX('Input - Target'!I$2:I$200,MATCH('Calculations - Target'!$D88,'Input - Target'!$B$2:$B$200,0)),"")</f>
        <v>0</v>
      </c>
      <c r="L88" s="21">
        <f>IFERROR(INDEX('Input - Target'!J$2:J$200,MATCH('Calculations - Target'!$D88,'Input - Target'!$B$2:$B$200,0)),"")</f>
        <v>0</v>
      </c>
      <c r="M88" s="20">
        <f>IFERROR(INDEX('Input - Target'!K$2:K$200,MATCH('Calculations - Target'!$D88,'Input - Target'!$B$2:$B$200,0)),"")</f>
        <v>0</v>
      </c>
      <c r="N88" s="20">
        <f>IFERROR(INDEX('Input - Target'!L$2:L$200,MATCH('Calculations - Target'!$D88,'Input - Target'!$B$2:$B$200,0)),"")</f>
        <v>0</v>
      </c>
      <c r="O88" s="21" t="str">
        <f t="shared" si="65"/>
        <v/>
      </c>
      <c r="P88" s="21" t="str">
        <f t="shared" si="47"/>
        <v/>
      </c>
      <c r="Q88" s="21">
        <f t="shared" si="66"/>
        <v>0</v>
      </c>
      <c r="R88" s="9">
        <f t="shared" si="84"/>
        <v>0</v>
      </c>
      <c r="S88" s="9">
        <f t="shared" si="85"/>
        <v>0</v>
      </c>
      <c r="T88" s="22" t="str">
        <f>IFERROR(INDEX(Target!$S$11:$S$167,MATCH('Calculations - Target'!$D88,Target!$N$11:$N$167,0)),"")</f>
        <v/>
      </c>
      <c r="U88" s="22" t="str">
        <f>IFERROR(INDEX(Target!$T$11:$T$167,MATCH('Calculations - Target'!$D88,Target!$N$11:$N$167,0)),"")</f>
        <v/>
      </c>
      <c r="V88" s="16" t="e">
        <f t="shared" si="50"/>
        <v>#VALUE!</v>
      </c>
      <c r="W88" s="16" t="e">
        <f t="shared" si="67"/>
        <v>#VALUE!</v>
      </c>
      <c r="X88" s="16" t="e">
        <f t="shared" si="68"/>
        <v>#VALUE!</v>
      </c>
      <c r="Y88" s="10" t="str">
        <f t="shared" si="51"/>
        <v>-</v>
      </c>
      <c r="Z88" s="10" t="str">
        <f t="shared" si="52"/>
        <v>-</v>
      </c>
      <c r="AA88" s="13" t="str">
        <f t="shared" si="69"/>
        <v>-</v>
      </c>
      <c r="AB88" s="9" t="str">
        <f t="shared" si="53"/>
        <v>-</v>
      </c>
      <c r="AC88" s="16" t="str">
        <f t="shared" si="70"/>
        <v>-</v>
      </c>
      <c r="AD88" s="16" t="str">
        <f t="shared" si="54"/>
        <v>-</v>
      </c>
      <c r="AE88" s="16" t="str">
        <f t="shared" si="55"/>
        <v>-</v>
      </c>
      <c r="AF88" s="16" t="str">
        <f t="shared" si="71"/>
        <v>-</v>
      </c>
      <c r="AG88" s="16"/>
      <c r="AH88" s="32" t="str">
        <f>IFERROR(INDEX(Target!$R$11:$R$167,MATCH('Calculations - Target'!D88,Target!$N$11:$N$167,0)),"")</f>
        <v/>
      </c>
      <c r="AI88" s="23" t="str">
        <f t="shared" si="72"/>
        <v/>
      </c>
      <c r="AJ88" s="23" t="str">
        <f t="shared" si="73"/>
        <v/>
      </c>
      <c r="AK88" s="9" t="str">
        <f t="shared" si="56"/>
        <v/>
      </c>
      <c r="AL88" s="4" t="str">
        <f t="shared" si="57"/>
        <v/>
      </c>
      <c r="AM88" s="4"/>
      <c r="AN88" s="4"/>
      <c r="AO88" s="4"/>
      <c r="AP88" s="4"/>
      <c r="AQ88" s="4"/>
      <c r="AR88" s="20" t="str">
        <f t="shared" si="58"/>
        <v>-</v>
      </c>
      <c r="AS88" s="13" t="str">
        <f t="shared" si="74"/>
        <v>-</v>
      </c>
      <c r="AT88" s="13" t="str">
        <f t="shared" si="75"/>
        <v>-</v>
      </c>
      <c r="AU88" s="13" t="str">
        <f t="shared" si="59"/>
        <v>-</v>
      </c>
      <c r="AV88" s="16" t="str">
        <f t="shared" si="76"/>
        <v>-</v>
      </c>
      <c r="AW88" s="16" t="str">
        <f t="shared" si="60"/>
        <v>-</v>
      </c>
      <c r="AX88" s="16" t="str">
        <f t="shared" si="61"/>
        <v>-</v>
      </c>
      <c r="AY88" s="16" t="str">
        <f t="shared" si="77"/>
        <v>-</v>
      </c>
      <c r="AZ88" s="13" t="str">
        <f t="shared" si="78"/>
        <v>-</v>
      </c>
      <c r="BA88" s="10" t="str">
        <f t="shared" si="79"/>
        <v>-</v>
      </c>
      <c r="BB88" s="9" t="str">
        <f t="shared" si="80"/>
        <v>-</v>
      </c>
      <c r="BC88" s="13" t="str">
        <f t="shared" si="81"/>
        <v>-</v>
      </c>
      <c r="BD88" s="10" t="str">
        <f t="shared" si="82"/>
        <v>-</v>
      </c>
      <c r="BE88" s="13" t="str">
        <f t="shared" si="83"/>
        <v>-</v>
      </c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</row>
    <row r="89" spans="2:70" x14ac:dyDescent="0.3">
      <c r="B89" s="96" t="str">
        <f t="shared" si="62"/>
        <v/>
      </c>
      <c r="C89" s="96" t="str">
        <f t="shared" si="63"/>
        <v/>
      </c>
      <c r="D89" s="96" t="str">
        <f t="shared" si="64"/>
        <v/>
      </c>
      <c r="E89" s="3"/>
      <c r="F89" s="3"/>
      <c r="G89" s="3"/>
      <c r="H89" s="3"/>
      <c r="I89" s="20">
        <f>IFERROR(INDEX('Input - Target'!G$2:G$200,MATCH('Calculations - Target'!$D89,'Input - Target'!$B$2:$B$200,0)),"")</f>
        <v>0</v>
      </c>
      <c r="J89" s="20">
        <f>IFERROR(INDEX('Input - Target'!H$2:H$200,MATCH('Calculations - Target'!$D89,'Input - Target'!$B$2:$B$200,0)),"")</f>
        <v>0</v>
      </c>
      <c r="K89" s="21">
        <f>IFERROR(INDEX('Input - Target'!I$2:I$200,MATCH('Calculations - Target'!$D89,'Input - Target'!$B$2:$B$200,0)),"")</f>
        <v>0</v>
      </c>
      <c r="L89" s="21">
        <f>IFERROR(INDEX('Input - Target'!J$2:J$200,MATCH('Calculations - Target'!$D89,'Input - Target'!$B$2:$B$200,0)),"")</f>
        <v>0</v>
      </c>
      <c r="M89" s="20">
        <f>IFERROR(INDEX('Input - Target'!K$2:K$200,MATCH('Calculations - Target'!$D89,'Input - Target'!$B$2:$B$200,0)),"")</f>
        <v>0</v>
      </c>
      <c r="N89" s="20">
        <f>IFERROR(INDEX('Input - Target'!L$2:L$200,MATCH('Calculations - Target'!$D89,'Input - Target'!$B$2:$B$200,0)),"")</f>
        <v>0</v>
      </c>
      <c r="O89" s="21" t="str">
        <f t="shared" si="65"/>
        <v/>
      </c>
      <c r="P89" s="21" t="str">
        <f t="shared" si="47"/>
        <v/>
      </c>
      <c r="Q89" s="21">
        <f t="shared" si="66"/>
        <v>0</v>
      </c>
      <c r="R89" s="9">
        <f t="shared" si="84"/>
        <v>0</v>
      </c>
      <c r="S89" s="9">
        <f t="shared" si="85"/>
        <v>0</v>
      </c>
      <c r="T89" s="22" t="str">
        <f>IFERROR(INDEX(Target!$S$11:$S$167,MATCH('Calculations - Target'!$D89,Target!$N$11:$N$167,0)),"")</f>
        <v/>
      </c>
      <c r="U89" s="22" t="str">
        <f>IFERROR(INDEX(Target!$T$11:$T$167,MATCH('Calculations - Target'!$D89,Target!$N$11:$N$167,0)),"")</f>
        <v/>
      </c>
      <c r="V89" s="16" t="e">
        <f t="shared" si="50"/>
        <v>#VALUE!</v>
      </c>
      <c r="W89" s="16" t="e">
        <f t="shared" si="67"/>
        <v>#VALUE!</v>
      </c>
      <c r="X89" s="16" t="e">
        <f t="shared" si="68"/>
        <v>#VALUE!</v>
      </c>
      <c r="Y89" s="10" t="str">
        <f t="shared" si="51"/>
        <v>-</v>
      </c>
      <c r="Z89" s="10" t="str">
        <f t="shared" si="52"/>
        <v>-</v>
      </c>
      <c r="AA89" s="13" t="str">
        <f t="shared" si="69"/>
        <v>-</v>
      </c>
      <c r="AB89" s="9" t="str">
        <f t="shared" si="53"/>
        <v>-</v>
      </c>
      <c r="AC89" s="16" t="str">
        <f t="shared" si="70"/>
        <v>-</v>
      </c>
      <c r="AD89" s="16" t="str">
        <f t="shared" si="54"/>
        <v>-</v>
      </c>
      <c r="AE89" s="16" t="str">
        <f t="shared" si="55"/>
        <v>-</v>
      </c>
      <c r="AF89" s="16" t="str">
        <f t="shared" si="71"/>
        <v>-</v>
      </c>
      <c r="AG89" s="16"/>
      <c r="AH89" s="32" t="str">
        <f>IFERROR(INDEX(Target!$R$11:$R$167,MATCH('Calculations - Target'!D89,Target!$N$11:$N$167,0)),"")</f>
        <v/>
      </c>
      <c r="AI89" s="23" t="str">
        <f t="shared" si="72"/>
        <v/>
      </c>
      <c r="AJ89" s="23" t="str">
        <f t="shared" si="73"/>
        <v/>
      </c>
      <c r="AK89" s="9" t="str">
        <f t="shared" si="56"/>
        <v/>
      </c>
      <c r="AL89" s="4" t="str">
        <f t="shared" si="57"/>
        <v/>
      </c>
      <c r="AM89" s="4"/>
      <c r="AN89" s="4"/>
      <c r="AO89" s="4"/>
      <c r="AP89" s="4"/>
      <c r="AQ89" s="4"/>
      <c r="AR89" s="20" t="str">
        <f t="shared" si="58"/>
        <v>-</v>
      </c>
      <c r="AS89" s="13" t="str">
        <f t="shared" si="74"/>
        <v>-</v>
      </c>
      <c r="AT89" s="13" t="str">
        <f t="shared" si="75"/>
        <v>-</v>
      </c>
      <c r="AU89" s="13" t="str">
        <f t="shared" si="59"/>
        <v>-</v>
      </c>
      <c r="AV89" s="16" t="str">
        <f t="shared" si="76"/>
        <v>-</v>
      </c>
      <c r="AW89" s="16" t="str">
        <f t="shared" si="60"/>
        <v>-</v>
      </c>
      <c r="AX89" s="16" t="str">
        <f t="shared" si="61"/>
        <v>-</v>
      </c>
      <c r="AY89" s="16" t="str">
        <f t="shared" si="77"/>
        <v>-</v>
      </c>
      <c r="AZ89" s="13" t="str">
        <f t="shared" si="78"/>
        <v>-</v>
      </c>
      <c r="BA89" s="10" t="str">
        <f t="shared" si="79"/>
        <v>-</v>
      </c>
      <c r="BB89" s="9" t="str">
        <f t="shared" si="80"/>
        <v>-</v>
      </c>
      <c r="BC89" s="13" t="str">
        <f t="shared" si="81"/>
        <v>-</v>
      </c>
      <c r="BD89" s="10" t="str">
        <f t="shared" si="82"/>
        <v>-</v>
      </c>
      <c r="BE89" s="13" t="str">
        <f t="shared" si="83"/>
        <v>-</v>
      </c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</row>
    <row r="90" spans="2:70" x14ac:dyDescent="0.3">
      <c r="B90" s="96" t="str">
        <f t="shared" si="62"/>
        <v/>
      </c>
      <c r="C90" s="96" t="str">
        <f t="shared" si="63"/>
        <v/>
      </c>
      <c r="D90" s="96" t="str">
        <f t="shared" si="64"/>
        <v/>
      </c>
      <c r="E90" s="3"/>
      <c r="F90" s="3"/>
      <c r="G90" s="3"/>
      <c r="H90" s="3"/>
      <c r="I90" s="20">
        <f>IFERROR(INDEX('Input - Target'!G$2:G$200,MATCH('Calculations - Target'!$D90,'Input - Target'!$B$2:$B$200,0)),"")</f>
        <v>0</v>
      </c>
      <c r="J90" s="20">
        <f>IFERROR(INDEX('Input - Target'!H$2:H$200,MATCH('Calculations - Target'!$D90,'Input - Target'!$B$2:$B$200,0)),"")</f>
        <v>0</v>
      </c>
      <c r="K90" s="21">
        <f>IFERROR(INDEX('Input - Target'!I$2:I$200,MATCH('Calculations - Target'!$D90,'Input - Target'!$B$2:$B$200,0)),"")</f>
        <v>0</v>
      </c>
      <c r="L90" s="21">
        <f>IFERROR(INDEX('Input - Target'!J$2:J$200,MATCH('Calculations - Target'!$D90,'Input - Target'!$B$2:$B$200,0)),"")</f>
        <v>0</v>
      </c>
      <c r="M90" s="20">
        <f>IFERROR(INDEX('Input - Target'!K$2:K$200,MATCH('Calculations - Target'!$D90,'Input - Target'!$B$2:$B$200,0)),"")</f>
        <v>0</v>
      </c>
      <c r="N90" s="20">
        <f>IFERROR(INDEX('Input - Target'!L$2:L$200,MATCH('Calculations - Target'!$D90,'Input - Target'!$B$2:$B$200,0)),"")</f>
        <v>0</v>
      </c>
      <c r="O90" s="21" t="str">
        <f t="shared" si="65"/>
        <v/>
      </c>
      <c r="P90" s="21" t="str">
        <f t="shared" si="47"/>
        <v/>
      </c>
      <c r="Q90" s="21">
        <f t="shared" si="66"/>
        <v>0</v>
      </c>
      <c r="R90" s="9">
        <f t="shared" si="84"/>
        <v>0</v>
      </c>
      <c r="S90" s="9">
        <f t="shared" si="85"/>
        <v>0</v>
      </c>
      <c r="T90" s="22" t="str">
        <f>IFERROR(INDEX(Target!$S$11:$S$167,MATCH('Calculations - Target'!$D90,Target!$N$11:$N$167,0)),"")</f>
        <v/>
      </c>
      <c r="U90" s="22" t="str">
        <f>IFERROR(INDEX(Target!$T$11:$T$167,MATCH('Calculations - Target'!$D90,Target!$N$11:$N$167,0)),"")</f>
        <v/>
      </c>
      <c r="V90" s="16" t="e">
        <f t="shared" si="50"/>
        <v>#VALUE!</v>
      </c>
      <c r="W90" s="16" t="e">
        <f t="shared" si="67"/>
        <v>#VALUE!</v>
      </c>
      <c r="X90" s="16" t="e">
        <f t="shared" si="68"/>
        <v>#VALUE!</v>
      </c>
      <c r="Y90" s="10" t="str">
        <f t="shared" si="51"/>
        <v>-</v>
      </c>
      <c r="Z90" s="10" t="str">
        <f t="shared" si="52"/>
        <v>-</v>
      </c>
      <c r="AA90" s="13" t="str">
        <f t="shared" si="69"/>
        <v>-</v>
      </c>
      <c r="AB90" s="9" t="str">
        <f t="shared" si="53"/>
        <v>-</v>
      </c>
      <c r="AC90" s="16" t="str">
        <f t="shared" si="70"/>
        <v>-</v>
      </c>
      <c r="AD90" s="16" t="str">
        <f t="shared" si="54"/>
        <v>-</v>
      </c>
      <c r="AE90" s="16" t="str">
        <f t="shared" si="55"/>
        <v>-</v>
      </c>
      <c r="AF90" s="16" t="str">
        <f t="shared" si="71"/>
        <v>-</v>
      </c>
      <c r="AG90" s="16"/>
      <c r="AH90" s="32" t="str">
        <f>IFERROR(INDEX(Target!$R$11:$R$167,MATCH('Calculations - Target'!D90,Target!$N$11:$N$167,0)),"")</f>
        <v/>
      </c>
      <c r="AI90" s="23" t="str">
        <f t="shared" si="72"/>
        <v/>
      </c>
      <c r="AJ90" s="23" t="str">
        <f t="shared" si="73"/>
        <v/>
      </c>
      <c r="AK90" s="9" t="str">
        <f t="shared" si="56"/>
        <v/>
      </c>
      <c r="AL90" s="4" t="str">
        <f t="shared" si="57"/>
        <v/>
      </c>
      <c r="AM90" s="4"/>
      <c r="AN90" s="4"/>
      <c r="AO90" s="4"/>
      <c r="AP90" s="4"/>
      <c r="AQ90" s="4"/>
      <c r="AR90" s="20" t="str">
        <f t="shared" si="58"/>
        <v>-</v>
      </c>
      <c r="AS90" s="13" t="str">
        <f t="shared" si="74"/>
        <v>-</v>
      </c>
      <c r="AT90" s="13" t="str">
        <f t="shared" si="75"/>
        <v>-</v>
      </c>
      <c r="AU90" s="13" t="str">
        <f t="shared" si="59"/>
        <v>-</v>
      </c>
      <c r="AV90" s="16" t="str">
        <f t="shared" si="76"/>
        <v>-</v>
      </c>
      <c r="AW90" s="16" t="str">
        <f t="shared" si="60"/>
        <v>-</v>
      </c>
      <c r="AX90" s="16" t="str">
        <f t="shared" si="61"/>
        <v>-</v>
      </c>
      <c r="AY90" s="16" t="str">
        <f t="shared" si="77"/>
        <v>-</v>
      </c>
      <c r="AZ90" s="13" t="str">
        <f t="shared" si="78"/>
        <v>-</v>
      </c>
      <c r="BA90" s="10" t="str">
        <f t="shared" si="79"/>
        <v>-</v>
      </c>
      <c r="BB90" s="9" t="str">
        <f t="shared" si="80"/>
        <v>-</v>
      </c>
      <c r="BC90" s="13" t="str">
        <f t="shared" si="81"/>
        <v>-</v>
      </c>
      <c r="BD90" s="10" t="str">
        <f t="shared" si="82"/>
        <v>-</v>
      </c>
      <c r="BE90" s="13" t="str">
        <f t="shared" si="83"/>
        <v>-</v>
      </c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</row>
    <row r="91" spans="2:70" x14ac:dyDescent="0.3">
      <c r="B91" s="96" t="str">
        <f t="shared" si="62"/>
        <v/>
      </c>
      <c r="C91" s="96" t="str">
        <f t="shared" si="63"/>
        <v/>
      </c>
      <c r="D91" s="96" t="str">
        <f t="shared" si="64"/>
        <v/>
      </c>
      <c r="E91" s="3"/>
      <c r="F91" s="3"/>
      <c r="G91" s="3"/>
      <c r="H91" s="3"/>
      <c r="I91" s="20">
        <f>IFERROR(INDEX('Input - Target'!G$2:G$200,MATCH('Calculations - Target'!$D91,'Input - Target'!$B$2:$B$200,0)),"")</f>
        <v>0</v>
      </c>
      <c r="J91" s="20">
        <f>IFERROR(INDEX('Input - Target'!H$2:H$200,MATCH('Calculations - Target'!$D91,'Input - Target'!$B$2:$B$200,0)),"")</f>
        <v>0</v>
      </c>
      <c r="K91" s="21">
        <f>IFERROR(INDEX('Input - Target'!I$2:I$200,MATCH('Calculations - Target'!$D91,'Input - Target'!$B$2:$B$200,0)),"")</f>
        <v>0</v>
      </c>
      <c r="L91" s="21">
        <f>IFERROR(INDEX('Input - Target'!J$2:J$200,MATCH('Calculations - Target'!$D91,'Input - Target'!$B$2:$B$200,0)),"")</f>
        <v>0</v>
      </c>
      <c r="M91" s="20">
        <f>IFERROR(INDEX('Input - Target'!K$2:K$200,MATCH('Calculations - Target'!$D91,'Input - Target'!$B$2:$B$200,0)),"")</f>
        <v>0</v>
      </c>
      <c r="N91" s="20">
        <f>IFERROR(INDEX('Input - Target'!L$2:L$200,MATCH('Calculations - Target'!$D91,'Input - Target'!$B$2:$B$200,0)),"")</f>
        <v>0</v>
      </c>
      <c r="O91" s="21" t="str">
        <f t="shared" si="65"/>
        <v/>
      </c>
      <c r="P91" s="21" t="str">
        <f t="shared" si="47"/>
        <v/>
      </c>
      <c r="Q91" s="21">
        <f t="shared" si="66"/>
        <v>0</v>
      </c>
      <c r="R91" s="9">
        <f t="shared" si="84"/>
        <v>0</v>
      </c>
      <c r="S91" s="9">
        <f t="shared" si="85"/>
        <v>0</v>
      </c>
      <c r="T91" s="22" t="str">
        <f>IFERROR(INDEX(Target!$S$11:$S$167,MATCH('Calculations - Target'!$D91,Target!$N$11:$N$167,0)),"")</f>
        <v/>
      </c>
      <c r="U91" s="22" t="str">
        <f>IFERROR(INDEX(Target!$T$11:$T$167,MATCH('Calculations - Target'!$D91,Target!$N$11:$N$167,0)),"")</f>
        <v/>
      </c>
      <c r="V91" s="16" t="e">
        <f t="shared" si="50"/>
        <v>#VALUE!</v>
      </c>
      <c r="W91" s="16" t="e">
        <f t="shared" si="67"/>
        <v>#VALUE!</v>
      </c>
      <c r="X91" s="16" t="e">
        <f t="shared" si="68"/>
        <v>#VALUE!</v>
      </c>
      <c r="Y91" s="10" t="str">
        <f t="shared" si="51"/>
        <v>-</v>
      </c>
      <c r="Z91" s="10" t="str">
        <f t="shared" si="52"/>
        <v>-</v>
      </c>
      <c r="AA91" s="13" t="str">
        <f t="shared" si="69"/>
        <v>-</v>
      </c>
      <c r="AB91" s="9" t="str">
        <f t="shared" si="53"/>
        <v>-</v>
      </c>
      <c r="AC91" s="16" t="str">
        <f t="shared" si="70"/>
        <v>-</v>
      </c>
      <c r="AD91" s="16" t="str">
        <f t="shared" si="54"/>
        <v>-</v>
      </c>
      <c r="AE91" s="16" t="str">
        <f t="shared" si="55"/>
        <v>-</v>
      </c>
      <c r="AF91" s="16" t="str">
        <f t="shared" si="71"/>
        <v>-</v>
      </c>
      <c r="AG91" s="16"/>
      <c r="AH91" s="32" t="str">
        <f>IFERROR(INDEX(Target!$R$11:$R$167,MATCH('Calculations - Target'!D91,Target!$N$11:$N$167,0)),"")</f>
        <v/>
      </c>
      <c r="AI91" s="23" t="str">
        <f t="shared" si="72"/>
        <v/>
      </c>
      <c r="AJ91" s="23" t="str">
        <f t="shared" si="73"/>
        <v/>
      </c>
      <c r="AK91" s="9" t="str">
        <f t="shared" si="56"/>
        <v/>
      </c>
      <c r="AL91" s="4" t="str">
        <f t="shared" si="57"/>
        <v/>
      </c>
      <c r="AM91" s="4"/>
      <c r="AN91" s="4"/>
      <c r="AO91" s="4"/>
      <c r="AP91" s="4"/>
      <c r="AQ91" s="4"/>
      <c r="AR91" s="20" t="str">
        <f t="shared" si="58"/>
        <v>-</v>
      </c>
      <c r="AS91" s="13" t="str">
        <f t="shared" si="74"/>
        <v>-</v>
      </c>
      <c r="AT91" s="13" t="str">
        <f t="shared" si="75"/>
        <v>-</v>
      </c>
      <c r="AU91" s="13" t="str">
        <f t="shared" si="59"/>
        <v>-</v>
      </c>
      <c r="AV91" s="16" t="str">
        <f t="shared" si="76"/>
        <v>-</v>
      </c>
      <c r="AW91" s="16" t="str">
        <f t="shared" si="60"/>
        <v>-</v>
      </c>
      <c r="AX91" s="16" t="str">
        <f t="shared" si="61"/>
        <v>-</v>
      </c>
      <c r="AY91" s="16" t="str">
        <f t="shared" si="77"/>
        <v>-</v>
      </c>
      <c r="AZ91" s="13" t="str">
        <f t="shared" si="78"/>
        <v>-</v>
      </c>
      <c r="BA91" s="10" t="str">
        <f t="shared" si="79"/>
        <v>-</v>
      </c>
      <c r="BB91" s="9" t="str">
        <f t="shared" si="80"/>
        <v>-</v>
      </c>
      <c r="BC91" s="13" t="str">
        <f t="shared" si="81"/>
        <v>-</v>
      </c>
      <c r="BD91" s="10" t="str">
        <f t="shared" si="82"/>
        <v>-</v>
      </c>
      <c r="BE91" s="13" t="str">
        <f t="shared" si="83"/>
        <v>-</v>
      </c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</row>
    <row r="92" spans="2:70" x14ac:dyDescent="0.3">
      <c r="B92" s="96" t="str">
        <f t="shared" si="62"/>
        <v/>
      </c>
      <c r="C92" s="96" t="str">
        <f t="shared" si="63"/>
        <v/>
      </c>
      <c r="D92" s="96" t="str">
        <f t="shared" si="64"/>
        <v/>
      </c>
      <c r="E92" s="3"/>
      <c r="F92" s="3"/>
      <c r="G92" s="3"/>
      <c r="H92" s="3"/>
      <c r="I92" s="20">
        <f>IFERROR(INDEX('Input - Target'!G$2:G$200,MATCH('Calculations - Target'!$D92,'Input - Target'!$B$2:$B$200,0)),"")</f>
        <v>0</v>
      </c>
      <c r="J92" s="20">
        <f>IFERROR(INDEX('Input - Target'!H$2:H$200,MATCH('Calculations - Target'!$D92,'Input - Target'!$B$2:$B$200,0)),"")</f>
        <v>0</v>
      </c>
      <c r="K92" s="21">
        <f>IFERROR(INDEX('Input - Target'!I$2:I$200,MATCH('Calculations - Target'!$D92,'Input - Target'!$B$2:$B$200,0)),"")</f>
        <v>0</v>
      </c>
      <c r="L92" s="21">
        <f>IFERROR(INDEX('Input - Target'!J$2:J$200,MATCH('Calculations - Target'!$D92,'Input - Target'!$B$2:$B$200,0)),"")</f>
        <v>0</v>
      </c>
      <c r="M92" s="20">
        <f>IFERROR(INDEX('Input - Target'!K$2:K$200,MATCH('Calculations - Target'!$D92,'Input - Target'!$B$2:$B$200,0)),"")</f>
        <v>0</v>
      </c>
      <c r="N92" s="20">
        <f>IFERROR(INDEX('Input - Target'!L$2:L$200,MATCH('Calculations - Target'!$D92,'Input - Target'!$B$2:$B$200,0)),"")</f>
        <v>0</v>
      </c>
      <c r="O92" s="21" t="str">
        <f t="shared" si="65"/>
        <v/>
      </c>
      <c r="P92" s="21" t="str">
        <f t="shared" si="47"/>
        <v/>
      </c>
      <c r="Q92" s="21">
        <f t="shared" si="66"/>
        <v>0</v>
      </c>
      <c r="R92" s="9">
        <f t="shared" si="84"/>
        <v>0</v>
      </c>
      <c r="S92" s="9">
        <f t="shared" si="85"/>
        <v>0</v>
      </c>
      <c r="T92" s="22" t="str">
        <f>IFERROR(INDEX(Target!$S$11:$S$167,MATCH('Calculations - Target'!$D92,Target!$N$11:$N$167,0)),"")</f>
        <v/>
      </c>
      <c r="U92" s="22" t="str">
        <f>IFERROR(INDEX(Target!$T$11:$T$167,MATCH('Calculations - Target'!$D92,Target!$N$11:$N$167,0)),"")</f>
        <v/>
      </c>
      <c r="V92" s="16" t="e">
        <f t="shared" si="50"/>
        <v>#VALUE!</v>
      </c>
      <c r="W92" s="16" t="e">
        <f t="shared" si="67"/>
        <v>#VALUE!</v>
      </c>
      <c r="X92" s="16" t="e">
        <f t="shared" si="68"/>
        <v>#VALUE!</v>
      </c>
      <c r="Y92" s="10" t="str">
        <f t="shared" si="51"/>
        <v>-</v>
      </c>
      <c r="Z92" s="10" t="str">
        <f t="shared" si="52"/>
        <v>-</v>
      </c>
      <c r="AA92" s="13" t="str">
        <f t="shared" si="69"/>
        <v>-</v>
      </c>
      <c r="AB92" s="9" t="str">
        <f t="shared" si="53"/>
        <v>-</v>
      </c>
      <c r="AC92" s="16" t="str">
        <f t="shared" si="70"/>
        <v>-</v>
      </c>
      <c r="AD92" s="16" t="str">
        <f t="shared" si="54"/>
        <v>-</v>
      </c>
      <c r="AE92" s="16" t="str">
        <f t="shared" si="55"/>
        <v>-</v>
      </c>
      <c r="AF92" s="16" t="str">
        <f t="shared" si="71"/>
        <v>-</v>
      </c>
      <c r="AG92" s="16"/>
      <c r="AH92" s="32" t="str">
        <f>IFERROR(INDEX(Target!$R$11:$R$167,MATCH('Calculations - Target'!D92,Target!$N$11:$N$167,0)),"")</f>
        <v/>
      </c>
      <c r="AI92" s="23" t="str">
        <f t="shared" si="72"/>
        <v/>
      </c>
      <c r="AJ92" s="23" t="str">
        <f t="shared" si="73"/>
        <v/>
      </c>
      <c r="AK92" s="9" t="str">
        <f t="shared" si="56"/>
        <v/>
      </c>
      <c r="AL92" s="4" t="str">
        <f t="shared" si="57"/>
        <v/>
      </c>
      <c r="AM92" s="4"/>
      <c r="AN92" s="4"/>
      <c r="AO92" s="4"/>
      <c r="AP92" s="4"/>
      <c r="AQ92" s="4"/>
      <c r="AR92" s="20" t="str">
        <f t="shared" si="58"/>
        <v>-</v>
      </c>
      <c r="AS92" s="13" t="str">
        <f t="shared" si="74"/>
        <v>-</v>
      </c>
      <c r="AT92" s="13" t="str">
        <f t="shared" si="75"/>
        <v>-</v>
      </c>
      <c r="AU92" s="13" t="str">
        <f t="shared" si="59"/>
        <v>-</v>
      </c>
      <c r="AV92" s="16" t="str">
        <f t="shared" si="76"/>
        <v>-</v>
      </c>
      <c r="AW92" s="16" t="str">
        <f t="shared" si="60"/>
        <v>-</v>
      </c>
      <c r="AX92" s="16" t="str">
        <f t="shared" si="61"/>
        <v>-</v>
      </c>
      <c r="AY92" s="16" t="str">
        <f t="shared" si="77"/>
        <v>-</v>
      </c>
      <c r="AZ92" s="13" t="str">
        <f t="shared" si="78"/>
        <v>-</v>
      </c>
      <c r="BA92" s="10" t="str">
        <f t="shared" si="79"/>
        <v>-</v>
      </c>
      <c r="BB92" s="9" t="str">
        <f t="shared" si="80"/>
        <v>-</v>
      </c>
      <c r="BC92" s="13" t="str">
        <f t="shared" si="81"/>
        <v>-</v>
      </c>
      <c r="BD92" s="10" t="str">
        <f t="shared" si="82"/>
        <v>-</v>
      </c>
      <c r="BE92" s="13" t="str">
        <f t="shared" si="83"/>
        <v>-</v>
      </c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</row>
    <row r="93" spans="2:70" x14ac:dyDescent="0.3">
      <c r="B93" s="96" t="str">
        <f t="shared" si="62"/>
        <v/>
      </c>
      <c r="C93" s="96" t="str">
        <f t="shared" si="63"/>
        <v/>
      </c>
      <c r="D93" s="96" t="str">
        <f t="shared" si="64"/>
        <v/>
      </c>
      <c r="E93" s="3"/>
      <c r="F93" s="3"/>
      <c r="G93" s="3"/>
      <c r="H93" s="3"/>
      <c r="I93" s="20">
        <f>IFERROR(INDEX('Input - Target'!G$2:G$200,MATCH('Calculations - Target'!$D93,'Input - Target'!$B$2:$B$200,0)),"")</f>
        <v>0</v>
      </c>
      <c r="J93" s="20">
        <f>IFERROR(INDEX('Input - Target'!H$2:H$200,MATCH('Calculations - Target'!$D93,'Input - Target'!$B$2:$B$200,0)),"")</f>
        <v>0</v>
      </c>
      <c r="K93" s="21">
        <f>IFERROR(INDEX('Input - Target'!I$2:I$200,MATCH('Calculations - Target'!$D93,'Input - Target'!$B$2:$B$200,0)),"")</f>
        <v>0</v>
      </c>
      <c r="L93" s="21">
        <f>IFERROR(INDEX('Input - Target'!J$2:J$200,MATCH('Calculations - Target'!$D93,'Input - Target'!$B$2:$B$200,0)),"")</f>
        <v>0</v>
      </c>
      <c r="M93" s="20">
        <f>IFERROR(INDEX('Input - Target'!K$2:K$200,MATCH('Calculations - Target'!$D93,'Input - Target'!$B$2:$B$200,0)),"")</f>
        <v>0</v>
      </c>
      <c r="N93" s="20">
        <f>IFERROR(INDEX('Input - Target'!L$2:L$200,MATCH('Calculations - Target'!$D93,'Input - Target'!$B$2:$B$200,0)),"")</f>
        <v>0</v>
      </c>
      <c r="O93" s="21" t="str">
        <f t="shared" si="65"/>
        <v/>
      </c>
      <c r="P93" s="21" t="str">
        <f t="shared" si="47"/>
        <v/>
      </c>
      <c r="Q93" s="21">
        <f t="shared" si="66"/>
        <v>0</v>
      </c>
      <c r="R93" s="9">
        <f t="shared" si="84"/>
        <v>0</v>
      </c>
      <c r="S93" s="9">
        <f t="shared" si="85"/>
        <v>0</v>
      </c>
      <c r="T93" s="22" t="str">
        <f>IFERROR(INDEX(Target!$S$11:$S$167,MATCH('Calculations - Target'!$D93,Target!$N$11:$N$167,0)),"")</f>
        <v/>
      </c>
      <c r="U93" s="22" t="str">
        <f>IFERROR(INDEX(Target!$T$11:$T$167,MATCH('Calculations - Target'!$D93,Target!$N$11:$N$167,0)),"")</f>
        <v/>
      </c>
      <c r="V93" s="16" t="e">
        <f t="shared" si="50"/>
        <v>#VALUE!</v>
      </c>
      <c r="W93" s="16" t="e">
        <f t="shared" si="67"/>
        <v>#VALUE!</v>
      </c>
      <c r="X93" s="16" t="e">
        <f t="shared" si="68"/>
        <v>#VALUE!</v>
      </c>
      <c r="Y93" s="10" t="str">
        <f t="shared" si="51"/>
        <v>-</v>
      </c>
      <c r="Z93" s="10" t="str">
        <f t="shared" si="52"/>
        <v>-</v>
      </c>
      <c r="AA93" s="13" t="str">
        <f t="shared" si="69"/>
        <v>-</v>
      </c>
      <c r="AB93" s="9" t="str">
        <f t="shared" si="53"/>
        <v>-</v>
      </c>
      <c r="AC93" s="16" t="str">
        <f t="shared" si="70"/>
        <v>-</v>
      </c>
      <c r="AD93" s="16" t="str">
        <f t="shared" si="54"/>
        <v>-</v>
      </c>
      <c r="AE93" s="16" t="str">
        <f t="shared" si="55"/>
        <v>-</v>
      </c>
      <c r="AF93" s="16" t="str">
        <f t="shared" si="71"/>
        <v>-</v>
      </c>
      <c r="AG93" s="16"/>
      <c r="AH93" s="32" t="str">
        <f>IFERROR(INDEX(Target!$R$11:$R$167,MATCH('Calculations - Target'!D93,Target!$N$11:$N$167,0)),"")</f>
        <v/>
      </c>
      <c r="AI93" s="23" t="str">
        <f t="shared" si="72"/>
        <v/>
      </c>
      <c r="AJ93" s="23" t="str">
        <f t="shared" si="73"/>
        <v/>
      </c>
      <c r="AK93" s="9" t="str">
        <f t="shared" si="56"/>
        <v/>
      </c>
      <c r="AL93" s="4" t="str">
        <f t="shared" si="57"/>
        <v/>
      </c>
      <c r="AM93" s="4"/>
      <c r="AN93" s="4"/>
      <c r="AO93" s="4"/>
      <c r="AP93" s="4"/>
      <c r="AQ93" s="4"/>
      <c r="AR93" s="20" t="str">
        <f t="shared" si="58"/>
        <v>-</v>
      </c>
      <c r="AS93" s="13" t="str">
        <f t="shared" si="74"/>
        <v>-</v>
      </c>
      <c r="AT93" s="13" t="str">
        <f t="shared" si="75"/>
        <v>-</v>
      </c>
      <c r="AU93" s="13" t="str">
        <f t="shared" si="59"/>
        <v>-</v>
      </c>
      <c r="AV93" s="16" t="str">
        <f t="shared" si="76"/>
        <v>-</v>
      </c>
      <c r="AW93" s="16" t="str">
        <f t="shared" si="60"/>
        <v>-</v>
      </c>
      <c r="AX93" s="16" t="str">
        <f t="shared" si="61"/>
        <v>-</v>
      </c>
      <c r="AY93" s="16" t="str">
        <f t="shared" si="77"/>
        <v>-</v>
      </c>
      <c r="AZ93" s="13" t="str">
        <f t="shared" si="78"/>
        <v>-</v>
      </c>
      <c r="BA93" s="10" t="str">
        <f t="shared" si="79"/>
        <v>-</v>
      </c>
      <c r="BB93" s="9" t="str">
        <f t="shared" si="80"/>
        <v>-</v>
      </c>
      <c r="BC93" s="13" t="str">
        <f t="shared" si="81"/>
        <v>-</v>
      </c>
      <c r="BD93" s="10" t="str">
        <f t="shared" si="82"/>
        <v>-</v>
      </c>
      <c r="BE93" s="13" t="str">
        <f t="shared" si="83"/>
        <v>-</v>
      </c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</row>
    <row r="94" spans="2:70" x14ac:dyDescent="0.3">
      <c r="B94" s="96" t="str">
        <f t="shared" si="62"/>
        <v/>
      </c>
      <c r="C94" s="96" t="str">
        <f t="shared" si="63"/>
        <v/>
      </c>
      <c r="D94" s="96" t="str">
        <f t="shared" si="64"/>
        <v/>
      </c>
      <c r="E94" s="3"/>
      <c r="F94" s="3"/>
      <c r="G94" s="3"/>
      <c r="H94" s="3"/>
      <c r="I94" s="20">
        <f>IFERROR(INDEX('Input - Target'!G$2:G$200,MATCH('Calculations - Target'!$D94,'Input - Target'!$B$2:$B$200,0)),"")</f>
        <v>0</v>
      </c>
      <c r="J94" s="20">
        <f>IFERROR(INDEX('Input - Target'!H$2:H$200,MATCH('Calculations - Target'!$D94,'Input - Target'!$B$2:$B$200,0)),"")</f>
        <v>0</v>
      </c>
      <c r="K94" s="21">
        <f>IFERROR(INDEX('Input - Target'!I$2:I$200,MATCH('Calculations - Target'!$D94,'Input - Target'!$B$2:$B$200,0)),"")</f>
        <v>0</v>
      </c>
      <c r="L94" s="21">
        <f>IFERROR(INDEX('Input - Target'!J$2:J$200,MATCH('Calculations - Target'!$D94,'Input - Target'!$B$2:$B$200,0)),"")</f>
        <v>0</v>
      </c>
      <c r="M94" s="20">
        <f>IFERROR(INDEX('Input - Target'!K$2:K$200,MATCH('Calculations - Target'!$D94,'Input - Target'!$B$2:$B$200,0)),"")</f>
        <v>0</v>
      </c>
      <c r="N94" s="20">
        <f>IFERROR(INDEX('Input - Target'!L$2:L$200,MATCH('Calculations - Target'!$D94,'Input - Target'!$B$2:$B$200,0)),"")</f>
        <v>0</v>
      </c>
      <c r="O94" s="21" t="str">
        <f t="shared" si="65"/>
        <v/>
      </c>
      <c r="P94" s="21" t="str">
        <f t="shared" si="47"/>
        <v/>
      </c>
      <c r="Q94" s="21">
        <f t="shared" si="66"/>
        <v>0</v>
      </c>
      <c r="R94" s="9">
        <f t="shared" si="84"/>
        <v>0</v>
      </c>
      <c r="S94" s="9">
        <f t="shared" si="85"/>
        <v>0</v>
      </c>
      <c r="T94" s="22" t="str">
        <f>IFERROR(INDEX(Target!$S$11:$S$167,MATCH('Calculations - Target'!$D94,Target!$N$11:$N$167,0)),"")</f>
        <v/>
      </c>
      <c r="U94" s="22" t="str">
        <f>IFERROR(INDEX(Target!$T$11:$T$167,MATCH('Calculations - Target'!$D94,Target!$N$11:$N$167,0)),"")</f>
        <v/>
      </c>
      <c r="V94" s="16" t="e">
        <f t="shared" si="50"/>
        <v>#VALUE!</v>
      </c>
      <c r="W94" s="16" t="e">
        <f t="shared" si="67"/>
        <v>#VALUE!</v>
      </c>
      <c r="X94" s="16" t="e">
        <f t="shared" si="68"/>
        <v>#VALUE!</v>
      </c>
      <c r="Y94" s="10" t="str">
        <f t="shared" si="51"/>
        <v>-</v>
      </c>
      <c r="Z94" s="10" t="str">
        <f t="shared" si="52"/>
        <v>-</v>
      </c>
      <c r="AA94" s="13" t="str">
        <f t="shared" si="69"/>
        <v>-</v>
      </c>
      <c r="AB94" s="9" t="str">
        <f t="shared" si="53"/>
        <v>-</v>
      </c>
      <c r="AC94" s="16" t="str">
        <f t="shared" si="70"/>
        <v>-</v>
      </c>
      <c r="AD94" s="16" t="str">
        <f t="shared" si="54"/>
        <v>-</v>
      </c>
      <c r="AE94" s="16" t="str">
        <f t="shared" si="55"/>
        <v>-</v>
      </c>
      <c r="AF94" s="16" t="str">
        <f t="shared" si="71"/>
        <v>-</v>
      </c>
      <c r="AG94" s="16"/>
      <c r="AH94" s="32" t="str">
        <f>IFERROR(INDEX(Target!$R$11:$R$167,MATCH('Calculations - Target'!D94,Target!$N$11:$N$167,0)),"")</f>
        <v/>
      </c>
      <c r="AI94" s="23" t="str">
        <f t="shared" si="72"/>
        <v/>
      </c>
      <c r="AJ94" s="23" t="str">
        <f t="shared" si="73"/>
        <v/>
      </c>
      <c r="AK94" s="9" t="str">
        <f t="shared" si="56"/>
        <v/>
      </c>
      <c r="AL94" s="4" t="str">
        <f t="shared" si="57"/>
        <v/>
      </c>
      <c r="AM94" s="4"/>
      <c r="AN94" s="4"/>
      <c r="AO94" s="4"/>
      <c r="AP94" s="4"/>
      <c r="AQ94" s="4"/>
      <c r="AR94" s="20" t="str">
        <f t="shared" si="58"/>
        <v>-</v>
      </c>
      <c r="AS94" s="13" t="str">
        <f t="shared" si="74"/>
        <v>-</v>
      </c>
      <c r="AT94" s="13" t="str">
        <f t="shared" si="75"/>
        <v>-</v>
      </c>
      <c r="AU94" s="13" t="str">
        <f t="shared" si="59"/>
        <v>-</v>
      </c>
      <c r="AV94" s="16" t="str">
        <f t="shared" si="76"/>
        <v>-</v>
      </c>
      <c r="AW94" s="16" t="str">
        <f t="shared" si="60"/>
        <v>-</v>
      </c>
      <c r="AX94" s="16" t="str">
        <f t="shared" si="61"/>
        <v>-</v>
      </c>
      <c r="AY94" s="16" t="str">
        <f t="shared" si="77"/>
        <v>-</v>
      </c>
      <c r="AZ94" s="13" t="str">
        <f t="shared" si="78"/>
        <v>-</v>
      </c>
      <c r="BA94" s="10" t="str">
        <f t="shared" si="79"/>
        <v>-</v>
      </c>
      <c r="BB94" s="9" t="str">
        <f t="shared" si="80"/>
        <v>-</v>
      </c>
      <c r="BC94" s="13" t="str">
        <f t="shared" si="81"/>
        <v>-</v>
      </c>
      <c r="BD94" s="10" t="str">
        <f t="shared" si="82"/>
        <v>-</v>
      </c>
      <c r="BE94" s="13" t="str">
        <f t="shared" si="83"/>
        <v>-</v>
      </c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</row>
    <row r="95" spans="2:70" x14ac:dyDescent="0.3">
      <c r="B95" s="96" t="str">
        <f t="shared" si="62"/>
        <v/>
      </c>
      <c r="C95" s="96" t="str">
        <f t="shared" si="63"/>
        <v/>
      </c>
      <c r="D95" s="96" t="str">
        <f t="shared" si="64"/>
        <v/>
      </c>
      <c r="E95" s="3"/>
      <c r="F95" s="3"/>
      <c r="G95" s="3"/>
      <c r="H95" s="3"/>
      <c r="I95" s="20">
        <f>IFERROR(INDEX('Input - Target'!G$2:G$200,MATCH('Calculations - Target'!$D95,'Input - Target'!$B$2:$B$200,0)),"")</f>
        <v>0</v>
      </c>
      <c r="J95" s="20">
        <f>IFERROR(INDEX('Input - Target'!H$2:H$200,MATCH('Calculations - Target'!$D95,'Input - Target'!$B$2:$B$200,0)),"")</f>
        <v>0</v>
      </c>
      <c r="K95" s="21">
        <f>IFERROR(INDEX('Input - Target'!I$2:I$200,MATCH('Calculations - Target'!$D95,'Input - Target'!$B$2:$B$200,0)),"")</f>
        <v>0</v>
      </c>
      <c r="L95" s="21">
        <f>IFERROR(INDEX('Input - Target'!J$2:J$200,MATCH('Calculations - Target'!$D95,'Input - Target'!$B$2:$B$200,0)),"")</f>
        <v>0</v>
      </c>
      <c r="M95" s="20">
        <f>IFERROR(INDEX('Input - Target'!K$2:K$200,MATCH('Calculations - Target'!$D95,'Input - Target'!$B$2:$B$200,0)),"")</f>
        <v>0</v>
      </c>
      <c r="N95" s="20">
        <f>IFERROR(INDEX('Input - Target'!L$2:L$200,MATCH('Calculations - Target'!$D95,'Input - Target'!$B$2:$B$200,0)),"")</f>
        <v>0</v>
      </c>
      <c r="O95" s="21" t="str">
        <f t="shared" si="65"/>
        <v/>
      </c>
      <c r="P95" s="21" t="str">
        <f t="shared" si="47"/>
        <v/>
      </c>
      <c r="Q95" s="21">
        <f t="shared" si="66"/>
        <v>0</v>
      </c>
      <c r="R95" s="9">
        <f t="shared" si="84"/>
        <v>0</v>
      </c>
      <c r="S95" s="9">
        <f t="shared" si="85"/>
        <v>0</v>
      </c>
      <c r="T95" s="22" t="str">
        <f>IFERROR(INDEX(Target!$S$11:$S$167,MATCH('Calculations - Target'!$D95,Target!$N$11:$N$167,0)),"")</f>
        <v/>
      </c>
      <c r="U95" s="22" t="str">
        <f>IFERROR(INDEX(Target!$T$11:$T$167,MATCH('Calculations - Target'!$D95,Target!$N$11:$N$167,0)),"")</f>
        <v/>
      </c>
      <c r="V95" s="16" t="e">
        <f t="shared" si="50"/>
        <v>#VALUE!</v>
      </c>
      <c r="W95" s="16" t="e">
        <f t="shared" si="67"/>
        <v>#VALUE!</v>
      </c>
      <c r="X95" s="16" t="e">
        <f t="shared" si="68"/>
        <v>#VALUE!</v>
      </c>
      <c r="Y95" s="10" t="str">
        <f t="shared" si="51"/>
        <v>-</v>
      </c>
      <c r="Z95" s="10" t="str">
        <f t="shared" si="52"/>
        <v>-</v>
      </c>
      <c r="AA95" s="13" t="str">
        <f t="shared" si="69"/>
        <v>-</v>
      </c>
      <c r="AB95" s="9" t="str">
        <f t="shared" si="53"/>
        <v>-</v>
      </c>
      <c r="AC95" s="16" t="str">
        <f t="shared" si="70"/>
        <v>-</v>
      </c>
      <c r="AD95" s="16" t="str">
        <f t="shared" si="54"/>
        <v>-</v>
      </c>
      <c r="AE95" s="16" t="str">
        <f t="shared" si="55"/>
        <v>-</v>
      </c>
      <c r="AF95" s="16" t="str">
        <f t="shared" si="71"/>
        <v>-</v>
      </c>
      <c r="AG95" s="16"/>
      <c r="AH95" s="32" t="str">
        <f>IFERROR(INDEX(Target!$R$11:$R$167,MATCH('Calculations - Target'!D95,Target!$N$11:$N$167,0)),"")</f>
        <v/>
      </c>
      <c r="AI95" s="23" t="str">
        <f t="shared" si="72"/>
        <v/>
      </c>
      <c r="AJ95" s="23" t="str">
        <f t="shared" si="73"/>
        <v/>
      </c>
      <c r="AK95" s="9" t="str">
        <f t="shared" si="56"/>
        <v/>
      </c>
      <c r="AL95" s="4" t="str">
        <f t="shared" si="57"/>
        <v/>
      </c>
      <c r="AM95" s="4"/>
      <c r="AN95" s="4"/>
      <c r="AO95" s="4"/>
      <c r="AP95" s="4"/>
      <c r="AQ95" s="4"/>
      <c r="AR95" s="20" t="str">
        <f t="shared" si="58"/>
        <v>-</v>
      </c>
      <c r="AS95" s="13" t="str">
        <f t="shared" si="74"/>
        <v>-</v>
      </c>
      <c r="AT95" s="13" t="str">
        <f t="shared" si="75"/>
        <v>-</v>
      </c>
      <c r="AU95" s="13" t="str">
        <f t="shared" si="59"/>
        <v>-</v>
      </c>
      <c r="AV95" s="16" t="str">
        <f t="shared" si="76"/>
        <v>-</v>
      </c>
      <c r="AW95" s="16" t="str">
        <f t="shared" si="60"/>
        <v>-</v>
      </c>
      <c r="AX95" s="16" t="str">
        <f t="shared" si="61"/>
        <v>-</v>
      </c>
      <c r="AY95" s="16" t="str">
        <f t="shared" si="77"/>
        <v>-</v>
      </c>
      <c r="AZ95" s="13" t="str">
        <f t="shared" si="78"/>
        <v>-</v>
      </c>
      <c r="BA95" s="10" t="str">
        <f t="shared" si="79"/>
        <v>-</v>
      </c>
      <c r="BB95" s="9" t="str">
        <f t="shared" si="80"/>
        <v>-</v>
      </c>
      <c r="BC95" s="13" t="str">
        <f t="shared" si="81"/>
        <v>-</v>
      </c>
      <c r="BD95" s="10" t="str">
        <f t="shared" si="82"/>
        <v>-</v>
      </c>
      <c r="BE95" s="13" t="str">
        <f t="shared" si="83"/>
        <v>-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</row>
    <row r="96" spans="2:70" x14ac:dyDescent="0.3">
      <c r="B96" s="96" t="str">
        <f t="shared" si="62"/>
        <v/>
      </c>
      <c r="C96" s="96" t="str">
        <f t="shared" si="63"/>
        <v/>
      </c>
      <c r="D96" s="96" t="str">
        <f t="shared" si="64"/>
        <v/>
      </c>
      <c r="E96" s="3"/>
      <c r="F96" s="3"/>
      <c r="G96" s="3"/>
      <c r="H96" s="3"/>
      <c r="I96" s="20">
        <f>IFERROR(INDEX('Input - Target'!G$2:G$200,MATCH('Calculations - Target'!$D96,'Input - Target'!$B$2:$B$200,0)),"")</f>
        <v>0</v>
      </c>
      <c r="J96" s="20">
        <f>IFERROR(INDEX('Input - Target'!H$2:H$200,MATCH('Calculations - Target'!$D96,'Input - Target'!$B$2:$B$200,0)),"")</f>
        <v>0</v>
      </c>
      <c r="K96" s="21">
        <f>IFERROR(INDEX('Input - Target'!I$2:I$200,MATCH('Calculations - Target'!$D96,'Input - Target'!$B$2:$B$200,0)),"")</f>
        <v>0</v>
      </c>
      <c r="L96" s="21">
        <f>IFERROR(INDEX('Input - Target'!J$2:J$200,MATCH('Calculations - Target'!$D96,'Input - Target'!$B$2:$B$200,0)),"")</f>
        <v>0</v>
      </c>
      <c r="M96" s="20">
        <f>IFERROR(INDEX('Input - Target'!K$2:K$200,MATCH('Calculations - Target'!$D96,'Input - Target'!$B$2:$B$200,0)),"")</f>
        <v>0</v>
      </c>
      <c r="N96" s="20">
        <f>IFERROR(INDEX('Input - Target'!L$2:L$200,MATCH('Calculations - Target'!$D96,'Input - Target'!$B$2:$B$200,0)),"")</f>
        <v>0</v>
      </c>
      <c r="O96" s="21" t="str">
        <f t="shared" si="65"/>
        <v/>
      </c>
      <c r="P96" s="21" t="str">
        <f t="shared" ref="P96:P159" si="86">IFERROR(M96/N96,"")</f>
        <v/>
      </c>
      <c r="Q96" s="21">
        <f t="shared" si="66"/>
        <v>0</v>
      </c>
      <c r="R96" s="9">
        <f t="shared" si="84"/>
        <v>0</v>
      </c>
      <c r="S96" s="9">
        <f t="shared" si="85"/>
        <v>0</v>
      </c>
      <c r="T96" s="22" t="str">
        <f>IFERROR(INDEX(Target!$S$11:$S$167,MATCH('Calculations - Target'!$D96,Target!$N$11:$N$167,0)),"")</f>
        <v/>
      </c>
      <c r="U96" s="22" t="str">
        <f>IFERROR(INDEX(Target!$T$11:$T$167,MATCH('Calculations - Target'!$D96,Target!$N$11:$N$167,0)),"")</f>
        <v/>
      </c>
      <c r="V96" s="16" t="e">
        <f t="shared" ref="V96:V159" si="87">T96*I96</f>
        <v>#VALUE!</v>
      </c>
      <c r="W96" s="16" t="e">
        <f t="shared" si="67"/>
        <v>#VALUE!</v>
      </c>
      <c r="X96" s="16" t="e">
        <f t="shared" si="68"/>
        <v>#VALUE!</v>
      </c>
      <c r="Y96" s="10" t="str">
        <f t="shared" ref="Y96:Y159" si="88">IFERROR(X96/J96,"-")</f>
        <v>-</v>
      </c>
      <c r="Z96" s="10" t="str">
        <f t="shared" ref="Z96:Z159" si="89">IFERROR((L96+O96)*J96*0.5,"-")</f>
        <v>-</v>
      </c>
      <c r="AA96" s="13" t="str">
        <f t="shared" si="69"/>
        <v>-</v>
      </c>
      <c r="AB96" s="9" t="str">
        <f t="shared" ref="AB96:AB159" si="90">IFERROR(AA96-R96,"-")</f>
        <v>-</v>
      </c>
      <c r="AC96" s="16" t="str">
        <f t="shared" si="70"/>
        <v>-</v>
      </c>
      <c r="AD96" s="16" t="str">
        <f t="shared" ref="AD96:AD159" si="91">IFERROR(AC96/O96,"-")</f>
        <v>-</v>
      </c>
      <c r="AE96" s="16" t="str">
        <f t="shared" ref="AE96:AE159" si="92">IFERROR(T96*AC96,"-")</f>
        <v>-</v>
      </c>
      <c r="AF96" s="16" t="str">
        <f t="shared" si="71"/>
        <v>-</v>
      </c>
      <c r="AG96" s="16"/>
      <c r="AH96" s="32" t="str">
        <f>IFERROR(INDEX(Target!$R$11:$R$167,MATCH('Calculations - Target'!D96,Target!$N$11:$N$167,0)),"")</f>
        <v/>
      </c>
      <c r="AI96" s="23" t="str">
        <f t="shared" si="72"/>
        <v/>
      </c>
      <c r="AJ96" s="23" t="str">
        <f t="shared" si="73"/>
        <v/>
      </c>
      <c r="AK96" s="9" t="str">
        <f t="shared" ref="AK96:AK159" si="93">IFERROR((AH96-O96)/O96,"")</f>
        <v/>
      </c>
      <c r="AL96" s="4" t="str">
        <f t="shared" ref="AL96:AL159" si="94">IFERROR(MAX((1+AK96*Q96/5)*J96,0),"")</f>
        <v/>
      </c>
      <c r="AM96" s="4"/>
      <c r="AN96" s="4"/>
      <c r="AO96" s="4"/>
      <c r="AP96" s="4"/>
      <c r="AQ96" s="4"/>
      <c r="AR96" s="20" t="str">
        <f t="shared" ref="AR96:AR159" si="95">IFERROR(0.5*(L96+AH96)*AL96,"-")</f>
        <v>-</v>
      </c>
      <c r="AS96" s="13" t="str">
        <f t="shared" si="74"/>
        <v>-</v>
      </c>
      <c r="AT96" s="13" t="str">
        <f t="shared" si="75"/>
        <v>-</v>
      </c>
      <c r="AU96" s="13" t="str">
        <f t="shared" ref="AU96:AU159" si="96">IFERROR(AT96-R96,"-")</f>
        <v>-</v>
      </c>
      <c r="AV96" s="16" t="str">
        <f t="shared" si="76"/>
        <v>-</v>
      </c>
      <c r="AW96" s="16" t="str">
        <f t="shared" ref="AW96:AW159" si="97">IFERROR(AV96/AH96,"-")</f>
        <v>-</v>
      </c>
      <c r="AX96" s="16" t="str">
        <f t="shared" ref="AX96:AX159" si="98">IFERROR(AI96*AV96,"-")</f>
        <v>-</v>
      </c>
      <c r="AY96" s="16" t="str">
        <f t="shared" si="77"/>
        <v>-</v>
      </c>
      <c r="AZ96" s="13" t="str">
        <f t="shared" si="78"/>
        <v>-</v>
      </c>
      <c r="BA96" s="10" t="str">
        <f t="shared" si="79"/>
        <v>-</v>
      </c>
      <c r="BB96" s="9" t="str">
        <f t="shared" si="80"/>
        <v>-</v>
      </c>
      <c r="BC96" s="13" t="str">
        <f t="shared" si="81"/>
        <v>-</v>
      </c>
      <c r="BD96" s="10" t="str">
        <f t="shared" si="82"/>
        <v>-</v>
      </c>
      <c r="BE96" s="13" t="str">
        <f t="shared" si="83"/>
        <v>-</v>
      </c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</row>
    <row r="97" spans="2:70" x14ac:dyDescent="0.3">
      <c r="B97" s="96" t="str">
        <f t="shared" ref="B97:B160" si="99">IFERROR(E97&amp;F97,"")</f>
        <v/>
      </c>
      <c r="C97" s="96" t="str">
        <f t="shared" ref="C97:C160" si="100">E97&amp;F97&amp;G97</f>
        <v/>
      </c>
      <c r="D97" s="96" t="str">
        <f t="shared" ref="D97:D160" si="101">IFERROR(E97&amp;F97&amp;G97&amp;H97,"")</f>
        <v/>
      </c>
      <c r="E97" s="3"/>
      <c r="F97" s="3"/>
      <c r="G97" s="3"/>
      <c r="H97" s="3"/>
      <c r="I97" s="20">
        <f>IFERROR(INDEX('Input - Target'!G$2:G$200,MATCH('Calculations - Target'!$D97,'Input - Target'!$B$2:$B$200,0)),"")</f>
        <v>0</v>
      </c>
      <c r="J97" s="20">
        <f>IFERROR(INDEX('Input - Target'!H$2:H$200,MATCH('Calculations - Target'!$D97,'Input - Target'!$B$2:$B$200,0)),"")</f>
        <v>0</v>
      </c>
      <c r="K97" s="21">
        <f>IFERROR(INDEX('Input - Target'!I$2:I$200,MATCH('Calculations - Target'!$D97,'Input - Target'!$B$2:$B$200,0)),"")</f>
        <v>0</v>
      </c>
      <c r="L97" s="21">
        <f>IFERROR(INDEX('Input - Target'!J$2:J$200,MATCH('Calculations - Target'!$D97,'Input - Target'!$B$2:$B$200,0)),"")</f>
        <v>0</v>
      </c>
      <c r="M97" s="20">
        <f>IFERROR(INDEX('Input - Target'!K$2:K$200,MATCH('Calculations - Target'!$D97,'Input - Target'!$B$2:$B$200,0)),"")</f>
        <v>0</v>
      </c>
      <c r="N97" s="20">
        <f>IFERROR(INDEX('Input - Target'!L$2:L$200,MATCH('Calculations - Target'!$D97,'Input - Target'!$B$2:$B$200,0)),"")</f>
        <v>0</v>
      </c>
      <c r="O97" s="21" t="str">
        <f t="shared" ref="O97:O160" si="102">IFERROR(I97/J97,"")</f>
        <v/>
      </c>
      <c r="P97" s="21" t="str">
        <f t="shared" si="86"/>
        <v/>
      </c>
      <c r="Q97" s="21">
        <f t="shared" ref="Q97:Q160" si="103">IFERROR((O97/(O97-L97)*5),0)</f>
        <v>0</v>
      </c>
      <c r="R97" s="9">
        <f t="shared" si="84"/>
        <v>0</v>
      </c>
      <c r="S97" s="9">
        <f t="shared" si="85"/>
        <v>0</v>
      </c>
      <c r="T97" s="22" t="str">
        <f>IFERROR(INDEX(Target!$S$11:$S$167,MATCH('Calculations - Target'!$D97,Target!$N$11:$N$167,0)),"")</f>
        <v/>
      </c>
      <c r="U97" s="22" t="str">
        <f>IFERROR(INDEX(Target!$T$11:$T$167,MATCH('Calculations - Target'!$D97,Target!$N$11:$N$167,0)),"")</f>
        <v/>
      </c>
      <c r="V97" s="16" t="e">
        <f t="shared" si="87"/>
        <v>#VALUE!</v>
      </c>
      <c r="W97" s="16" t="e">
        <f t="shared" ref="W97:W160" si="104">U97*V97</f>
        <v>#VALUE!</v>
      </c>
      <c r="X97" s="16" t="e">
        <f t="shared" ref="X97:X160" si="105">V97-W97</f>
        <v>#VALUE!</v>
      </c>
      <c r="Y97" s="10" t="str">
        <f t="shared" si="88"/>
        <v>-</v>
      </c>
      <c r="Z97" s="10" t="str">
        <f t="shared" si="89"/>
        <v>-</v>
      </c>
      <c r="AA97" s="13" t="str">
        <f t="shared" ref="AA97:AA160" si="106">IFERROR(Z97/$Z$30,"-")</f>
        <v>-</v>
      </c>
      <c r="AB97" s="9" t="str">
        <f t="shared" si="90"/>
        <v>-</v>
      </c>
      <c r="AC97" s="16" t="str">
        <f t="shared" ref="AC97:AC160" si="107">IFERROR(AA97*$I$30,"-")</f>
        <v>-</v>
      </c>
      <c r="AD97" s="16" t="str">
        <f t="shared" si="91"/>
        <v>-</v>
      </c>
      <c r="AE97" s="16" t="str">
        <f t="shared" si="92"/>
        <v>-</v>
      </c>
      <c r="AF97" s="16" t="str">
        <f t="shared" ref="AF97:AF160" si="108">IFERROR(AE97-(Y97)*AD97,"-")</f>
        <v>-</v>
      </c>
      <c r="AG97" s="16"/>
      <c r="AH97" s="32" t="str">
        <f>IFERROR(INDEX(Target!$R$11:$R$167,MATCH('Calculations - Target'!D97,Target!$N$11:$N$167,0)),"")</f>
        <v/>
      </c>
      <c r="AI97" s="23" t="str">
        <f t="shared" ref="AI97:AI160" si="109">T97</f>
        <v/>
      </c>
      <c r="AJ97" s="23" t="str">
        <f t="shared" ref="AJ97:AJ160" si="110">U97</f>
        <v/>
      </c>
      <c r="AK97" s="9" t="str">
        <f t="shared" si="93"/>
        <v/>
      </c>
      <c r="AL97" s="4" t="str">
        <f t="shared" si="94"/>
        <v/>
      </c>
      <c r="AM97" s="4"/>
      <c r="AN97" s="4"/>
      <c r="AO97" s="4"/>
      <c r="AP97" s="4"/>
      <c r="AQ97" s="4"/>
      <c r="AR97" s="20" t="str">
        <f t="shared" si="95"/>
        <v>-</v>
      </c>
      <c r="AS97" s="13" t="str">
        <f t="shared" ref="AS97:AS160" si="111">IFERROR(AR97/AR$30,"-")</f>
        <v>-</v>
      </c>
      <c r="AT97" s="13" t="str">
        <f t="shared" ref="AT97:AT160" si="112">IFERROR(AS97*$R$30,"-")</f>
        <v>-</v>
      </c>
      <c r="AU97" s="13" t="str">
        <f t="shared" si="96"/>
        <v>-</v>
      </c>
      <c r="AV97" s="16" t="str">
        <f t="shared" ref="AV97:AV160" si="113">IFERROR(AT97*AQ$32,"-")</f>
        <v>-</v>
      </c>
      <c r="AW97" s="16" t="str">
        <f t="shared" si="97"/>
        <v>-</v>
      </c>
      <c r="AX97" s="16" t="str">
        <f t="shared" si="98"/>
        <v>-</v>
      </c>
      <c r="AY97" s="16" t="str">
        <f t="shared" ref="AY97:AY160" si="114">IFERROR(AX97-(Y97*AW97),"-")</f>
        <v>-</v>
      </c>
      <c r="AZ97" s="13" t="str">
        <f t="shared" ref="AZ97:AZ160" si="115">IFERROR(AW97/SUMIFS($AW$32:$AW$229,$B$32:$B$229,B97),"-")</f>
        <v>-</v>
      </c>
      <c r="BA97" s="10" t="str">
        <f t="shared" ref="BA97:BA160" si="116">IFERROR(AZ97*INDEX($AU$4:$AU$24,MATCH($B97,$D$4:$D$24,0)),"-")</f>
        <v>-</v>
      </c>
      <c r="BB97" s="9" t="str">
        <f t="shared" ref="BB97:BB160" si="117">IFERROR(BA97/SUM($BA$32:$BA$229),"-")</f>
        <v>-</v>
      </c>
      <c r="BC97" s="13" t="str">
        <f t="shared" ref="BC97:BC160" si="118">IFERROR(AV97/SUMIFS($AV$32:$AV$229,$B$32:$B$229,B97),"-")</f>
        <v>-</v>
      </c>
      <c r="BD97" s="10" t="str">
        <f t="shared" ref="BD97:BD160" si="119">IFERROR(BC97*INDEX($AT$4:$AT$24,MATCH($B97,$D$4:$D$24,0)),"-")</f>
        <v>-</v>
      </c>
      <c r="BE97" s="13" t="str">
        <f t="shared" ref="BE97:BE160" si="120">IFERROR(BD97/SUM($BD$32:$BD$229),"-")</f>
        <v>-</v>
      </c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</row>
    <row r="98" spans="2:70" x14ac:dyDescent="0.3">
      <c r="B98" s="96" t="str">
        <f t="shared" si="99"/>
        <v/>
      </c>
      <c r="C98" s="96" t="str">
        <f t="shared" si="100"/>
        <v/>
      </c>
      <c r="D98" s="96" t="str">
        <f t="shared" si="101"/>
        <v/>
      </c>
      <c r="E98" s="3"/>
      <c r="F98" s="3"/>
      <c r="G98" s="3"/>
      <c r="H98" s="3"/>
      <c r="I98" s="20">
        <f>IFERROR(INDEX('Input - Target'!G$2:G$200,MATCH('Calculations - Target'!$D98,'Input - Target'!$B$2:$B$200,0)),"")</f>
        <v>0</v>
      </c>
      <c r="J98" s="20">
        <f>IFERROR(INDEX('Input - Target'!H$2:H$200,MATCH('Calculations - Target'!$D98,'Input - Target'!$B$2:$B$200,0)),"")</f>
        <v>0</v>
      </c>
      <c r="K98" s="21">
        <f>IFERROR(INDEX('Input - Target'!I$2:I$200,MATCH('Calculations - Target'!$D98,'Input - Target'!$B$2:$B$200,0)),"")</f>
        <v>0</v>
      </c>
      <c r="L98" s="21">
        <f>IFERROR(INDEX('Input - Target'!J$2:J$200,MATCH('Calculations - Target'!$D98,'Input - Target'!$B$2:$B$200,0)),"")</f>
        <v>0</v>
      </c>
      <c r="M98" s="20">
        <f>IFERROR(INDEX('Input - Target'!K$2:K$200,MATCH('Calculations - Target'!$D98,'Input - Target'!$B$2:$B$200,0)),"")</f>
        <v>0</v>
      </c>
      <c r="N98" s="20">
        <f>IFERROR(INDEX('Input - Target'!L$2:L$200,MATCH('Calculations - Target'!$D98,'Input - Target'!$B$2:$B$200,0)),"")</f>
        <v>0</v>
      </c>
      <c r="O98" s="21" t="str">
        <f t="shared" si="102"/>
        <v/>
      </c>
      <c r="P98" s="21" t="str">
        <f t="shared" si="86"/>
        <v/>
      </c>
      <c r="Q98" s="21">
        <f t="shared" si="103"/>
        <v>0</v>
      </c>
      <c r="R98" s="9">
        <f t="shared" si="84"/>
        <v>0</v>
      </c>
      <c r="S98" s="9">
        <f t="shared" si="85"/>
        <v>0</v>
      </c>
      <c r="T98" s="22" t="str">
        <f>IFERROR(INDEX(Target!$S$11:$S$167,MATCH('Calculations - Target'!$D98,Target!$N$11:$N$167,0)),"")</f>
        <v/>
      </c>
      <c r="U98" s="22" t="str">
        <f>IFERROR(INDEX(Target!$T$11:$T$167,MATCH('Calculations - Target'!$D98,Target!$N$11:$N$167,0)),"")</f>
        <v/>
      </c>
      <c r="V98" s="16" t="e">
        <f t="shared" si="87"/>
        <v>#VALUE!</v>
      </c>
      <c r="W98" s="16" t="e">
        <f t="shared" si="104"/>
        <v>#VALUE!</v>
      </c>
      <c r="X98" s="16" t="e">
        <f t="shared" si="105"/>
        <v>#VALUE!</v>
      </c>
      <c r="Y98" s="10" t="str">
        <f t="shared" si="88"/>
        <v>-</v>
      </c>
      <c r="Z98" s="10" t="str">
        <f t="shared" si="89"/>
        <v>-</v>
      </c>
      <c r="AA98" s="13" t="str">
        <f t="shared" si="106"/>
        <v>-</v>
      </c>
      <c r="AB98" s="9" t="str">
        <f t="shared" si="90"/>
        <v>-</v>
      </c>
      <c r="AC98" s="16" t="str">
        <f t="shared" si="107"/>
        <v>-</v>
      </c>
      <c r="AD98" s="16" t="str">
        <f t="shared" si="91"/>
        <v>-</v>
      </c>
      <c r="AE98" s="16" t="str">
        <f t="shared" si="92"/>
        <v>-</v>
      </c>
      <c r="AF98" s="16" t="str">
        <f t="shared" si="108"/>
        <v>-</v>
      </c>
      <c r="AG98" s="16"/>
      <c r="AH98" s="32" t="str">
        <f>IFERROR(INDEX(Target!$R$11:$R$167,MATCH('Calculations - Target'!D98,Target!$N$11:$N$167,0)),"")</f>
        <v/>
      </c>
      <c r="AI98" s="23" t="str">
        <f t="shared" si="109"/>
        <v/>
      </c>
      <c r="AJ98" s="23" t="str">
        <f t="shared" si="110"/>
        <v/>
      </c>
      <c r="AK98" s="9" t="str">
        <f t="shared" si="93"/>
        <v/>
      </c>
      <c r="AL98" s="4" t="str">
        <f t="shared" si="94"/>
        <v/>
      </c>
      <c r="AM98" s="4"/>
      <c r="AN98" s="4"/>
      <c r="AO98" s="4"/>
      <c r="AP98" s="4"/>
      <c r="AQ98" s="4"/>
      <c r="AR98" s="20" t="str">
        <f t="shared" si="95"/>
        <v>-</v>
      </c>
      <c r="AS98" s="13" t="str">
        <f t="shared" si="111"/>
        <v>-</v>
      </c>
      <c r="AT98" s="13" t="str">
        <f t="shared" si="112"/>
        <v>-</v>
      </c>
      <c r="AU98" s="13" t="str">
        <f t="shared" si="96"/>
        <v>-</v>
      </c>
      <c r="AV98" s="16" t="str">
        <f t="shared" si="113"/>
        <v>-</v>
      </c>
      <c r="AW98" s="16" t="str">
        <f t="shared" si="97"/>
        <v>-</v>
      </c>
      <c r="AX98" s="16" t="str">
        <f t="shared" si="98"/>
        <v>-</v>
      </c>
      <c r="AY98" s="16" t="str">
        <f t="shared" si="114"/>
        <v>-</v>
      </c>
      <c r="AZ98" s="13" t="str">
        <f t="shared" si="115"/>
        <v>-</v>
      </c>
      <c r="BA98" s="10" t="str">
        <f t="shared" si="116"/>
        <v>-</v>
      </c>
      <c r="BB98" s="9" t="str">
        <f t="shared" si="117"/>
        <v>-</v>
      </c>
      <c r="BC98" s="13" t="str">
        <f t="shared" si="118"/>
        <v>-</v>
      </c>
      <c r="BD98" s="10" t="str">
        <f t="shared" si="119"/>
        <v>-</v>
      </c>
      <c r="BE98" s="13" t="str">
        <f t="shared" si="120"/>
        <v>-</v>
      </c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</row>
    <row r="99" spans="2:70" x14ac:dyDescent="0.3">
      <c r="B99" s="96" t="str">
        <f t="shared" si="99"/>
        <v/>
      </c>
      <c r="C99" s="96" t="str">
        <f t="shared" si="100"/>
        <v/>
      </c>
      <c r="D99" s="96" t="str">
        <f t="shared" si="101"/>
        <v/>
      </c>
      <c r="E99" s="3"/>
      <c r="F99" s="3"/>
      <c r="G99" s="3"/>
      <c r="H99" s="3"/>
      <c r="I99" s="20">
        <f>IFERROR(INDEX('Input - Target'!G$2:G$200,MATCH('Calculations - Target'!$D99,'Input - Target'!$B$2:$B$200,0)),"")</f>
        <v>0</v>
      </c>
      <c r="J99" s="20">
        <f>IFERROR(INDEX('Input - Target'!H$2:H$200,MATCH('Calculations - Target'!$D99,'Input - Target'!$B$2:$B$200,0)),"")</f>
        <v>0</v>
      </c>
      <c r="K99" s="21">
        <f>IFERROR(INDEX('Input - Target'!I$2:I$200,MATCH('Calculations - Target'!$D99,'Input - Target'!$B$2:$B$200,0)),"")</f>
        <v>0</v>
      </c>
      <c r="L99" s="21">
        <f>IFERROR(INDEX('Input - Target'!J$2:J$200,MATCH('Calculations - Target'!$D99,'Input - Target'!$B$2:$B$200,0)),"")</f>
        <v>0</v>
      </c>
      <c r="M99" s="20">
        <f>IFERROR(INDEX('Input - Target'!K$2:K$200,MATCH('Calculations - Target'!$D99,'Input - Target'!$B$2:$B$200,0)),"")</f>
        <v>0</v>
      </c>
      <c r="N99" s="20">
        <f>IFERROR(INDEX('Input - Target'!L$2:L$200,MATCH('Calculations - Target'!$D99,'Input - Target'!$B$2:$B$200,0)),"")</f>
        <v>0</v>
      </c>
      <c r="O99" s="21" t="str">
        <f t="shared" si="102"/>
        <v/>
      </c>
      <c r="P99" s="21" t="str">
        <f t="shared" si="86"/>
        <v/>
      </c>
      <c r="Q99" s="21">
        <f t="shared" si="103"/>
        <v>0</v>
      </c>
      <c r="R99" s="9">
        <f t="shared" si="84"/>
        <v>0</v>
      </c>
      <c r="S99" s="9">
        <f t="shared" si="85"/>
        <v>0</v>
      </c>
      <c r="T99" s="22" t="str">
        <f>IFERROR(INDEX(Target!$S$11:$S$167,MATCH('Calculations - Target'!$D99,Target!$N$11:$N$167,0)),"")</f>
        <v/>
      </c>
      <c r="U99" s="22" t="str">
        <f>IFERROR(INDEX(Target!$T$11:$T$167,MATCH('Calculations - Target'!$D99,Target!$N$11:$N$167,0)),"")</f>
        <v/>
      </c>
      <c r="V99" s="16" t="e">
        <f t="shared" si="87"/>
        <v>#VALUE!</v>
      </c>
      <c r="W99" s="16" t="e">
        <f t="shared" si="104"/>
        <v>#VALUE!</v>
      </c>
      <c r="X99" s="16" t="e">
        <f t="shared" si="105"/>
        <v>#VALUE!</v>
      </c>
      <c r="Y99" s="10" t="str">
        <f t="shared" si="88"/>
        <v>-</v>
      </c>
      <c r="Z99" s="10" t="str">
        <f t="shared" si="89"/>
        <v>-</v>
      </c>
      <c r="AA99" s="13" t="str">
        <f t="shared" si="106"/>
        <v>-</v>
      </c>
      <c r="AB99" s="9" t="str">
        <f t="shared" si="90"/>
        <v>-</v>
      </c>
      <c r="AC99" s="16" t="str">
        <f t="shared" si="107"/>
        <v>-</v>
      </c>
      <c r="AD99" s="16" t="str">
        <f t="shared" si="91"/>
        <v>-</v>
      </c>
      <c r="AE99" s="16" t="str">
        <f t="shared" si="92"/>
        <v>-</v>
      </c>
      <c r="AF99" s="16" t="str">
        <f t="shared" si="108"/>
        <v>-</v>
      </c>
      <c r="AG99" s="16"/>
      <c r="AH99" s="32" t="str">
        <f>IFERROR(INDEX(Target!$R$11:$R$167,MATCH('Calculations - Target'!D99,Target!$N$11:$N$167,0)),"")</f>
        <v/>
      </c>
      <c r="AI99" s="23" t="str">
        <f t="shared" si="109"/>
        <v/>
      </c>
      <c r="AJ99" s="23" t="str">
        <f t="shared" si="110"/>
        <v/>
      </c>
      <c r="AK99" s="9" t="str">
        <f t="shared" si="93"/>
        <v/>
      </c>
      <c r="AL99" s="4" t="str">
        <f t="shared" si="94"/>
        <v/>
      </c>
      <c r="AM99" s="4"/>
      <c r="AN99" s="4"/>
      <c r="AO99" s="4"/>
      <c r="AP99" s="4"/>
      <c r="AQ99" s="4"/>
      <c r="AR99" s="20" t="str">
        <f t="shared" si="95"/>
        <v>-</v>
      </c>
      <c r="AS99" s="13" t="str">
        <f t="shared" si="111"/>
        <v>-</v>
      </c>
      <c r="AT99" s="13" t="str">
        <f t="shared" si="112"/>
        <v>-</v>
      </c>
      <c r="AU99" s="13" t="str">
        <f t="shared" si="96"/>
        <v>-</v>
      </c>
      <c r="AV99" s="16" t="str">
        <f t="shared" si="113"/>
        <v>-</v>
      </c>
      <c r="AW99" s="16" t="str">
        <f t="shared" si="97"/>
        <v>-</v>
      </c>
      <c r="AX99" s="16" t="str">
        <f t="shared" si="98"/>
        <v>-</v>
      </c>
      <c r="AY99" s="16" t="str">
        <f t="shared" si="114"/>
        <v>-</v>
      </c>
      <c r="AZ99" s="13" t="str">
        <f t="shared" si="115"/>
        <v>-</v>
      </c>
      <c r="BA99" s="10" t="str">
        <f t="shared" si="116"/>
        <v>-</v>
      </c>
      <c r="BB99" s="9" t="str">
        <f t="shared" si="117"/>
        <v>-</v>
      </c>
      <c r="BC99" s="13" t="str">
        <f t="shared" si="118"/>
        <v>-</v>
      </c>
      <c r="BD99" s="10" t="str">
        <f t="shared" si="119"/>
        <v>-</v>
      </c>
      <c r="BE99" s="13" t="str">
        <f t="shared" si="120"/>
        <v>-</v>
      </c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</row>
    <row r="100" spans="2:70" x14ac:dyDescent="0.3">
      <c r="B100" s="96" t="str">
        <f t="shared" si="99"/>
        <v/>
      </c>
      <c r="C100" s="96" t="str">
        <f t="shared" si="100"/>
        <v/>
      </c>
      <c r="D100" s="96" t="str">
        <f t="shared" si="101"/>
        <v/>
      </c>
      <c r="E100" s="3"/>
      <c r="F100" s="3"/>
      <c r="G100" s="3"/>
      <c r="H100" s="3"/>
      <c r="I100" s="20">
        <f>IFERROR(INDEX('Input - Target'!G$2:G$200,MATCH('Calculations - Target'!$D100,'Input - Target'!$B$2:$B$200,0)),"")</f>
        <v>0</v>
      </c>
      <c r="J100" s="20">
        <f>IFERROR(INDEX('Input - Target'!H$2:H$200,MATCH('Calculations - Target'!$D100,'Input - Target'!$B$2:$B$200,0)),"")</f>
        <v>0</v>
      </c>
      <c r="K100" s="21">
        <f>IFERROR(INDEX('Input - Target'!I$2:I$200,MATCH('Calculations - Target'!$D100,'Input - Target'!$B$2:$B$200,0)),"")</f>
        <v>0</v>
      </c>
      <c r="L100" s="21">
        <f>IFERROR(INDEX('Input - Target'!J$2:J$200,MATCH('Calculations - Target'!$D100,'Input - Target'!$B$2:$B$200,0)),"")</f>
        <v>0</v>
      </c>
      <c r="M100" s="20">
        <f>IFERROR(INDEX('Input - Target'!K$2:K$200,MATCH('Calculations - Target'!$D100,'Input - Target'!$B$2:$B$200,0)),"")</f>
        <v>0</v>
      </c>
      <c r="N100" s="20">
        <f>IFERROR(INDEX('Input - Target'!L$2:L$200,MATCH('Calculations - Target'!$D100,'Input - Target'!$B$2:$B$200,0)),"")</f>
        <v>0</v>
      </c>
      <c r="O100" s="21" t="str">
        <f t="shared" si="102"/>
        <v/>
      </c>
      <c r="P100" s="21" t="str">
        <f t="shared" si="86"/>
        <v/>
      </c>
      <c r="Q100" s="21">
        <f t="shared" si="103"/>
        <v>0</v>
      </c>
      <c r="R100" s="9">
        <f t="shared" si="84"/>
        <v>0</v>
      </c>
      <c r="S100" s="9">
        <f t="shared" si="85"/>
        <v>0</v>
      </c>
      <c r="T100" s="22" t="str">
        <f>IFERROR(INDEX(Target!$S$11:$S$167,MATCH('Calculations - Target'!$D100,Target!$N$11:$N$167,0)),"")</f>
        <v/>
      </c>
      <c r="U100" s="22" t="str">
        <f>IFERROR(INDEX(Target!$T$11:$T$167,MATCH('Calculations - Target'!$D100,Target!$N$11:$N$167,0)),"")</f>
        <v/>
      </c>
      <c r="V100" s="16" t="e">
        <f t="shared" si="87"/>
        <v>#VALUE!</v>
      </c>
      <c r="W100" s="16" t="e">
        <f t="shared" si="104"/>
        <v>#VALUE!</v>
      </c>
      <c r="X100" s="16" t="e">
        <f t="shared" si="105"/>
        <v>#VALUE!</v>
      </c>
      <c r="Y100" s="10" t="str">
        <f t="shared" si="88"/>
        <v>-</v>
      </c>
      <c r="Z100" s="10" t="str">
        <f t="shared" si="89"/>
        <v>-</v>
      </c>
      <c r="AA100" s="13" t="str">
        <f t="shared" si="106"/>
        <v>-</v>
      </c>
      <c r="AB100" s="9" t="str">
        <f t="shared" si="90"/>
        <v>-</v>
      </c>
      <c r="AC100" s="16" t="str">
        <f t="shared" si="107"/>
        <v>-</v>
      </c>
      <c r="AD100" s="16" t="str">
        <f t="shared" si="91"/>
        <v>-</v>
      </c>
      <c r="AE100" s="16" t="str">
        <f t="shared" si="92"/>
        <v>-</v>
      </c>
      <c r="AF100" s="16" t="str">
        <f t="shared" si="108"/>
        <v>-</v>
      </c>
      <c r="AG100" s="16"/>
      <c r="AH100" s="32" t="str">
        <f>IFERROR(INDEX(Target!$R$11:$R$167,MATCH('Calculations - Target'!D100,Target!$N$11:$N$167,0)),"")</f>
        <v/>
      </c>
      <c r="AI100" s="23" t="str">
        <f t="shared" si="109"/>
        <v/>
      </c>
      <c r="AJ100" s="23" t="str">
        <f t="shared" si="110"/>
        <v/>
      </c>
      <c r="AK100" s="9" t="str">
        <f t="shared" si="93"/>
        <v/>
      </c>
      <c r="AL100" s="4" t="str">
        <f t="shared" si="94"/>
        <v/>
      </c>
      <c r="AM100" s="4"/>
      <c r="AN100" s="4"/>
      <c r="AO100" s="4"/>
      <c r="AP100" s="4"/>
      <c r="AQ100" s="4"/>
      <c r="AR100" s="20" t="str">
        <f t="shared" si="95"/>
        <v>-</v>
      </c>
      <c r="AS100" s="13" t="str">
        <f t="shared" si="111"/>
        <v>-</v>
      </c>
      <c r="AT100" s="13" t="str">
        <f t="shared" si="112"/>
        <v>-</v>
      </c>
      <c r="AU100" s="13" t="str">
        <f t="shared" si="96"/>
        <v>-</v>
      </c>
      <c r="AV100" s="16" t="str">
        <f t="shared" si="113"/>
        <v>-</v>
      </c>
      <c r="AW100" s="16" t="str">
        <f t="shared" si="97"/>
        <v>-</v>
      </c>
      <c r="AX100" s="16" t="str">
        <f t="shared" si="98"/>
        <v>-</v>
      </c>
      <c r="AY100" s="16" t="str">
        <f t="shared" si="114"/>
        <v>-</v>
      </c>
      <c r="AZ100" s="13" t="str">
        <f t="shared" si="115"/>
        <v>-</v>
      </c>
      <c r="BA100" s="10" t="str">
        <f t="shared" si="116"/>
        <v>-</v>
      </c>
      <c r="BB100" s="9" t="str">
        <f t="shared" si="117"/>
        <v>-</v>
      </c>
      <c r="BC100" s="13" t="str">
        <f t="shared" si="118"/>
        <v>-</v>
      </c>
      <c r="BD100" s="10" t="str">
        <f t="shared" si="119"/>
        <v>-</v>
      </c>
      <c r="BE100" s="13" t="str">
        <f t="shared" si="120"/>
        <v>-</v>
      </c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</row>
    <row r="101" spans="2:70" x14ac:dyDescent="0.3">
      <c r="B101" s="96" t="str">
        <f t="shared" si="99"/>
        <v/>
      </c>
      <c r="C101" s="96" t="str">
        <f t="shared" si="100"/>
        <v/>
      </c>
      <c r="D101" s="96" t="str">
        <f t="shared" si="101"/>
        <v/>
      </c>
      <c r="E101" s="3"/>
      <c r="F101" s="3"/>
      <c r="G101" s="3"/>
      <c r="H101" s="3"/>
      <c r="I101" s="20">
        <f>IFERROR(INDEX('Input - Target'!G$2:G$200,MATCH('Calculations - Target'!$D101,'Input - Target'!$B$2:$B$200,0)),"")</f>
        <v>0</v>
      </c>
      <c r="J101" s="20">
        <f>IFERROR(INDEX('Input - Target'!H$2:H$200,MATCH('Calculations - Target'!$D101,'Input - Target'!$B$2:$B$200,0)),"")</f>
        <v>0</v>
      </c>
      <c r="K101" s="21">
        <f>IFERROR(INDEX('Input - Target'!I$2:I$200,MATCH('Calculations - Target'!$D101,'Input - Target'!$B$2:$B$200,0)),"")</f>
        <v>0</v>
      </c>
      <c r="L101" s="21">
        <f>IFERROR(INDEX('Input - Target'!J$2:J$200,MATCH('Calculations - Target'!$D101,'Input - Target'!$B$2:$B$200,0)),"")</f>
        <v>0</v>
      </c>
      <c r="M101" s="20">
        <f>IFERROR(INDEX('Input - Target'!K$2:K$200,MATCH('Calculations - Target'!$D101,'Input - Target'!$B$2:$B$200,0)),"")</f>
        <v>0</v>
      </c>
      <c r="N101" s="20">
        <f>IFERROR(INDEX('Input - Target'!L$2:L$200,MATCH('Calculations - Target'!$D101,'Input - Target'!$B$2:$B$200,0)),"")</f>
        <v>0</v>
      </c>
      <c r="O101" s="21" t="str">
        <f t="shared" si="102"/>
        <v/>
      </c>
      <c r="P101" s="21" t="str">
        <f t="shared" si="86"/>
        <v/>
      </c>
      <c r="Q101" s="21">
        <f t="shared" si="103"/>
        <v>0</v>
      </c>
      <c r="R101" s="9">
        <f t="shared" si="84"/>
        <v>0</v>
      </c>
      <c r="S101" s="9">
        <f t="shared" si="85"/>
        <v>0</v>
      </c>
      <c r="T101" s="22" t="str">
        <f>IFERROR(INDEX(Target!$S$11:$S$167,MATCH('Calculations - Target'!$D101,Target!$N$11:$N$167,0)),"")</f>
        <v/>
      </c>
      <c r="U101" s="22" t="str">
        <f>IFERROR(INDEX(Target!$T$11:$T$167,MATCH('Calculations - Target'!$D101,Target!$N$11:$N$167,0)),"")</f>
        <v/>
      </c>
      <c r="V101" s="16" t="e">
        <f t="shared" si="87"/>
        <v>#VALUE!</v>
      </c>
      <c r="W101" s="16" t="e">
        <f t="shared" si="104"/>
        <v>#VALUE!</v>
      </c>
      <c r="X101" s="16" t="e">
        <f t="shared" si="105"/>
        <v>#VALUE!</v>
      </c>
      <c r="Y101" s="10" t="str">
        <f t="shared" si="88"/>
        <v>-</v>
      </c>
      <c r="Z101" s="10" t="str">
        <f t="shared" si="89"/>
        <v>-</v>
      </c>
      <c r="AA101" s="13" t="str">
        <f t="shared" si="106"/>
        <v>-</v>
      </c>
      <c r="AB101" s="9" t="str">
        <f t="shared" si="90"/>
        <v>-</v>
      </c>
      <c r="AC101" s="16" t="str">
        <f t="shared" si="107"/>
        <v>-</v>
      </c>
      <c r="AD101" s="16" t="str">
        <f t="shared" si="91"/>
        <v>-</v>
      </c>
      <c r="AE101" s="16" t="str">
        <f t="shared" si="92"/>
        <v>-</v>
      </c>
      <c r="AF101" s="16" t="str">
        <f t="shared" si="108"/>
        <v>-</v>
      </c>
      <c r="AG101" s="16"/>
      <c r="AH101" s="32" t="str">
        <f>IFERROR(INDEX(Target!$R$11:$R$167,MATCH('Calculations - Target'!D101,Target!$N$11:$N$167,0)),"")</f>
        <v/>
      </c>
      <c r="AI101" s="23" t="str">
        <f t="shared" si="109"/>
        <v/>
      </c>
      <c r="AJ101" s="23" t="str">
        <f t="shared" si="110"/>
        <v/>
      </c>
      <c r="AK101" s="9" t="str">
        <f t="shared" si="93"/>
        <v/>
      </c>
      <c r="AL101" s="4" t="str">
        <f t="shared" si="94"/>
        <v/>
      </c>
      <c r="AM101" s="4"/>
      <c r="AN101" s="4"/>
      <c r="AO101" s="4"/>
      <c r="AP101" s="4"/>
      <c r="AQ101" s="4"/>
      <c r="AR101" s="20" t="str">
        <f t="shared" si="95"/>
        <v>-</v>
      </c>
      <c r="AS101" s="13" t="str">
        <f t="shared" si="111"/>
        <v>-</v>
      </c>
      <c r="AT101" s="13" t="str">
        <f t="shared" si="112"/>
        <v>-</v>
      </c>
      <c r="AU101" s="13" t="str">
        <f t="shared" si="96"/>
        <v>-</v>
      </c>
      <c r="AV101" s="16" t="str">
        <f t="shared" si="113"/>
        <v>-</v>
      </c>
      <c r="AW101" s="16" t="str">
        <f t="shared" si="97"/>
        <v>-</v>
      </c>
      <c r="AX101" s="16" t="str">
        <f t="shared" si="98"/>
        <v>-</v>
      </c>
      <c r="AY101" s="16" t="str">
        <f t="shared" si="114"/>
        <v>-</v>
      </c>
      <c r="AZ101" s="13" t="str">
        <f t="shared" si="115"/>
        <v>-</v>
      </c>
      <c r="BA101" s="10" t="str">
        <f t="shared" si="116"/>
        <v>-</v>
      </c>
      <c r="BB101" s="9" t="str">
        <f t="shared" si="117"/>
        <v>-</v>
      </c>
      <c r="BC101" s="13" t="str">
        <f t="shared" si="118"/>
        <v>-</v>
      </c>
      <c r="BD101" s="10" t="str">
        <f t="shared" si="119"/>
        <v>-</v>
      </c>
      <c r="BE101" s="13" t="str">
        <f t="shared" si="120"/>
        <v>-</v>
      </c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</row>
    <row r="102" spans="2:70" x14ac:dyDescent="0.3">
      <c r="B102" s="96" t="str">
        <f t="shared" si="99"/>
        <v/>
      </c>
      <c r="C102" s="96" t="str">
        <f t="shared" si="100"/>
        <v/>
      </c>
      <c r="D102" s="96" t="str">
        <f t="shared" si="101"/>
        <v/>
      </c>
      <c r="E102" s="3"/>
      <c r="F102" s="3"/>
      <c r="G102" s="3"/>
      <c r="H102" s="3"/>
      <c r="I102" s="20">
        <f>IFERROR(INDEX('Input - Target'!G$2:G$200,MATCH('Calculations - Target'!$D102,'Input - Target'!$B$2:$B$200,0)),"")</f>
        <v>0</v>
      </c>
      <c r="J102" s="20">
        <f>IFERROR(INDEX('Input - Target'!H$2:H$200,MATCH('Calculations - Target'!$D102,'Input - Target'!$B$2:$B$200,0)),"")</f>
        <v>0</v>
      </c>
      <c r="K102" s="21">
        <f>IFERROR(INDEX('Input - Target'!I$2:I$200,MATCH('Calculations - Target'!$D102,'Input - Target'!$B$2:$B$200,0)),"")</f>
        <v>0</v>
      </c>
      <c r="L102" s="21">
        <f>IFERROR(INDEX('Input - Target'!J$2:J$200,MATCH('Calculations - Target'!$D102,'Input - Target'!$B$2:$B$200,0)),"")</f>
        <v>0</v>
      </c>
      <c r="M102" s="20">
        <f>IFERROR(INDEX('Input - Target'!K$2:K$200,MATCH('Calculations - Target'!$D102,'Input - Target'!$B$2:$B$200,0)),"")</f>
        <v>0</v>
      </c>
      <c r="N102" s="20">
        <f>IFERROR(INDEX('Input - Target'!L$2:L$200,MATCH('Calculations - Target'!$D102,'Input - Target'!$B$2:$B$200,0)),"")</f>
        <v>0</v>
      </c>
      <c r="O102" s="21" t="str">
        <f t="shared" si="102"/>
        <v/>
      </c>
      <c r="P102" s="21" t="str">
        <f t="shared" si="86"/>
        <v/>
      </c>
      <c r="Q102" s="21">
        <f t="shared" si="103"/>
        <v>0</v>
      </c>
      <c r="R102" s="9">
        <f t="shared" si="84"/>
        <v>0</v>
      </c>
      <c r="S102" s="9">
        <f t="shared" si="85"/>
        <v>0</v>
      </c>
      <c r="T102" s="22" t="str">
        <f>IFERROR(INDEX(Target!$S$11:$S$167,MATCH('Calculations - Target'!$D102,Target!$N$11:$N$167,0)),"")</f>
        <v/>
      </c>
      <c r="U102" s="22" t="str">
        <f>IFERROR(INDEX(Target!$T$11:$T$167,MATCH('Calculations - Target'!$D102,Target!$N$11:$N$167,0)),"")</f>
        <v/>
      </c>
      <c r="V102" s="16" t="e">
        <f t="shared" si="87"/>
        <v>#VALUE!</v>
      </c>
      <c r="W102" s="16" t="e">
        <f t="shared" si="104"/>
        <v>#VALUE!</v>
      </c>
      <c r="X102" s="16" t="e">
        <f t="shared" si="105"/>
        <v>#VALUE!</v>
      </c>
      <c r="Y102" s="10" t="str">
        <f t="shared" si="88"/>
        <v>-</v>
      </c>
      <c r="Z102" s="10" t="str">
        <f t="shared" si="89"/>
        <v>-</v>
      </c>
      <c r="AA102" s="13" t="str">
        <f t="shared" si="106"/>
        <v>-</v>
      </c>
      <c r="AB102" s="9" t="str">
        <f t="shared" si="90"/>
        <v>-</v>
      </c>
      <c r="AC102" s="16" t="str">
        <f t="shared" si="107"/>
        <v>-</v>
      </c>
      <c r="AD102" s="16" t="str">
        <f t="shared" si="91"/>
        <v>-</v>
      </c>
      <c r="AE102" s="16" t="str">
        <f t="shared" si="92"/>
        <v>-</v>
      </c>
      <c r="AF102" s="16" t="str">
        <f t="shared" si="108"/>
        <v>-</v>
      </c>
      <c r="AG102" s="16"/>
      <c r="AH102" s="32" t="str">
        <f>IFERROR(INDEX(Target!$R$11:$R$167,MATCH('Calculations - Target'!D102,Target!$N$11:$N$167,0)),"")</f>
        <v/>
      </c>
      <c r="AI102" s="23" t="str">
        <f t="shared" si="109"/>
        <v/>
      </c>
      <c r="AJ102" s="23" t="str">
        <f t="shared" si="110"/>
        <v/>
      </c>
      <c r="AK102" s="9" t="str">
        <f t="shared" si="93"/>
        <v/>
      </c>
      <c r="AL102" s="4" t="str">
        <f t="shared" si="94"/>
        <v/>
      </c>
      <c r="AM102" s="4"/>
      <c r="AN102" s="4"/>
      <c r="AO102" s="4"/>
      <c r="AP102" s="4"/>
      <c r="AQ102" s="4"/>
      <c r="AR102" s="20" t="str">
        <f t="shared" si="95"/>
        <v>-</v>
      </c>
      <c r="AS102" s="13" t="str">
        <f t="shared" si="111"/>
        <v>-</v>
      </c>
      <c r="AT102" s="13" t="str">
        <f t="shared" si="112"/>
        <v>-</v>
      </c>
      <c r="AU102" s="13" t="str">
        <f t="shared" si="96"/>
        <v>-</v>
      </c>
      <c r="AV102" s="16" t="str">
        <f t="shared" si="113"/>
        <v>-</v>
      </c>
      <c r="AW102" s="16" t="str">
        <f t="shared" si="97"/>
        <v>-</v>
      </c>
      <c r="AX102" s="16" t="str">
        <f t="shared" si="98"/>
        <v>-</v>
      </c>
      <c r="AY102" s="16" t="str">
        <f t="shared" si="114"/>
        <v>-</v>
      </c>
      <c r="AZ102" s="13" t="str">
        <f t="shared" si="115"/>
        <v>-</v>
      </c>
      <c r="BA102" s="10" t="str">
        <f t="shared" si="116"/>
        <v>-</v>
      </c>
      <c r="BB102" s="9" t="str">
        <f t="shared" si="117"/>
        <v>-</v>
      </c>
      <c r="BC102" s="13" t="str">
        <f t="shared" si="118"/>
        <v>-</v>
      </c>
      <c r="BD102" s="10" t="str">
        <f t="shared" si="119"/>
        <v>-</v>
      </c>
      <c r="BE102" s="13" t="str">
        <f t="shared" si="120"/>
        <v>-</v>
      </c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</row>
    <row r="103" spans="2:70" x14ac:dyDescent="0.3">
      <c r="B103" s="96" t="str">
        <f t="shared" si="99"/>
        <v/>
      </c>
      <c r="C103" s="96" t="str">
        <f t="shared" si="100"/>
        <v/>
      </c>
      <c r="D103" s="96" t="str">
        <f t="shared" si="101"/>
        <v/>
      </c>
      <c r="E103" s="3"/>
      <c r="F103" s="3"/>
      <c r="G103" s="3"/>
      <c r="H103" s="3"/>
      <c r="I103" s="20">
        <f>IFERROR(INDEX('Input - Target'!G$2:G$200,MATCH('Calculations - Target'!$D103,'Input - Target'!$B$2:$B$200,0)),"")</f>
        <v>0</v>
      </c>
      <c r="J103" s="20">
        <f>IFERROR(INDEX('Input - Target'!H$2:H$200,MATCH('Calculations - Target'!$D103,'Input - Target'!$B$2:$B$200,0)),"")</f>
        <v>0</v>
      </c>
      <c r="K103" s="21">
        <f>IFERROR(INDEX('Input - Target'!I$2:I$200,MATCH('Calculations - Target'!$D103,'Input - Target'!$B$2:$B$200,0)),"")</f>
        <v>0</v>
      </c>
      <c r="L103" s="21">
        <f>IFERROR(INDEX('Input - Target'!J$2:J$200,MATCH('Calculations - Target'!$D103,'Input - Target'!$B$2:$B$200,0)),"")</f>
        <v>0</v>
      </c>
      <c r="M103" s="20">
        <f>IFERROR(INDEX('Input - Target'!K$2:K$200,MATCH('Calculations - Target'!$D103,'Input - Target'!$B$2:$B$200,0)),"")</f>
        <v>0</v>
      </c>
      <c r="N103" s="20">
        <f>IFERROR(INDEX('Input - Target'!L$2:L$200,MATCH('Calculations - Target'!$D103,'Input - Target'!$B$2:$B$200,0)),"")</f>
        <v>0</v>
      </c>
      <c r="O103" s="21" t="str">
        <f t="shared" si="102"/>
        <v/>
      </c>
      <c r="P103" s="21" t="str">
        <f t="shared" si="86"/>
        <v/>
      </c>
      <c r="Q103" s="21">
        <f t="shared" si="103"/>
        <v>0</v>
      </c>
      <c r="R103" s="9">
        <f t="shared" si="84"/>
        <v>0</v>
      </c>
      <c r="S103" s="9">
        <f t="shared" si="85"/>
        <v>0</v>
      </c>
      <c r="T103" s="22" t="str">
        <f>IFERROR(INDEX(Target!$S$11:$S$167,MATCH('Calculations - Target'!$D103,Target!$N$11:$N$167,0)),"")</f>
        <v/>
      </c>
      <c r="U103" s="22" t="str">
        <f>IFERROR(INDEX(Target!$T$11:$T$167,MATCH('Calculations - Target'!$D103,Target!$N$11:$N$167,0)),"")</f>
        <v/>
      </c>
      <c r="V103" s="16" t="e">
        <f t="shared" si="87"/>
        <v>#VALUE!</v>
      </c>
      <c r="W103" s="16" t="e">
        <f t="shared" si="104"/>
        <v>#VALUE!</v>
      </c>
      <c r="X103" s="16" t="e">
        <f t="shared" si="105"/>
        <v>#VALUE!</v>
      </c>
      <c r="Y103" s="10" t="str">
        <f t="shared" si="88"/>
        <v>-</v>
      </c>
      <c r="Z103" s="10" t="str">
        <f t="shared" si="89"/>
        <v>-</v>
      </c>
      <c r="AA103" s="13" t="str">
        <f t="shared" si="106"/>
        <v>-</v>
      </c>
      <c r="AB103" s="9" t="str">
        <f t="shared" si="90"/>
        <v>-</v>
      </c>
      <c r="AC103" s="16" t="str">
        <f t="shared" si="107"/>
        <v>-</v>
      </c>
      <c r="AD103" s="16" t="str">
        <f t="shared" si="91"/>
        <v>-</v>
      </c>
      <c r="AE103" s="16" t="str">
        <f t="shared" si="92"/>
        <v>-</v>
      </c>
      <c r="AF103" s="16" t="str">
        <f t="shared" si="108"/>
        <v>-</v>
      </c>
      <c r="AG103" s="16"/>
      <c r="AH103" s="32" t="str">
        <f>IFERROR(INDEX(Target!$R$11:$R$167,MATCH('Calculations - Target'!D103,Target!$N$11:$N$167,0)),"")</f>
        <v/>
      </c>
      <c r="AI103" s="23" t="str">
        <f t="shared" si="109"/>
        <v/>
      </c>
      <c r="AJ103" s="23" t="str">
        <f t="shared" si="110"/>
        <v/>
      </c>
      <c r="AK103" s="9" t="str">
        <f t="shared" si="93"/>
        <v/>
      </c>
      <c r="AL103" s="4" t="str">
        <f t="shared" si="94"/>
        <v/>
      </c>
      <c r="AM103" s="4"/>
      <c r="AN103" s="4"/>
      <c r="AO103" s="4"/>
      <c r="AP103" s="4"/>
      <c r="AQ103" s="4"/>
      <c r="AR103" s="20" t="str">
        <f t="shared" si="95"/>
        <v>-</v>
      </c>
      <c r="AS103" s="13" t="str">
        <f t="shared" si="111"/>
        <v>-</v>
      </c>
      <c r="AT103" s="13" t="str">
        <f t="shared" si="112"/>
        <v>-</v>
      </c>
      <c r="AU103" s="13" t="str">
        <f t="shared" si="96"/>
        <v>-</v>
      </c>
      <c r="AV103" s="16" t="str">
        <f t="shared" si="113"/>
        <v>-</v>
      </c>
      <c r="AW103" s="16" t="str">
        <f t="shared" si="97"/>
        <v>-</v>
      </c>
      <c r="AX103" s="16" t="str">
        <f t="shared" si="98"/>
        <v>-</v>
      </c>
      <c r="AY103" s="16" t="str">
        <f t="shared" si="114"/>
        <v>-</v>
      </c>
      <c r="AZ103" s="13" t="str">
        <f t="shared" si="115"/>
        <v>-</v>
      </c>
      <c r="BA103" s="10" t="str">
        <f t="shared" si="116"/>
        <v>-</v>
      </c>
      <c r="BB103" s="9" t="str">
        <f t="shared" si="117"/>
        <v>-</v>
      </c>
      <c r="BC103" s="13" t="str">
        <f t="shared" si="118"/>
        <v>-</v>
      </c>
      <c r="BD103" s="10" t="str">
        <f t="shared" si="119"/>
        <v>-</v>
      </c>
      <c r="BE103" s="13" t="str">
        <f t="shared" si="120"/>
        <v>-</v>
      </c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</row>
    <row r="104" spans="2:70" x14ac:dyDescent="0.3">
      <c r="B104" s="96" t="str">
        <f t="shared" si="99"/>
        <v/>
      </c>
      <c r="C104" s="96" t="str">
        <f t="shared" si="100"/>
        <v/>
      </c>
      <c r="D104" s="96" t="str">
        <f t="shared" si="101"/>
        <v/>
      </c>
      <c r="E104" s="3"/>
      <c r="F104" s="3"/>
      <c r="G104" s="3"/>
      <c r="H104" s="3"/>
      <c r="I104" s="20">
        <f>IFERROR(INDEX('Input - Target'!G$2:G$200,MATCH('Calculations - Target'!$D104,'Input - Target'!$B$2:$B$200,0)),"")</f>
        <v>0</v>
      </c>
      <c r="J104" s="20">
        <f>IFERROR(INDEX('Input - Target'!H$2:H$200,MATCH('Calculations - Target'!$D104,'Input - Target'!$B$2:$B$200,0)),"")</f>
        <v>0</v>
      </c>
      <c r="K104" s="21">
        <f>IFERROR(INDEX('Input - Target'!I$2:I$200,MATCH('Calculations - Target'!$D104,'Input - Target'!$B$2:$B$200,0)),"")</f>
        <v>0</v>
      </c>
      <c r="L104" s="21">
        <f>IFERROR(INDEX('Input - Target'!J$2:J$200,MATCH('Calculations - Target'!$D104,'Input - Target'!$B$2:$B$200,0)),"")</f>
        <v>0</v>
      </c>
      <c r="M104" s="20">
        <f>IFERROR(INDEX('Input - Target'!K$2:K$200,MATCH('Calculations - Target'!$D104,'Input - Target'!$B$2:$B$200,0)),"")</f>
        <v>0</v>
      </c>
      <c r="N104" s="20">
        <f>IFERROR(INDEX('Input - Target'!L$2:L$200,MATCH('Calculations - Target'!$D104,'Input - Target'!$B$2:$B$200,0)),"")</f>
        <v>0</v>
      </c>
      <c r="O104" s="21" t="str">
        <f t="shared" si="102"/>
        <v/>
      </c>
      <c r="P104" s="21" t="str">
        <f t="shared" si="86"/>
        <v/>
      </c>
      <c r="Q104" s="21">
        <f t="shared" si="103"/>
        <v>0</v>
      </c>
      <c r="R104" s="9">
        <f t="shared" si="84"/>
        <v>0</v>
      </c>
      <c r="S104" s="9">
        <f t="shared" si="85"/>
        <v>0</v>
      </c>
      <c r="T104" s="22" t="str">
        <f>IFERROR(INDEX(Target!$S$11:$S$167,MATCH('Calculations - Target'!$D104,Target!$N$11:$N$167,0)),"")</f>
        <v/>
      </c>
      <c r="U104" s="22" t="str">
        <f>IFERROR(INDEX(Target!$T$11:$T$167,MATCH('Calculations - Target'!$D104,Target!$N$11:$N$167,0)),"")</f>
        <v/>
      </c>
      <c r="V104" s="16" t="e">
        <f t="shared" si="87"/>
        <v>#VALUE!</v>
      </c>
      <c r="W104" s="16" t="e">
        <f t="shared" si="104"/>
        <v>#VALUE!</v>
      </c>
      <c r="X104" s="16" t="e">
        <f t="shared" si="105"/>
        <v>#VALUE!</v>
      </c>
      <c r="Y104" s="10" t="str">
        <f t="shared" si="88"/>
        <v>-</v>
      </c>
      <c r="Z104" s="10" t="str">
        <f t="shared" si="89"/>
        <v>-</v>
      </c>
      <c r="AA104" s="13" t="str">
        <f t="shared" si="106"/>
        <v>-</v>
      </c>
      <c r="AB104" s="9" t="str">
        <f t="shared" si="90"/>
        <v>-</v>
      </c>
      <c r="AC104" s="16" t="str">
        <f t="shared" si="107"/>
        <v>-</v>
      </c>
      <c r="AD104" s="16" t="str">
        <f t="shared" si="91"/>
        <v>-</v>
      </c>
      <c r="AE104" s="16" t="str">
        <f t="shared" si="92"/>
        <v>-</v>
      </c>
      <c r="AF104" s="16" t="str">
        <f t="shared" si="108"/>
        <v>-</v>
      </c>
      <c r="AG104" s="16"/>
      <c r="AH104" s="32" t="str">
        <f>IFERROR(INDEX(Target!$R$11:$R$167,MATCH('Calculations - Target'!D104,Target!$N$11:$N$167,0)),"")</f>
        <v/>
      </c>
      <c r="AI104" s="23" t="str">
        <f t="shared" si="109"/>
        <v/>
      </c>
      <c r="AJ104" s="23" t="str">
        <f t="shared" si="110"/>
        <v/>
      </c>
      <c r="AK104" s="9" t="str">
        <f t="shared" si="93"/>
        <v/>
      </c>
      <c r="AL104" s="4" t="str">
        <f t="shared" si="94"/>
        <v/>
      </c>
      <c r="AM104" s="4"/>
      <c r="AN104" s="4"/>
      <c r="AO104" s="4"/>
      <c r="AP104" s="4"/>
      <c r="AQ104" s="4"/>
      <c r="AR104" s="20" t="str">
        <f t="shared" si="95"/>
        <v>-</v>
      </c>
      <c r="AS104" s="13" t="str">
        <f t="shared" si="111"/>
        <v>-</v>
      </c>
      <c r="AT104" s="13" t="str">
        <f t="shared" si="112"/>
        <v>-</v>
      </c>
      <c r="AU104" s="13" t="str">
        <f t="shared" si="96"/>
        <v>-</v>
      </c>
      <c r="AV104" s="16" t="str">
        <f t="shared" si="113"/>
        <v>-</v>
      </c>
      <c r="AW104" s="16" t="str">
        <f t="shared" si="97"/>
        <v>-</v>
      </c>
      <c r="AX104" s="16" t="str">
        <f t="shared" si="98"/>
        <v>-</v>
      </c>
      <c r="AY104" s="16" t="str">
        <f t="shared" si="114"/>
        <v>-</v>
      </c>
      <c r="AZ104" s="13" t="str">
        <f t="shared" si="115"/>
        <v>-</v>
      </c>
      <c r="BA104" s="10" t="str">
        <f t="shared" si="116"/>
        <v>-</v>
      </c>
      <c r="BB104" s="9" t="str">
        <f t="shared" si="117"/>
        <v>-</v>
      </c>
      <c r="BC104" s="13" t="str">
        <f t="shared" si="118"/>
        <v>-</v>
      </c>
      <c r="BD104" s="10" t="str">
        <f t="shared" si="119"/>
        <v>-</v>
      </c>
      <c r="BE104" s="13" t="str">
        <f t="shared" si="120"/>
        <v>-</v>
      </c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</row>
    <row r="105" spans="2:70" x14ac:dyDescent="0.3">
      <c r="B105" s="96" t="str">
        <f t="shared" si="99"/>
        <v/>
      </c>
      <c r="C105" s="96" t="str">
        <f t="shared" si="100"/>
        <v/>
      </c>
      <c r="D105" s="96" t="str">
        <f t="shared" si="101"/>
        <v/>
      </c>
      <c r="E105" s="3"/>
      <c r="F105" s="3"/>
      <c r="G105" s="3"/>
      <c r="H105" s="3"/>
      <c r="I105" s="20">
        <f>IFERROR(INDEX('Input - Target'!G$2:G$200,MATCH('Calculations - Target'!$D105,'Input - Target'!$B$2:$B$200,0)),"")</f>
        <v>0</v>
      </c>
      <c r="J105" s="20">
        <f>IFERROR(INDEX('Input - Target'!H$2:H$200,MATCH('Calculations - Target'!$D105,'Input - Target'!$B$2:$B$200,0)),"")</f>
        <v>0</v>
      </c>
      <c r="K105" s="21">
        <f>IFERROR(INDEX('Input - Target'!I$2:I$200,MATCH('Calculations - Target'!$D105,'Input - Target'!$B$2:$B$200,0)),"")</f>
        <v>0</v>
      </c>
      <c r="L105" s="21">
        <f>IFERROR(INDEX('Input - Target'!J$2:J$200,MATCH('Calculations - Target'!$D105,'Input - Target'!$B$2:$B$200,0)),"")</f>
        <v>0</v>
      </c>
      <c r="M105" s="20">
        <f>IFERROR(INDEX('Input - Target'!K$2:K$200,MATCH('Calculations - Target'!$D105,'Input - Target'!$B$2:$B$200,0)),"")</f>
        <v>0</v>
      </c>
      <c r="N105" s="20">
        <f>IFERROR(INDEX('Input - Target'!L$2:L$200,MATCH('Calculations - Target'!$D105,'Input - Target'!$B$2:$B$200,0)),"")</f>
        <v>0</v>
      </c>
      <c r="O105" s="21" t="str">
        <f t="shared" si="102"/>
        <v/>
      </c>
      <c r="P105" s="21" t="str">
        <f t="shared" si="86"/>
        <v/>
      </c>
      <c r="Q105" s="21">
        <f t="shared" si="103"/>
        <v>0</v>
      </c>
      <c r="R105" s="9">
        <f t="shared" si="84"/>
        <v>0</v>
      </c>
      <c r="S105" s="9">
        <f t="shared" si="85"/>
        <v>0</v>
      </c>
      <c r="T105" s="22" t="str">
        <f>IFERROR(INDEX(Target!$S$11:$S$167,MATCH('Calculations - Target'!$D105,Target!$N$11:$N$167,0)),"")</f>
        <v/>
      </c>
      <c r="U105" s="22" t="str">
        <f>IFERROR(INDEX(Target!$T$11:$T$167,MATCH('Calculations - Target'!$D105,Target!$N$11:$N$167,0)),"")</f>
        <v/>
      </c>
      <c r="V105" s="16" t="e">
        <f t="shared" si="87"/>
        <v>#VALUE!</v>
      </c>
      <c r="W105" s="16" t="e">
        <f t="shared" si="104"/>
        <v>#VALUE!</v>
      </c>
      <c r="X105" s="16" t="e">
        <f t="shared" si="105"/>
        <v>#VALUE!</v>
      </c>
      <c r="Y105" s="10" t="str">
        <f t="shared" si="88"/>
        <v>-</v>
      </c>
      <c r="Z105" s="10" t="str">
        <f t="shared" si="89"/>
        <v>-</v>
      </c>
      <c r="AA105" s="13" t="str">
        <f t="shared" si="106"/>
        <v>-</v>
      </c>
      <c r="AB105" s="9" t="str">
        <f t="shared" si="90"/>
        <v>-</v>
      </c>
      <c r="AC105" s="16" t="str">
        <f t="shared" si="107"/>
        <v>-</v>
      </c>
      <c r="AD105" s="16" t="str">
        <f t="shared" si="91"/>
        <v>-</v>
      </c>
      <c r="AE105" s="16" t="str">
        <f t="shared" si="92"/>
        <v>-</v>
      </c>
      <c r="AF105" s="16" t="str">
        <f t="shared" si="108"/>
        <v>-</v>
      </c>
      <c r="AG105" s="16"/>
      <c r="AH105" s="32" t="str">
        <f>IFERROR(INDEX(Target!$R$11:$R$167,MATCH('Calculations - Target'!D105,Target!$N$11:$N$167,0)),"")</f>
        <v/>
      </c>
      <c r="AI105" s="23" t="str">
        <f t="shared" si="109"/>
        <v/>
      </c>
      <c r="AJ105" s="23" t="str">
        <f t="shared" si="110"/>
        <v/>
      </c>
      <c r="AK105" s="9" t="str">
        <f t="shared" si="93"/>
        <v/>
      </c>
      <c r="AL105" s="4" t="str">
        <f t="shared" si="94"/>
        <v/>
      </c>
      <c r="AM105" s="4"/>
      <c r="AN105" s="4"/>
      <c r="AO105" s="4"/>
      <c r="AP105" s="4"/>
      <c r="AQ105" s="4"/>
      <c r="AR105" s="20" t="str">
        <f t="shared" si="95"/>
        <v>-</v>
      </c>
      <c r="AS105" s="13" t="str">
        <f t="shared" si="111"/>
        <v>-</v>
      </c>
      <c r="AT105" s="13" t="str">
        <f t="shared" si="112"/>
        <v>-</v>
      </c>
      <c r="AU105" s="13" t="str">
        <f t="shared" si="96"/>
        <v>-</v>
      </c>
      <c r="AV105" s="16" t="str">
        <f t="shared" si="113"/>
        <v>-</v>
      </c>
      <c r="AW105" s="16" t="str">
        <f t="shared" si="97"/>
        <v>-</v>
      </c>
      <c r="AX105" s="16" t="str">
        <f t="shared" si="98"/>
        <v>-</v>
      </c>
      <c r="AY105" s="16" t="str">
        <f t="shared" si="114"/>
        <v>-</v>
      </c>
      <c r="AZ105" s="13" t="str">
        <f t="shared" si="115"/>
        <v>-</v>
      </c>
      <c r="BA105" s="10" t="str">
        <f t="shared" si="116"/>
        <v>-</v>
      </c>
      <c r="BB105" s="9" t="str">
        <f t="shared" si="117"/>
        <v>-</v>
      </c>
      <c r="BC105" s="13" t="str">
        <f t="shared" si="118"/>
        <v>-</v>
      </c>
      <c r="BD105" s="10" t="str">
        <f t="shared" si="119"/>
        <v>-</v>
      </c>
      <c r="BE105" s="13" t="str">
        <f t="shared" si="120"/>
        <v>-</v>
      </c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</row>
    <row r="106" spans="2:70" x14ac:dyDescent="0.3">
      <c r="B106" s="96" t="str">
        <f t="shared" si="99"/>
        <v/>
      </c>
      <c r="C106" s="96" t="str">
        <f t="shared" si="100"/>
        <v/>
      </c>
      <c r="D106" s="96" t="str">
        <f t="shared" si="101"/>
        <v/>
      </c>
      <c r="E106" s="3"/>
      <c r="F106" s="3"/>
      <c r="G106" s="3"/>
      <c r="H106" s="3"/>
      <c r="I106" s="20">
        <f>IFERROR(INDEX('Input - Target'!G$2:G$200,MATCH('Calculations - Target'!$D106,'Input - Target'!$B$2:$B$200,0)),"")</f>
        <v>0</v>
      </c>
      <c r="J106" s="20">
        <f>IFERROR(INDEX('Input - Target'!H$2:H$200,MATCH('Calculations - Target'!$D106,'Input - Target'!$B$2:$B$200,0)),"")</f>
        <v>0</v>
      </c>
      <c r="K106" s="21">
        <f>IFERROR(INDEX('Input - Target'!I$2:I$200,MATCH('Calculations - Target'!$D106,'Input - Target'!$B$2:$B$200,0)),"")</f>
        <v>0</v>
      </c>
      <c r="L106" s="21">
        <f>IFERROR(INDEX('Input - Target'!J$2:J$200,MATCH('Calculations - Target'!$D106,'Input - Target'!$B$2:$B$200,0)),"")</f>
        <v>0</v>
      </c>
      <c r="M106" s="20">
        <f>IFERROR(INDEX('Input - Target'!K$2:K$200,MATCH('Calculations - Target'!$D106,'Input - Target'!$B$2:$B$200,0)),"")</f>
        <v>0</v>
      </c>
      <c r="N106" s="20">
        <f>IFERROR(INDEX('Input - Target'!L$2:L$200,MATCH('Calculations - Target'!$D106,'Input - Target'!$B$2:$B$200,0)),"")</f>
        <v>0</v>
      </c>
      <c r="O106" s="21" t="str">
        <f t="shared" si="102"/>
        <v/>
      </c>
      <c r="P106" s="21" t="str">
        <f t="shared" si="86"/>
        <v/>
      </c>
      <c r="Q106" s="21">
        <f t="shared" si="103"/>
        <v>0</v>
      </c>
      <c r="R106" s="9">
        <f t="shared" si="84"/>
        <v>0</v>
      </c>
      <c r="S106" s="9">
        <f t="shared" si="85"/>
        <v>0</v>
      </c>
      <c r="T106" s="22" t="str">
        <f>IFERROR(INDEX(Target!$S$11:$S$167,MATCH('Calculations - Target'!$D106,Target!$N$11:$N$167,0)),"")</f>
        <v/>
      </c>
      <c r="U106" s="22" t="str">
        <f>IFERROR(INDEX(Target!$T$11:$T$167,MATCH('Calculations - Target'!$D106,Target!$N$11:$N$167,0)),"")</f>
        <v/>
      </c>
      <c r="V106" s="16" t="e">
        <f t="shared" si="87"/>
        <v>#VALUE!</v>
      </c>
      <c r="W106" s="16" t="e">
        <f t="shared" si="104"/>
        <v>#VALUE!</v>
      </c>
      <c r="X106" s="16" t="e">
        <f t="shared" si="105"/>
        <v>#VALUE!</v>
      </c>
      <c r="Y106" s="10" t="str">
        <f t="shared" si="88"/>
        <v>-</v>
      </c>
      <c r="Z106" s="10" t="str">
        <f t="shared" si="89"/>
        <v>-</v>
      </c>
      <c r="AA106" s="13" t="str">
        <f t="shared" si="106"/>
        <v>-</v>
      </c>
      <c r="AB106" s="9" t="str">
        <f t="shared" si="90"/>
        <v>-</v>
      </c>
      <c r="AC106" s="16" t="str">
        <f t="shared" si="107"/>
        <v>-</v>
      </c>
      <c r="AD106" s="16" t="str">
        <f t="shared" si="91"/>
        <v>-</v>
      </c>
      <c r="AE106" s="16" t="str">
        <f t="shared" si="92"/>
        <v>-</v>
      </c>
      <c r="AF106" s="16" t="str">
        <f t="shared" si="108"/>
        <v>-</v>
      </c>
      <c r="AG106" s="16"/>
      <c r="AH106" s="32" t="str">
        <f>IFERROR(INDEX(Target!$R$11:$R$167,MATCH('Calculations - Target'!D106,Target!$N$11:$N$167,0)),"")</f>
        <v/>
      </c>
      <c r="AI106" s="23" t="str">
        <f t="shared" si="109"/>
        <v/>
      </c>
      <c r="AJ106" s="23" t="str">
        <f t="shared" si="110"/>
        <v/>
      </c>
      <c r="AK106" s="9" t="str">
        <f t="shared" si="93"/>
        <v/>
      </c>
      <c r="AL106" s="4" t="str">
        <f t="shared" si="94"/>
        <v/>
      </c>
      <c r="AM106" s="4"/>
      <c r="AN106" s="4"/>
      <c r="AO106" s="4"/>
      <c r="AP106" s="4"/>
      <c r="AQ106" s="4"/>
      <c r="AR106" s="20" t="str">
        <f t="shared" si="95"/>
        <v>-</v>
      </c>
      <c r="AS106" s="13" t="str">
        <f t="shared" si="111"/>
        <v>-</v>
      </c>
      <c r="AT106" s="13" t="str">
        <f t="shared" si="112"/>
        <v>-</v>
      </c>
      <c r="AU106" s="13" t="str">
        <f t="shared" si="96"/>
        <v>-</v>
      </c>
      <c r="AV106" s="16" t="str">
        <f t="shared" si="113"/>
        <v>-</v>
      </c>
      <c r="AW106" s="16" t="str">
        <f t="shared" si="97"/>
        <v>-</v>
      </c>
      <c r="AX106" s="16" t="str">
        <f t="shared" si="98"/>
        <v>-</v>
      </c>
      <c r="AY106" s="16" t="str">
        <f t="shared" si="114"/>
        <v>-</v>
      </c>
      <c r="AZ106" s="13" t="str">
        <f t="shared" si="115"/>
        <v>-</v>
      </c>
      <c r="BA106" s="10" t="str">
        <f t="shared" si="116"/>
        <v>-</v>
      </c>
      <c r="BB106" s="9" t="str">
        <f t="shared" si="117"/>
        <v>-</v>
      </c>
      <c r="BC106" s="13" t="str">
        <f t="shared" si="118"/>
        <v>-</v>
      </c>
      <c r="BD106" s="10" t="str">
        <f t="shared" si="119"/>
        <v>-</v>
      </c>
      <c r="BE106" s="13" t="str">
        <f t="shared" si="120"/>
        <v>-</v>
      </c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</row>
    <row r="107" spans="2:70" x14ac:dyDescent="0.3">
      <c r="B107" s="96" t="str">
        <f t="shared" si="99"/>
        <v/>
      </c>
      <c r="C107" s="96" t="str">
        <f t="shared" si="100"/>
        <v/>
      </c>
      <c r="D107" s="96" t="str">
        <f t="shared" si="101"/>
        <v/>
      </c>
      <c r="E107" s="3"/>
      <c r="F107" s="3"/>
      <c r="G107" s="3"/>
      <c r="H107" s="3"/>
      <c r="I107" s="20">
        <f>IFERROR(INDEX('Input - Target'!G$2:G$200,MATCH('Calculations - Target'!$D107,'Input - Target'!$B$2:$B$200,0)),"")</f>
        <v>0</v>
      </c>
      <c r="J107" s="20">
        <f>IFERROR(INDEX('Input - Target'!H$2:H$200,MATCH('Calculations - Target'!$D107,'Input - Target'!$B$2:$B$200,0)),"")</f>
        <v>0</v>
      </c>
      <c r="K107" s="21">
        <f>IFERROR(INDEX('Input - Target'!I$2:I$200,MATCH('Calculations - Target'!$D107,'Input - Target'!$B$2:$B$200,0)),"")</f>
        <v>0</v>
      </c>
      <c r="L107" s="21">
        <f>IFERROR(INDEX('Input - Target'!J$2:J$200,MATCH('Calculations - Target'!$D107,'Input - Target'!$B$2:$B$200,0)),"")</f>
        <v>0</v>
      </c>
      <c r="M107" s="20">
        <f>IFERROR(INDEX('Input - Target'!K$2:K$200,MATCH('Calculations - Target'!$D107,'Input - Target'!$B$2:$B$200,0)),"")</f>
        <v>0</v>
      </c>
      <c r="N107" s="20">
        <f>IFERROR(INDEX('Input - Target'!L$2:L$200,MATCH('Calculations - Target'!$D107,'Input - Target'!$B$2:$B$200,0)),"")</f>
        <v>0</v>
      </c>
      <c r="O107" s="21" t="str">
        <f t="shared" si="102"/>
        <v/>
      </c>
      <c r="P107" s="21" t="str">
        <f t="shared" si="86"/>
        <v/>
      </c>
      <c r="Q107" s="21">
        <f t="shared" si="103"/>
        <v>0</v>
      </c>
      <c r="R107" s="9">
        <f t="shared" si="84"/>
        <v>0</v>
      </c>
      <c r="S107" s="9">
        <f t="shared" si="85"/>
        <v>0</v>
      </c>
      <c r="T107" s="22" t="str">
        <f>IFERROR(INDEX(Target!$S$11:$S$167,MATCH('Calculations - Target'!$D107,Target!$N$11:$N$167,0)),"")</f>
        <v/>
      </c>
      <c r="U107" s="22" t="str">
        <f>IFERROR(INDEX(Target!$T$11:$T$167,MATCH('Calculations - Target'!$D107,Target!$N$11:$N$167,0)),"")</f>
        <v/>
      </c>
      <c r="V107" s="16" t="e">
        <f t="shared" si="87"/>
        <v>#VALUE!</v>
      </c>
      <c r="W107" s="16" t="e">
        <f t="shared" si="104"/>
        <v>#VALUE!</v>
      </c>
      <c r="X107" s="16" t="e">
        <f t="shared" si="105"/>
        <v>#VALUE!</v>
      </c>
      <c r="Y107" s="10" t="str">
        <f t="shared" si="88"/>
        <v>-</v>
      </c>
      <c r="Z107" s="10" t="str">
        <f t="shared" si="89"/>
        <v>-</v>
      </c>
      <c r="AA107" s="13" t="str">
        <f t="shared" si="106"/>
        <v>-</v>
      </c>
      <c r="AB107" s="9" t="str">
        <f t="shared" si="90"/>
        <v>-</v>
      </c>
      <c r="AC107" s="16" t="str">
        <f t="shared" si="107"/>
        <v>-</v>
      </c>
      <c r="AD107" s="16" t="str">
        <f t="shared" si="91"/>
        <v>-</v>
      </c>
      <c r="AE107" s="16" t="str">
        <f t="shared" si="92"/>
        <v>-</v>
      </c>
      <c r="AF107" s="16" t="str">
        <f t="shared" si="108"/>
        <v>-</v>
      </c>
      <c r="AG107" s="16"/>
      <c r="AH107" s="32" t="str">
        <f>IFERROR(INDEX(Target!$R$11:$R$167,MATCH('Calculations - Target'!D107,Target!$N$11:$N$167,0)),"")</f>
        <v/>
      </c>
      <c r="AI107" s="23" t="str">
        <f t="shared" si="109"/>
        <v/>
      </c>
      <c r="AJ107" s="23" t="str">
        <f t="shared" si="110"/>
        <v/>
      </c>
      <c r="AK107" s="9" t="str">
        <f t="shared" si="93"/>
        <v/>
      </c>
      <c r="AL107" s="4" t="str">
        <f t="shared" si="94"/>
        <v/>
      </c>
      <c r="AM107" s="4"/>
      <c r="AN107" s="4"/>
      <c r="AO107" s="4"/>
      <c r="AP107" s="4"/>
      <c r="AQ107" s="4"/>
      <c r="AR107" s="20" t="str">
        <f t="shared" si="95"/>
        <v>-</v>
      </c>
      <c r="AS107" s="13" t="str">
        <f t="shared" si="111"/>
        <v>-</v>
      </c>
      <c r="AT107" s="13" t="str">
        <f t="shared" si="112"/>
        <v>-</v>
      </c>
      <c r="AU107" s="13" t="str">
        <f t="shared" si="96"/>
        <v>-</v>
      </c>
      <c r="AV107" s="16" t="str">
        <f t="shared" si="113"/>
        <v>-</v>
      </c>
      <c r="AW107" s="16" t="str">
        <f t="shared" si="97"/>
        <v>-</v>
      </c>
      <c r="AX107" s="16" t="str">
        <f t="shared" si="98"/>
        <v>-</v>
      </c>
      <c r="AY107" s="16" t="str">
        <f t="shared" si="114"/>
        <v>-</v>
      </c>
      <c r="AZ107" s="13" t="str">
        <f t="shared" si="115"/>
        <v>-</v>
      </c>
      <c r="BA107" s="10" t="str">
        <f t="shared" si="116"/>
        <v>-</v>
      </c>
      <c r="BB107" s="9" t="str">
        <f t="shared" si="117"/>
        <v>-</v>
      </c>
      <c r="BC107" s="13" t="str">
        <f t="shared" si="118"/>
        <v>-</v>
      </c>
      <c r="BD107" s="10" t="str">
        <f t="shared" si="119"/>
        <v>-</v>
      </c>
      <c r="BE107" s="13" t="str">
        <f t="shared" si="120"/>
        <v>-</v>
      </c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</row>
    <row r="108" spans="2:70" x14ac:dyDescent="0.3">
      <c r="B108" s="96" t="str">
        <f t="shared" si="99"/>
        <v/>
      </c>
      <c r="C108" s="96" t="str">
        <f t="shared" si="100"/>
        <v/>
      </c>
      <c r="D108" s="96" t="str">
        <f t="shared" si="101"/>
        <v/>
      </c>
      <c r="E108" s="3"/>
      <c r="F108" s="3"/>
      <c r="G108" s="3"/>
      <c r="H108" s="3"/>
      <c r="I108" s="20">
        <f>IFERROR(INDEX('Input - Target'!G$2:G$200,MATCH('Calculations - Target'!$D108,'Input - Target'!$B$2:$B$200,0)),"")</f>
        <v>0</v>
      </c>
      <c r="J108" s="20">
        <f>IFERROR(INDEX('Input - Target'!H$2:H$200,MATCH('Calculations - Target'!$D108,'Input - Target'!$B$2:$B$200,0)),"")</f>
        <v>0</v>
      </c>
      <c r="K108" s="21">
        <f>IFERROR(INDEX('Input - Target'!I$2:I$200,MATCH('Calculations - Target'!$D108,'Input - Target'!$B$2:$B$200,0)),"")</f>
        <v>0</v>
      </c>
      <c r="L108" s="21">
        <f>IFERROR(INDEX('Input - Target'!J$2:J$200,MATCH('Calculations - Target'!$D108,'Input - Target'!$B$2:$B$200,0)),"")</f>
        <v>0</v>
      </c>
      <c r="M108" s="20">
        <f>IFERROR(INDEX('Input - Target'!K$2:K$200,MATCH('Calculations - Target'!$D108,'Input - Target'!$B$2:$B$200,0)),"")</f>
        <v>0</v>
      </c>
      <c r="N108" s="20">
        <f>IFERROR(INDEX('Input - Target'!L$2:L$200,MATCH('Calculations - Target'!$D108,'Input - Target'!$B$2:$B$200,0)),"")</f>
        <v>0</v>
      </c>
      <c r="O108" s="21" t="str">
        <f t="shared" si="102"/>
        <v/>
      </c>
      <c r="P108" s="21" t="str">
        <f t="shared" si="86"/>
        <v/>
      </c>
      <c r="Q108" s="21">
        <f t="shared" si="103"/>
        <v>0</v>
      </c>
      <c r="R108" s="9">
        <f t="shared" si="84"/>
        <v>0</v>
      </c>
      <c r="S108" s="9">
        <f t="shared" si="85"/>
        <v>0</v>
      </c>
      <c r="T108" s="22" t="str">
        <f>IFERROR(INDEX(Target!$S$11:$S$167,MATCH('Calculations - Target'!$D108,Target!$N$11:$N$167,0)),"")</f>
        <v/>
      </c>
      <c r="U108" s="22" t="str">
        <f>IFERROR(INDEX(Target!$T$11:$T$167,MATCH('Calculations - Target'!$D108,Target!$N$11:$N$167,0)),"")</f>
        <v/>
      </c>
      <c r="V108" s="16" t="e">
        <f t="shared" si="87"/>
        <v>#VALUE!</v>
      </c>
      <c r="W108" s="16" t="e">
        <f t="shared" si="104"/>
        <v>#VALUE!</v>
      </c>
      <c r="X108" s="16" t="e">
        <f t="shared" si="105"/>
        <v>#VALUE!</v>
      </c>
      <c r="Y108" s="10" t="str">
        <f t="shared" si="88"/>
        <v>-</v>
      </c>
      <c r="Z108" s="10" t="str">
        <f t="shared" si="89"/>
        <v>-</v>
      </c>
      <c r="AA108" s="13" t="str">
        <f t="shared" si="106"/>
        <v>-</v>
      </c>
      <c r="AB108" s="9" t="str">
        <f t="shared" si="90"/>
        <v>-</v>
      </c>
      <c r="AC108" s="16" t="str">
        <f t="shared" si="107"/>
        <v>-</v>
      </c>
      <c r="AD108" s="16" t="str">
        <f t="shared" si="91"/>
        <v>-</v>
      </c>
      <c r="AE108" s="16" t="str">
        <f t="shared" si="92"/>
        <v>-</v>
      </c>
      <c r="AF108" s="16" t="str">
        <f t="shared" si="108"/>
        <v>-</v>
      </c>
      <c r="AG108" s="16"/>
      <c r="AH108" s="32" t="str">
        <f>IFERROR(INDEX(Target!$R$11:$R$167,MATCH('Calculations - Target'!D108,Target!$N$11:$N$167,0)),"")</f>
        <v/>
      </c>
      <c r="AI108" s="23" t="str">
        <f t="shared" si="109"/>
        <v/>
      </c>
      <c r="AJ108" s="23" t="str">
        <f t="shared" si="110"/>
        <v/>
      </c>
      <c r="AK108" s="9" t="str">
        <f t="shared" si="93"/>
        <v/>
      </c>
      <c r="AL108" s="4" t="str">
        <f t="shared" si="94"/>
        <v/>
      </c>
      <c r="AM108" s="4"/>
      <c r="AN108" s="4"/>
      <c r="AO108" s="4"/>
      <c r="AP108" s="4"/>
      <c r="AQ108" s="4"/>
      <c r="AR108" s="20" t="str">
        <f t="shared" si="95"/>
        <v>-</v>
      </c>
      <c r="AS108" s="13" t="str">
        <f t="shared" si="111"/>
        <v>-</v>
      </c>
      <c r="AT108" s="13" t="str">
        <f t="shared" si="112"/>
        <v>-</v>
      </c>
      <c r="AU108" s="13" t="str">
        <f t="shared" si="96"/>
        <v>-</v>
      </c>
      <c r="AV108" s="16" t="str">
        <f t="shared" si="113"/>
        <v>-</v>
      </c>
      <c r="AW108" s="16" t="str">
        <f t="shared" si="97"/>
        <v>-</v>
      </c>
      <c r="AX108" s="16" t="str">
        <f t="shared" si="98"/>
        <v>-</v>
      </c>
      <c r="AY108" s="16" t="str">
        <f t="shared" si="114"/>
        <v>-</v>
      </c>
      <c r="AZ108" s="13" t="str">
        <f t="shared" si="115"/>
        <v>-</v>
      </c>
      <c r="BA108" s="10" t="str">
        <f t="shared" si="116"/>
        <v>-</v>
      </c>
      <c r="BB108" s="9" t="str">
        <f t="shared" si="117"/>
        <v>-</v>
      </c>
      <c r="BC108" s="13" t="str">
        <f t="shared" si="118"/>
        <v>-</v>
      </c>
      <c r="BD108" s="10" t="str">
        <f t="shared" si="119"/>
        <v>-</v>
      </c>
      <c r="BE108" s="13" t="str">
        <f t="shared" si="120"/>
        <v>-</v>
      </c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</row>
    <row r="109" spans="2:70" x14ac:dyDescent="0.3">
      <c r="B109" s="96" t="str">
        <f t="shared" si="99"/>
        <v/>
      </c>
      <c r="C109" s="96" t="str">
        <f t="shared" si="100"/>
        <v/>
      </c>
      <c r="D109" s="96" t="str">
        <f t="shared" si="101"/>
        <v/>
      </c>
      <c r="E109" s="3"/>
      <c r="F109" s="3"/>
      <c r="G109" s="3"/>
      <c r="H109" s="3"/>
      <c r="I109" s="20">
        <f>IFERROR(INDEX('Input - Target'!G$2:G$200,MATCH('Calculations - Target'!$D109,'Input - Target'!$B$2:$B$200,0)),"")</f>
        <v>0</v>
      </c>
      <c r="J109" s="20">
        <f>IFERROR(INDEX('Input - Target'!H$2:H$200,MATCH('Calculations - Target'!$D109,'Input - Target'!$B$2:$B$200,0)),"")</f>
        <v>0</v>
      </c>
      <c r="K109" s="21">
        <f>IFERROR(INDEX('Input - Target'!I$2:I$200,MATCH('Calculations - Target'!$D109,'Input - Target'!$B$2:$B$200,0)),"")</f>
        <v>0</v>
      </c>
      <c r="L109" s="21">
        <f>IFERROR(INDEX('Input - Target'!J$2:J$200,MATCH('Calculations - Target'!$D109,'Input - Target'!$B$2:$B$200,0)),"")</f>
        <v>0</v>
      </c>
      <c r="M109" s="20">
        <f>IFERROR(INDEX('Input - Target'!K$2:K$200,MATCH('Calculations - Target'!$D109,'Input - Target'!$B$2:$B$200,0)),"")</f>
        <v>0</v>
      </c>
      <c r="N109" s="20">
        <f>IFERROR(INDEX('Input - Target'!L$2:L$200,MATCH('Calculations - Target'!$D109,'Input - Target'!$B$2:$B$200,0)),"")</f>
        <v>0</v>
      </c>
      <c r="O109" s="21" t="str">
        <f t="shared" si="102"/>
        <v/>
      </c>
      <c r="P109" s="21" t="str">
        <f t="shared" si="86"/>
        <v/>
      </c>
      <c r="Q109" s="21">
        <f t="shared" si="103"/>
        <v>0</v>
      </c>
      <c r="R109" s="9">
        <f t="shared" si="84"/>
        <v>0</v>
      </c>
      <c r="S109" s="9">
        <f t="shared" si="85"/>
        <v>0</v>
      </c>
      <c r="T109" s="22" t="str">
        <f>IFERROR(INDEX(Target!$S$11:$S$167,MATCH('Calculations - Target'!$D109,Target!$N$11:$N$167,0)),"")</f>
        <v/>
      </c>
      <c r="U109" s="22" t="str">
        <f>IFERROR(INDEX(Target!$T$11:$T$167,MATCH('Calculations - Target'!$D109,Target!$N$11:$N$167,0)),"")</f>
        <v/>
      </c>
      <c r="V109" s="16" t="e">
        <f t="shared" si="87"/>
        <v>#VALUE!</v>
      </c>
      <c r="W109" s="16" t="e">
        <f t="shared" si="104"/>
        <v>#VALUE!</v>
      </c>
      <c r="X109" s="16" t="e">
        <f t="shared" si="105"/>
        <v>#VALUE!</v>
      </c>
      <c r="Y109" s="10" t="str">
        <f t="shared" si="88"/>
        <v>-</v>
      </c>
      <c r="Z109" s="10" t="str">
        <f t="shared" si="89"/>
        <v>-</v>
      </c>
      <c r="AA109" s="13" t="str">
        <f t="shared" si="106"/>
        <v>-</v>
      </c>
      <c r="AB109" s="9" t="str">
        <f t="shared" si="90"/>
        <v>-</v>
      </c>
      <c r="AC109" s="16" t="str">
        <f t="shared" si="107"/>
        <v>-</v>
      </c>
      <c r="AD109" s="16" t="str">
        <f t="shared" si="91"/>
        <v>-</v>
      </c>
      <c r="AE109" s="16" t="str">
        <f t="shared" si="92"/>
        <v>-</v>
      </c>
      <c r="AF109" s="16" t="str">
        <f t="shared" si="108"/>
        <v>-</v>
      </c>
      <c r="AG109" s="16"/>
      <c r="AH109" s="32" t="str">
        <f>IFERROR(INDEX(Target!$R$11:$R$167,MATCH('Calculations - Target'!D109,Target!$N$11:$N$167,0)),"")</f>
        <v/>
      </c>
      <c r="AI109" s="23" t="str">
        <f t="shared" si="109"/>
        <v/>
      </c>
      <c r="AJ109" s="23" t="str">
        <f t="shared" si="110"/>
        <v/>
      </c>
      <c r="AK109" s="9" t="str">
        <f t="shared" si="93"/>
        <v/>
      </c>
      <c r="AL109" s="4" t="str">
        <f t="shared" si="94"/>
        <v/>
      </c>
      <c r="AM109" s="4"/>
      <c r="AN109" s="4"/>
      <c r="AO109" s="4"/>
      <c r="AP109" s="4"/>
      <c r="AQ109" s="4"/>
      <c r="AR109" s="20" t="str">
        <f t="shared" si="95"/>
        <v>-</v>
      </c>
      <c r="AS109" s="13" t="str">
        <f t="shared" si="111"/>
        <v>-</v>
      </c>
      <c r="AT109" s="13" t="str">
        <f t="shared" si="112"/>
        <v>-</v>
      </c>
      <c r="AU109" s="13" t="str">
        <f t="shared" si="96"/>
        <v>-</v>
      </c>
      <c r="AV109" s="16" t="str">
        <f t="shared" si="113"/>
        <v>-</v>
      </c>
      <c r="AW109" s="16" t="str">
        <f t="shared" si="97"/>
        <v>-</v>
      </c>
      <c r="AX109" s="16" t="str">
        <f t="shared" si="98"/>
        <v>-</v>
      </c>
      <c r="AY109" s="16" t="str">
        <f t="shared" si="114"/>
        <v>-</v>
      </c>
      <c r="AZ109" s="13" t="str">
        <f t="shared" si="115"/>
        <v>-</v>
      </c>
      <c r="BA109" s="10" t="str">
        <f t="shared" si="116"/>
        <v>-</v>
      </c>
      <c r="BB109" s="9" t="str">
        <f t="shared" si="117"/>
        <v>-</v>
      </c>
      <c r="BC109" s="13" t="str">
        <f t="shared" si="118"/>
        <v>-</v>
      </c>
      <c r="BD109" s="10" t="str">
        <f t="shared" si="119"/>
        <v>-</v>
      </c>
      <c r="BE109" s="13" t="str">
        <f t="shared" si="120"/>
        <v>-</v>
      </c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</row>
    <row r="110" spans="2:70" x14ac:dyDescent="0.3">
      <c r="B110" s="96" t="str">
        <f t="shared" si="99"/>
        <v/>
      </c>
      <c r="C110" s="96" t="str">
        <f t="shared" si="100"/>
        <v/>
      </c>
      <c r="D110" s="96" t="str">
        <f t="shared" si="101"/>
        <v/>
      </c>
      <c r="E110" s="3"/>
      <c r="F110" s="3"/>
      <c r="G110" s="3"/>
      <c r="H110" s="3"/>
      <c r="I110" s="20">
        <f>IFERROR(INDEX('Input - Target'!G$2:G$200,MATCH('Calculations - Target'!$D110,'Input - Target'!$B$2:$B$200,0)),"")</f>
        <v>0</v>
      </c>
      <c r="J110" s="20">
        <f>IFERROR(INDEX('Input - Target'!H$2:H$200,MATCH('Calculations - Target'!$D110,'Input - Target'!$B$2:$B$200,0)),"")</f>
        <v>0</v>
      </c>
      <c r="K110" s="21">
        <f>IFERROR(INDEX('Input - Target'!I$2:I$200,MATCH('Calculations - Target'!$D110,'Input - Target'!$B$2:$B$200,0)),"")</f>
        <v>0</v>
      </c>
      <c r="L110" s="21">
        <f>IFERROR(INDEX('Input - Target'!J$2:J$200,MATCH('Calculations - Target'!$D110,'Input - Target'!$B$2:$B$200,0)),"")</f>
        <v>0</v>
      </c>
      <c r="M110" s="20">
        <f>IFERROR(INDEX('Input - Target'!K$2:K$200,MATCH('Calculations - Target'!$D110,'Input - Target'!$B$2:$B$200,0)),"")</f>
        <v>0</v>
      </c>
      <c r="N110" s="20">
        <f>IFERROR(INDEX('Input - Target'!L$2:L$200,MATCH('Calculations - Target'!$D110,'Input - Target'!$B$2:$B$200,0)),"")</f>
        <v>0</v>
      </c>
      <c r="O110" s="21" t="str">
        <f t="shared" si="102"/>
        <v/>
      </c>
      <c r="P110" s="21" t="str">
        <f t="shared" si="86"/>
        <v/>
      </c>
      <c r="Q110" s="21">
        <f t="shared" si="103"/>
        <v>0</v>
      </c>
      <c r="R110" s="9">
        <f t="shared" si="84"/>
        <v>0</v>
      </c>
      <c r="S110" s="9">
        <f t="shared" si="85"/>
        <v>0</v>
      </c>
      <c r="T110" s="22" t="str">
        <f>IFERROR(INDEX(Target!$S$11:$S$167,MATCH('Calculations - Target'!$D110,Target!$N$11:$N$167,0)),"")</f>
        <v/>
      </c>
      <c r="U110" s="22" t="str">
        <f>IFERROR(INDEX(Target!$T$11:$T$167,MATCH('Calculations - Target'!$D110,Target!$N$11:$N$167,0)),"")</f>
        <v/>
      </c>
      <c r="V110" s="16" t="e">
        <f t="shared" si="87"/>
        <v>#VALUE!</v>
      </c>
      <c r="W110" s="16" t="e">
        <f t="shared" si="104"/>
        <v>#VALUE!</v>
      </c>
      <c r="X110" s="16" t="e">
        <f t="shared" si="105"/>
        <v>#VALUE!</v>
      </c>
      <c r="Y110" s="10" t="str">
        <f t="shared" si="88"/>
        <v>-</v>
      </c>
      <c r="Z110" s="10" t="str">
        <f t="shared" si="89"/>
        <v>-</v>
      </c>
      <c r="AA110" s="13" t="str">
        <f t="shared" si="106"/>
        <v>-</v>
      </c>
      <c r="AB110" s="9" t="str">
        <f t="shared" si="90"/>
        <v>-</v>
      </c>
      <c r="AC110" s="16" t="str">
        <f t="shared" si="107"/>
        <v>-</v>
      </c>
      <c r="AD110" s="16" t="str">
        <f t="shared" si="91"/>
        <v>-</v>
      </c>
      <c r="AE110" s="16" t="str">
        <f t="shared" si="92"/>
        <v>-</v>
      </c>
      <c r="AF110" s="16" t="str">
        <f t="shared" si="108"/>
        <v>-</v>
      </c>
      <c r="AG110" s="16"/>
      <c r="AH110" s="32" t="str">
        <f>IFERROR(INDEX(Target!$R$11:$R$167,MATCH('Calculations - Target'!D110,Target!$N$11:$N$167,0)),"")</f>
        <v/>
      </c>
      <c r="AI110" s="23" t="str">
        <f t="shared" si="109"/>
        <v/>
      </c>
      <c r="AJ110" s="23" t="str">
        <f t="shared" si="110"/>
        <v/>
      </c>
      <c r="AK110" s="9" t="str">
        <f t="shared" si="93"/>
        <v/>
      </c>
      <c r="AL110" s="4" t="str">
        <f t="shared" si="94"/>
        <v/>
      </c>
      <c r="AM110" s="4"/>
      <c r="AN110" s="4"/>
      <c r="AO110" s="4"/>
      <c r="AP110" s="4"/>
      <c r="AQ110" s="4"/>
      <c r="AR110" s="20" t="str">
        <f t="shared" si="95"/>
        <v>-</v>
      </c>
      <c r="AS110" s="13" t="str">
        <f t="shared" si="111"/>
        <v>-</v>
      </c>
      <c r="AT110" s="13" t="str">
        <f t="shared" si="112"/>
        <v>-</v>
      </c>
      <c r="AU110" s="13" t="str">
        <f t="shared" si="96"/>
        <v>-</v>
      </c>
      <c r="AV110" s="16" t="str">
        <f t="shared" si="113"/>
        <v>-</v>
      </c>
      <c r="AW110" s="16" t="str">
        <f t="shared" si="97"/>
        <v>-</v>
      </c>
      <c r="AX110" s="16" t="str">
        <f t="shared" si="98"/>
        <v>-</v>
      </c>
      <c r="AY110" s="16" t="str">
        <f t="shared" si="114"/>
        <v>-</v>
      </c>
      <c r="AZ110" s="13" t="str">
        <f t="shared" si="115"/>
        <v>-</v>
      </c>
      <c r="BA110" s="10" t="str">
        <f t="shared" si="116"/>
        <v>-</v>
      </c>
      <c r="BB110" s="9" t="str">
        <f t="shared" si="117"/>
        <v>-</v>
      </c>
      <c r="BC110" s="13" t="str">
        <f t="shared" si="118"/>
        <v>-</v>
      </c>
      <c r="BD110" s="10" t="str">
        <f t="shared" si="119"/>
        <v>-</v>
      </c>
      <c r="BE110" s="13" t="str">
        <f t="shared" si="120"/>
        <v>-</v>
      </c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</row>
    <row r="111" spans="2:70" x14ac:dyDescent="0.3">
      <c r="B111" s="96" t="str">
        <f t="shared" si="99"/>
        <v/>
      </c>
      <c r="C111" s="96" t="str">
        <f t="shared" si="100"/>
        <v/>
      </c>
      <c r="D111" s="96" t="str">
        <f t="shared" si="101"/>
        <v/>
      </c>
      <c r="E111" s="3"/>
      <c r="F111" s="3"/>
      <c r="G111" s="3"/>
      <c r="H111" s="3"/>
      <c r="I111" s="20">
        <f>IFERROR(INDEX('Input - Target'!G$2:G$200,MATCH('Calculations - Target'!$D111,'Input - Target'!$B$2:$B$200,0)),"")</f>
        <v>0</v>
      </c>
      <c r="J111" s="20">
        <f>IFERROR(INDEX('Input - Target'!H$2:H$200,MATCH('Calculations - Target'!$D111,'Input - Target'!$B$2:$B$200,0)),"")</f>
        <v>0</v>
      </c>
      <c r="K111" s="21">
        <f>IFERROR(INDEX('Input - Target'!I$2:I$200,MATCH('Calculations - Target'!$D111,'Input - Target'!$B$2:$B$200,0)),"")</f>
        <v>0</v>
      </c>
      <c r="L111" s="21">
        <f>IFERROR(INDEX('Input - Target'!J$2:J$200,MATCH('Calculations - Target'!$D111,'Input - Target'!$B$2:$B$200,0)),"")</f>
        <v>0</v>
      </c>
      <c r="M111" s="20">
        <f>IFERROR(INDEX('Input - Target'!K$2:K$200,MATCH('Calculations - Target'!$D111,'Input - Target'!$B$2:$B$200,0)),"")</f>
        <v>0</v>
      </c>
      <c r="N111" s="20">
        <f>IFERROR(INDEX('Input - Target'!L$2:L$200,MATCH('Calculations - Target'!$D111,'Input - Target'!$B$2:$B$200,0)),"")</f>
        <v>0</v>
      </c>
      <c r="O111" s="21" t="str">
        <f t="shared" si="102"/>
        <v/>
      </c>
      <c r="P111" s="21" t="str">
        <f t="shared" si="86"/>
        <v/>
      </c>
      <c r="Q111" s="21">
        <f t="shared" si="103"/>
        <v>0</v>
      </c>
      <c r="R111" s="9">
        <f t="shared" si="84"/>
        <v>0</v>
      </c>
      <c r="S111" s="9">
        <f t="shared" si="85"/>
        <v>0</v>
      </c>
      <c r="T111" s="22" t="str">
        <f>IFERROR(INDEX(Target!$S$11:$S$167,MATCH('Calculations - Target'!$D111,Target!$N$11:$N$167,0)),"")</f>
        <v/>
      </c>
      <c r="U111" s="22" t="str">
        <f>IFERROR(INDEX(Target!$T$11:$T$167,MATCH('Calculations - Target'!$D111,Target!$N$11:$N$167,0)),"")</f>
        <v/>
      </c>
      <c r="V111" s="16" t="e">
        <f t="shared" si="87"/>
        <v>#VALUE!</v>
      </c>
      <c r="W111" s="16" t="e">
        <f t="shared" si="104"/>
        <v>#VALUE!</v>
      </c>
      <c r="X111" s="16" t="e">
        <f t="shared" si="105"/>
        <v>#VALUE!</v>
      </c>
      <c r="Y111" s="10" t="str">
        <f t="shared" si="88"/>
        <v>-</v>
      </c>
      <c r="Z111" s="10" t="str">
        <f t="shared" si="89"/>
        <v>-</v>
      </c>
      <c r="AA111" s="13" t="str">
        <f t="shared" si="106"/>
        <v>-</v>
      </c>
      <c r="AB111" s="9" t="str">
        <f t="shared" si="90"/>
        <v>-</v>
      </c>
      <c r="AC111" s="16" t="str">
        <f t="shared" si="107"/>
        <v>-</v>
      </c>
      <c r="AD111" s="16" t="str">
        <f t="shared" si="91"/>
        <v>-</v>
      </c>
      <c r="AE111" s="16" t="str">
        <f t="shared" si="92"/>
        <v>-</v>
      </c>
      <c r="AF111" s="16" t="str">
        <f t="shared" si="108"/>
        <v>-</v>
      </c>
      <c r="AG111" s="16"/>
      <c r="AH111" s="32" t="str">
        <f>IFERROR(INDEX(Target!$R$11:$R$167,MATCH('Calculations - Target'!D111,Target!$N$11:$N$167,0)),"")</f>
        <v/>
      </c>
      <c r="AI111" s="23" t="str">
        <f t="shared" si="109"/>
        <v/>
      </c>
      <c r="AJ111" s="23" t="str">
        <f t="shared" si="110"/>
        <v/>
      </c>
      <c r="AK111" s="9" t="str">
        <f t="shared" si="93"/>
        <v/>
      </c>
      <c r="AL111" s="4" t="str">
        <f t="shared" si="94"/>
        <v/>
      </c>
      <c r="AM111" s="4"/>
      <c r="AN111" s="4"/>
      <c r="AO111" s="4"/>
      <c r="AP111" s="4"/>
      <c r="AQ111" s="4"/>
      <c r="AR111" s="20" t="str">
        <f t="shared" si="95"/>
        <v>-</v>
      </c>
      <c r="AS111" s="13" t="str">
        <f t="shared" si="111"/>
        <v>-</v>
      </c>
      <c r="AT111" s="13" t="str">
        <f t="shared" si="112"/>
        <v>-</v>
      </c>
      <c r="AU111" s="13" t="str">
        <f t="shared" si="96"/>
        <v>-</v>
      </c>
      <c r="AV111" s="16" t="str">
        <f t="shared" si="113"/>
        <v>-</v>
      </c>
      <c r="AW111" s="16" t="str">
        <f t="shared" si="97"/>
        <v>-</v>
      </c>
      <c r="AX111" s="16" t="str">
        <f t="shared" si="98"/>
        <v>-</v>
      </c>
      <c r="AY111" s="16" t="str">
        <f t="shared" si="114"/>
        <v>-</v>
      </c>
      <c r="AZ111" s="13" t="str">
        <f t="shared" si="115"/>
        <v>-</v>
      </c>
      <c r="BA111" s="10" t="str">
        <f t="shared" si="116"/>
        <v>-</v>
      </c>
      <c r="BB111" s="9" t="str">
        <f t="shared" si="117"/>
        <v>-</v>
      </c>
      <c r="BC111" s="13" t="str">
        <f t="shared" si="118"/>
        <v>-</v>
      </c>
      <c r="BD111" s="10" t="str">
        <f t="shared" si="119"/>
        <v>-</v>
      </c>
      <c r="BE111" s="13" t="str">
        <f t="shared" si="120"/>
        <v>-</v>
      </c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</row>
    <row r="112" spans="2:70" x14ac:dyDescent="0.3">
      <c r="B112" s="96" t="str">
        <f t="shared" si="99"/>
        <v/>
      </c>
      <c r="C112" s="96" t="str">
        <f t="shared" si="100"/>
        <v/>
      </c>
      <c r="D112" s="96" t="str">
        <f t="shared" si="101"/>
        <v/>
      </c>
      <c r="E112" s="3"/>
      <c r="F112" s="3"/>
      <c r="G112" s="3"/>
      <c r="H112" s="3"/>
      <c r="I112" s="20">
        <f>IFERROR(INDEX('Input - Target'!G$2:G$200,MATCH('Calculations - Target'!$D112,'Input - Target'!$B$2:$B$200,0)),"")</f>
        <v>0</v>
      </c>
      <c r="J112" s="20">
        <f>IFERROR(INDEX('Input - Target'!H$2:H$200,MATCH('Calculations - Target'!$D112,'Input - Target'!$B$2:$B$200,0)),"")</f>
        <v>0</v>
      </c>
      <c r="K112" s="21">
        <f>IFERROR(INDEX('Input - Target'!I$2:I$200,MATCH('Calculations - Target'!$D112,'Input - Target'!$B$2:$B$200,0)),"")</f>
        <v>0</v>
      </c>
      <c r="L112" s="21">
        <f>IFERROR(INDEX('Input - Target'!J$2:J$200,MATCH('Calculations - Target'!$D112,'Input - Target'!$B$2:$B$200,0)),"")</f>
        <v>0</v>
      </c>
      <c r="M112" s="20">
        <f>IFERROR(INDEX('Input - Target'!K$2:K$200,MATCH('Calculations - Target'!$D112,'Input - Target'!$B$2:$B$200,0)),"")</f>
        <v>0</v>
      </c>
      <c r="N112" s="20">
        <f>IFERROR(INDEX('Input - Target'!L$2:L$200,MATCH('Calculations - Target'!$D112,'Input - Target'!$B$2:$B$200,0)),"")</f>
        <v>0</v>
      </c>
      <c r="O112" s="21" t="str">
        <f t="shared" si="102"/>
        <v/>
      </c>
      <c r="P112" s="21" t="str">
        <f t="shared" si="86"/>
        <v/>
      </c>
      <c r="Q112" s="21">
        <f t="shared" si="103"/>
        <v>0</v>
      </c>
      <c r="R112" s="9">
        <f t="shared" si="84"/>
        <v>0</v>
      </c>
      <c r="S112" s="9">
        <f t="shared" si="85"/>
        <v>0</v>
      </c>
      <c r="T112" s="22" t="str">
        <f>IFERROR(INDEX(Target!$S$11:$S$167,MATCH('Calculations - Target'!$D112,Target!$N$11:$N$167,0)),"")</f>
        <v/>
      </c>
      <c r="U112" s="22" t="str">
        <f>IFERROR(INDEX(Target!$T$11:$T$167,MATCH('Calculations - Target'!$D112,Target!$N$11:$N$167,0)),"")</f>
        <v/>
      </c>
      <c r="V112" s="16" t="e">
        <f t="shared" si="87"/>
        <v>#VALUE!</v>
      </c>
      <c r="W112" s="16" t="e">
        <f t="shared" si="104"/>
        <v>#VALUE!</v>
      </c>
      <c r="X112" s="16" t="e">
        <f t="shared" si="105"/>
        <v>#VALUE!</v>
      </c>
      <c r="Y112" s="10" t="str">
        <f t="shared" si="88"/>
        <v>-</v>
      </c>
      <c r="Z112" s="10" t="str">
        <f t="shared" si="89"/>
        <v>-</v>
      </c>
      <c r="AA112" s="13" t="str">
        <f t="shared" si="106"/>
        <v>-</v>
      </c>
      <c r="AB112" s="9" t="str">
        <f t="shared" si="90"/>
        <v>-</v>
      </c>
      <c r="AC112" s="16" t="str">
        <f t="shared" si="107"/>
        <v>-</v>
      </c>
      <c r="AD112" s="16" t="str">
        <f t="shared" si="91"/>
        <v>-</v>
      </c>
      <c r="AE112" s="16" t="str">
        <f t="shared" si="92"/>
        <v>-</v>
      </c>
      <c r="AF112" s="16" t="str">
        <f t="shared" si="108"/>
        <v>-</v>
      </c>
      <c r="AG112" s="16"/>
      <c r="AH112" s="32" t="str">
        <f>IFERROR(INDEX(Target!$R$11:$R$167,MATCH('Calculations - Target'!D112,Target!$N$11:$N$167,0)),"")</f>
        <v/>
      </c>
      <c r="AI112" s="23" t="str">
        <f t="shared" si="109"/>
        <v/>
      </c>
      <c r="AJ112" s="23" t="str">
        <f t="shared" si="110"/>
        <v/>
      </c>
      <c r="AK112" s="9" t="str">
        <f t="shared" si="93"/>
        <v/>
      </c>
      <c r="AL112" s="4" t="str">
        <f t="shared" si="94"/>
        <v/>
      </c>
      <c r="AM112" s="4"/>
      <c r="AN112" s="4"/>
      <c r="AO112" s="4"/>
      <c r="AP112" s="4"/>
      <c r="AQ112" s="4"/>
      <c r="AR112" s="20" t="str">
        <f t="shared" si="95"/>
        <v>-</v>
      </c>
      <c r="AS112" s="13" t="str">
        <f t="shared" si="111"/>
        <v>-</v>
      </c>
      <c r="AT112" s="13" t="str">
        <f t="shared" si="112"/>
        <v>-</v>
      </c>
      <c r="AU112" s="13" t="str">
        <f t="shared" si="96"/>
        <v>-</v>
      </c>
      <c r="AV112" s="16" t="str">
        <f t="shared" si="113"/>
        <v>-</v>
      </c>
      <c r="AW112" s="16" t="str">
        <f t="shared" si="97"/>
        <v>-</v>
      </c>
      <c r="AX112" s="16" t="str">
        <f t="shared" si="98"/>
        <v>-</v>
      </c>
      <c r="AY112" s="16" t="str">
        <f t="shared" si="114"/>
        <v>-</v>
      </c>
      <c r="AZ112" s="13" t="str">
        <f t="shared" si="115"/>
        <v>-</v>
      </c>
      <c r="BA112" s="10" t="str">
        <f t="shared" si="116"/>
        <v>-</v>
      </c>
      <c r="BB112" s="9" t="str">
        <f t="shared" si="117"/>
        <v>-</v>
      </c>
      <c r="BC112" s="13" t="str">
        <f t="shared" si="118"/>
        <v>-</v>
      </c>
      <c r="BD112" s="10" t="str">
        <f t="shared" si="119"/>
        <v>-</v>
      </c>
      <c r="BE112" s="13" t="str">
        <f t="shared" si="120"/>
        <v>-</v>
      </c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</row>
    <row r="113" spans="2:70" x14ac:dyDescent="0.3">
      <c r="B113" s="96" t="str">
        <f t="shared" si="99"/>
        <v/>
      </c>
      <c r="C113" s="96" t="str">
        <f t="shared" si="100"/>
        <v/>
      </c>
      <c r="D113" s="96" t="str">
        <f t="shared" si="101"/>
        <v/>
      </c>
      <c r="E113" s="3"/>
      <c r="F113" s="3"/>
      <c r="G113" s="3"/>
      <c r="H113" s="3"/>
      <c r="I113" s="20">
        <f>IFERROR(INDEX('Input - Target'!G$2:G$200,MATCH('Calculations - Target'!$D113,'Input - Target'!$B$2:$B$200,0)),"")</f>
        <v>0</v>
      </c>
      <c r="J113" s="20">
        <f>IFERROR(INDEX('Input - Target'!H$2:H$200,MATCH('Calculations - Target'!$D113,'Input - Target'!$B$2:$B$200,0)),"")</f>
        <v>0</v>
      </c>
      <c r="K113" s="21">
        <f>IFERROR(INDEX('Input - Target'!I$2:I$200,MATCH('Calculations - Target'!$D113,'Input - Target'!$B$2:$B$200,0)),"")</f>
        <v>0</v>
      </c>
      <c r="L113" s="21">
        <f>IFERROR(INDEX('Input - Target'!J$2:J$200,MATCH('Calculations - Target'!$D113,'Input - Target'!$B$2:$B$200,0)),"")</f>
        <v>0</v>
      </c>
      <c r="M113" s="20">
        <f>IFERROR(INDEX('Input - Target'!K$2:K$200,MATCH('Calculations - Target'!$D113,'Input - Target'!$B$2:$B$200,0)),"")</f>
        <v>0</v>
      </c>
      <c r="N113" s="20">
        <f>IFERROR(INDEX('Input - Target'!L$2:L$200,MATCH('Calculations - Target'!$D113,'Input - Target'!$B$2:$B$200,0)),"")</f>
        <v>0</v>
      </c>
      <c r="O113" s="21" t="str">
        <f t="shared" si="102"/>
        <v/>
      </c>
      <c r="P113" s="21" t="str">
        <f t="shared" si="86"/>
        <v/>
      </c>
      <c r="Q113" s="21">
        <f t="shared" si="103"/>
        <v>0</v>
      </c>
      <c r="R113" s="9">
        <f t="shared" si="84"/>
        <v>0</v>
      </c>
      <c r="S113" s="9">
        <f t="shared" si="85"/>
        <v>0</v>
      </c>
      <c r="T113" s="22" t="str">
        <f>IFERROR(INDEX(Target!$S$11:$S$167,MATCH('Calculations - Target'!$D113,Target!$N$11:$N$167,0)),"")</f>
        <v/>
      </c>
      <c r="U113" s="22" t="str">
        <f>IFERROR(INDEX(Target!$T$11:$T$167,MATCH('Calculations - Target'!$D113,Target!$N$11:$N$167,0)),"")</f>
        <v/>
      </c>
      <c r="V113" s="16" t="e">
        <f t="shared" si="87"/>
        <v>#VALUE!</v>
      </c>
      <c r="W113" s="16" t="e">
        <f t="shared" si="104"/>
        <v>#VALUE!</v>
      </c>
      <c r="X113" s="16" t="e">
        <f t="shared" si="105"/>
        <v>#VALUE!</v>
      </c>
      <c r="Y113" s="10" t="str">
        <f t="shared" si="88"/>
        <v>-</v>
      </c>
      <c r="Z113" s="10" t="str">
        <f t="shared" si="89"/>
        <v>-</v>
      </c>
      <c r="AA113" s="13" t="str">
        <f t="shared" si="106"/>
        <v>-</v>
      </c>
      <c r="AB113" s="9" t="str">
        <f t="shared" si="90"/>
        <v>-</v>
      </c>
      <c r="AC113" s="16" t="str">
        <f t="shared" si="107"/>
        <v>-</v>
      </c>
      <c r="AD113" s="16" t="str">
        <f t="shared" si="91"/>
        <v>-</v>
      </c>
      <c r="AE113" s="16" t="str">
        <f t="shared" si="92"/>
        <v>-</v>
      </c>
      <c r="AF113" s="16" t="str">
        <f t="shared" si="108"/>
        <v>-</v>
      </c>
      <c r="AG113" s="16"/>
      <c r="AH113" s="32" t="str">
        <f>IFERROR(INDEX(Target!$R$11:$R$167,MATCH('Calculations - Target'!D113,Target!$N$11:$N$167,0)),"")</f>
        <v/>
      </c>
      <c r="AI113" s="23" t="str">
        <f t="shared" si="109"/>
        <v/>
      </c>
      <c r="AJ113" s="23" t="str">
        <f t="shared" si="110"/>
        <v/>
      </c>
      <c r="AK113" s="9" t="str">
        <f t="shared" si="93"/>
        <v/>
      </c>
      <c r="AL113" s="4" t="str">
        <f t="shared" si="94"/>
        <v/>
      </c>
      <c r="AM113" s="4"/>
      <c r="AN113" s="4"/>
      <c r="AO113" s="4"/>
      <c r="AP113" s="4"/>
      <c r="AQ113" s="4"/>
      <c r="AR113" s="20" t="str">
        <f t="shared" si="95"/>
        <v>-</v>
      </c>
      <c r="AS113" s="13" t="str">
        <f t="shared" si="111"/>
        <v>-</v>
      </c>
      <c r="AT113" s="13" t="str">
        <f t="shared" si="112"/>
        <v>-</v>
      </c>
      <c r="AU113" s="13" t="str">
        <f t="shared" si="96"/>
        <v>-</v>
      </c>
      <c r="AV113" s="16" t="str">
        <f t="shared" si="113"/>
        <v>-</v>
      </c>
      <c r="AW113" s="16" t="str">
        <f t="shared" si="97"/>
        <v>-</v>
      </c>
      <c r="AX113" s="16" t="str">
        <f t="shared" si="98"/>
        <v>-</v>
      </c>
      <c r="AY113" s="16" t="str">
        <f t="shared" si="114"/>
        <v>-</v>
      </c>
      <c r="AZ113" s="13" t="str">
        <f t="shared" si="115"/>
        <v>-</v>
      </c>
      <c r="BA113" s="10" t="str">
        <f t="shared" si="116"/>
        <v>-</v>
      </c>
      <c r="BB113" s="9" t="str">
        <f t="shared" si="117"/>
        <v>-</v>
      </c>
      <c r="BC113" s="13" t="str">
        <f t="shared" si="118"/>
        <v>-</v>
      </c>
      <c r="BD113" s="10" t="str">
        <f t="shared" si="119"/>
        <v>-</v>
      </c>
      <c r="BE113" s="13" t="str">
        <f t="shared" si="120"/>
        <v>-</v>
      </c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</row>
    <row r="114" spans="2:70" x14ac:dyDescent="0.3">
      <c r="B114" s="96" t="str">
        <f t="shared" si="99"/>
        <v/>
      </c>
      <c r="C114" s="96" t="str">
        <f t="shared" si="100"/>
        <v/>
      </c>
      <c r="D114" s="96" t="str">
        <f t="shared" si="101"/>
        <v/>
      </c>
      <c r="E114" s="3"/>
      <c r="F114" s="3"/>
      <c r="G114" s="3"/>
      <c r="H114" s="3"/>
      <c r="I114" s="20">
        <f>IFERROR(INDEX('Input - Target'!G$2:G$200,MATCH('Calculations - Target'!$D114,'Input - Target'!$B$2:$B$200,0)),"")</f>
        <v>0</v>
      </c>
      <c r="J114" s="20">
        <f>IFERROR(INDEX('Input - Target'!H$2:H$200,MATCH('Calculations - Target'!$D114,'Input - Target'!$B$2:$B$200,0)),"")</f>
        <v>0</v>
      </c>
      <c r="K114" s="21">
        <f>IFERROR(INDEX('Input - Target'!I$2:I$200,MATCH('Calculations - Target'!$D114,'Input - Target'!$B$2:$B$200,0)),"")</f>
        <v>0</v>
      </c>
      <c r="L114" s="21">
        <f>IFERROR(INDEX('Input - Target'!J$2:J$200,MATCH('Calculations - Target'!$D114,'Input - Target'!$B$2:$B$200,0)),"")</f>
        <v>0</v>
      </c>
      <c r="M114" s="20">
        <f>IFERROR(INDEX('Input - Target'!K$2:K$200,MATCH('Calculations - Target'!$D114,'Input - Target'!$B$2:$B$200,0)),"")</f>
        <v>0</v>
      </c>
      <c r="N114" s="20">
        <f>IFERROR(INDEX('Input - Target'!L$2:L$200,MATCH('Calculations - Target'!$D114,'Input - Target'!$B$2:$B$200,0)),"")</f>
        <v>0</v>
      </c>
      <c r="O114" s="21" t="str">
        <f t="shared" si="102"/>
        <v/>
      </c>
      <c r="P114" s="21" t="str">
        <f t="shared" si="86"/>
        <v/>
      </c>
      <c r="Q114" s="21">
        <f t="shared" si="103"/>
        <v>0</v>
      </c>
      <c r="R114" s="9">
        <f t="shared" si="84"/>
        <v>0</v>
      </c>
      <c r="S114" s="9">
        <f t="shared" si="85"/>
        <v>0</v>
      </c>
      <c r="T114" s="22" t="str">
        <f>IFERROR(INDEX(Target!$S$11:$S$167,MATCH('Calculations - Target'!$D114,Target!$N$11:$N$167,0)),"")</f>
        <v/>
      </c>
      <c r="U114" s="22" t="str">
        <f>IFERROR(INDEX(Target!$T$11:$T$167,MATCH('Calculations - Target'!$D114,Target!$N$11:$N$167,0)),"")</f>
        <v/>
      </c>
      <c r="V114" s="16" t="e">
        <f t="shared" si="87"/>
        <v>#VALUE!</v>
      </c>
      <c r="W114" s="16" t="e">
        <f t="shared" si="104"/>
        <v>#VALUE!</v>
      </c>
      <c r="X114" s="16" t="e">
        <f t="shared" si="105"/>
        <v>#VALUE!</v>
      </c>
      <c r="Y114" s="10" t="str">
        <f t="shared" si="88"/>
        <v>-</v>
      </c>
      <c r="Z114" s="10" t="str">
        <f t="shared" si="89"/>
        <v>-</v>
      </c>
      <c r="AA114" s="13" t="str">
        <f t="shared" si="106"/>
        <v>-</v>
      </c>
      <c r="AB114" s="9" t="str">
        <f t="shared" si="90"/>
        <v>-</v>
      </c>
      <c r="AC114" s="16" t="str">
        <f t="shared" si="107"/>
        <v>-</v>
      </c>
      <c r="AD114" s="16" t="str">
        <f t="shared" si="91"/>
        <v>-</v>
      </c>
      <c r="AE114" s="16" t="str">
        <f t="shared" si="92"/>
        <v>-</v>
      </c>
      <c r="AF114" s="16" t="str">
        <f t="shared" si="108"/>
        <v>-</v>
      </c>
      <c r="AG114" s="16"/>
      <c r="AH114" s="32" t="str">
        <f>IFERROR(INDEX(Target!$R$11:$R$167,MATCH('Calculations - Target'!D114,Target!$N$11:$N$167,0)),"")</f>
        <v/>
      </c>
      <c r="AI114" s="23" t="str">
        <f t="shared" si="109"/>
        <v/>
      </c>
      <c r="AJ114" s="23" t="str">
        <f t="shared" si="110"/>
        <v/>
      </c>
      <c r="AK114" s="9" t="str">
        <f t="shared" si="93"/>
        <v/>
      </c>
      <c r="AL114" s="4" t="str">
        <f t="shared" si="94"/>
        <v/>
      </c>
      <c r="AM114" s="4"/>
      <c r="AN114" s="4"/>
      <c r="AO114" s="4"/>
      <c r="AP114" s="4"/>
      <c r="AQ114" s="4"/>
      <c r="AR114" s="20" t="str">
        <f t="shared" si="95"/>
        <v>-</v>
      </c>
      <c r="AS114" s="13" t="str">
        <f t="shared" si="111"/>
        <v>-</v>
      </c>
      <c r="AT114" s="13" t="str">
        <f t="shared" si="112"/>
        <v>-</v>
      </c>
      <c r="AU114" s="13" t="str">
        <f t="shared" si="96"/>
        <v>-</v>
      </c>
      <c r="AV114" s="16" t="str">
        <f t="shared" si="113"/>
        <v>-</v>
      </c>
      <c r="AW114" s="16" t="str">
        <f t="shared" si="97"/>
        <v>-</v>
      </c>
      <c r="AX114" s="16" t="str">
        <f t="shared" si="98"/>
        <v>-</v>
      </c>
      <c r="AY114" s="16" t="str">
        <f t="shared" si="114"/>
        <v>-</v>
      </c>
      <c r="AZ114" s="13" t="str">
        <f t="shared" si="115"/>
        <v>-</v>
      </c>
      <c r="BA114" s="10" t="str">
        <f t="shared" si="116"/>
        <v>-</v>
      </c>
      <c r="BB114" s="9" t="str">
        <f t="shared" si="117"/>
        <v>-</v>
      </c>
      <c r="BC114" s="13" t="str">
        <f t="shared" si="118"/>
        <v>-</v>
      </c>
      <c r="BD114" s="10" t="str">
        <f t="shared" si="119"/>
        <v>-</v>
      </c>
      <c r="BE114" s="13" t="str">
        <f t="shared" si="120"/>
        <v>-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</row>
    <row r="115" spans="2:70" x14ac:dyDescent="0.3">
      <c r="B115" s="96" t="str">
        <f t="shared" si="99"/>
        <v/>
      </c>
      <c r="C115" s="96" t="str">
        <f t="shared" si="100"/>
        <v/>
      </c>
      <c r="D115" s="96" t="str">
        <f t="shared" si="101"/>
        <v/>
      </c>
      <c r="E115" s="3"/>
      <c r="F115" s="3"/>
      <c r="G115" s="3"/>
      <c r="H115" s="3"/>
      <c r="I115" s="20">
        <f>IFERROR(INDEX('Input - Target'!G$2:G$200,MATCH('Calculations - Target'!$D115,'Input - Target'!$B$2:$B$200,0)),"")</f>
        <v>0</v>
      </c>
      <c r="J115" s="20">
        <f>IFERROR(INDEX('Input - Target'!H$2:H$200,MATCH('Calculations - Target'!$D115,'Input - Target'!$B$2:$B$200,0)),"")</f>
        <v>0</v>
      </c>
      <c r="K115" s="21">
        <f>IFERROR(INDEX('Input - Target'!I$2:I$200,MATCH('Calculations - Target'!$D115,'Input - Target'!$B$2:$B$200,0)),"")</f>
        <v>0</v>
      </c>
      <c r="L115" s="21">
        <f>IFERROR(INDEX('Input - Target'!J$2:J$200,MATCH('Calculations - Target'!$D115,'Input - Target'!$B$2:$B$200,0)),"")</f>
        <v>0</v>
      </c>
      <c r="M115" s="20">
        <f>IFERROR(INDEX('Input - Target'!K$2:K$200,MATCH('Calculations - Target'!$D115,'Input - Target'!$B$2:$B$200,0)),"")</f>
        <v>0</v>
      </c>
      <c r="N115" s="20">
        <f>IFERROR(INDEX('Input - Target'!L$2:L$200,MATCH('Calculations - Target'!$D115,'Input - Target'!$B$2:$B$200,0)),"")</f>
        <v>0</v>
      </c>
      <c r="O115" s="21" t="str">
        <f t="shared" si="102"/>
        <v/>
      </c>
      <c r="P115" s="21" t="str">
        <f t="shared" si="86"/>
        <v/>
      </c>
      <c r="Q115" s="21">
        <f t="shared" si="103"/>
        <v>0</v>
      </c>
      <c r="R115" s="9">
        <f t="shared" si="84"/>
        <v>0</v>
      </c>
      <c r="S115" s="9">
        <f t="shared" si="85"/>
        <v>0</v>
      </c>
      <c r="T115" s="22" t="str">
        <f>IFERROR(INDEX(Target!$S$11:$S$167,MATCH('Calculations - Target'!$D115,Target!$N$11:$N$167,0)),"")</f>
        <v/>
      </c>
      <c r="U115" s="22" t="str">
        <f>IFERROR(INDEX(Target!$T$11:$T$167,MATCH('Calculations - Target'!$D115,Target!$N$11:$N$167,0)),"")</f>
        <v/>
      </c>
      <c r="V115" s="16" t="e">
        <f t="shared" si="87"/>
        <v>#VALUE!</v>
      </c>
      <c r="W115" s="16" t="e">
        <f t="shared" si="104"/>
        <v>#VALUE!</v>
      </c>
      <c r="X115" s="16" t="e">
        <f t="shared" si="105"/>
        <v>#VALUE!</v>
      </c>
      <c r="Y115" s="10" t="str">
        <f t="shared" si="88"/>
        <v>-</v>
      </c>
      <c r="Z115" s="10" t="str">
        <f t="shared" si="89"/>
        <v>-</v>
      </c>
      <c r="AA115" s="13" t="str">
        <f t="shared" si="106"/>
        <v>-</v>
      </c>
      <c r="AB115" s="9" t="str">
        <f t="shared" si="90"/>
        <v>-</v>
      </c>
      <c r="AC115" s="16" t="str">
        <f t="shared" si="107"/>
        <v>-</v>
      </c>
      <c r="AD115" s="16" t="str">
        <f t="shared" si="91"/>
        <v>-</v>
      </c>
      <c r="AE115" s="16" t="str">
        <f t="shared" si="92"/>
        <v>-</v>
      </c>
      <c r="AF115" s="16" t="str">
        <f t="shared" si="108"/>
        <v>-</v>
      </c>
      <c r="AG115" s="16"/>
      <c r="AH115" s="32" t="str">
        <f>IFERROR(INDEX(Target!$R$11:$R$167,MATCH('Calculations - Target'!D115,Target!$N$11:$N$167,0)),"")</f>
        <v/>
      </c>
      <c r="AI115" s="23" t="str">
        <f t="shared" si="109"/>
        <v/>
      </c>
      <c r="AJ115" s="23" t="str">
        <f t="shared" si="110"/>
        <v/>
      </c>
      <c r="AK115" s="9" t="str">
        <f t="shared" si="93"/>
        <v/>
      </c>
      <c r="AL115" s="4" t="str">
        <f t="shared" si="94"/>
        <v/>
      </c>
      <c r="AM115" s="4"/>
      <c r="AN115" s="4"/>
      <c r="AO115" s="4"/>
      <c r="AP115" s="4"/>
      <c r="AQ115" s="4"/>
      <c r="AR115" s="20" t="str">
        <f t="shared" si="95"/>
        <v>-</v>
      </c>
      <c r="AS115" s="13" t="str">
        <f t="shared" si="111"/>
        <v>-</v>
      </c>
      <c r="AT115" s="13" t="str">
        <f t="shared" si="112"/>
        <v>-</v>
      </c>
      <c r="AU115" s="13" t="str">
        <f t="shared" si="96"/>
        <v>-</v>
      </c>
      <c r="AV115" s="16" t="str">
        <f t="shared" si="113"/>
        <v>-</v>
      </c>
      <c r="AW115" s="16" t="str">
        <f t="shared" si="97"/>
        <v>-</v>
      </c>
      <c r="AX115" s="16" t="str">
        <f t="shared" si="98"/>
        <v>-</v>
      </c>
      <c r="AY115" s="16" t="str">
        <f t="shared" si="114"/>
        <v>-</v>
      </c>
      <c r="AZ115" s="13" t="str">
        <f t="shared" si="115"/>
        <v>-</v>
      </c>
      <c r="BA115" s="10" t="str">
        <f t="shared" si="116"/>
        <v>-</v>
      </c>
      <c r="BB115" s="9" t="str">
        <f t="shared" si="117"/>
        <v>-</v>
      </c>
      <c r="BC115" s="13" t="str">
        <f t="shared" si="118"/>
        <v>-</v>
      </c>
      <c r="BD115" s="10" t="str">
        <f t="shared" si="119"/>
        <v>-</v>
      </c>
      <c r="BE115" s="13" t="str">
        <f t="shared" si="120"/>
        <v>-</v>
      </c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</row>
    <row r="116" spans="2:70" x14ac:dyDescent="0.3">
      <c r="B116" s="96" t="str">
        <f t="shared" si="99"/>
        <v/>
      </c>
      <c r="C116" s="96" t="str">
        <f t="shared" si="100"/>
        <v/>
      </c>
      <c r="D116" s="96" t="str">
        <f t="shared" si="101"/>
        <v/>
      </c>
      <c r="E116" s="3"/>
      <c r="F116" s="3"/>
      <c r="G116" s="3"/>
      <c r="H116" s="3"/>
      <c r="I116" s="20">
        <f>IFERROR(INDEX('Input - Target'!G$2:G$200,MATCH('Calculations - Target'!$D116,'Input - Target'!$B$2:$B$200,0)),"")</f>
        <v>0</v>
      </c>
      <c r="J116" s="20">
        <f>IFERROR(INDEX('Input - Target'!H$2:H$200,MATCH('Calculations - Target'!$D116,'Input - Target'!$B$2:$B$200,0)),"")</f>
        <v>0</v>
      </c>
      <c r="K116" s="21">
        <f>IFERROR(INDEX('Input - Target'!I$2:I$200,MATCH('Calculations - Target'!$D116,'Input - Target'!$B$2:$B$200,0)),"")</f>
        <v>0</v>
      </c>
      <c r="L116" s="21">
        <f>IFERROR(INDEX('Input - Target'!J$2:J$200,MATCH('Calculations - Target'!$D116,'Input - Target'!$B$2:$B$200,0)),"")</f>
        <v>0</v>
      </c>
      <c r="M116" s="20">
        <f>IFERROR(INDEX('Input - Target'!K$2:K$200,MATCH('Calculations - Target'!$D116,'Input - Target'!$B$2:$B$200,0)),"")</f>
        <v>0</v>
      </c>
      <c r="N116" s="20">
        <f>IFERROR(INDEX('Input - Target'!L$2:L$200,MATCH('Calculations - Target'!$D116,'Input - Target'!$B$2:$B$200,0)),"")</f>
        <v>0</v>
      </c>
      <c r="O116" s="21" t="str">
        <f t="shared" si="102"/>
        <v/>
      </c>
      <c r="P116" s="21" t="str">
        <f t="shared" si="86"/>
        <v/>
      </c>
      <c r="Q116" s="21">
        <f t="shared" si="103"/>
        <v>0</v>
      </c>
      <c r="R116" s="9">
        <f t="shared" si="84"/>
        <v>0</v>
      </c>
      <c r="S116" s="9">
        <f t="shared" si="85"/>
        <v>0</v>
      </c>
      <c r="T116" s="22" t="str">
        <f>IFERROR(INDEX(Target!$S$11:$S$167,MATCH('Calculations - Target'!$D116,Target!$N$11:$N$167,0)),"")</f>
        <v/>
      </c>
      <c r="U116" s="22" t="str">
        <f>IFERROR(INDEX(Target!$T$11:$T$167,MATCH('Calculations - Target'!$D116,Target!$N$11:$N$167,0)),"")</f>
        <v/>
      </c>
      <c r="V116" s="16" t="e">
        <f t="shared" si="87"/>
        <v>#VALUE!</v>
      </c>
      <c r="W116" s="16" t="e">
        <f t="shared" si="104"/>
        <v>#VALUE!</v>
      </c>
      <c r="X116" s="16" t="e">
        <f t="shared" si="105"/>
        <v>#VALUE!</v>
      </c>
      <c r="Y116" s="10" t="str">
        <f t="shared" si="88"/>
        <v>-</v>
      </c>
      <c r="Z116" s="10" t="str">
        <f t="shared" si="89"/>
        <v>-</v>
      </c>
      <c r="AA116" s="13" t="str">
        <f t="shared" si="106"/>
        <v>-</v>
      </c>
      <c r="AB116" s="9" t="str">
        <f t="shared" si="90"/>
        <v>-</v>
      </c>
      <c r="AC116" s="16" t="str">
        <f t="shared" si="107"/>
        <v>-</v>
      </c>
      <c r="AD116" s="16" t="str">
        <f t="shared" si="91"/>
        <v>-</v>
      </c>
      <c r="AE116" s="16" t="str">
        <f t="shared" si="92"/>
        <v>-</v>
      </c>
      <c r="AF116" s="16" t="str">
        <f t="shared" si="108"/>
        <v>-</v>
      </c>
      <c r="AG116" s="16"/>
      <c r="AH116" s="32" t="str">
        <f>IFERROR(INDEX(Target!$R$11:$R$167,MATCH('Calculations - Target'!D116,Target!$N$11:$N$167,0)),"")</f>
        <v/>
      </c>
      <c r="AI116" s="23" t="str">
        <f t="shared" si="109"/>
        <v/>
      </c>
      <c r="AJ116" s="23" t="str">
        <f t="shared" si="110"/>
        <v/>
      </c>
      <c r="AK116" s="9" t="str">
        <f t="shared" si="93"/>
        <v/>
      </c>
      <c r="AL116" s="4" t="str">
        <f t="shared" si="94"/>
        <v/>
      </c>
      <c r="AM116" s="4"/>
      <c r="AN116" s="4"/>
      <c r="AO116" s="4"/>
      <c r="AP116" s="4"/>
      <c r="AQ116" s="4"/>
      <c r="AR116" s="20" t="str">
        <f t="shared" si="95"/>
        <v>-</v>
      </c>
      <c r="AS116" s="13" t="str">
        <f t="shared" si="111"/>
        <v>-</v>
      </c>
      <c r="AT116" s="13" t="str">
        <f t="shared" si="112"/>
        <v>-</v>
      </c>
      <c r="AU116" s="13" t="str">
        <f t="shared" si="96"/>
        <v>-</v>
      </c>
      <c r="AV116" s="16" t="str">
        <f t="shared" si="113"/>
        <v>-</v>
      </c>
      <c r="AW116" s="16" t="str">
        <f t="shared" si="97"/>
        <v>-</v>
      </c>
      <c r="AX116" s="16" t="str">
        <f t="shared" si="98"/>
        <v>-</v>
      </c>
      <c r="AY116" s="16" t="str">
        <f t="shared" si="114"/>
        <v>-</v>
      </c>
      <c r="AZ116" s="13" t="str">
        <f t="shared" si="115"/>
        <v>-</v>
      </c>
      <c r="BA116" s="10" t="str">
        <f t="shared" si="116"/>
        <v>-</v>
      </c>
      <c r="BB116" s="9" t="str">
        <f t="shared" si="117"/>
        <v>-</v>
      </c>
      <c r="BC116" s="13" t="str">
        <f t="shared" si="118"/>
        <v>-</v>
      </c>
      <c r="BD116" s="10" t="str">
        <f t="shared" si="119"/>
        <v>-</v>
      </c>
      <c r="BE116" s="13" t="str">
        <f t="shared" si="120"/>
        <v>-</v>
      </c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</row>
    <row r="117" spans="2:70" x14ac:dyDescent="0.3">
      <c r="B117" s="96" t="str">
        <f t="shared" si="99"/>
        <v/>
      </c>
      <c r="C117" s="96" t="str">
        <f t="shared" si="100"/>
        <v/>
      </c>
      <c r="D117" s="96" t="str">
        <f t="shared" si="101"/>
        <v/>
      </c>
      <c r="E117" s="3"/>
      <c r="F117" s="3"/>
      <c r="G117" s="3"/>
      <c r="H117" s="3"/>
      <c r="I117" s="20">
        <f>IFERROR(INDEX('Input - Target'!G$2:G$200,MATCH('Calculations - Target'!$D117,'Input - Target'!$B$2:$B$200,0)),"")</f>
        <v>0</v>
      </c>
      <c r="J117" s="20">
        <f>IFERROR(INDEX('Input - Target'!H$2:H$200,MATCH('Calculations - Target'!$D117,'Input - Target'!$B$2:$B$200,0)),"")</f>
        <v>0</v>
      </c>
      <c r="K117" s="21">
        <f>IFERROR(INDEX('Input - Target'!I$2:I$200,MATCH('Calculations - Target'!$D117,'Input - Target'!$B$2:$B$200,0)),"")</f>
        <v>0</v>
      </c>
      <c r="L117" s="21">
        <f>IFERROR(INDEX('Input - Target'!J$2:J$200,MATCH('Calculations - Target'!$D117,'Input - Target'!$B$2:$B$200,0)),"")</f>
        <v>0</v>
      </c>
      <c r="M117" s="20">
        <f>IFERROR(INDEX('Input - Target'!K$2:K$200,MATCH('Calculations - Target'!$D117,'Input - Target'!$B$2:$B$200,0)),"")</f>
        <v>0</v>
      </c>
      <c r="N117" s="20">
        <f>IFERROR(INDEX('Input - Target'!L$2:L$200,MATCH('Calculations - Target'!$D117,'Input - Target'!$B$2:$B$200,0)),"")</f>
        <v>0</v>
      </c>
      <c r="O117" s="21" t="str">
        <f t="shared" si="102"/>
        <v/>
      </c>
      <c r="P117" s="21" t="str">
        <f t="shared" si="86"/>
        <v/>
      </c>
      <c r="Q117" s="21">
        <f t="shared" si="103"/>
        <v>0</v>
      </c>
      <c r="R117" s="9">
        <f t="shared" si="84"/>
        <v>0</v>
      </c>
      <c r="S117" s="9">
        <f t="shared" si="85"/>
        <v>0</v>
      </c>
      <c r="T117" s="22" t="str">
        <f>IFERROR(INDEX(Target!$S$11:$S$167,MATCH('Calculations - Target'!$D117,Target!$N$11:$N$167,0)),"")</f>
        <v/>
      </c>
      <c r="U117" s="22" t="str">
        <f>IFERROR(INDEX(Target!$T$11:$T$167,MATCH('Calculations - Target'!$D117,Target!$N$11:$N$167,0)),"")</f>
        <v/>
      </c>
      <c r="V117" s="16" t="e">
        <f t="shared" si="87"/>
        <v>#VALUE!</v>
      </c>
      <c r="W117" s="16" t="e">
        <f t="shared" si="104"/>
        <v>#VALUE!</v>
      </c>
      <c r="X117" s="16" t="e">
        <f t="shared" si="105"/>
        <v>#VALUE!</v>
      </c>
      <c r="Y117" s="10" t="str">
        <f t="shared" si="88"/>
        <v>-</v>
      </c>
      <c r="Z117" s="10" t="str">
        <f t="shared" si="89"/>
        <v>-</v>
      </c>
      <c r="AA117" s="13" t="str">
        <f t="shared" si="106"/>
        <v>-</v>
      </c>
      <c r="AB117" s="9" t="str">
        <f t="shared" si="90"/>
        <v>-</v>
      </c>
      <c r="AC117" s="16" t="str">
        <f t="shared" si="107"/>
        <v>-</v>
      </c>
      <c r="AD117" s="16" t="str">
        <f t="shared" si="91"/>
        <v>-</v>
      </c>
      <c r="AE117" s="16" t="str">
        <f t="shared" si="92"/>
        <v>-</v>
      </c>
      <c r="AF117" s="16" t="str">
        <f t="shared" si="108"/>
        <v>-</v>
      </c>
      <c r="AG117" s="16"/>
      <c r="AH117" s="32" t="str">
        <f>IFERROR(INDEX(Target!$R$11:$R$167,MATCH('Calculations - Target'!D117,Target!$N$11:$N$167,0)),"")</f>
        <v/>
      </c>
      <c r="AI117" s="23" t="str">
        <f t="shared" si="109"/>
        <v/>
      </c>
      <c r="AJ117" s="23" t="str">
        <f t="shared" si="110"/>
        <v/>
      </c>
      <c r="AK117" s="9" t="str">
        <f t="shared" si="93"/>
        <v/>
      </c>
      <c r="AL117" s="4" t="str">
        <f t="shared" si="94"/>
        <v/>
      </c>
      <c r="AM117" s="4"/>
      <c r="AN117" s="4"/>
      <c r="AO117" s="4"/>
      <c r="AP117" s="4"/>
      <c r="AQ117" s="4"/>
      <c r="AR117" s="20" t="str">
        <f t="shared" si="95"/>
        <v>-</v>
      </c>
      <c r="AS117" s="13" t="str">
        <f t="shared" si="111"/>
        <v>-</v>
      </c>
      <c r="AT117" s="13" t="str">
        <f t="shared" si="112"/>
        <v>-</v>
      </c>
      <c r="AU117" s="13" t="str">
        <f t="shared" si="96"/>
        <v>-</v>
      </c>
      <c r="AV117" s="16" t="str">
        <f t="shared" si="113"/>
        <v>-</v>
      </c>
      <c r="AW117" s="16" t="str">
        <f t="shared" si="97"/>
        <v>-</v>
      </c>
      <c r="AX117" s="16" t="str">
        <f t="shared" si="98"/>
        <v>-</v>
      </c>
      <c r="AY117" s="16" t="str">
        <f t="shared" si="114"/>
        <v>-</v>
      </c>
      <c r="AZ117" s="13" t="str">
        <f t="shared" si="115"/>
        <v>-</v>
      </c>
      <c r="BA117" s="10" t="str">
        <f t="shared" si="116"/>
        <v>-</v>
      </c>
      <c r="BB117" s="9" t="str">
        <f t="shared" si="117"/>
        <v>-</v>
      </c>
      <c r="BC117" s="13" t="str">
        <f t="shared" si="118"/>
        <v>-</v>
      </c>
      <c r="BD117" s="10" t="str">
        <f t="shared" si="119"/>
        <v>-</v>
      </c>
      <c r="BE117" s="13" t="str">
        <f t="shared" si="120"/>
        <v>-</v>
      </c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</row>
    <row r="118" spans="2:70" x14ac:dyDescent="0.3">
      <c r="B118" s="96" t="str">
        <f t="shared" si="99"/>
        <v/>
      </c>
      <c r="C118" s="96" t="str">
        <f t="shared" si="100"/>
        <v/>
      </c>
      <c r="D118" s="96" t="str">
        <f t="shared" si="101"/>
        <v/>
      </c>
      <c r="E118" s="3"/>
      <c r="F118" s="3"/>
      <c r="G118" s="3"/>
      <c r="H118" s="3"/>
      <c r="I118" s="20">
        <f>IFERROR(INDEX('Input - Target'!G$2:G$200,MATCH('Calculations - Target'!$D118,'Input - Target'!$B$2:$B$200,0)),"")</f>
        <v>0</v>
      </c>
      <c r="J118" s="20">
        <f>IFERROR(INDEX('Input - Target'!H$2:H$200,MATCH('Calculations - Target'!$D118,'Input - Target'!$B$2:$B$200,0)),"")</f>
        <v>0</v>
      </c>
      <c r="K118" s="21">
        <f>IFERROR(INDEX('Input - Target'!I$2:I$200,MATCH('Calculations - Target'!$D118,'Input - Target'!$B$2:$B$200,0)),"")</f>
        <v>0</v>
      </c>
      <c r="L118" s="21">
        <f>IFERROR(INDEX('Input - Target'!J$2:J$200,MATCH('Calculations - Target'!$D118,'Input - Target'!$B$2:$B$200,0)),"")</f>
        <v>0</v>
      </c>
      <c r="M118" s="20">
        <f>IFERROR(INDEX('Input - Target'!K$2:K$200,MATCH('Calculations - Target'!$D118,'Input - Target'!$B$2:$B$200,0)),"")</f>
        <v>0</v>
      </c>
      <c r="N118" s="20">
        <f>IFERROR(INDEX('Input - Target'!L$2:L$200,MATCH('Calculations - Target'!$D118,'Input - Target'!$B$2:$B$200,0)),"")</f>
        <v>0</v>
      </c>
      <c r="O118" s="21" t="str">
        <f t="shared" si="102"/>
        <v/>
      </c>
      <c r="P118" s="21" t="str">
        <f t="shared" si="86"/>
        <v/>
      </c>
      <c r="Q118" s="21">
        <f t="shared" si="103"/>
        <v>0</v>
      </c>
      <c r="R118" s="9">
        <f t="shared" si="84"/>
        <v>0</v>
      </c>
      <c r="S118" s="9">
        <f t="shared" si="85"/>
        <v>0</v>
      </c>
      <c r="T118" s="22" t="str">
        <f>IFERROR(INDEX(Target!$S$11:$S$167,MATCH('Calculations - Target'!$D118,Target!$N$11:$N$167,0)),"")</f>
        <v/>
      </c>
      <c r="U118" s="22" t="str">
        <f>IFERROR(INDEX(Target!$T$11:$T$167,MATCH('Calculations - Target'!$D118,Target!$N$11:$N$167,0)),"")</f>
        <v/>
      </c>
      <c r="V118" s="16" t="e">
        <f t="shared" si="87"/>
        <v>#VALUE!</v>
      </c>
      <c r="W118" s="16" t="e">
        <f t="shared" si="104"/>
        <v>#VALUE!</v>
      </c>
      <c r="X118" s="16" t="e">
        <f t="shared" si="105"/>
        <v>#VALUE!</v>
      </c>
      <c r="Y118" s="10" t="str">
        <f t="shared" si="88"/>
        <v>-</v>
      </c>
      <c r="Z118" s="10" t="str">
        <f t="shared" si="89"/>
        <v>-</v>
      </c>
      <c r="AA118" s="13" t="str">
        <f t="shared" si="106"/>
        <v>-</v>
      </c>
      <c r="AB118" s="9" t="str">
        <f t="shared" si="90"/>
        <v>-</v>
      </c>
      <c r="AC118" s="16" t="str">
        <f t="shared" si="107"/>
        <v>-</v>
      </c>
      <c r="AD118" s="16" t="str">
        <f t="shared" si="91"/>
        <v>-</v>
      </c>
      <c r="AE118" s="16" t="str">
        <f t="shared" si="92"/>
        <v>-</v>
      </c>
      <c r="AF118" s="16" t="str">
        <f t="shared" si="108"/>
        <v>-</v>
      </c>
      <c r="AG118" s="16"/>
      <c r="AH118" s="32" t="str">
        <f>IFERROR(INDEX(Target!$R$11:$R$167,MATCH('Calculations - Target'!D118,Target!$N$11:$N$167,0)),"")</f>
        <v/>
      </c>
      <c r="AI118" s="23" t="str">
        <f t="shared" si="109"/>
        <v/>
      </c>
      <c r="AJ118" s="23" t="str">
        <f t="shared" si="110"/>
        <v/>
      </c>
      <c r="AK118" s="9" t="str">
        <f t="shared" si="93"/>
        <v/>
      </c>
      <c r="AL118" s="4" t="str">
        <f t="shared" si="94"/>
        <v/>
      </c>
      <c r="AM118" s="4"/>
      <c r="AN118" s="4"/>
      <c r="AO118" s="4"/>
      <c r="AP118" s="4"/>
      <c r="AQ118" s="4"/>
      <c r="AR118" s="20" t="str">
        <f t="shared" si="95"/>
        <v>-</v>
      </c>
      <c r="AS118" s="13" t="str">
        <f t="shared" si="111"/>
        <v>-</v>
      </c>
      <c r="AT118" s="13" t="str">
        <f t="shared" si="112"/>
        <v>-</v>
      </c>
      <c r="AU118" s="13" t="str">
        <f t="shared" si="96"/>
        <v>-</v>
      </c>
      <c r="AV118" s="16" t="str">
        <f t="shared" si="113"/>
        <v>-</v>
      </c>
      <c r="AW118" s="16" t="str">
        <f t="shared" si="97"/>
        <v>-</v>
      </c>
      <c r="AX118" s="16" t="str">
        <f t="shared" si="98"/>
        <v>-</v>
      </c>
      <c r="AY118" s="16" t="str">
        <f t="shared" si="114"/>
        <v>-</v>
      </c>
      <c r="AZ118" s="13" t="str">
        <f t="shared" si="115"/>
        <v>-</v>
      </c>
      <c r="BA118" s="10" t="str">
        <f t="shared" si="116"/>
        <v>-</v>
      </c>
      <c r="BB118" s="9" t="str">
        <f t="shared" si="117"/>
        <v>-</v>
      </c>
      <c r="BC118" s="13" t="str">
        <f t="shared" si="118"/>
        <v>-</v>
      </c>
      <c r="BD118" s="10" t="str">
        <f t="shared" si="119"/>
        <v>-</v>
      </c>
      <c r="BE118" s="13" t="str">
        <f t="shared" si="120"/>
        <v>-</v>
      </c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</row>
    <row r="119" spans="2:70" x14ac:dyDescent="0.3">
      <c r="B119" s="96" t="str">
        <f t="shared" si="99"/>
        <v/>
      </c>
      <c r="C119" s="96" t="str">
        <f t="shared" si="100"/>
        <v/>
      </c>
      <c r="D119" s="96" t="str">
        <f t="shared" si="101"/>
        <v/>
      </c>
      <c r="E119" s="3"/>
      <c r="F119" s="3"/>
      <c r="G119" s="3"/>
      <c r="H119" s="3"/>
      <c r="I119" s="20">
        <f>IFERROR(INDEX('Input - Target'!G$2:G$200,MATCH('Calculations - Target'!$D119,'Input - Target'!$B$2:$B$200,0)),"")</f>
        <v>0</v>
      </c>
      <c r="J119" s="20">
        <f>IFERROR(INDEX('Input - Target'!H$2:H$200,MATCH('Calculations - Target'!$D119,'Input - Target'!$B$2:$B$200,0)),"")</f>
        <v>0</v>
      </c>
      <c r="K119" s="21">
        <f>IFERROR(INDEX('Input - Target'!I$2:I$200,MATCH('Calculations - Target'!$D119,'Input - Target'!$B$2:$B$200,0)),"")</f>
        <v>0</v>
      </c>
      <c r="L119" s="21">
        <f>IFERROR(INDEX('Input - Target'!J$2:J$200,MATCH('Calculations - Target'!$D119,'Input - Target'!$B$2:$B$200,0)),"")</f>
        <v>0</v>
      </c>
      <c r="M119" s="20">
        <f>IFERROR(INDEX('Input - Target'!K$2:K$200,MATCH('Calculations - Target'!$D119,'Input - Target'!$B$2:$B$200,0)),"")</f>
        <v>0</v>
      </c>
      <c r="N119" s="20">
        <f>IFERROR(INDEX('Input - Target'!L$2:L$200,MATCH('Calculations - Target'!$D119,'Input - Target'!$B$2:$B$200,0)),"")</f>
        <v>0</v>
      </c>
      <c r="O119" s="21" t="str">
        <f t="shared" si="102"/>
        <v/>
      </c>
      <c r="P119" s="21" t="str">
        <f t="shared" si="86"/>
        <v/>
      </c>
      <c r="Q119" s="21">
        <f t="shared" si="103"/>
        <v>0</v>
      </c>
      <c r="R119" s="9">
        <f t="shared" si="84"/>
        <v>0</v>
      </c>
      <c r="S119" s="9">
        <f t="shared" si="85"/>
        <v>0</v>
      </c>
      <c r="T119" s="22" t="str">
        <f>IFERROR(INDEX(Target!$S$11:$S$167,MATCH('Calculations - Target'!$D119,Target!$N$11:$N$167,0)),"")</f>
        <v/>
      </c>
      <c r="U119" s="22" t="str">
        <f>IFERROR(INDEX(Target!$T$11:$T$167,MATCH('Calculations - Target'!$D119,Target!$N$11:$N$167,0)),"")</f>
        <v/>
      </c>
      <c r="V119" s="16" t="e">
        <f t="shared" si="87"/>
        <v>#VALUE!</v>
      </c>
      <c r="W119" s="16" t="e">
        <f t="shared" si="104"/>
        <v>#VALUE!</v>
      </c>
      <c r="X119" s="16" t="e">
        <f t="shared" si="105"/>
        <v>#VALUE!</v>
      </c>
      <c r="Y119" s="10" t="str">
        <f t="shared" si="88"/>
        <v>-</v>
      </c>
      <c r="Z119" s="10" t="str">
        <f t="shared" si="89"/>
        <v>-</v>
      </c>
      <c r="AA119" s="13" t="str">
        <f t="shared" si="106"/>
        <v>-</v>
      </c>
      <c r="AB119" s="9" t="str">
        <f t="shared" si="90"/>
        <v>-</v>
      </c>
      <c r="AC119" s="16" t="str">
        <f t="shared" si="107"/>
        <v>-</v>
      </c>
      <c r="AD119" s="16" t="str">
        <f t="shared" si="91"/>
        <v>-</v>
      </c>
      <c r="AE119" s="16" t="str">
        <f t="shared" si="92"/>
        <v>-</v>
      </c>
      <c r="AF119" s="16" t="str">
        <f t="shared" si="108"/>
        <v>-</v>
      </c>
      <c r="AG119" s="16"/>
      <c r="AH119" s="32" t="str">
        <f>IFERROR(INDEX(Target!$R$11:$R$167,MATCH('Calculations - Target'!D119,Target!$N$11:$N$167,0)),"")</f>
        <v/>
      </c>
      <c r="AI119" s="23" t="str">
        <f t="shared" si="109"/>
        <v/>
      </c>
      <c r="AJ119" s="23" t="str">
        <f t="shared" si="110"/>
        <v/>
      </c>
      <c r="AK119" s="9" t="str">
        <f t="shared" si="93"/>
        <v/>
      </c>
      <c r="AL119" s="4" t="str">
        <f t="shared" si="94"/>
        <v/>
      </c>
      <c r="AM119" s="4"/>
      <c r="AN119" s="4"/>
      <c r="AO119" s="4"/>
      <c r="AP119" s="4"/>
      <c r="AQ119" s="4"/>
      <c r="AR119" s="20" t="str">
        <f t="shared" si="95"/>
        <v>-</v>
      </c>
      <c r="AS119" s="13" t="str">
        <f t="shared" si="111"/>
        <v>-</v>
      </c>
      <c r="AT119" s="13" t="str">
        <f t="shared" si="112"/>
        <v>-</v>
      </c>
      <c r="AU119" s="13" t="str">
        <f t="shared" si="96"/>
        <v>-</v>
      </c>
      <c r="AV119" s="16" t="str">
        <f t="shared" si="113"/>
        <v>-</v>
      </c>
      <c r="AW119" s="16" t="str">
        <f t="shared" si="97"/>
        <v>-</v>
      </c>
      <c r="AX119" s="16" t="str">
        <f t="shared" si="98"/>
        <v>-</v>
      </c>
      <c r="AY119" s="16" t="str">
        <f t="shared" si="114"/>
        <v>-</v>
      </c>
      <c r="AZ119" s="13" t="str">
        <f t="shared" si="115"/>
        <v>-</v>
      </c>
      <c r="BA119" s="10" t="str">
        <f t="shared" si="116"/>
        <v>-</v>
      </c>
      <c r="BB119" s="9" t="str">
        <f t="shared" si="117"/>
        <v>-</v>
      </c>
      <c r="BC119" s="13" t="str">
        <f t="shared" si="118"/>
        <v>-</v>
      </c>
      <c r="BD119" s="10" t="str">
        <f t="shared" si="119"/>
        <v>-</v>
      </c>
      <c r="BE119" s="13" t="str">
        <f t="shared" si="120"/>
        <v>-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</row>
    <row r="120" spans="2:70" x14ac:dyDescent="0.3">
      <c r="B120" s="96" t="str">
        <f t="shared" si="99"/>
        <v/>
      </c>
      <c r="C120" s="96" t="str">
        <f t="shared" si="100"/>
        <v/>
      </c>
      <c r="D120" s="96" t="str">
        <f t="shared" si="101"/>
        <v/>
      </c>
      <c r="E120" s="3"/>
      <c r="F120" s="3"/>
      <c r="G120" s="3"/>
      <c r="H120" s="3"/>
      <c r="I120" s="20">
        <f>IFERROR(INDEX('Input - Target'!G$2:G$200,MATCH('Calculations - Target'!$D120,'Input - Target'!$B$2:$B$200,0)),"")</f>
        <v>0</v>
      </c>
      <c r="J120" s="20">
        <f>IFERROR(INDEX('Input - Target'!H$2:H$200,MATCH('Calculations - Target'!$D120,'Input - Target'!$B$2:$B$200,0)),"")</f>
        <v>0</v>
      </c>
      <c r="K120" s="21">
        <f>IFERROR(INDEX('Input - Target'!I$2:I$200,MATCH('Calculations - Target'!$D120,'Input - Target'!$B$2:$B$200,0)),"")</f>
        <v>0</v>
      </c>
      <c r="L120" s="21">
        <f>IFERROR(INDEX('Input - Target'!J$2:J$200,MATCH('Calculations - Target'!$D120,'Input - Target'!$B$2:$B$200,0)),"")</f>
        <v>0</v>
      </c>
      <c r="M120" s="20">
        <f>IFERROR(INDEX('Input - Target'!K$2:K$200,MATCH('Calculations - Target'!$D120,'Input - Target'!$B$2:$B$200,0)),"")</f>
        <v>0</v>
      </c>
      <c r="N120" s="20">
        <f>IFERROR(INDEX('Input - Target'!L$2:L$200,MATCH('Calculations - Target'!$D120,'Input - Target'!$B$2:$B$200,0)),"")</f>
        <v>0</v>
      </c>
      <c r="O120" s="21" t="str">
        <f t="shared" si="102"/>
        <v/>
      </c>
      <c r="P120" s="21" t="str">
        <f t="shared" si="86"/>
        <v/>
      </c>
      <c r="Q120" s="21">
        <f t="shared" si="103"/>
        <v>0</v>
      </c>
      <c r="R120" s="9">
        <f t="shared" si="84"/>
        <v>0</v>
      </c>
      <c r="S120" s="9">
        <f t="shared" si="85"/>
        <v>0</v>
      </c>
      <c r="T120" s="22" t="str">
        <f>IFERROR(INDEX(Target!$S$11:$S$167,MATCH('Calculations - Target'!$D120,Target!$N$11:$N$167,0)),"")</f>
        <v/>
      </c>
      <c r="U120" s="22" t="str">
        <f>IFERROR(INDEX(Target!$T$11:$T$167,MATCH('Calculations - Target'!$D120,Target!$N$11:$N$167,0)),"")</f>
        <v/>
      </c>
      <c r="V120" s="16" t="e">
        <f t="shared" si="87"/>
        <v>#VALUE!</v>
      </c>
      <c r="W120" s="16" t="e">
        <f t="shared" si="104"/>
        <v>#VALUE!</v>
      </c>
      <c r="X120" s="16" t="e">
        <f t="shared" si="105"/>
        <v>#VALUE!</v>
      </c>
      <c r="Y120" s="10" t="str">
        <f t="shared" si="88"/>
        <v>-</v>
      </c>
      <c r="Z120" s="10" t="str">
        <f t="shared" si="89"/>
        <v>-</v>
      </c>
      <c r="AA120" s="13" t="str">
        <f t="shared" si="106"/>
        <v>-</v>
      </c>
      <c r="AB120" s="9" t="str">
        <f t="shared" si="90"/>
        <v>-</v>
      </c>
      <c r="AC120" s="16" t="str">
        <f t="shared" si="107"/>
        <v>-</v>
      </c>
      <c r="AD120" s="16" t="str">
        <f t="shared" si="91"/>
        <v>-</v>
      </c>
      <c r="AE120" s="16" t="str">
        <f t="shared" si="92"/>
        <v>-</v>
      </c>
      <c r="AF120" s="16" t="str">
        <f t="shared" si="108"/>
        <v>-</v>
      </c>
      <c r="AG120" s="16"/>
      <c r="AH120" s="32" t="str">
        <f>IFERROR(INDEX(Target!$R$11:$R$167,MATCH('Calculations - Target'!D120,Target!$N$11:$N$167,0)),"")</f>
        <v/>
      </c>
      <c r="AI120" s="23" t="str">
        <f t="shared" si="109"/>
        <v/>
      </c>
      <c r="AJ120" s="23" t="str">
        <f t="shared" si="110"/>
        <v/>
      </c>
      <c r="AK120" s="9" t="str">
        <f t="shared" si="93"/>
        <v/>
      </c>
      <c r="AL120" s="4" t="str">
        <f t="shared" si="94"/>
        <v/>
      </c>
      <c r="AM120" s="4"/>
      <c r="AN120" s="4"/>
      <c r="AO120" s="4"/>
      <c r="AP120" s="4"/>
      <c r="AQ120" s="4"/>
      <c r="AR120" s="20" t="str">
        <f t="shared" si="95"/>
        <v>-</v>
      </c>
      <c r="AS120" s="13" t="str">
        <f t="shared" si="111"/>
        <v>-</v>
      </c>
      <c r="AT120" s="13" t="str">
        <f t="shared" si="112"/>
        <v>-</v>
      </c>
      <c r="AU120" s="13" t="str">
        <f t="shared" si="96"/>
        <v>-</v>
      </c>
      <c r="AV120" s="16" t="str">
        <f t="shared" si="113"/>
        <v>-</v>
      </c>
      <c r="AW120" s="16" t="str">
        <f t="shared" si="97"/>
        <v>-</v>
      </c>
      <c r="AX120" s="16" t="str">
        <f t="shared" si="98"/>
        <v>-</v>
      </c>
      <c r="AY120" s="16" t="str">
        <f t="shared" si="114"/>
        <v>-</v>
      </c>
      <c r="AZ120" s="13" t="str">
        <f t="shared" si="115"/>
        <v>-</v>
      </c>
      <c r="BA120" s="10" t="str">
        <f t="shared" si="116"/>
        <v>-</v>
      </c>
      <c r="BB120" s="9" t="str">
        <f t="shared" si="117"/>
        <v>-</v>
      </c>
      <c r="BC120" s="13" t="str">
        <f t="shared" si="118"/>
        <v>-</v>
      </c>
      <c r="BD120" s="10" t="str">
        <f t="shared" si="119"/>
        <v>-</v>
      </c>
      <c r="BE120" s="13" t="str">
        <f t="shared" si="120"/>
        <v>-</v>
      </c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</row>
    <row r="121" spans="2:70" x14ac:dyDescent="0.3">
      <c r="B121" s="96" t="str">
        <f t="shared" si="99"/>
        <v/>
      </c>
      <c r="C121" s="96" t="str">
        <f t="shared" si="100"/>
        <v/>
      </c>
      <c r="D121" s="96" t="str">
        <f t="shared" si="101"/>
        <v/>
      </c>
      <c r="E121" s="3"/>
      <c r="F121" s="3"/>
      <c r="G121" s="3"/>
      <c r="H121" s="3"/>
      <c r="I121" s="20">
        <f>IFERROR(INDEX('Input - Target'!G$2:G$200,MATCH('Calculations - Target'!$D121,'Input - Target'!$B$2:$B$200,0)),"")</f>
        <v>0</v>
      </c>
      <c r="J121" s="20">
        <f>IFERROR(INDEX('Input - Target'!H$2:H$200,MATCH('Calculations - Target'!$D121,'Input - Target'!$B$2:$B$200,0)),"")</f>
        <v>0</v>
      </c>
      <c r="K121" s="21">
        <f>IFERROR(INDEX('Input - Target'!I$2:I$200,MATCH('Calculations - Target'!$D121,'Input - Target'!$B$2:$B$200,0)),"")</f>
        <v>0</v>
      </c>
      <c r="L121" s="21">
        <f>IFERROR(INDEX('Input - Target'!J$2:J$200,MATCH('Calculations - Target'!$D121,'Input - Target'!$B$2:$B$200,0)),"")</f>
        <v>0</v>
      </c>
      <c r="M121" s="20">
        <f>IFERROR(INDEX('Input - Target'!K$2:K$200,MATCH('Calculations - Target'!$D121,'Input - Target'!$B$2:$B$200,0)),"")</f>
        <v>0</v>
      </c>
      <c r="N121" s="20">
        <f>IFERROR(INDEX('Input - Target'!L$2:L$200,MATCH('Calculations - Target'!$D121,'Input - Target'!$B$2:$B$200,0)),"")</f>
        <v>0</v>
      </c>
      <c r="O121" s="21" t="str">
        <f t="shared" si="102"/>
        <v/>
      </c>
      <c r="P121" s="21" t="str">
        <f t="shared" si="86"/>
        <v/>
      </c>
      <c r="Q121" s="21">
        <f t="shared" si="103"/>
        <v>0</v>
      </c>
      <c r="R121" s="9">
        <f t="shared" si="84"/>
        <v>0</v>
      </c>
      <c r="S121" s="9">
        <f t="shared" si="85"/>
        <v>0</v>
      </c>
      <c r="T121" s="22" t="str">
        <f>IFERROR(INDEX(Target!$S$11:$S$167,MATCH('Calculations - Target'!$D121,Target!$N$11:$N$167,0)),"")</f>
        <v/>
      </c>
      <c r="U121" s="22" t="str">
        <f>IFERROR(INDEX(Target!$T$11:$T$167,MATCH('Calculations - Target'!$D121,Target!$N$11:$N$167,0)),"")</f>
        <v/>
      </c>
      <c r="V121" s="16" t="e">
        <f t="shared" si="87"/>
        <v>#VALUE!</v>
      </c>
      <c r="W121" s="16" t="e">
        <f t="shared" si="104"/>
        <v>#VALUE!</v>
      </c>
      <c r="X121" s="16" t="e">
        <f t="shared" si="105"/>
        <v>#VALUE!</v>
      </c>
      <c r="Y121" s="10" t="str">
        <f t="shared" si="88"/>
        <v>-</v>
      </c>
      <c r="Z121" s="10" t="str">
        <f t="shared" si="89"/>
        <v>-</v>
      </c>
      <c r="AA121" s="13" t="str">
        <f t="shared" si="106"/>
        <v>-</v>
      </c>
      <c r="AB121" s="9" t="str">
        <f t="shared" si="90"/>
        <v>-</v>
      </c>
      <c r="AC121" s="16" t="str">
        <f t="shared" si="107"/>
        <v>-</v>
      </c>
      <c r="AD121" s="16" t="str">
        <f t="shared" si="91"/>
        <v>-</v>
      </c>
      <c r="AE121" s="16" t="str">
        <f t="shared" si="92"/>
        <v>-</v>
      </c>
      <c r="AF121" s="16" t="str">
        <f t="shared" si="108"/>
        <v>-</v>
      </c>
      <c r="AG121" s="16"/>
      <c r="AH121" s="32" t="str">
        <f>IFERROR(INDEX(Target!$R$11:$R$167,MATCH('Calculations - Target'!D121,Target!$N$11:$N$167,0)),"")</f>
        <v/>
      </c>
      <c r="AI121" s="23" t="str">
        <f t="shared" si="109"/>
        <v/>
      </c>
      <c r="AJ121" s="23" t="str">
        <f t="shared" si="110"/>
        <v/>
      </c>
      <c r="AK121" s="9" t="str">
        <f t="shared" si="93"/>
        <v/>
      </c>
      <c r="AL121" s="4" t="str">
        <f t="shared" si="94"/>
        <v/>
      </c>
      <c r="AM121" s="4"/>
      <c r="AN121" s="4"/>
      <c r="AO121" s="4"/>
      <c r="AP121" s="4"/>
      <c r="AQ121" s="4"/>
      <c r="AR121" s="20" t="str">
        <f t="shared" si="95"/>
        <v>-</v>
      </c>
      <c r="AS121" s="13" t="str">
        <f t="shared" si="111"/>
        <v>-</v>
      </c>
      <c r="AT121" s="13" t="str">
        <f t="shared" si="112"/>
        <v>-</v>
      </c>
      <c r="AU121" s="13" t="str">
        <f t="shared" si="96"/>
        <v>-</v>
      </c>
      <c r="AV121" s="16" t="str">
        <f t="shared" si="113"/>
        <v>-</v>
      </c>
      <c r="AW121" s="16" t="str">
        <f t="shared" si="97"/>
        <v>-</v>
      </c>
      <c r="AX121" s="16" t="str">
        <f t="shared" si="98"/>
        <v>-</v>
      </c>
      <c r="AY121" s="16" t="str">
        <f t="shared" si="114"/>
        <v>-</v>
      </c>
      <c r="AZ121" s="13" t="str">
        <f t="shared" si="115"/>
        <v>-</v>
      </c>
      <c r="BA121" s="10" t="str">
        <f t="shared" si="116"/>
        <v>-</v>
      </c>
      <c r="BB121" s="9" t="str">
        <f t="shared" si="117"/>
        <v>-</v>
      </c>
      <c r="BC121" s="13" t="str">
        <f t="shared" si="118"/>
        <v>-</v>
      </c>
      <c r="BD121" s="10" t="str">
        <f t="shared" si="119"/>
        <v>-</v>
      </c>
      <c r="BE121" s="13" t="str">
        <f t="shared" si="120"/>
        <v>-</v>
      </c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</row>
    <row r="122" spans="2:70" x14ac:dyDescent="0.3">
      <c r="B122" s="96" t="str">
        <f t="shared" si="99"/>
        <v/>
      </c>
      <c r="C122" s="96" t="str">
        <f t="shared" si="100"/>
        <v/>
      </c>
      <c r="D122" s="96" t="str">
        <f t="shared" si="101"/>
        <v/>
      </c>
      <c r="E122" s="3"/>
      <c r="F122" s="3"/>
      <c r="G122" s="3"/>
      <c r="H122" s="3"/>
      <c r="I122" s="20">
        <f>IFERROR(INDEX('Input - Target'!G$2:G$200,MATCH('Calculations - Target'!$D122,'Input - Target'!$B$2:$B$200,0)),"")</f>
        <v>0</v>
      </c>
      <c r="J122" s="20">
        <f>IFERROR(INDEX('Input - Target'!H$2:H$200,MATCH('Calculations - Target'!$D122,'Input - Target'!$B$2:$B$200,0)),"")</f>
        <v>0</v>
      </c>
      <c r="K122" s="21">
        <f>IFERROR(INDEX('Input - Target'!I$2:I$200,MATCH('Calculations - Target'!$D122,'Input - Target'!$B$2:$B$200,0)),"")</f>
        <v>0</v>
      </c>
      <c r="L122" s="21">
        <f>IFERROR(INDEX('Input - Target'!J$2:J$200,MATCH('Calculations - Target'!$D122,'Input - Target'!$B$2:$B$200,0)),"")</f>
        <v>0</v>
      </c>
      <c r="M122" s="20">
        <f>IFERROR(INDEX('Input - Target'!K$2:K$200,MATCH('Calculations - Target'!$D122,'Input - Target'!$B$2:$B$200,0)),"")</f>
        <v>0</v>
      </c>
      <c r="N122" s="20">
        <f>IFERROR(INDEX('Input - Target'!L$2:L$200,MATCH('Calculations - Target'!$D122,'Input - Target'!$B$2:$B$200,0)),"")</f>
        <v>0</v>
      </c>
      <c r="O122" s="21" t="str">
        <f t="shared" si="102"/>
        <v/>
      </c>
      <c r="P122" s="21" t="str">
        <f t="shared" si="86"/>
        <v/>
      </c>
      <c r="Q122" s="21">
        <f t="shared" si="103"/>
        <v>0</v>
      </c>
      <c r="R122" s="9">
        <f t="shared" si="84"/>
        <v>0</v>
      </c>
      <c r="S122" s="9">
        <f t="shared" si="85"/>
        <v>0</v>
      </c>
      <c r="T122" s="22" t="str">
        <f>IFERROR(INDEX(Target!$S$11:$S$167,MATCH('Calculations - Target'!$D122,Target!$N$11:$N$167,0)),"")</f>
        <v/>
      </c>
      <c r="U122" s="22" t="str">
        <f>IFERROR(INDEX(Target!$T$11:$T$167,MATCH('Calculations - Target'!$D122,Target!$N$11:$N$167,0)),"")</f>
        <v/>
      </c>
      <c r="V122" s="16" t="e">
        <f t="shared" si="87"/>
        <v>#VALUE!</v>
      </c>
      <c r="W122" s="16" t="e">
        <f t="shared" si="104"/>
        <v>#VALUE!</v>
      </c>
      <c r="X122" s="16" t="e">
        <f t="shared" si="105"/>
        <v>#VALUE!</v>
      </c>
      <c r="Y122" s="10" t="str">
        <f t="shared" si="88"/>
        <v>-</v>
      </c>
      <c r="Z122" s="10" t="str">
        <f t="shared" si="89"/>
        <v>-</v>
      </c>
      <c r="AA122" s="13" t="str">
        <f t="shared" si="106"/>
        <v>-</v>
      </c>
      <c r="AB122" s="9" t="str">
        <f t="shared" si="90"/>
        <v>-</v>
      </c>
      <c r="AC122" s="16" t="str">
        <f t="shared" si="107"/>
        <v>-</v>
      </c>
      <c r="AD122" s="16" t="str">
        <f t="shared" si="91"/>
        <v>-</v>
      </c>
      <c r="AE122" s="16" t="str">
        <f t="shared" si="92"/>
        <v>-</v>
      </c>
      <c r="AF122" s="16" t="str">
        <f t="shared" si="108"/>
        <v>-</v>
      </c>
      <c r="AG122" s="16"/>
      <c r="AH122" s="32" t="str">
        <f>IFERROR(INDEX(Target!$R$11:$R$167,MATCH('Calculations - Target'!D122,Target!$N$11:$N$167,0)),"")</f>
        <v/>
      </c>
      <c r="AI122" s="23" t="str">
        <f t="shared" si="109"/>
        <v/>
      </c>
      <c r="AJ122" s="23" t="str">
        <f t="shared" si="110"/>
        <v/>
      </c>
      <c r="AK122" s="9" t="str">
        <f t="shared" si="93"/>
        <v/>
      </c>
      <c r="AL122" s="4" t="str">
        <f t="shared" si="94"/>
        <v/>
      </c>
      <c r="AM122" s="4"/>
      <c r="AN122" s="4"/>
      <c r="AO122" s="4"/>
      <c r="AP122" s="4"/>
      <c r="AQ122" s="4"/>
      <c r="AR122" s="20" t="str">
        <f t="shared" si="95"/>
        <v>-</v>
      </c>
      <c r="AS122" s="13" t="str">
        <f t="shared" si="111"/>
        <v>-</v>
      </c>
      <c r="AT122" s="13" t="str">
        <f t="shared" si="112"/>
        <v>-</v>
      </c>
      <c r="AU122" s="13" t="str">
        <f t="shared" si="96"/>
        <v>-</v>
      </c>
      <c r="AV122" s="16" t="str">
        <f t="shared" si="113"/>
        <v>-</v>
      </c>
      <c r="AW122" s="16" t="str">
        <f t="shared" si="97"/>
        <v>-</v>
      </c>
      <c r="AX122" s="16" t="str">
        <f t="shared" si="98"/>
        <v>-</v>
      </c>
      <c r="AY122" s="16" t="str">
        <f t="shared" si="114"/>
        <v>-</v>
      </c>
      <c r="AZ122" s="13" t="str">
        <f t="shared" si="115"/>
        <v>-</v>
      </c>
      <c r="BA122" s="10" t="str">
        <f t="shared" si="116"/>
        <v>-</v>
      </c>
      <c r="BB122" s="9" t="str">
        <f t="shared" si="117"/>
        <v>-</v>
      </c>
      <c r="BC122" s="13" t="str">
        <f t="shared" si="118"/>
        <v>-</v>
      </c>
      <c r="BD122" s="10" t="str">
        <f t="shared" si="119"/>
        <v>-</v>
      </c>
      <c r="BE122" s="13" t="str">
        <f t="shared" si="120"/>
        <v>-</v>
      </c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</row>
    <row r="123" spans="2:70" x14ac:dyDescent="0.3">
      <c r="B123" s="96" t="str">
        <f t="shared" si="99"/>
        <v/>
      </c>
      <c r="C123" s="96" t="str">
        <f t="shared" si="100"/>
        <v/>
      </c>
      <c r="D123" s="96" t="str">
        <f t="shared" si="101"/>
        <v/>
      </c>
      <c r="E123" s="3"/>
      <c r="F123" s="3"/>
      <c r="G123" s="3"/>
      <c r="H123" s="3"/>
      <c r="I123" s="20">
        <f>IFERROR(INDEX('Input - Target'!G$2:G$200,MATCH('Calculations - Target'!$D123,'Input - Target'!$B$2:$B$200,0)),"")</f>
        <v>0</v>
      </c>
      <c r="J123" s="20">
        <f>IFERROR(INDEX('Input - Target'!H$2:H$200,MATCH('Calculations - Target'!$D123,'Input - Target'!$B$2:$B$200,0)),"")</f>
        <v>0</v>
      </c>
      <c r="K123" s="21">
        <f>IFERROR(INDEX('Input - Target'!I$2:I$200,MATCH('Calculations - Target'!$D123,'Input - Target'!$B$2:$B$200,0)),"")</f>
        <v>0</v>
      </c>
      <c r="L123" s="21">
        <f>IFERROR(INDEX('Input - Target'!J$2:J$200,MATCH('Calculations - Target'!$D123,'Input - Target'!$B$2:$B$200,0)),"")</f>
        <v>0</v>
      </c>
      <c r="M123" s="20">
        <f>IFERROR(INDEX('Input - Target'!K$2:K$200,MATCH('Calculations - Target'!$D123,'Input - Target'!$B$2:$B$200,0)),"")</f>
        <v>0</v>
      </c>
      <c r="N123" s="20">
        <f>IFERROR(INDEX('Input - Target'!L$2:L$200,MATCH('Calculations - Target'!$D123,'Input - Target'!$B$2:$B$200,0)),"")</f>
        <v>0</v>
      </c>
      <c r="O123" s="21" t="str">
        <f t="shared" si="102"/>
        <v/>
      </c>
      <c r="P123" s="21" t="str">
        <f t="shared" si="86"/>
        <v/>
      </c>
      <c r="Q123" s="21">
        <f t="shared" si="103"/>
        <v>0</v>
      </c>
      <c r="R123" s="9">
        <f t="shared" si="84"/>
        <v>0</v>
      </c>
      <c r="S123" s="9">
        <f t="shared" si="85"/>
        <v>0</v>
      </c>
      <c r="T123" s="22" t="str">
        <f>IFERROR(INDEX(Target!$S$11:$S$167,MATCH('Calculations - Target'!$D123,Target!$N$11:$N$167,0)),"")</f>
        <v/>
      </c>
      <c r="U123" s="22" t="str">
        <f>IFERROR(INDEX(Target!$T$11:$T$167,MATCH('Calculations - Target'!$D123,Target!$N$11:$N$167,0)),"")</f>
        <v/>
      </c>
      <c r="V123" s="16" t="e">
        <f t="shared" si="87"/>
        <v>#VALUE!</v>
      </c>
      <c r="W123" s="16" t="e">
        <f t="shared" si="104"/>
        <v>#VALUE!</v>
      </c>
      <c r="X123" s="16" t="e">
        <f t="shared" si="105"/>
        <v>#VALUE!</v>
      </c>
      <c r="Y123" s="10" t="str">
        <f t="shared" si="88"/>
        <v>-</v>
      </c>
      <c r="Z123" s="10" t="str">
        <f t="shared" si="89"/>
        <v>-</v>
      </c>
      <c r="AA123" s="13" t="str">
        <f t="shared" si="106"/>
        <v>-</v>
      </c>
      <c r="AB123" s="9" t="str">
        <f t="shared" si="90"/>
        <v>-</v>
      </c>
      <c r="AC123" s="16" t="str">
        <f t="shared" si="107"/>
        <v>-</v>
      </c>
      <c r="AD123" s="16" t="str">
        <f t="shared" si="91"/>
        <v>-</v>
      </c>
      <c r="AE123" s="16" t="str">
        <f t="shared" si="92"/>
        <v>-</v>
      </c>
      <c r="AF123" s="16" t="str">
        <f t="shared" si="108"/>
        <v>-</v>
      </c>
      <c r="AG123" s="16"/>
      <c r="AH123" s="32" t="str">
        <f>IFERROR(INDEX(Target!$R$11:$R$167,MATCH('Calculations - Target'!D123,Target!$N$11:$N$167,0)),"")</f>
        <v/>
      </c>
      <c r="AI123" s="23" t="str">
        <f t="shared" si="109"/>
        <v/>
      </c>
      <c r="AJ123" s="23" t="str">
        <f t="shared" si="110"/>
        <v/>
      </c>
      <c r="AK123" s="9" t="str">
        <f t="shared" si="93"/>
        <v/>
      </c>
      <c r="AL123" s="4" t="str">
        <f t="shared" si="94"/>
        <v/>
      </c>
      <c r="AM123" s="4"/>
      <c r="AN123" s="4"/>
      <c r="AO123" s="4"/>
      <c r="AP123" s="4"/>
      <c r="AQ123" s="4"/>
      <c r="AR123" s="20" t="str">
        <f t="shared" si="95"/>
        <v>-</v>
      </c>
      <c r="AS123" s="13" t="str">
        <f t="shared" si="111"/>
        <v>-</v>
      </c>
      <c r="AT123" s="13" t="str">
        <f t="shared" si="112"/>
        <v>-</v>
      </c>
      <c r="AU123" s="13" t="str">
        <f t="shared" si="96"/>
        <v>-</v>
      </c>
      <c r="AV123" s="16" t="str">
        <f t="shared" si="113"/>
        <v>-</v>
      </c>
      <c r="AW123" s="16" t="str">
        <f t="shared" si="97"/>
        <v>-</v>
      </c>
      <c r="AX123" s="16" t="str">
        <f t="shared" si="98"/>
        <v>-</v>
      </c>
      <c r="AY123" s="16" t="str">
        <f t="shared" si="114"/>
        <v>-</v>
      </c>
      <c r="AZ123" s="13" t="str">
        <f t="shared" si="115"/>
        <v>-</v>
      </c>
      <c r="BA123" s="10" t="str">
        <f t="shared" si="116"/>
        <v>-</v>
      </c>
      <c r="BB123" s="9" t="str">
        <f t="shared" si="117"/>
        <v>-</v>
      </c>
      <c r="BC123" s="13" t="str">
        <f t="shared" si="118"/>
        <v>-</v>
      </c>
      <c r="BD123" s="10" t="str">
        <f t="shared" si="119"/>
        <v>-</v>
      </c>
      <c r="BE123" s="13" t="str">
        <f t="shared" si="120"/>
        <v>-</v>
      </c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</row>
    <row r="124" spans="2:70" x14ac:dyDescent="0.3">
      <c r="B124" s="96" t="str">
        <f t="shared" si="99"/>
        <v/>
      </c>
      <c r="C124" s="96" t="str">
        <f t="shared" si="100"/>
        <v/>
      </c>
      <c r="D124" s="96" t="str">
        <f t="shared" si="101"/>
        <v/>
      </c>
      <c r="E124" s="3"/>
      <c r="F124" s="3"/>
      <c r="G124" s="3"/>
      <c r="H124" s="3"/>
      <c r="I124" s="20">
        <f>IFERROR(INDEX('Input - Target'!G$2:G$200,MATCH('Calculations - Target'!$D124,'Input - Target'!$B$2:$B$200,0)),"")</f>
        <v>0</v>
      </c>
      <c r="J124" s="20">
        <f>IFERROR(INDEX('Input - Target'!H$2:H$200,MATCH('Calculations - Target'!$D124,'Input - Target'!$B$2:$B$200,0)),"")</f>
        <v>0</v>
      </c>
      <c r="K124" s="21">
        <f>IFERROR(INDEX('Input - Target'!I$2:I$200,MATCH('Calculations - Target'!$D124,'Input - Target'!$B$2:$B$200,0)),"")</f>
        <v>0</v>
      </c>
      <c r="L124" s="21">
        <f>IFERROR(INDEX('Input - Target'!J$2:J$200,MATCH('Calculations - Target'!$D124,'Input - Target'!$B$2:$B$200,0)),"")</f>
        <v>0</v>
      </c>
      <c r="M124" s="20">
        <f>IFERROR(INDEX('Input - Target'!K$2:K$200,MATCH('Calculations - Target'!$D124,'Input - Target'!$B$2:$B$200,0)),"")</f>
        <v>0</v>
      </c>
      <c r="N124" s="20">
        <f>IFERROR(INDEX('Input - Target'!L$2:L$200,MATCH('Calculations - Target'!$D124,'Input - Target'!$B$2:$B$200,0)),"")</f>
        <v>0</v>
      </c>
      <c r="O124" s="21" t="str">
        <f t="shared" si="102"/>
        <v/>
      </c>
      <c r="P124" s="21" t="str">
        <f t="shared" si="86"/>
        <v/>
      </c>
      <c r="Q124" s="21">
        <f t="shared" si="103"/>
        <v>0</v>
      </c>
      <c r="R124" s="9">
        <f t="shared" si="84"/>
        <v>0</v>
      </c>
      <c r="S124" s="9">
        <f t="shared" si="85"/>
        <v>0</v>
      </c>
      <c r="T124" s="22" t="str">
        <f>IFERROR(INDEX(Target!$S$11:$S$167,MATCH('Calculations - Target'!$D124,Target!$N$11:$N$167,0)),"")</f>
        <v/>
      </c>
      <c r="U124" s="22" t="str">
        <f>IFERROR(INDEX(Target!$T$11:$T$167,MATCH('Calculations - Target'!$D124,Target!$N$11:$N$167,0)),"")</f>
        <v/>
      </c>
      <c r="V124" s="16" t="e">
        <f t="shared" si="87"/>
        <v>#VALUE!</v>
      </c>
      <c r="W124" s="16" t="e">
        <f t="shared" si="104"/>
        <v>#VALUE!</v>
      </c>
      <c r="X124" s="16" t="e">
        <f t="shared" si="105"/>
        <v>#VALUE!</v>
      </c>
      <c r="Y124" s="10" t="str">
        <f t="shared" si="88"/>
        <v>-</v>
      </c>
      <c r="Z124" s="10" t="str">
        <f t="shared" si="89"/>
        <v>-</v>
      </c>
      <c r="AA124" s="13" t="str">
        <f t="shared" si="106"/>
        <v>-</v>
      </c>
      <c r="AB124" s="9" t="str">
        <f t="shared" si="90"/>
        <v>-</v>
      </c>
      <c r="AC124" s="16" t="str">
        <f t="shared" si="107"/>
        <v>-</v>
      </c>
      <c r="AD124" s="16" t="str">
        <f t="shared" si="91"/>
        <v>-</v>
      </c>
      <c r="AE124" s="16" t="str">
        <f t="shared" si="92"/>
        <v>-</v>
      </c>
      <c r="AF124" s="16" t="str">
        <f t="shared" si="108"/>
        <v>-</v>
      </c>
      <c r="AG124" s="16"/>
      <c r="AH124" s="32" t="str">
        <f>IFERROR(INDEX(Target!$R$11:$R$167,MATCH('Calculations - Target'!D124,Target!$N$11:$N$167,0)),"")</f>
        <v/>
      </c>
      <c r="AI124" s="23" t="str">
        <f t="shared" si="109"/>
        <v/>
      </c>
      <c r="AJ124" s="23" t="str">
        <f t="shared" si="110"/>
        <v/>
      </c>
      <c r="AK124" s="9" t="str">
        <f t="shared" si="93"/>
        <v/>
      </c>
      <c r="AL124" s="4" t="str">
        <f t="shared" si="94"/>
        <v/>
      </c>
      <c r="AM124" s="4"/>
      <c r="AN124" s="4"/>
      <c r="AO124" s="4"/>
      <c r="AP124" s="4"/>
      <c r="AQ124" s="4"/>
      <c r="AR124" s="20" t="str">
        <f t="shared" si="95"/>
        <v>-</v>
      </c>
      <c r="AS124" s="13" t="str">
        <f t="shared" si="111"/>
        <v>-</v>
      </c>
      <c r="AT124" s="13" t="str">
        <f t="shared" si="112"/>
        <v>-</v>
      </c>
      <c r="AU124" s="13" t="str">
        <f t="shared" si="96"/>
        <v>-</v>
      </c>
      <c r="AV124" s="16" t="str">
        <f t="shared" si="113"/>
        <v>-</v>
      </c>
      <c r="AW124" s="16" t="str">
        <f t="shared" si="97"/>
        <v>-</v>
      </c>
      <c r="AX124" s="16" t="str">
        <f t="shared" si="98"/>
        <v>-</v>
      </c>
      <c r="AY124" s="16" t="str">
        <f t="shared" si="114"/>
        <v>-</v>
      </c>
      <c r="AZ124" s="13" t="str">
        <f t="shared" si="115"/>
        <v>-</v>
      </c>
      <c r="BA124" s="10" t="str">
        <f t="shared" si="116"/>
        <v>-</v>
      </c>
      <c r="BB124" s="9" t="str">
        <f t="shared" si="117"/>
        <v>-</v>
      </c>
      <c r="BC124" s="13" t="str">
        <f t="shared" si="118"/>
        <v>-</v>
      </c>
      <c r="BD124" s="10" t="str">
        <f t="shared" si="119"/>
        <v>-</v>
      </c>
      <c r="BE124" s="13" t="str">
        <f t="shared" si="120"/>
        <v>-</v>
      </c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</row>
    <row r="125" spans="2:70" x14ac:dyDescent="0.3">
      <c r="B125" s="96" t="str">
        <f t="shared" si="99"/>
        <v/>
      </c>
      <c r="C125" s="96" t="str">
        <f t="shared" si="100"/>
        <v/>
      </c>
      <c r="D125" s="96" t="str">
        <f t="shared" si="101"/>
        <v/>
      </c>
      <c r="E125" s="3"/>
      <c r="F125" s="3"/>
      <c r="G125" s="3"/>
      <c r="H125" s="3"/>
      <c r="I125" s="20">
        <f>IFERROR(INDEX('Input - Target'!G$2:G$200,MATCH('Calculations - Target'!$D125,'Input - Target'!$B$2:$B$200,0)),"")</f>
        <v>0</v>
      </c>
      <c r="J125" s="20">
        <f>IFERROR(INDEX('Input - Target'!H$2:H$200,MATCH('Calculations - Target'!$D125,'Input - Target'!$B$2:$B$200,0)),"")</f>
        <v>0</v>
      </c>
      <c r="K125" s="21">
        <f>IFERROR(INDEX('Input - Target'!I$2:I$200,MATCH('Calculations - Target'!$D125,'Input - Target'!$B$2:$B$200,0)),"")</f>
        <v>0</v>
      </c>
      <c r="L125" s="21">
        <f>IFERROR(INDEX('Input - Target'!J$2:J$200,MATCH('Calculations - Target'!$D125,'Input - Target'!$B$2:$B$200,0)),"")</f>
        <v>0</v>
      </c>
      <c r="M125" s="20">
        <f>IFERROR(INDEX('Input - Target'!K$2:K$200,MATCH('Calculations - Target'!$D125,'Input - Target'!$B$2:$B$200,0)),"")</f>
        <v>0</v>
      </c>
      <c r="N125" s="20">
        <f>IFERROR(INDEX('Input - Target'!L$2:L$200,MATCH('Calculations - Target'!$D125,'Input - Target'!$B$2:$B$200,0)),"")</f>
        <v>0</v>
      </c>
      <c r="O125" s="21" t="str">
        <f t="shared" si="102"/>
        <v/>
      </c>
      <c r="P125" s="21" t="str">
        <f t="shared" si="86"/>
        <v/>
      </c>
      <c r="Q125" s="21">
        <f t="shared" si="103"/>
        <v>0</v>
      </c>
      <c r="R125" s="9">
        <f t="shared" si="84"/>
        <v>0</v>
      </c>
      <c r="S125" s="9">
        <f t="shared" si="85"/>
        <v>0</v>
      </c>
      <c r="T125" s="22" t="str">
        <f>IFERROR(INDEX(Target!$S$11:$S$167,MATCH('Calculations - Target'!$D125,Target!$N$11:$N$167,0)),"")</f>
        <v/>
      </c>
      <c r="U125" s="22" t="str">
        <f>IFERROR(INDEX(Target!$T$11:$T$167,MATCH('Calculations - Target'!$D125,Target!$N$11:$N$167,0)),"")</f>
        <v/>
      </c>
      <c r="V125" s="16" t="e">
        <f t="shared" si="87"/>
        <v>#VALUE!</v>
      </c>
      <c r="W125" s="16" t="e">
        <f t="shared" si="104"/>
        <v>#VALUE!</v>
      </c>
      <c r="X125" s="16" t="e">
        <f t="shared" si="105"/>
        <v>#VALUE!</v>
      </c>
      <c r="Y125" s="10" t="str">
        <f t="shared" si="88"/>
        <v>-</v>
      </c>
      <c r="Z125" s="10" t="str">
        <f t="shared" si="89"/>
        <v>-</v>
      </c>
      <c r="AA125" s="13" t="str">
        <f t="shared" si="106"/>
        <v>-</v>
      </c>
      <c r="AB125" s="9" t="str">
        <f t="shared" si="90"/>
        <v>-</v>
      </c>
      <c r="AC125" s="16" t="str">
        <f t="shared" si="107"/>
        <v>-</v>
      </c>
      <c r="AD125" s="16" t="str">
        <f t="shared" si="91"/>
        <v>-</v>
      </c>
      <c r="AE125" s="16" t="str">
        <f t="shared" si="92"/>
        <v>-</v>
      </c>
      <c r="AF125" s="16" t="str">
        <f t="shared" si="108"/>
        <v>-</v>
      </c>
      <c r="AG125" s="16"/>
      <c r="AH125" s="32" t="str">
        <f>IFERROR(INDEX(Target!$R$11:$R$167,MATCH('Calculations - Target'!D125,Target!$N$11:$N$167,0)),"")</f>
        <v/>
      </c>
      <c r="AI125" s="23" t="str">
        <f t="shared" si="109"/>
        <v/>
      </c>
      <c r="AJ125" s="23" t="str">
        <f t="shared" si="110"/>
        <v/>
      </c>
      <c r="AK125" s="9" t="str">
        <f t="shared" si="93"/>
        <v/>
      </c>
      <c r="AL125" s="4" t="str">
        <f t="shared" si="94"/>
        <v/>
      </c>
      <c r="AM125" s="4"/>
      <c r="AN125" s="4"/>
      <c r="AO125" s="4"/>
      <c r="AP125" s="4"/>
      <c r="AQ125" s="4"/>
      <c r="AR125" s="20" t="str">
        <f t="shared" si="95"/>
        <v>-</v>
      </c>
      <c r="AS125" s="13" t="str">
        <f t="shared" si="111"/>
        <v>-</v>
      </c>
      <c r="AT125" s="13" t="str">
        <f t="shared" si="112"/>
        <v>-</v>
      </c>
      <c r="AU125" s="13" t="str">
        <f t="shared" si="96"/>
        <v>-</v>
      </c>
      <c r="AV125" s="16" t="str">
        <f t="shared" si="113"/>
        <v>-</v>
      </c>
      <c r="AW125" s="16" t="str">
        <f t="shared" si="97"/>
        <v>-</v>
      </c>
      <c r="AX125" s="16" t="str">
        <f t="shared" si="98"/>
        <v>-</v>
      </c>
      <c r="AY125" s="16" t="str">
        <f t="shared" si="114"/>
        <v>-</v>
      </c>
      <c r="AZ125" s="13" t="str">
        <f t="shared" si="115"/>
        <v>-</v>
      </c>
      <c r="BA125" s="10" t="str">
        <f t="shared" si="116"/>
        <v>-</v>
      </c>
      <c r="BB125" s="9" t="str">
        <f t="shared" si="117"/>
        <v>-</v>
      </c>
      <c r="BC125" s="13" t="str">
        <f t="shared" si="118"/>
        <v>-</v>
      </c>
      <c r="BD125" s="10" t="str">
        <f t="shared" si="119"/>
        <v>-</v>
      </c>
      <c r="BE125" s="13" t="str">
        <f t="shared" si="120"/>
        <v>-</v>
      </c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</row>
    <row r="126" spans="2:70" x14ac:dyDescent="0.3">
      <c r="B126" s="96" t="str">
        <f t="shared" si="99"/>
        <v/>
      </c>
      <c r="C126" s="96" t="str">
        <f t="shared" si="100"/>
        <v/>
      </c>
      <c r="D126" s="96" t="str">
        <f t="shared" si="101"/>
        <v/>
      </c>
      <c r="E126" s="3"/>
      <c r="F126" s="3"/>
      <c r="G126" s="3"/>
      <c r="H126" s="3"/>
      <c r="I126" s="20">
        <f>IFERROR(INDEX('Input - Target'!G$2:G$200,MATCH('Calculations - Target'!$D126,'Input - Target'!$B$2:$B$200,0)),"")</f>
        <v>0</v>
      </c>
      <c r="J126" s="20">
        <f>IFERROR(INDEX('Input - Target'!H$2:H$200,MATCH('Calculations - Target'!$D126,'Input - Target'!$B$2:$B$200,0)),"")</f>
        <v>0</v>
      </c>
      <c r="K126" s="21">
        <f>IFERROR(INDEX('Input - Target'!I$2:I$200,MATCH('Calculations - Target'!$D126,'Input - Target'!$B$2:$B$200,0)),"")</f>
        <v>0</v>
      </c>
      <c r="L126" s="21">
        <f>IFERROR(INDEX('Input - Target'!J$2:J$200,MATCH('Calculations - Target'!$D126,'Input - Target'!$B$2:$B$200,0)),"")</f>
        <v>0</v>
      </c>
      <c r="M126" s="20">
        <f>IFERROR(INDEX('Input - Target'!K$2:K$200,MATCH('Calculations - Target'!$D126,'Input - Target'!$B$2:$B$200,0)),"")</f>
        <v>0</v>
      </c>
      <c r="N126" s="20">
        <f>IFERROR(INDEX('Input - Target'!L$2:L$200,MATCH('Calculations - Target'!$D126,'Input - Target'!$B$2:$B$200,0)),"")</f>
        <v>0</v>
      </c>
      <c r="O126" s="21" t="str">
        <f t="shared" si="102"/>
        <v/>
      </c>
      <c r="P126" s="21" t="str">
        <f t="shared" si="86"/>
        <v/>
      </c>
      <c r="Q126" s="21">
        <f t="shared" si="103"/>
        <v>0</v>
      </c>
      <c r="R126" s="9">
        <f t="shared" si="84"/>
        <v>0</v>
      </c>
      <c r="S126" s="9">
        <f t="shared" si="85"/>
        <v>0</v>
      </c>
      <c r="T126" s="22" t="str">
        <f>IFERROR(INDEX(Target!$S$11:$S$167,MATCH('Calculations - Target'!$D126,Target!$N$11:$N$167,0)),"")</f>
        <v/>
      </c>
      <c r="U126" s="22" t="str">
        <f>IFERROR(INDEX(Target!$T$11:$T$167,MATCH('Calculations - Target'!$D126,Target!$N$11:$N$167,0)),"")</f>
        <v/>
      </c>
      <c r="V126" s="16" t="e">
        <f t="shared" si="87"/>
        <v>#VALUE!</v>
      </c>
      <c r="W126" s="16" t="e">
        <f t="shared" si="104"/>
        <v>#VALUE!</v>
      </c>
      <c r="X126" s="16" t="e">
        <f t="shared" si="105"/>
        <v>#VALUE!</v>
      </c>
      <c r="Y126" s="10" t="str">
        <f t="shared" si="88"/>
        <v>-</v>
      </c>
      <c r="Z126" s="10" t="str">
        <f t="shared" si="89"/>
        <v>-</v>
      </c>
      <c r="AA126" s="13" t="str">
        <f t="shared" si="106"/>
        <v>-</v>
      </c>
      <c r="AB126" s="9" t="str">
        <f t="shared" si="90"/>
        <v>-</v>
      </c>
      <c r="AC126" s="16" t="str">
        <f t="shared" si="107"/>
        <v>-</v>
      </c>
      <c r="AD126" s="16" t="str">
        <f t="shared" si="91"/>
        <v>-</v>
      </c>
      <c r="AE126" s="16" t="str">
        <f t="shared" si="92"/>
        <v>-</v>
      </c>
      <c r="AF126" s="16" t="str">
        <f t="shared" si="108"/>
        <v>-</v>
      </c>
      <c r="AG126" s="16"/>
      <c r="AH126" s="32" t="str">
        <f>IFERROR(INDEX(Target!$R$11:$R$167,MATCH('Calculations - Target'!D126,Target!$N$11:$N$167,0)),"")</f>
        <v/>
      </c>
      <c r="AI126" s="23" t="str">
        <f t="shared" si="109"/>
        <v/>
      </c>
      <c r="AJ126" s="23" t="str">
        <f t="shared" si="110"/>
        <v/>
      </c>
      <c r="AK126" s="9" t="str">
        <f t="shared" si="93"/>
        <v/>
      </c>
      <c r="AL126" s="4" t="str">
        <f t="shared" si="94"/>
        <v/>
      </c>
      <c r="AM126" s="4"/>
      <c r="AN126" s="4"/>
      <c r="AO126" s="4"/>
      <c r="AP126" s="4"/>
      <c r="AQ126" s="4"/>
      <c r="AR126" s="20" t="str">
        <f t="shared" si="95"/>
        <v>-</v>
      </c>
      <c r="AS126" s="13" t="str">
        <f t="shared" si="111"/>
        <v>-</v>
      </c>
      <c r="AT126" s="13" t="str">
        <f t="shared" si="112"/>
        <v>-</v>
      </c>
      <c r="AU126" s="13" t="str">
        <f t="shared" si="96"/>
        <v>-</v>
      </c>
      <c r="AV126" s="16" t="str">
        <f t="shared" si="113"/>
        <v>-</v>
      </c>
      <c r="AW126" s="16" t="str">
        <f t="shared" si="97"/>
        <v>-</v>
      </c>
      <c r="AX126" s="16" t="str">
        <f t="shared" si="98"/>
        <v>-</v>
      </c>
      <c r="AY126" s="16" t="str">
        <f t="shared" si="114"/>
        <v>-</v>
      </c>
      <c r="AZ126" s="13" t="str">
        <f t="shared" si="115"/>
        <v>-</v>
      </c>
      <c r="BA126" s="10" t="str">
        <f t="shared" si="116"/>
        <v>-</v>
      </c>
      <c r="BB126" s="9" t="str">
        <f t="shared" si="117"/>
        <v>-</v>
      </c>
      <c r="BC126" s="13" t="str">
        <f t="shared" si="118"/>
        <v>-</v>
      </c>
      <c r="BD126" s="10" t="str">
        <f t="shared" si="119"/>
        <v>-</v>
      </c>
      <c r="BE126" s="13" t="str">
        <f t="shared" si="120"/>
        <v>-</v>
      </c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</row>
    <row r="127" spans="2:70" x14ac:dyDescent="0.3">
      <c r="B127" s="96" t="str">
        <f t="shared" si="99"/>
        <v/>
      </c>
      <c r="C127" s="96" t="str">
        <f t="shared" si="100"/>
        <v/>
      </c>
      <c r="D127" s="96" t="str">
        <f t="shared" si="101"/>
        <v/>
      </c>
      <c r="E127" s="3"/>
      <c r="F127" s="3"/>
      <c r="G127" s="3"/>
      <c r="H127" s="3"/>
      <c r="I127" s="20">
        <f>IFERROR(INDEX('Input - Target'!G$2:G$200,MATCH('Calculations - Target'!$D127,'Input - Target'!$B$2:$B$200,0)),"")</f>
        <v>0</v>
      </c>
      <c r="J127" s="20">
        <f>IFERROR(INDEX('Input - Target'!H$2:H$200,MATCH('Calculations - Target'!$D127,'Input - Target'!$B$2:$B$200,0)),"")</f>
        <v>0</v>
      </c>
      <c r="K127" s="21">
        <f>IFERROR(INDEX('Input - Target'!I$2:I$200,MATCH('Calculations - Target'!$D127,'Input - Target'!$B$2:$B$200,0)),"")</f>
        <v>0</v>
      </c>
      <c r="L127" s="21">
        <f>IFERROR(INDEX('Input - Target'!J$2:J$200,MATCH('Calculations - Target'!$D127,'Input - Target'!$B$2:$B$200,0)),"")</f>
        <v>0</v>
      </c>
      <c r="M127" s="20">
        <f>IFERROR(INDEX('Input - Target'!K$2:K$200,MATCH('Calculations - Target'!$D127,'Input - Target'!$B$2:$B$200,0)),"")</f>
        <v>0</v>
      </c>
      <c r="N127" s="20">
        <f>IFERROR(INDEX('Input - Target'!L$2:L$200,MATCH('Calculations - Target'!$D127,'Input - Target'!$B$2:$B$200,0)),"")</f>
        <v>0</v>
      </c>
      <c r="O127" s="21" t="str">
        <f t="shared" si="102"/>
        <v/>
      </c>
      <c r="P127" s="21" t="str">
        <f t="shared" si="86"/>
        <v/>
      </c>
      <c r="Q127" s="21">
        <f t="shared" si="103"/>
        <v>0</v>
      </c>
      <c r="R127" s="9">
        <f t="shared" si="84"/>
        <v>0</v>
      </c>
      <c r="S127" s="9">
        <f t="shared" si="85"/>
        <v>0</v>
      </c>
      <c r="T127" s="22" t="str">
        <f>IFERROR(INDEX(Target!$S$11:$S$167,MATCH('Calculations - Target'!$D127,Target!$N$11:$N$167,0)),"")</f>
        <v/>
      </c>
      <c r="U127" s="22" t="str">
        <f>IFERROR(INDEX(Target!$T$11:$T$167,MATCH('Calculations - Target'!$D127,Target!$N$11:$N$167,0)),"")</f>
        <v/>
      </c>
      <c r="V127" s="16" t="e">
        <f t="shared" si="87"/>
        <v>#VALUE!</v>
      </c>
      <c r="W127" s="16" t="e">
        <f t="shared" si="104"/>
        <v>#VALUE!</v>
      </c>
      <c r="X127" s="16" t="e">
        <f t="shared" si="105"/>
        <v>#VALUE!</v>
      </c>
      <c r="Y127" s="10" t="str">
        <f t="shared" si="88"/>
        <v>-</v>
      </c>
      <c r="Z127" s="10" t="str">
        <f t="shared" si="89"/>
        <v>-</v>
      </c>
      <c r="AA127" s="13" t="str">
        <f t="shared" si="106"/>
        <v>-</v>
      </c>
      <c r="AB127" s="9" t="str">
        <f t="shared" si="90"/>
        <v>-</v>
      </c>
      <c r="AC127" s="16" t="str">
        <f t="shared" si="107"/>
        <v>-</v>
      </c>
      <c r="AD127" s="16" t="str">
        <f t="shared" si="91"/>
        <v>-</v>
      </c>
      <c r="AE127" s="16" t="str">
        <f t="shared" si="92"/>
        <v>-</v>
      </c>
      <c r="AF127" s="16" t="str">
        <f t="shared" si="108"/>
        <v>-</v>
      </c>
      <c r="AG127" s="16"/>
      <c r="AH127" s="32" t="str">
        <f>IFERROR(INDEX(Target!$R$11:$R$167,MATCH('Calculations - Target'!D127,Target!$N$11:$N$167,0)),"")</f>
        <v/>
      </c>
      <c r="AI127" s="23" t="str">
        <f t="shared" si="109"/>
        <v/>
      </c>
      <c r="AJ127" s="23" t="str">
        <f t="shared" si="110"/>
        <v/>
      </c>
      <c r="AK127" s="9" t="str">
        <f t="shared" si="93"/>
        <v/>
      </c>
      <c r="AL127" s="4" t="str">
        <f t="shared" si="94"/>
        <v/>
      </c>
      <c r="AM127" s="4"/>
      <c r="AN127" s="4"/>
      <c r="AO127" s="4"/>
      <c r="AP127" s="4"/>
      <c r="AQ127" s="4"/>
      <c r="AR127" s="20" t="str">
        <f t="shared" si="95"/>
        <v>-</v>
      </c>
      <c r="AS127" s="13" t="str">
        <f t="shared" si="111"/>
        <v>-</v>
      </c>
      <c r="AT127" s="13" t="str">
        <f t="shared" si="112"/>
        <v>-</v>
      </c>
      <c r="AU127" s="13" t="str">
        <f t="shared" si="96"/>
        <v>-</v>
      </c>
      <c r="AV127" s="16" t="str">
        <f t="shared" si="113"/>
        <v>-</v>
      </c>
      <c r="AW127" s="16" t="str">
        <f t="shared" si="97"/>
        <v>-</v>
      </c>
      <c r="AX127" s="16" t="str">
        <f t="shared" si="98"/>
        <v>-</v>
      </c>
      <c r="AY127" s="16" t="str">
        <f t="shared" si="114"/>
        <v>-</v>
      </c>
      <c r="AZ127" s="13" t="str">
        <f t="shared" si="115"/>
        <v>-</v>
      </c>
      <c r="BA127" s="10" t="str">
        <f t="shared" si="116"/>
        <v>-</v>
      </c>
      <c r="BB127" s="9" t="str">
        <f t="shared" si="117"/>
        <v>-</v>
      </c>
      <c r="BC127" s="13" t="str">
        <f t="shared" si="118"/>
        <v>-</v>
      </c>
      <c r="BD127" s="10" t="str">
        <f t="shared" si="119"/>
        <v>-</v>
      </c>
      <c r="BE127" s="13" t="str">
        <f t="shared" si="120"/>
        <v>-</v>
      </c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</row>
    <row r="128" spans="2:70" x14ac:dyDescent="0.3">
      <c r="B128" s="96" t="str">
        <f t="shared" si="99"/>
        <v/>
      </c>
      <c r="C128" s="96" t="str">
        <f t="shared" si="100"/>
        <v/>
      </c>
      <c r="D128" s="96" t="str">
        <f t="shared" si="101"/>
        <v/>
      </c>
      <c r="E128" s="3"/>
      <c r="F128" s="3"/>
      <c r="G128" s="3"/>
      <c r="H128" s="3"/>
      <c r="I128" s="20">
        <f>IFERROR(INDEX('Input - Target'!G$2:G$200,MATCH('Calculations - Target'!$D128,'Input - Target'!$B$2:$B$200,0)),"")</f>
        <v>0</v>
      </c>
      <c r="J128" s="20">
        <f>IFERROR(INDEX('Input - Target'!H$2:H$200,MATCH('Calculations - Target'!$D128,'Input - Target'!$B$2:$B$200,0)),"")</f>
        <v>0</v>
      </c>
      <c r="K128" s="21">
        <f>IFERROR(INDEX('Input - Target'!I$2:I$200,MATCH('Calculations - Target'!$D128,'Input - Target'!$B$2:$B$200,0)),"")</f>
        <v>0</v>
      </c>
      <c r="L128" s="21">
        <f>IFERROR(INDEX('Input - Target'!J$2:J$200,MATCH('Calculations - Target'!$D128,'Input - Target'!$B$2:$B$200,0)),"")</f>
        <v>0</v>
      </c>
      <c r="M128" s="20">
        <f>IFERROR(INDEX('Input - Target'!K$2:K$200,MATCH('Calculations - Target'!$D128,'Input - Target'!$B$2:$B$200,0)),"")</f>
        <v>0</v>
      </c>
      <c r="N128" s="20">
        <f>IFERROR(INDEX('Input - Target'!L$2:L$200,MATCH('Calculations - Target'!$D128,'Input - Target'!$B$2:$B$200,0)),"")</f>
        <v>0</v>
      </c>
      <c r="O128" s="21" t="str">
        <f t="shared" si="102"/>
        <v/>
      </c>
      <c r="P128" s="21" t="str">
        <f t="shared" si="86"/>
        <v/>
      </c>
      <c r="Q128" s="21">
        <f t="shared" si="103"/>
        <v>0</v>
      </c>
      <c r="R128" s="9">
        <f t="shared" ref="R128:R191" si="121">I128/SUM(I$32:I$229)</f>
        <v>0</v>
      </c>
      <c r="S128" s="9">
        <f t="shared" ref="S128:S191" si="122">J128/SUM(J$32:J$229)</f>
        <v>0</v>
      </c>
      <c r="T128" s="22" t="str">
        <f>IFERROR(INDEX(Target!$S$11:$S$167,MATCH('Calculations - Target'!$D128,Target!$N$11:$N$167,0)),"")</f>
        <v/>
      </c>
      <c r="U128" s="22" t="str">
        <f>IFERROR(INDEX(Target!$T$11:$T$167,MATCH('Calculations - Target'!$D128,Target!$N$11:$N$167,0)),"")</f>
        <v/>
      </c>
      <c r="V128" s="16" t="e">
        <f t="shared" si="87"/>
        <v>#VALUE!</v>
      </c>
      <c r="W128" s="16" t="e">
        <f t="shared" si="104"/>
        <v>#VALUE!</v>
      </c>
      <c r="X128" s="16" t="e">
        <f t="shared" si="105"/>
        <v>#VALUE!</v>
      </c>
      <c r="Y128" s="10" t="str">
        <f t="shared" si="88"/>
        <v>-</v>
      </c>
      <c r="Z128" s="10" t="str">
        <f t="shared" si="89"/>
        <v>-</v>
      </c>
      <c r="AA128" s="13" t="str">
        <f t="shared" si="106"/>
        <v>-</v>
      </c>
      <c r="AB128" s="9" t="str">
        <f t="shared" si="90"/>
        <v>-</v>
      </c>
      <c r="AC128" s="16" t="str">
        <f t="shared" si="107"/>
        <v>-</v>
      </c>
      <c r="AD128" s="16" t="str">
        <f t="shared" si="91"/>
        <v>-</v>
      </c>
      <c r="AE128" s="16" t="str">
        <f t="shared" si="92"/>
        <v>-</v>
      </c>
      <c r="AF128" s="16" t="str">
        <f t="shared" si="108"/>
        <v>-</v>
      </c>
      <c r="AG128" s="16"/>
      <c r="AH128" s="32" t="str">
        <f>IFERROR(INDEX(Target!$R$11:$R$167,MATCH('Calculations - Target'!D128,Target!$N$11:$N$167,0)),"")</f>
        <v/>
      </c>
      <c r="AI128" s="23" t="str">
        <f t="shared" si="109"/>
        <v/>
      </c>
      <c r="AJ128" s="23" t="str">
        <f t="shared" si="110"/>
        <v/>
      </c>
      <c r="AK128" s="9" t="str">
        <f t="shared" si="93"/>
        <v/>
      </c>
      <c r="AL128" s="4" t="str">
        <f t="shared" si="94"/>
        <v/>
      </c>
      <c r="AM128" s="4"/>
      <c r="AN128" s="4"/>
      <c r="AO128" s="4"/>
      <c r="AP128" s="4"/>
      <c r="AQ128" s="4"/>
      <c r="AR128" s="20" t="str">
        <f t="shared" si="95"/>
        <v>-</v>
      </c>
      <c r="AS128" s="13" t="str">
        <f t="shared" si="111"/>
        <v>-</v>
      </c>
      <c r="AT128" s="13" t="str">
        <f t="shared" si="112"/>
        <v>-</v>
      </c>
      <c r="AU128" s="13" t="str">
        <f t="shared" si="96"/>
        <v>-</v>
      </c>
      <c r="AV128" s="16" t="str">
        <f t="shared" si="113"/>
        <v>-</v>
      </c>
      <c r="AW128" s="16" t="str">
        <f t="shared" si="97"/>
        <v>-</v>
      </c>
      <c r="AX128" s="16" t="str">
        <f t="shared" si="98"/>
        <v>-</v>
      </c>
      <c r="AY128" s="16" t="str">
        <f t="shared" si="114"/>
        <v>-</v>
      </c>
      <c r="AZ128" s="13" t="str">
        <f t="shared" si="115"/>
        <v>-</v>
      </c>
      <c r="BA128" s="10" t="str">
        <f t="shared" si="116"/>
        <v>-</v>
      </c>
      <c r="BB128" s="9" t="str">
        <f t="shared" si="117"/>
        <v>-</v>
      </c>
      <c r="BC128" s="13" t="str">
        <f t="shared" si="118"/>
        <v>-</v>
      </c>
      <c r="BD128" s="10" t="str">
        <f t="shared" si="119"/>
        <v>-</v>
      </c>
      <c r="BE128" s="13" t="str">
        <f t="shared" si="120"/>
        <v>-</v>
      </c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</row>
    <row r="129" spans="2:70" x14ac:dyDescent="0.3">
      <c r="B129" s="96" t="str">
        <f t="shared" si="99"/>
        <v/>
      </c>
      <c r="C129" s="96" t="str">
        <f t="shared" si="100"/>
        <v/>
      </c>
      <c r="D129" s="96" t="str">
        <f t="shared" si="101"/>
        <v/>
      </c>
      <c r="E129" s="3"/>
      <c r="F129" s="3"/>
      <c r="G129" s="3"/>
      <c r="H129" s="3"/>
      <c r="I129" s="20">
        <f>IFERROR(INDEX('Input - Target'!G$2:G$200,MATCH('Calculations - Target'!$D129,'Input - Target'!$B$2:$B$200,0)),"")</f>
        <v>0</v>
      </c>
      <c r="J129" s="20">
        <f>IFERROR(INDEX('Input - Target'!H$2:H$200,MATCH('Calculations - Target'!$D129,'Input - Target'!$B$2:$B$200,0)),"")</f>
        <v>0</v>
      </c>
      <c r="K129" s="21">
        <f>IFERROR(INDEX('Input - Target'!I$2:I$200,MATCH('Calculations - Target'!$D129,'Input - Target'!$B$2:$B$200,0)),"")</f>
        <v>0</v>
      </c>
      <c r="L129" s="21">
        <f>IFERROR(INDEX('Input - Target'!J$2:J$200,MATCH('Calculations - Target'!$D129,'Input - Target'!$B$2:$B$200,0)),"")</f>
        <v>0</v>
      </c>
      <c r="M129" s="20">
        <f>IFERROR(INDEX('Input - Target'!K$2:K$200,MATCH('Calculations - Target'!$D129,'Input - Target'!$B$2:$B$200,0)),"")</f>
        <v>0</v>
      </c>
      <c r="N129" s="20">
        <f>IFERROR(INDEX('Input - Target'!L$2:L$200,MATCH('Calculations - Target'!$D129,'Input - Target'!$B$2:$B$200,0)),"")</f>
        <v>0</v>
      </c>
      <c r="O129" s="21" t="str">
        <f t="shared" si="102"/>
        <v/>
      </c>
      <c r="P129" s="21" t="str">
        <f t="shared" si="86"/>
        <v/>
      </c>
      <c r="Q129" s="21">
        <f t="shared" si="103"/>
        <v>0</v>
      </c>
      <c r="R129" s="9">
        <f t="shared" si="121"/>
        <v>0</v>
      </c>
      <c r="S129" s="9">
        <f t="shared" si="122"/>
        <v>0</v>
      </c>
      <c r="T129" s="22" t="str">
        <f>IFERROR(INDEX(Target!$S$11:$S$167,MATCH('Calculations - Target'!$D129,Target!$N$11:$N$167,0)),"")</f>
        <v/>
      </c>
      <c r="U129" s="22" t="str">
        <f>IFERROR(INDEX(Target!$T$11:$T$167,MATCH('Calculations - Target'!$D129,Target!$N$11:$N$167,0)),"")</f>
        <v/>
      </c>
      <c r="V129" s="16" t="e">
        <f t="shared" si="87"/>
        <v>#VALUE!</v>
      </c>
      <c r="W129" s="16" t="e">
        <f t="shared" si="104"/>
        <v>#VALUE!</v>
      </c>
      <c r="X129" s="16" t="e">
        <f t="shared" si="105"/>
        <v>#VALUE!</v>
      </c>
      <c r="Y129" s="10" t="str">
        <f t="shared" si="88"/>
        <v>-</v>
      </c>
      <c r="Z129" s="10" t="str">
        <f t="shared" si="89"/>
        <v>-</v>
      </c>
      <c r="AA129" s="13" t="str">
        <f t="shared" si="106"/>
        <v>-</v>
      </c>
      <c r="AB129" s="9" t="str">
        <f t="shared" si="90"/>
        <v>-</v>
      </c>
      <c r="AC129" s="16" t="str">
        <f t="shared" si="107"/>
        <v>-</v>
      </c>
      <c r="AD129" s="16" t="str">
        <f t="shared" si="91"/>
        <v>-</v>
      </c>
      <c r="AE129" s="16" t="str">
        <f t="shared" si="92"/>
        <v>-</v>
      </c>
      <c r="AF129" s="16" t="str">
        <f t="shared" si="108"/>
        <v>-</v>
      </c>
      <c r="AG129" s="16"/>
      <c r="AH129" s="32" t="str">
        <f>IFERROR(INDEX(Target!$R$11:$R$167,MATCH('Calculations - Target'!D129,Target!$N$11:$N$167,0)),"")</f>
        <v/>
      </c>
      <c r="AI129" s="23" t="str">
        <f t="shared" si="109"/>
        <v/>
      </c>
      <c r="AJ129" s="23" t="str">
        <f t="shared" si="110"/>
        <v/>
      </c>
      <c r="AK129" s="9" t="str">
        <f t="shared" si="93"/>
        <v/>
      </c>
      <c r="AL129" s="4" t="str">
        <f t="shared" si="94"/>
        <v/>
      </c>
      <c r="AM129" s="4"/>
      <c r="AN129" s="4"/>
      <c r="AO129" s="4"/>
      <c r="AP129" s="4"/>
      <c r="AQ129" s="4"/>
      <c r="AR129" s="20" t="str">
        <f t="shared" si="95"/>
        <v>-</v>
      </c>
      <c r="AS129" s="13" t="str">
        <f t="shared" si="111"/>
        <v>-</v>
      </c>
      <c r="AT129" s="13" t="str">
        <f t="shared" si="112"/>
        <v>-</v>
      </c>
      <c r="AU129" s="13" t="str">
        <f t="shared" si="96"/>
        <v>-</v>
      </c>
      <c r="AV129" s="16" t="str">
        <f t="shared" si="113"/>
        <v>-</v>
      </c>
      <c r="AW129" s="16" t="str">
        <f t="shared" si="97"/>
        <v>-</v>
      </c>
      <c r="AX129" s="16" t="str">
        <f t="shared" si="98"/>
        <v>-</v>
      </c>
      <c r="AY129" s="16" t="str">
        <f t="shared" si="114"/>
        <v>-</v>
      </c>
      <c r="AZ129" s="13" t="str">
        <f t="shared" si="115"/>
        <v>-</v>
      </c>
      <c r="BA129" s="10" t="str">
        <f t="shared" si="116"/>
        <v>-</v>
      </c>
      <c r="BB129" s="9" t="str">
        <f t="shared" si="117"/>
        <v>-</v>
      </c>
      <c r="BC129" s="13" t="str">
        <f t="shared" si="118"/>
        <v>-</v>
      </c>
      <c r="BD129" s="10" t="str">
        <f t="shared" si="119"/>
        <v>-</v>
      </c>
      <c r="BE129" s="13" t="str">
        <f t="shared" si="120"/>
        <v>-</v>
      </c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</row>
    <row r="130" spans="2:70" x14ac:dyDescent="0.3">
      <c r="B130" s="96" t="str">
        <f t="shared" si="99"/>
        <v/>
      </c>
      <c r="C130" s="96" t="str">
        <f t="shared" si="100"/>
        <v/>
      </c>
      <c r="D130" s="96" t="str">
        <f t="shared" si="101"/>
        <v/>
      </c>
      <c r="E130" s="3"/>
      <c r="F130" s="3"/>
      <c r="G130" s="3"/>
      <c r="H130" s="3"/>
      <c r="I130" s="20">
        <f>IFERROR(INDEX('Input - Target'!G$2:G$200,MATCH('Calculations - Target'!$D130,'Input - Target'!$B$2:$B$200,0)),"")</f>
        <v>0</v>
      </c>
      <c r="J130" s="20">
        <f>IFERROR(INDEX('Input - Target'!H$2:H$200,MATCH('Calculations - Target'!$D130,'Input - Target'!$B$2:$B$200,0)),"")</f>
        <v>0</v>
      </c>
      <c r="K130" s="21">
        <f>IFERROR(INDEX('Input - Target'!I$2:I$200,MATCH('Calculations - Target'!$D130,'Input - Target'!$B$2:$B$200,0)),"")</f>
        <v>0</v>
      </c>
      <c r="L130" s="21">
        <f>IFERROR(INDEX('Input - Target'!J$2:J$200,MATCH('Calculations - Target'!$D130,'Input - Target'!$B$2:$B$200,0)),"")</f>
        <v>0</v>
      </c>
      <c r="M130" s="20">
        <f>IFERROR(INDEX('Input - Target'!K$2:K$200,MATCH('Calculations - Target'!$D130,'Input - Target'!$B$2:$B$200,0)),"")</f>
        <v>0</v>
      </c>
      <c r="N130" s="20">
        <f>IFERROR(INDEX('Input - Target'!L$2:L$200,MATCH('Calculations - Target'!$D130,'Input - Target'!$B$2:$B$200,0)),"")</f>
        <v>0</v>
      </c>
      <c r="O130" s="21" t="str">
        <f t="shared" si="102"/>
        <v/>
      </c>
      <c r="P130" s="21" t="str">
        <f t="shared" si="86"/>
        <v/>
      </c>
      <c r="Q130" s="21">
        <f t="shared" si="103"/>
        <v>0</v>
      </c>
      <c r="R130" s="9">
        <f t="shared" si="121"/>
        <v>0</v>
      </c>
      <c r="S130" s="9">
        <f t="shared" si="122"/>
        <v>0</v>
      </c>
      <c r="T130" s="22" t="str">
        <f>IFERROR(INDEX(Target!$S$11:$S$167,MATCH('Calculations - Target'!$D130,Target!$N$11:$N$167,0)),"")</f>
        <v/>
      </c>
      <c r="U130" s="22" t="str">
        <f>IFERROR(INDEX(Target!$T$11:$T$167,MATCH('Calculations - Target'!$D130,Target!$N$11:$N$167,0)),"")</f>
        <v/>
      </c>
      <c r="V130" s="16" t="e">
        <f t="shared" si="87"/>
        <v>#VALUE!</v>
      </c>
      <c r="W130" s="16" t="e">
        <f t="shared" si="104"/>
        <v>#VALUE!</v>
      </c>
      <c r="X130" s="16" t="e">
        <f t="shared" si="105"/>
        <v>#VALUE!</v>
      </c>
      <c r="Y130" s="10" t="str">
        <f t="shared" si="88"/>
        <v>-</v>
      </c>
      <c r="Z130" s="10" t="str">
        <f t="shared" si="89"/>
        <v>-</v>
      </c>
      <c r="AA130" s="13" t="str">
        <f t="shared" si="106"/>
        <v>-</v>
      </c>
      <c r="AB130" s="9" t="str">
        <f t="shared" si="90"/>
        <v>-</v>
      </c>
      <c r="AC130" s="16" t="str">
        <f t="shared" si="107"/>
        <v>-</v>
      </c>
      <c r="AD130" s="16" t="str">
        <f t="shared" si="91"/>
        <v>-</v>
      </c>
      <c r="AE130" s="16" t="str">
        <f t="shared" si="92"/>
        <v>-</v>
      </c>
      <c r="AF130" s="16" t="str">
        <f t="shared" si="108"/>
        <v>-</v>
      </c>
      <c r="AG130" s="16"/>
      <c r="AH130" s="32" t="str">
        <f>IFERROR(INDEX(Target!$R$11:$R$167,MATCH('Calculations - Target'!D130,Target!$N$11:$N$167,0)),"")</f>
        <v/>
      </c>
      <c r="AI130" s="23" t="str">
        <f t="shared" si="109"/>
        <v/>
      </c>
      <c r="AJ130" s="23" t="str">
        <f t="shared" si="110"/>
        <v/>
      </c>
      <c r="AK130" s="9" t="str">
        <f t="shared" si="93"/>
        <v/>
      </c>
      <c r="AL130" s="4" t="str">
        <f t="shared" si="94"/>
        <v/>
      </c>
      <c r="AM130" s="4"/>
      <c r="AN130" s="4"/>
      <c r="AO130" s="4"/>
      <c r="AP130" s="4"/>
      <c r="AQ130" s="4"/>
      <c r="AR130" s="20" t="str">
        <f t="shared" si="95"/>
        <v>-</v>
      </c>
      <c r="AS130" s="13" t="str">
        <f t="shared" si="111"/>
        <v>-</v>
      </c>
      <c r="AT130" s="13" t="str">
        <f t="shared" si="112"/>
        <v>-</v>
      </c>
      <c r="AU130" s="13" t="str">
        <f t="shared" si="96"/>
        <v>-</v>
      </c>
      <c r="AV130" s="16" t="str">
        <f t="shared" si="113"/>
        <v>-</v>
      </c>
      <c r="AW130" s="16" t="str">
        <f t="shared" si="97"/>
        <v>-</v>
      </c>
      <c r="AX130" s="16" t="str">
        <f t="shared" si="98"/>
        <v>-</v>
      </c>
      <c r="AY130" s="16" t="str">
        <f t="shared" si="114"/>
        <v>-</v>
      </c>
      <c r="AZ130" s="13" t="str">
        <f t="shared" si="115"/>
        <v>-</v>
      </c>
      <c r="BA130" s="10" t="str">
        <f t="shared" si="116"/>
        <v>-</v>
      </c>
      <c r="BB130" s="9" t="str">
        <f t="shared" si="117"/>
        <v>-</v>
      </c>
      <c r="BC130" s="13" t="str">
        <f t="shared" si="118"/>
        <v>-</v>
      </c>
      <c r="BD130" s="10" t="str">
        <f t="shared" si="119"/>
        <v>-</v>
      </c>
      <c r="BE130" s="13" t="str">
        <f t="shared" si="120"/>
        <v>-</v>
      </c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</row>
    <row r="131" spans="2:70" x14ac:dyDescent="0.3">
      <c r="B131" s="96" t="str">
        <f t="shared" si="99"/>
        <v/>
      </c>
      <c r="C131" s="96" t="str">
        <f t="shared" si="100"/>
        <v/>
      </c>
      <c r="D131" s="96" t="str">
        <f t="shared" si="101"/>
        <v/>
      </c>
      <c r="E131" s="3"/>
      <c r="F131" s="3"/>
      <c r="G131" s="3"/>
      <c r="H131" s="3"/>
      <c r="I131" s="20">
        <f>IFERROR(INDEX('Input - Target'!G$2:G$200,MATCH('Calculations - Target'!$D131,'Input - Target'!$B$2:$B$200,0)),"")</f>
        <v>0</v>
      </c>
      <c r="J131" s="20">
        <f>IFERROR(INDEX('Input - Target'!H$2:H$200,MATCH('Calculations - Target'!$D131,'Input - Target'!$B$2:$B$200,0)),"")</f>
        <v>0</v>
      </c>
      <c r="K131" s="21">
        <f>IFERROR(INDEX('Input - Target'!I$2:I$200,MATCH('Calculations - Target'!$D131,'Input - Target'!$B$2:$B$200,0)),"")</f>
        <v>0</v>
      </c>
      <c r="L131" s="21">
        <f>IFERROR(INDEX('Input - Target'!J$2:J$200,MATCH('Calculations - Target'!$D131,'Input - Target'!$B$2:$B$200,0)),"")</f>
        <v>0</v>
      </c>
      <c r="M131" s="20">
        <f>IFERROR(INDEX('Input - Target'!K$2:K$200,MATCH('Calculations - Target'!$D131,'Input - Target'!$B$2:$B$200,0)),"")</f>
        <v>0</v>
      </c>
      <c r="N131" s="20">
        <f>IFERROR(INDEX('Input - Target'!L$2:L$200,MATCH('Calculations - Target'!$D131,'Input - Target'!$B$2:$B$200,0)),"")</f>
        <v>0</v>
      </c>
      <c r="O131" s="21" t="str">
        <f t="shared" si="102"/>
        <v/>
      </c>
      <c r="P131" s="21" t="str">
        <f t="shared" si="86"/>
        <v/>
      </c>
      <c r="Q131" s="21">
        <f t="shared" si="103"/>
        <v>0</v>
      </c>
      <c r="R131" s="9">
        <f t="shared" si="121"/>
        <v>0</v>
      </c>
      <c r="S131" s="9">
        <f t="shared" si="122"/>
        <v>0</v>
      </c>
      <c r="T131" s="22" t="str">
        <f>IFERROR(INDEX(Target!$S$11:$S$167,MATCH('Calculations - Target'!$D131,Target!$N$11:$N$167,0)),"")</f>
        <v/>
      </c>
      <c r="U131" s="22" t="str">
        <f>IFERROR(INDEX(Target!$T$11:$T$167,MATCH('Calculations - Target'!$D131,Target!$N$11:$N$167,0)),"")</f>
        <v/>
      </c>
      <c r="V131" s="16" t="e">
        <f t="shared" si="87"/>
        <v>#VALUE!</v>
      </c>
      <c r="W131" s="16" t="e">
        <f t="shared" si="104"/>
        <v>#VALUE!</v>
      </c>
      <c r="X131" s="16" t="e">
        <f t="shared" si="105"/>
        <v>#VALUE!</v>
      </c>
      <c r="Y131" s="10" t="str">
        <f t="shared" si="88"/>
        <v>-</v>
      </c>
      <c r="Z131" s="10" t="str">
        <f t="shared" si="89"/>
        <v>-</v>
      </c>
      <c r="AA131" s="13" t="str">
        <f t="shared" si="106"/>
        <v>-</v>
      </c>
      <c r="AB131" s="9" t="str">
        <f t="shared" si="90"/>
        <v>-</v>
      </c>
      <c r="AC131" s="16" t="str">
        <f t="shared" si="107"/>
        <v>-</v>
      </c>
      <c r="AD131" s="16" t="str">
        <f t="shared" si="91"/>
        <v>-</v>
      </c>
      <c r="AE131" s="16" t="str">
        <f t="shared" si="92"/>
        <v>-</v>
      </c>
      <c r="AF131" s="16" t="str">
        <f t="shared" si="108"/>
        <v>-</v>
      </c>
      <c r="AG131" s="16"/>
      <c r="AH131" s="32" t="str">
        <f>IFERROR(INDEX(Target!$R$11:$R$167,MATCH('Calculations - Target'!D131,Target!$N$11:$N$167,0)),"")</f>
        <v/>
      </c>
      <c r="AI131" s="23" t="str">
        <f t="shared" si="109"/>
        <v/>
      </c>
      <c r="AJ131" s="23" t="str">
        <f t="shared" si="110"/>
        <v/>
      </c>
      <c r="AK131" s="9" t="str">
        <f t="shared" si="93"/>
        <v/>
      </c>
      <c r="AL131" s="4" t="str">
        <f t="shared" si="94"/>
        <v/>
      </c>
      <c r="AM131" s="4"/>
      <c r="AN131" s="4"/>
      <c r="AO131" s="4"/>
      <c r="AP131" s="4"/>
      <c r="AQ131" s="4"/>
      <c r="AR131" s="20" t="str">
        <f t="shared" si="95"/>
        <v>-</v>
      </c>
      <c r="AS131" s="13" t="str">
        <f t="shared" si="111"/>
        <v>-</v>
      </c>
      <c r="AT131" s="13" t="str">
        <f t="shared" si="112"/>
        <v>-</v>
      </c>
      <c r="AU131" s="13" t="str">
        <f t="shared" si="96"/>
        <v>-</v>
      </c>
      <c r="AV131" s="16" t="str">
        <f t="shared" si="113"/>
        <v>-</v>
      </c>
      <c r="AW131" s="16" t="str">
        <f t="shared" si="97"/>
        <v>-</v>
      </c>
      <c r="AX131" s="16" t="str">
        <f t="shared" si="98"/>
        <v>-</v>
      </c>
      <c r="AY131" s="16" t="str">
        <f t="shared" si="114"/>
        <v>-</v>
      </c>
      <c r="AZ131" s="13" t="str">
        <f t="shared" si="115"/>
        <v>-</v>
      </c>
      <c r="BA131" s="10" t="str">
        <f t="shared" si="116"/>
        <v>-</v>
      </c>
      <c r="BB131" s="9" t="str">
        <f t="shared" si="117"/>
        <v>-</v>
      </c>
      <c r="BC131" s="13" t="str">
        <f t="shared" si="118"/>
        <v>-</v>
      </c>
      <c r="BD131" s="10" t="str">
        <f t="shared" si="119"/>
        <v>-</v>
      </c>
      <c r="BE131" s="13" t="str">
        <f t="shared" si="120"/>
        <v>-</v>
      </c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</row>
    <row r="132" spans="2:70" x14ac:dyDescent="0.3">
      <c r="B132" s="96" t="str">
        <f t="shared" si="99"/>
        <v/>
      </c>
      <c r="C132" s="96" t="str">
        <f t="shared" si="100"/>
        <v/>
      </c>
      <c r="D132" s="96" t="str">
        <f t="shared" si="101"/>
        <v/>
      </c>
      <c r="E132" s="3"/>
      <c r="F132" s="3"/>
      <c r="G132" s="3"/>
      <c r="H132" s="3"/>
      <c r="I132" s="20">
        <f>IFERROR(INDEX('Input - Target'!G$2:G$200,MATCH('Calculations - Target'!$D132,'Input - Target'!$B$2:$B$200,0)),"")</f>
        <v>0</v>
      </c>
      <c r="J132" s="20">
        <f>IFERROR(INDEX('Input - Target'!H$2:H$200,MATCH('Calculations - Target'!$D132,'Input - Target'!$B$2:$B$200,0)),"")</f>
        <v>0</v>
      </c>
      <c r="K132" s="21">
        <f>IFERROR(INDEX('Input - Target'!I$2:I$200,MATCH('Calculations - Target'!$D132,'Input - Target'!$B$2:$B$200,0)),"")</f>
        <v>0</v>
      </c>
      <c r="L132" s="21">
        <f>IFERROR(INDEX('Input - Target'!J$2:J$200,MATCH('Calculations - Target'!$D132,'Input - Target'!$B$2:$B$200,0)),"")</f>
        <v>0</v>
      </c>
      <c r="M132" s="20">
        <f>IFERROR(INDEX('Input - Target'!K$2:K$200,MATCH('Calculations - Target'!$D132,'Input - Target'!$B$2:$B$200,0)),"")</f>
        <v>0</v>
      </c>
      <c r="N132" s="20">
        <f>IFERROR(INDEX('Input - Target'!L$2:L$200,MATCH('Calculations - Target'!$D132,'Input - Target'!$B$2:$B$200,0)),"")</f>
        <v>0</v>
      </c>
      <c r="O132" s="21" t="str">
        <f t="shared" si="102"/>
        <v/>
      </c>
      <c r="P132" s="21" t="str">
        <f t="shared" si="86"/>
        <v/>
      </c>
      <c r="Q132" s="21">
        <f t="shared" si="103"/>
        <v>0</v>
      </c>
      <c r="R132" s="9">
        <f t="shared" si="121"/>
        <v>0</v>
      </c>
      <c r="S132" s="9">
        <f t="shared" si="122"/>
        <v>0</v>
      </c>
      <c r="T132" s="22" t="str">
        <f>IFERROR(INDEX(Target!$S$11:$S$167,MATCH('Calculations - Target'!$D132,Target!$N$11:$N$167,0)),"")</f>
        <v/>
      </c>
      <c r="U132" s="22" t="str">
        <f>IFERROR(INDEX(Target!$T$11:$T$167,MATCH('Calculations - Target'!$D132,Target!$N$11:$N$167,0)),"")</f>
        <v/>
      </c>
      <c r="V132" s="16" t="e">
        <f t="shared" si="87"/>
        <v>#VALUE!</v>
      </c>
      <c r="W132" s="16" t="e">
        <f t="shared" si="104"/>
        <v>#VALUE!</v>
      </c>
      <c r="X132" s="16" t="e">
        <f t="shared" si="105"/>
        <v>#VALUE!</v>
      </c>
      <c r="Y132" s="10" t="str">
        <f t="shared" si="88"/>
        <v>-</v>
      </c>
      <c r="Z132" s="10" t="str">
        <f t="shared" si="89"/>
        <v>-</v>
      </c>
      <c r="AA132" s="13" t="str">
        <f t="shared" si="106"/>
        <v>-</v>
      </c>
      <c r="AB132" s="9" t="str">
        <f t="shared" si="90"/>
        <v>-</v>
      </c>
      <c r="AC132" s="16" t="str">
        <f t="shared" si="107"/>
        <v>-</v>
      </c>
      <c r="AD132" s="16" t="str">
        <f t="shared" si="91"/>
        <v>-</v>
      </c>
      <c r="AE132" s="16" t="str">
        <f t="shared" si="92"/>
        <v>-</v>
      </c>
      <c r="AF132" s="16" t="str">
        <f t="shared" si="108"/>
        <v>-</v>
      </c>
      <c r="AG132" s="16"/>
      <c r="AH132" s="32" t="str">
        <f>IFERROR(INDEX(Target!$R$11:$R$167,MATCH('Calculations - Target'!D132,Target!$N$11:$N$167,0)),"")</f>
        <v/>
      </c>
      <c r="AI132" s="23" t="str">
        <f t="shared" si="109"/>
        <v/>
      </c>
      <c r="AJ132" s="23" t="str">
        <f t="shared" si="110"/>
        <v/>
      </c>
      <c r="AK132" s="9" t="str">
        <f t="shared" si="93"/>
        <v/>
      </c>
      <c r="AL132" s="4" t="str">
        <f t="shared" si="94"/>
        <v/>
      </c>
      <c r="AM132" s="4"/>
      <c r="AN132" s="4"/>
      <c r="AO132" s="4"/>
      <c r="AP132" s="4"/>
      <c r="AQ132" s="4"/>
      <c r="AR132" s="20" t="str">
        <f t="shared" si="95"/>
        <v>-</v>
      </c>
      <c r="AS132" s="13" t="str">
        <f t="shared" si="111"/>
        <v>-</v>
      </c>
      <c r="AT132" s="13" t="str">
        <f t="shared" si="112"/>
        <v>-</v>
      </c>
      <c r="AU132" s="13" t="str">
        <f t="shared" si="96"/>
        <v>-</v>
      </c>
      <c r="AV132" s="16" t="str">
        <f t="shared" si="113"/>
        <v>-</v>
      </c>
      <c r="AW132" s="16" t="str">
        <f t="shared" si="97"/>
        <v>-</v>
      </c>
      <c r="AX132" s="16" t="str">
        <f t="shared" si="98"/>
        <v>-</v>
      </c>
      <c r="AY132" s="16" t="str">
        <f t="shared" si="114"/>
        <v>-</v>
      </c>
      <c r="AZ132" s="13" t="str">
        <f t="shared" si="115"/>
        <v>-</v>
      </c>
      <c r="BA132" s="10" t="str">
        <f t="shared" si="116"/>
        <v>-</v>
      </c>
      <c r="BB132" s="9" t="str">
        <f t="shared" si="117"/>
        <v>-</v>
      </c>
      <c r="BC132" s="13" t="str">
        <f t="shared" si="118"/>
        <v>-</v>
      </c>
      <c r="BD132" s="10" t="str">
        <f t="shared" si="119"/>
        <v>-</v>
      </c>
      <c r="BE132" s="13" t="str">
        <f t="shared" si="120"/>
        <v>-</v>
      </c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</row>
    <row r="133" spans="2:70" x14ac:dyDescent="0.3">
      <c r="B133" s="96" t="str">
        <f t="shared" si="99"/>
        <v/>
      </c>
      <c r="C133" s="96" t="str">
        <f t="shared" si="100"/>
        <v/>
      </c>
      <c r="D133" s="96" t="str">
        <f t="shared" si="101"/>
        <v/>
      </c>
      <c r="E133" s="3"/>
      <c r="F133" s="3"/>
      <c r="G133" s="3"/>
      <c r="H133" s="3"/>
      <c r="I133" s="20">
        <f>IFERROR(INDEX('Input - Target'!G$2:G$200,MATCH('Calculations - Target'!$D133,'Input - Target'!$B$2:$B$200,0)),"")</f>
        <v>0</v>
      </c>
      <c r="J133" s="20">
        <f>IFERROR(INDEX('Input - Target'!H$2:H$200,MATCH('Calculations - Target'!$D133,'Input - Target'!$B$2:$B$200,0)),"")</f>
        <v>0</v>
      </c>
      <c r="K133" s="21">
        <f>IFERROR(INDEX('Input - Target'!I$2:I$200,MATCH('Calculations - Target'!$D133,'Input - Target'!$B$2:$B$200,0)),"")</f>
        <v>0</v>
      </c>
      <c r="L133" s="21">
        <f>IFERROR(INDEX('Input - Target'!J$2:J$200,MATCH('Calculations - Target'!$D133,'Input - Target'!$B$2:$B$200,0)),"")</f>
        <v>0</v>
      </c>
      <c r="M133" s="20">
        <f>IFERROR(INDEX('Input - Target'!K$2:K$200,MATCH('Calculations - Target'!$D133,'Input - Target'!$B$2:$B$200,0)),"")</f>
        <v>0</v>
      </c>
      <c r="N133" s="20">
        <f>IFERROR(INDEX('Input - Target'!L$2:L$200,MATCH('Calculations - Target'!$D133,'Input - Target'!$B$2:$B$200,0)),"")</f>
        <v>0</v>
      </c>
      <c r="O133" s="21" t="str">
        <f t="shared" si="102"/>
        <v/>
      </c>
      <c r="P133" s="21" t="str">
        <f t="shared" si="86"/>
        <v/>
      </c>
      <c r="Q133" s="21">
        <f t="shared" si="103"/>
        <v>0</v>
      </c>
      <c r="R133" s="9">
        <f t="shared" si="121"/>
        <v>0</v>
      </c>
      <c r="S133" s="9">
        <f t="shared" si="122"/>
        <v>0</v>
      </c>
      <c r="T133" s="22" t="str">
        <f>IFERROR(INDEX(Target!$S$11:$S$167,MATCH('Calculations - Target'!$D133,Target!$N$11:$N$167,0)),"")</f>
        <v/>
      </c>
      <c r="U133" s="22" t="str">
        <f>IFERROR(INDEX(Target!$T$11:$T$167,MATCH('Calculations - Target'!$D133,Target!$N$11:$N$167,0)),"")</f>
        <v/>
      </c>
      <c r="V133" s="16" t="e">
        <f t="shared" si="87"/>
        <v>#VALUE!</v>
      </c>
      <c r="W133" s="16" t="e">
        <f t="shared" si="104"/>
        <v>#VALUE!</v>
      </c>
      <c r="X133" s="16" t="e">
        <f t="shared" si="105"/>
        <v>#VALUE!</v>
      </c>
      <c r="Y133" s="10" t="str">
        <f t="shared" si="88"/>
        <v>-</v>
      </c>
      <c r="Z133" s="10" t="str">
        <f t="shared" si="89"/>
        <v>-</v>
      </c>
      <c r="AA133" s="13" t="str">
        <f t="shared" si="106"/>
        <v>-</v>
      </c>
      <c r="AB133" s="9" t="str">
        <f t="shared" si="90"/>
        <v>-</v>
      </c>
      <c r="AC133" s="16" t="str">
        <f t="shared" si="107"/>
        <v>-</v>
      </c>
      <c r="AD133" s="16" t="str">
        <f t="shared" si="91"/>
        <v>-</v>
      </c>
      <c r="AE133" s="16" t="str">
        <f t="shared" si="92"/>
        <v>-</v>
      </c>
      <c r="AF133" s="16" t="str">
        <f t="shared" si="108"/>
        <v>-</v>
      </c>
      <c r="AG133" s="16"/>
      <c r="AH133" s="32" t="str">
        <f>IFERROR(INDEX(Target!$R$11:$R$167,MATCH('Calculations - Target'!D133,Target!$N$11:$N$167,0)),"")</f>
        <v/>
      </c>
      <c r="AI133" s="23" t="str">
        <f t="shared" si="109"/>
        <v/>
      </c>
      <c r="AJ133" s="23" t="str">
        <f t="shared" si="110"/>
        <v/>
      </c>
      <c r="AK133" s="9" t="str">
        <f t="shared" si="93"/>
        <v/>
      </c>
      <c r="AL133" s="4" t="str">
        <f t="shared" si="94"/>
        <v/>
      </c>
      <c r="AM133" s="4"/>
      <c r="AN133" s="4"/>
      <c r="AO133" s="4"/>
      <c r="AP133" s="4"/>
      <c r="AQ133" s="4"/>
      <c r="AR133" s="20" t="str">
        <f t="shared" si="95"/>
        <v>-</v>
      </c>
      <c r="AS133" s="13" t="str">
        <f t="shared" si="111"/>
        <v>-</v>
      </c>
      <c r="AT133" s="13" t="str">
        <f t="shared" si="112"/>
        <v>-</v>
      </c>
      <c r="AU133" s="13" t="str">
        <f t="shared" si="96"/>
        <v>-</v>
      </c>
      <c r="AV133" s="16" t="str">
        <f t="shared" si="113"/>
        <v>-</v>
      </c>
      <c r="AW133" s="16" t="str">
        <f t="shared" si="97"/>
        <v>-</v>
      </c>
      <c r="AX133" s="16" t="str">
        <f t="shared" si="98"/>
        <v>-</v>
      </c>
      <c r="AY133" s="16" t="str">
        <f t="shared" si="114"/>
        <v>-</v>
      </c>
      <c r="AZ133" s="13" t="str">
        <f t="shared" si="115"/>
        <v>-</v>
      </c>
      <c r="BA133" s="10" t="str">
        <f t="shared" si="116"/>
        <v>-</v>
      </c>
      <c r="BB133" s="9" t="str">
        <f t="shared" si="117"/>
        <v>-</v>
      </c>
      <c r="BC133" s="13" t="str">
        <f t="shared" si="118"/>
        <v>-</v>
      </c>
      <c r="BD133" s="10" t="str">
        <f t="shared" si="119"/>
        <v>-</v>
      </c>
      <c r="BE133" s="13" t="str">
        <f t="shared" si="120"/>
        <v>-</v>
      </c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</row>
    <row r="134" spans="2:70" x14ac:dyDescent="0.3">
      <c r="B134" s="96" t="str">
        <f t="shared" si="99"/>
        <v/>
      </c>
      <c r="C134" s="96" t="str">
        <f t="shared" si="100"/>
        <v/>
      </c>
      <c r="D134" s="96" t="str">
        <f t="shared" si="101"/>
        <v/>
      </c>
      <c r="E134" s="3"/>
      <c r="F134" s="3"/>
      <c r="G134" s="3"/>
      <c r="H134" s="3"/>
      <c r="I134" s="20">
        <f>IFERROR(INDEX('Input - Target'!G$2:G$200,MATCH('Calculations - Target'!$D134,'Input - Target'!$B$2:$B$200,0)),"")</f>
        <v>0</v>
      </c>
      <c r="J134" s="20">
        <f>IFERROR(INDEX('Input - Target'!H$2:H$200,MATCH('Calculations - Target'!$D134,'Input - Target'!$B$2:$B$200,0)),"")</f>
        <v>0</v>
      </c>
      <c r="K134" s="21">
        <f>IFERROR(INDEX('Input - Target'!I$2:I$200,MATCH('Calculations - Target'!$D134,'Input - Target'!$B$2:$B$200,0)),"")</f>
        <v>0</v>
      </c>
      <c r="L134" s="21">
        <f>IFERROR(INDEX('Input - Target'!J$2:J$200,MATCH('Calculations - Target'!$D134,'Input - Target'!$B$2:$B$200,0)),"")</f>
        <v>0</v>
      </c>
      <c r="M134" s="20">
        <f>IFERROR(INDEX('Input - Target'!K$2:K$200,MATCH('Calculations - Target'!$D134,'Input - Target'!$B$2:$B$200,0)),"")</f>
        <v>0</v>
      </c>
      <c r="N134" s="20">
        <f>IFERROR(INDEX('Input - Target'!L$2:L$200,MATCH('Calculations - Target'!$D134,'Input - Target'!$B$2:$B$200,0)),"")</f>
        <v>0</v>
      </c>
      <c r="O134" s="21" t="str">
        <f t="shared" si="102"/>
        <v/>
      </c>
      <c r="P134" s="21" t="str">
        <f t="shared" si="86"/>
        <v/>
      </c>
      <c r="Q134" s="21">
        <f t="shared" si="103"/>
        <v>0</v>
      </c>
      <c r="R134" s="9">
        <f t="shared" si="121"/>
        <v>0</v>
      </c>
      <c r="S134" s="9">
        <f t="shared" si="122"/>
        <v>0</v>
      </c>
      <c r="T134" s="22" t="str">
        <f>IFERROR(INDEX(Target!$S$11:$S$167,MATCH('Calculations - Target'!$D134,Target!$N$11:$N$167,0)),"")</f>
        <v/>
      </c>
      <c r="U134" s="22" t="str">
        <f>IFERROR(INDEX(Target!$T$11:$T$167,MATCH('Calculations - Target'!$D134,Target!$N$11:$N$167,0)),"")</f>
        <v/>
      </c>
      <c r="V134" s="16" t="e">
        <f t="shared" si="87"/>
        <v>#VALUE!</v>
      </c>
      <c r="W134" s="16" t="e">
        <f t="shared" si="104"/>
        <v>#VALUE!</v>
      </c>
      <c r="X134" s="16" t="e">
        <f t="shared" si="105"/>
        <v>#VALUE!</v>
      </c>
      <c r="Y134" s="10" t="str">
        <f t="shared" si="88"/>
        <v>-</v>
      </c>
      <c r="Z134" s="10" t="str">
        <f t="shared" si="89"/>
        <v>-</v>
      </c>
      <c r="AA134" s="13" t="str">
        <f t="shared" si="106"/>
        <v>-</v>
      </c>
      <c r="AB134" s="9" t="str">
        <f t="shared" si="90"/>
        <v>-</v>
      </c>
      <c r="AC134" s="16" t="str">
        <f t="shared" si="107"/>
        <v>-</v>
      </c>
      <c r="AD134" s="16" t="str">
        <f t="shared" si="91"/>
        <v>-</v>
      </c>
      <c r="AE134" s="16" t="str">
        <f t="shared" si="92"/>
        <v>-</v>
      </c>
      <c r="AF134" s="16" t="str">
        <f t="shared" si="108"/>
        <v>-</v>
      </c>
      <c r="AG134" s="16"/>
      <c r="AH134" s="32" t="str">
        <f>IFERROR(INDEX(Target!$R$11:$R$167,MATCH('Calculations - Target'!D134,Target!$N$11:$N$167,0)),"")</f>
        <v/>
      </c>
      <c r="AI134" s="23" t="str">
        <f t="shared" si="109"/>
        <v/>
      </c>
      <c r="AJ134" s="23" t="str">
        <f t="shared" si="110"/>
        <v/>
      </c>
      <c r="AK134" s="9" t="str">
        <f t="shared" si="93"/>
        <v/>
      </c>
      <c r="AL134" s="4" t="str">
        <f t="shared" si="94"/>
        <v/>
      </c>
      <c r="AM134" s="4"/>
      <c r="AN134" s="4"/>
      <c r="AO134" s="4"/>
      <c r="AP134" s="4"/>
      <c r="AQ134" s="4"/>
      <c r="AR134" s="20" t="str">
        <f t="shared" si="95"/>
        <v>-</v>
      </c>
      <c r="AS134" s="13" t="str">
        <f t="shared" si="111"/>
        <v>-</v>
      </c>
      <c r="AT134" s="13" t="str">
        <f t="shared" si="112"/>
        <v>-</v>
      </c>
      <c r="AU134" s="13" t="str">
        <f t="shared" si="96"/>
        <v>-</v>
      </c>
      <c r="AV134" s="16" t="str">
        <f t="shared" si="113"/>
        <v>-</v>
      </c>
      <c r="AW134" s="16" t="str">
        <f t="shared" si="97"/>
        <v>-</v>
      </c>
      <c r="AX134" s="16" t="str">
        <f t="shared" si="98"/>
        <v>-</v>
      </c>
      <c r="AY134" s="16" t="str">
        <f t="shared" si="114"/>
        <v>-</v>
      </c>
      <c r="AZ134" s="13" t="str">
        <f t="shared" si="115"/>
        <v>-</v>
      </c>
      <c r="BA134" s="10" t="str">
        <f t="shared" si="116"/>
        <v>-</v>
      </c>
      <c r="BB134" s="9" t="str">
        <f t="shared" si="117"/>
        <v>-</v>
      </c>
      <c r="BC134" s="13" t="str">
        <f t="shared" si="118"/>
        <v>-</v>
      </c>
      <c r="BD134" s="10" t="str">
        <f t="shared" si="119"/>
        <v>-</v>
      </c>
      <c r="BE134" s="13" t="str">
        <f t="shared" si="120"/>
        <v>-</v>
      </c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</row>
    <row r="135" spans="2:70" x14ac:dyDescent="0.3">
      <c r="B135" s="96" t="str">
        <f t="shared" si="99"/>
        <v/>
      </c>
      <c r="C135" s="96" t="str">
        <f t="shared" si="100"/>
        <v/>
      </c>
      <c r="D135" s="96" t="str">
        <f t="shared" si="101"/>
        <v/>
      </c>
      <c r="E135" s="3"/>
      <c r="F135" s="3"/>
      <c r="G135" s="3"/>
      <c r="H135" s="3"/>
      <c r="I135" s="20">
        <f>IFERROR(INDEX('Input - Target'!G$2:G$200,MATCH('Calculations - Target'!$D135,'Input - Target'!$B$2:$B$200,0)),"")</f>
        <v>0</v>
      </c>
      <c r="J135" s="20">
        <f>IFERROR(INDEX('Input - Target'!H$2:H$200,MATCH('Calculations - Target'!$D135,'Input - Target'!$B$2:$B$200,0)),"")</f>
        <v>0</v>
      </c>
      <c r="K135" s="21">
        <f>IFERROR(INDEX('Input - Target'!I$2:I$200,MATCH('Calculations - Target'!$D135,'Input - Target'!$B$2:$B$200,0)),"")</f>
        <v>0</v>
      </c>
      <c r="L135" s="21">
        <f>IFERROR(INDEX('Input - Target'!J$2:J$200,MATCH('Calculations - Target'!$D135,'Input - Target'!$B$2:$B$200,0)),"")</f>
        <v>0</v>
      </c>
      <c r="M135" s="20">
        <f>IFERROR(INDEX('Input - Target'!K$2:K$200,MATCH('Calculations - Target'!$D135,'Input - Target'!$B$2:$B$200,0)),"")</f>
        <v>0</v>
      </c>
      <c r="N135" s="20">
        <f>IFERROR(INDEX('Input - Target'!L$2:L$200,MATCH('Calculations - Target'!$D135,'Input - Target'!$B$2:$B$200,0)),"")</f>
        <v>0</v>
      </c>
      <c r="O135" s="21" t="str">
        <f t="shared" si="102"/>
        <v/>
      </c>
      <c r="P135" s="21" t="str">
        <f t="shared" si="86"/>
        <v/>
      </c>
      <c r="Q135" s="21">
        <f t="shared" si="103"/>
        <v>0</v>
      </c>
      <c r="R135" s="9">
        <f t="shared" si="121"/>
        <v>0</v>
      </c>
      <c r="S135" s="9">
        <f t="shared" si="122"/>
        <v>0</v>
      </c>
      <c r="T135" s="22" t="str">
        <f>IFERROR(INDEX(Target!$S$11:$S$167,MATCH('Calculations - Target'!$D135,Target!$N$11:$N$167,0)),"")</f>
        <v/>
      </c>
      <c r="U135" s="22" t="str">
        <f>IFERROR(INDEX(Target!$T$11:$T$167,MATCH('Calculations - Target'!$D135,Target!$N$11:$N$167,0)),"")</f>
        <v/>
      </c>
      <c r="V135" s="16" t="e">
        <f t="shared" si="87"/>
        <v>#VALUE!</v>
      </c>
      <c r="W135" s="16" t="e">
        <f t="shared" si="104"/>
        <v>#VALUE!</v>
      </c>
      <c r="X135" s="16" t="e">
        <f t="shared" si="105"/>
        <v>#VALUE!</v>
      </c>
      <c r="Y135" s="10" t="str">
        <f t="shared" si="88"/>
        <v>-</v>
      </c>
      <c r="Z135" s="10" t="str">
        <f t="shared" si="89"/>
        <v>-</v>
      </c>
      <c r="AA135" s="13" t="str">
        <f t="shared" si="106"/>
        <v>-</v>
      </c>
      <c r="AB135" s="9" t="str">
        <f t="shared" si="90"/>
        <v>-</v>
      </c>
      <c r="AC135" s="16" t="str">
        <f t="shared" si="107"/>
        <v>-</v>
      </c>
      <c r="AD135" s="16" t="str">
        <f t="shared" si="91"/>
        <v>-</v>
      </c>
      <c r="AE135" s="16" t="str">
        <f t="shared" si="92"/>
        <v>-</v>
      </c>
      <c r="AF135" s="16" t="str">
        <f t="shared" si="108"/>
        <v>-</v>
      </c>
      <c r="AG135" s="16"/>
      <c r="AH135" s="32" t="str">
        <f>IFERROR(INDEX(Target!$R$11:$R$167,MATCH('Calculations - Target'!D135,Target!$N$11:$N$167,0)),"")</f>
        <v/>
      </c>
      <c r="AI135" s="23" t="str">
        <f t="shared" si="109"/>
        <v/>
      </c>
      <c r="AJ135" s="23" t="str">
        <f t="shared" si="110"/>
        <v/>
      </c>
      <c r="AK135" s="9" t="str">
        <f t="shared" si="93"/>
        <v/>
      </c>
      <c r="AL135" s="4" t="str">
        <f t="shared" si="94"/>
        <v/>
      </c>
      <c r="AM135" s="4"/>
      <c r="AN135" s="4"/>
      <c r="AO135" s="4"/>
      <c r="AP135" s="4"/>
      <c r="AQ135" s="4"/>
      <c r="AR135" s="20" t="str">
        <f t="shared" si="95"/>
        <v>-</v>
      </c>
      <c r="AS135" s="13" t="str">
        <f t="shared" si="111"/>
        <v>-</v>
      </c>
      <c r="AT135" s="13" t="str">
        <f t="shared" si="112"/>
        <v>-</v>
      </c>
      <c r="AU135" s="13" t="str">
        <f t="shared" si="96"/>
        <v>-</v>
      </c>
      <c r="AV135" s="16" t="str">
        <f t="shared" si="113"/>
        <v>-</v>
      </c>
      <c r="AW135" s="16" t="str">
        <f t="shared" si="97"/>
        <v>-</v>
      </c>
      <c r="AX135" s="16" t="str">
        <f t="shared" si="98"/>
        <v>-</v>
      </c>
      <c r="AY135" s="16" t="str">
        <f t="shared" si="114"/>
        <v>-</v>
      </c>
      <c r="AZ135" s="13" t="str">
        <f t="shared" si="115"/>
        <v>-</v>
      </c>
      <c r="BA135" s="10" t="str">
        <f t="shared" si="116"/>
        <v>-</v>
      </c>
      <c r="BB135" s="9" t="str">
        <f t="shared" si="117"/>
        <v>-</v>
      </c>
      <c r="BC135" s="13" t="str">
        <f t="shared" si="118"/>
        <v>-</v>
      </c>
      <c r="BD135" s="10" t="str">
        <f t="shared" si="119"/>
        <v>-</v>
      </c>
      <c r="BE135" s="13" t="str">
        <f t="shared" si="120"/>
        <v>-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</row>
    <row r="136" spans="2:70" x14ac:dyDescent="0.3">
      <c r="B136" s="96" t="str">
        <f t="shared" si="99"/>
        <v/>
      </c>
      <c r="C136" s="96" t="str">
        <f t="shared" si="100"/>
        <v/>
      </c>
      <c r="D136" s="96" t="str">
        <f t="shared" si="101"/>
        <v/>
      </c>
      <c r="E136" s="3"/>
      <c r="F136" s="3"/>
      <c r="G136" s="3"/>
      <c r="H136" s="3"/>
      <c r="I136" s="20">
        <f>IFERROR(INDEX('Input - Target'!G$2:G$200,MATCH('Calculations - Target'!$D136,'Input - Target'!$B$2:$B$200,0)),"")</f>
        <v>0</v>
      </c>
      <c r="J136" s="20">
        <f>IFERROR(INDEX('Input - Target'!H$2:H$200,MATCH('Calculations - Target'!$D136,'Input - Target'!$B$2:$B$200,0)),"")</f>
        <v>0</v>
      </c>
      <c r="K136" s="21">
        <f>IFERROR(INDEX('Input - Target'!I$2:I$200,MATCH('Calculations - Target'!$D136,'Input - Target'!$B$2:$B$200,0)),"")</f>
        <v>0</v>
      </c>
      <c r="L136" s="21">
        <f>IFERROR(INDEX('Input - Target'!J$2:J$200,MATCH('Calculations - Target'!$D136,'Input - Target'!$B$2:$B$200,0)),"")</f>
        <v>0</v>
      </c>
      <c r="M136" s="20">
        <f>IFERROR(INDEX('Input - Target'!K$2:K$200,MATCH('Calculations - Target'!$D136,'Input - Target'!$B$2:$B$200,0)),"")</f>
        <v>0</v>
      </c>
      <c r="N136" s="20">
        <f>IFERROR(INDEX('Input - Target'!L$2:L$200,MATCH('Calculations - Target'!$D136,'Input - Target'!$B$2:$B$200,0)),"")</f>
        <v>0</v>
      </c>
      <c r="O136" s="21" t="str">
        <f t="shared" si="102"/>
        <v/>
      </c>
      <c r="P136" s="21" t="str">
        <f t="shared" si="86"/>
        <v/>
      </c>
      <c r="Q136" s="21">
        <f t="shared" si="103"/>
        <v>0</v>
      </c>
      <c r="R136" s="9">
        <f t="shared" si="121"/>
        <v>0</v>
      </c>
      <c r="S136" s="9">
        <f t="shared" si="122"/>
        <v>0</v>
      </c>
      <c r="T136" s="22" t="str">
        <f>IFERROR(INDEX(Target!$S$11:$S$167,MATCH('Calculations - Target'!$D136,Target!$N$11:$N$167,0)),"")</f>
        <v/>
      </c>
      <c r="U136" s="22" t="str">
        <f>IFERROR(INDEX(Target!$T$11:$T$167,MATCH('Calculations - Target'!$D136,Target!$N$11:$N$167,0)),"")</f>
        <v/>
      </c>
      <c r="V136" s="16" t="e">
        <f t="shared" si="87"/>
        <v>#VALUE!</v>
      </c>
      <c r="W136" s="16" t="e">
        <f t="shared" si="104"/>
        <v>#VALUE!</v>
      </c>
      <c r="X136" s="16" t="e">
        <f t="shared" si="105"/>
        <v>#VALUE!</v>
      </c>
      <c r="Y136" s="10" t="str">
        <f t="shared" si="88"/>
        <v>-</v>
      </c>
      <c r="Z136" s="10" t="str">
        <f t="shared" si="89"/>
        <v>-</v>
      </c>
      <c r="AA136" s="13" t="str">
        <f t="shared" si="106"/>
        <v>-</v>
      </c>
      <c r="AB136" s="9" t="str">
        <f t="shared" si="90"/>
        <v>-</v>
      </c>
      <c r="AC136" s="16" t="str">
        <f t="shared" si="107"/>
        <v>-</v>
      </c>
      <c r="AD136" s="16" t="str">
        <f t="shared" si="91"/>
        <v>-</v>
      </c>
      <c r="AE136" s="16" t="str">
        <f t="shared" si="92"/>
        <v>-</v>
      </c>
      <c r="AF136" s="16" t="str">
        <f t="shared" si="108"/>
        <v>-</v>
      </c>
      <c r="AG136" s="16"/>
      <c r="AH136" s="32" t="str">
        <f>IFERROR(INDEX(Target!$R$11:$R$167,MATCH('Calculations - Target'!D136,Target!$N$11:$N$167,0)),"")</f>
        <v/>
      </c>
      <c r="AI136" s="23" t="str">
        <f t="shared" si="109"/>
        <v/>
      </c>
      <c r="AJ136" s="23" t="str">
        <f t="shared" si="110"/>
        <v/>
      </c>
      <c r="AK136" s="9" t="str">
        <f t="shared" si="93"/>
        <v/>
      </c>
      <c r="AL136" s="4" t="str">
        <f t="shared" si="94"/>
        <v/>
      </c>
      <c r="AM136" s="4"/>
      <c r="AN136" s="4"/>
      <c r="AO136" s="4"/>
      <c r="AP136" s="4"/>
      <c r="AQ136" s="4"/>
      <c r="AR136" s="20" t="str">
        <f t="shared" si="95"/>
        <v>-</v>
      </c>
      <c r="AS136" s="13" t="str">
        <f t="shared" si="111"/>
        <v>-</v>
      </c>
      <c r="AT136" s="13" t="str">
        <f t="shared" si="112"/>
        <v>-</v>
      </c>
      <c r="AU136" s="13" t="str">
        <f t="shared" si="96"/>
        <v>-</v>
      </c>
      <c r="AV136" s="16" t="str">
        <f t="shared" si="113"/>
        <v>-</v>
      </c>
      <c r="AW136" s="16" t="str">
        <f t="shared" si="97"/>
        <v>-</v>
      </c>
      <c r="AX136" s="16" t="str">
        <f t="shared" si="98"/>
        <v>-</v>
      </c>
      <c r="AY136" s="16" t="str">
        <f t="shared" si="114"/>
        <v>-</v>
      </c>
      <c r="AZ136" s="13" t="str">
        <f t="shared" si="115"/>
        <v>-</v>
      </c>
      <c r="BA136" s="10" t="str">
        <f t="shared" si="116"/>
        <v>-</v>
      </c>
      <c r="BB136" s="9" t="str">
        <f t="shared" si="117"/>
        <v>-</v>
      </c>
      <c r="BC136" s="13" t="str">
        <f t="shared" si="118"/>
        <v>-</v>
      </c>
      <c r="BD136" s="10" t="str">
        <f t="shared" si="119"/>
        <v>-</v>
      </c>
      <c r="BE136" s="13" t="str">
        <f t="shared" si="120"/>
        <v>-</v>
      </c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</row>
    <row r="137" spans="2:70" x14ac:dyDescent="0.3">
      <c r="B137" s="96" t="str">
        <f t="shared" si="99"/>
        <v/>
      </c>
      <c r="C137" s="96" t="str">
        <f t="shared" si="100"/>
        <v/>
      </c>
      <c r="D137" s="96" t="str">
        <f t="shared" si="101"/>
        <v/>
      </c>
      <c r="E137" s="3"/>
      <c r="F137" s="3"/>
      <c r="G137" s="3"/>
      <c r="H137" s="3"/>
      <c r="I137" s="20">
        <f>IFERROR(INDEX('Input - Target'!G$2:G$200,MATCH('Calculations - Target'!$D137,'Input - Target'!$B$2:$B$200,0)),"")</f>
        <v>0</v>
      </c>
      <c r="J137" s="20">
        <f>IFERROR(INDEX('Input - Target'!H$2:H$200,MATCH('Calculations - Target'!$D137,'Input - Target'!$B$2:$B$200,0)),"")</f>
        <v>0</v>
      </c>
      <c r="K137" s="21">
        <f>IFERROR(INDEX('Input - Target'!I$2:I$200,MATCH('Calculations - Target'!$D137,'Input - Target'!$B$2:$B$200,0)),"")</f>
        <v>0</v>
      </c>
      <c r="L137" s="21">
        <f>IFERROR(INDEX('Input - Target'!J$2:J$200,MATCH('Calculations - Target'!$D137,'Input - Target'!$B$2:$B$200,0)),"")</f>
        <v>0</v>
      </c>
      <c r="M137" s="20">
        <f>IFERROR(INDEX('Input - Target'!K$2:K$200,MATCH('Calculations - Target'!$D137,'Input - Target'!$B$2:$B$200,0)),"")</f>
        <v>0</v>
      </c>
      <c r="N137" s="20">
        <f>IFERROR(INDEX('Input - Target'!L$2:L$200,MATCH('Calculations - Target'!$D137,'Input - Target'!$B$2:$B$200,0)),"")</f>
        <v>0</v>
      </c>
      <c r="O137" s="21" t="str">
        <f t="shared" si="102"/>
        <v/>
      </c>
      <c r="P137" s="21" t="str">
        <f t="shared" si="86"/>
        <v/>
      </c>
      <c r="Q137" s="21">
        <f t="shared" si="103"/>
        <v>0</v>
      </c>
      <c r="R137" s="9">
        <f t="shared" si="121"/>
        <v>0</v>
      </c>
      <c r="S137" s="9">
        <f t="shared" si="122"/>
        <v>0</v>
      </c>
      <c r="T137" s="22" t="str">
        <f>IFERROR(INDEX(Target!$S$11:$S$167,MATCH('Calculations - Target'!$D137,Target!$N$11:$N$167,0)),"")</f>
        <v/>
      </c>
      <c r="U137" s="22" t="str">
        <f>IFERROR(INDEX(Target!$T$11:$T$167,MATCH('Calculations - Target'!$D137,Target!$N$11:$N$167,0)),"")</f>
        <v/>
      </c>
      <c r="V137" s="16" t="e">
        <f t="shared" si="87"/>
        <v>#VALUE!</v>
      </c>
      <c r="W137" s="16" t="e">
        <f t="shared" si="104"/>
        <v>#VALUE!</v>
      </c>
      <c r="X137" s="16" t="e">
        <f t="shared" si="105"/>
        <v>#VALUE!</v>
      </c>
      <c r="Y137" s="10" t="str">
        <f t="shared" si="88"/>
        <v>-</v>
      </c>
      <c r="Z137" s="10" t="str">
        <f t="shared" si="89"/>
        <v>-</v>
      </c>
      <c r="AA137" s="13" t="str">
        <f t="shared" si="106"/>
        <v>-</v>
      </c>
      <c r="AB137" s="9" t="str">
        <f t="shared" si="90"/>
        <v>-</v>
      </c>
      <c r="AC137" s="16" t="str">
        <f t="shared" si="107"/>
        <v>-</v>
      </c>
      <c r="AD137" s="16" t="str">
        <f t="shared" si="91"/>
        <v>-</v>
      </c>
      <c r="AE137" s="16" t="str">
        <f t="shared" si="92"/>
        <v>-</v>
      </c>
      <c r="AF137" s="16" t="str">
        <f t="shared" si="108"/>
        <v>-</v>
      </c>
      <c r="AG137" s="16"/>
      <c r="AH137" s="32" t="str">
        <f>IFERROR(INDEX(Target!$R$11:$R$167,MATCH('Calculations - Target'!D137,Target!$N$11:$N$167,0)),"")</f>
        <v/>
      </c>
      <c r="AI137" s="23" t="str">
        <f t="shared" si="109"/>
        <v/>
      </c>
      <c r="AJ137" s="23" t="str">
        <f t="shared" si="110"/>
        <v/>
      </c>
      <c r="AK137" s="9" t="str">
        <f t="shared" si="93"/>
        <v/>
      </c>
      <c r="AL137" s="4" t="str">
        <f t="shared" si="94"/>
        <v/>
      </c>
      <c r="AM137" s="4"/>
      <c r="AN137" s="4"/>
      <c r="AO137" s="4"/>
      <c r="AP137" s="4"/>
      <c r="AQ137" s="4"/>
      <c r="AR137" s="20" t="str">
        <f t="shared" si="95"/>
        <v>-</v>
      </c>
      <c r="AS137" s="13" t="str">
        <f t="shared" si="111"/>
        <v>-</v>
      </c>
      <c r="AT137" s="13" t="str">
        <f t="shared" si="112"/>
        <v>-</v>
      </c>
      <c r="AU137" s="13" t="str">
        <f t="shared" si="96"/>
        <v>-</v>
      </c>
      <c r="AV137" s="16" t="str">
        <f t="shared" si="113"/>
        <v>-</v>
      </c>
      <c r="AW137" s="16" t="str">
        <f t="shared" si="97"/>
        <v>-</v>
      </c>
      <c r="AX137" s="16" t="str">
        <f t="shared" si="98"/>
        <v>-</v>
      </c>
      <c r="AY137" s="16" t="str">
        <f t="shared" si="114"/>
        <v>-</v>
      </c>
      <c r="AZ137" s="13" t="str">
        <f t="shared" si="115"/>
        <v>-</v>
      </c>
      <c r="BA137" s="10" t="str">
        <f t="shared" si="116"/>
        <v>-</v>
      </c>
      <c r="BB137" s="9" t="str">
        <f t="shared" si="117"/>
        <v>-</v>
      </c>
      <c r="BC137" s="13" t="str">
        <f t="shared" si="118"/>
        <v>-</v>
      </c>
      <c r="BD137" s="10" t="str">
        <f t="shared" si="119"/>
        <v>-</v>
      </c>
      <c r="BE137" s="13" t="str">
        <f t="shared" si="120"/>
        <v>-</v>
      </c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</row>
    <row r="138" spans="2:70" x14ac:dyDescent="0.3">
      <c r="B138" s="96" t="str">
        <f t="shared" si="99"/>
        <v/>
      </c>
      <c r="C138" s="96" t="str">
        <f t="shared" si="100"/>
        <v/>
      </c>
      <c r="D138" s="96" t="str">
        <f t="shared" si="101"/>
        <v/>
      </c>
      <c r="E138" s="3"/>
      <c r="F138" s="3"/>
      <c r="G138" s="3"/>
      <c r="H138" s="3"/>
      <c r="I138" s="20">
        <f>IFERROR(INDEX('Input - Target'!G$2:G$200,MATCH('Calculations - Target'!$D138,'Input - Target'!$B$2:$B$200,0)),"")</f>
        <v>0</v>
      </c>
      <c r="J138" s="20">
        <f>IFERROR(INDEX('Input - Target'!H$2:H$200,MATCH('Calculations - Target'!$D138,'Input - Target'!$B$2:$B$200,0)),"")</f>
        <v>0</v>
      </c>
      <c r="K138" s="21">
        <f>IFERROR(INDEX('Input - Target'!I$2:I$200,MATCH('Calculations - Target'!$D138,'Input - Target'!$B$2:$B$200,0)),"")</f>
        <v>0</v>
      </c>
      <c r="L138" s="21">
        <f>IFERROR(INDEX('Input - Target'!J$2:J$200,MATCH('Calculations - Target'!$D138,'Input - Target'!$B$2:$B$200,0)),"")</f>
        <v>0</v>
      </c>
      <c r="M138" s="20">
        <f>IFERROR(INDEX('Input - Target'!K$2:K$200,MATCH('Calculations - Target'!$D138,'Input - Target'!$B$2:$B$200,0)),"")</f>
        <v>0</v>
      </c>
      <c r="N138" s="20">
        <f>IFERROR(INDEX('Input - Target'!L$2:L$200,MATCH('Calculations - Target'!$D138,'Input - Target'!$B$2:$B$200,0)),"")</f>
        <v>0</v>
      </c>
      <c r="O138" s="21" t="str">
        <f t="shared" si="102"/>
        <v/>
      </c>
      <c r="P138" s="21" t="str">
        <f t="shared" si="86"/>
        <v/>
      </c>
      <c r="Q138" s="21">
        <f t="shared" si="103"/>
        <v>0</v>
      </c>
      <c r="R138" s="9">
        <f t="shared" si="121"/>
        <v>0</v>
      </c>
      <c r="S138" s="9">
        <f t="shared" si="122"/>
        <v>0</v>
      </c>
      <c r="T138" s="22" t="str">
        <f>IFERROR(INDEX(Target!$S$11:$S$167,MATCH('Calculations - Target'!$D138,Target!$N$11:$N$167,0)),"")</f>
        <v/>
      </c>
      <c r="U138" s="22" t="str">
        <f>IFERROR(INDEX(Target!$T$11:$T$167,MATCH('Calculations - Target'!$D138,Target!$N$11:$N$167,0)),"")</f>
        <v/>
      </c>
      <c r="V138" s="16" t="e">
        <f t="shared" si="87"/>
        <v>#VALUE!</v>
      </c>
      <c r="W138" s="16" t="e">
        <f t="shared" si="104"/>
        <v>#VALUE!</v>
      </c>
      <c r="X138" s="16" t="e">
        <f t="shared" si="105"/>
        <v>#VALUE!</v>
      </c>
      <c r="Y138" s="10" t="str">
        <f t="shared" si="88"/>
        <v>-</v>
      </c>
      <c r="Z138" s="10" t="str">
        <f t="shared" si="89"/>
        <v>-</v>
      </c>
      <c r="AA138" s="13" t="str">
        <f t="shared" si="106"/>
        <v>-</v>
      </c>
      <c r="AB138" s="9" t="str">
        <f t="shared" si="90"/>
        <v>-</v>
      </c>
      <c r="AC138" s="16" t="str">
        <f t="shared" si="107"/>
        <v>-</v>
      </c>
      <c r="AD138" s="16" t="str">
        <f t="shared" si="91"/>
        <v>-</v>
      </c>
      <c r="AE138" s="16" t="str">
        <f t="shared" si="92"/>
        <v>-</v>
      </c>
      <c r="AF138" s="16" t="str">
        <f t="shared" si="108"/>
        <v>-</v>
      </c>
      <c r="AG138" s="16"/>
      <c r="AH138" s="32" t="str">
        <f>IFERROR(INDEX(Target!$R$11:$R$167,MATCH('Calculations - Target'!D138,Target!$N$11:$N$167,0)),"")</f>
        <v/>
      </c>
      <c r="AI138" s="23" t="str">
        <f t="shared" si="109"/>
        <v/>
      </c>
      <c r="AJ138" s="23" t="str">
        <f t="shared" si="110"/>
        <v/>
      </c>
      <c r="AK138" s="9" t="str">
        <f t="shared" si="93"/>
        <v/>
      </c>
      <c r="AL138" s="4" t="str">
        <f t="shared" si="94"/>
        <v/>
      </c>
      <c r="AM138" s="4"/>
      <c r="AN138" s="4"/>
      <c r="AO138" s="4"/>
      <c r="AP138" s="4"/>
      <c r="AQ138" s="4"/>
      <c r="AR138" s="20" t="str">
        <f t="shared" si="95"/>
        <v>-</v>
      </c>
      <c r="AS138" s="13" t="str">
        <f t="shared" si="111"/>
        <v>-</v>
      </c>
      <c r="AT138" s="13" t="str">
        <f t="shared" si="112"/>
        <v>-</v>
      </c>
      <c r="AU138" s="13" t="str">
        <f t="shared" si="96"/>
        <v>-</v>
      </c>
      <c r="AV138" s="16" t="str">
        <f t="shared" si="113"/>
        <v>-</v>
      </c>
      <c r="AW138" s="16" t="str">
        <f t="shared" si="97"/>
        <v>-</v>
      </c>
      <c r="AX138" s="16" t="str">
        <f t="shared" si="98"/>
        <v>-</v>
      </c>
      <c r="AY138" s="16" t="str">
        <f t="shared" si="114"/>
        <v>-</v>
      </c>
      <c r="AZ138" s="13" t="str">
        <f t="shared" si="115"/>
        <v>-</v>
      </c>
      <c r="BA138" s="10" t="str">
        <f t="shared" si="116"/>
        <v>-</v>
      </c>
      <c r="BB138" s="9" t="str">
        <f t="shared" si="117"/>
        <v>-</v>
      </c>
      <c r="BC138" s="13" t="str">
        <f t="shared" si="118"/>
        <v>-</v>
      </c>
      <c r="BD138" s="10" t="str">
        <f t="shared" si="119"/>
        <v>-</v>
      </c>
      <c r="BE138" s="13" t="str">
        <f t="shared" si="120"/>
        <v>-</v>
      </c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</row>
    <row r="139" spans="2:70" x14ac:dyDescent="0.3">
      <c r="B139" s="96" t="str">
        <f t="shared" si="99"/>
        <v/>
      </c>
      <c r="C139" s="96" t="str">
        <f t="shared" si="100"/>
        <v/>
      </c>
      <c r="D139" s="96" t="str">
        <f t="shared" si="101"/>
        <v/>
      </c>
      <c r="E139" s="3"/>
      <c r="F139" s="3"/>
      <c r="G139" s="3"/>
      <c r="H139" s="3"/>
      <c r="I139" s="20">
        <f>IFERROR(INDEX('Input - Target'!G$2:G$200,MATCH('Calculations - Target'!$D139,'Input - Target'!$B$2:$B$200,0)),"")</f>
        <v>0</v>
      </c>
      <c r="J139" s="20">
        <f>IFERROR(INDEX('Input - Target'!H$2:H$200,MATCH('Calculations - Target'!$D139,'Input - Target'!$B$2:$B$200,0)),"")</f>
        <v>0</v>
      </c>
      <c r="K139" s="21">
        <f>IFERROR(INDEX('Input - Target'!I$2:I$200,MATCH('Calculations - Target'!$D139,'Input - Target'!$B$2:$B$200,0)),"")</f>
        <v>0</v>
      </c>
      <c r="L139" s="21">
        <f>IFERROR(INDEX('Input - Target'!J$2:J$200,MATCH('Calculations - Target'!$D139,'Input - Target'!$B$2:$B$200,0)),"")</f>
        <v>0</v>
      </c>
      <c r="M139" s="20">
        <f>IFERROR(INDEX('Input - Target'!K$2:K$200,MATCH('Calculations - Target'!$D139,'Input - Target'!$B$2:$B$200,0)),"")</f>
        <v>0</v>
      </c>
      <c r="N139" s="20">
        <f>IFERROR(INDEX('Input - Target'!L$2:L$200,MATCH('Calculations - Target'!$D139,'Input - Target'!$B$2:$B$200,0)),"")</f>
        <v>0</v>
      </c>
      <c r="O139" s="21" t="str">
        <f t="shared" si="102"/>
        <v/>
      </c>
      <c r="P139" s="21" t="str">
        <f t="shared" si="86"/>
        <v/>
      </c>
      <c r="Q139" s="21">
        <f t="shared" si="103"/>
        <v>0</v>
      </c>
      <c r="R139" s="9">
        <f t="shared" si="121"/>
        <v>0</v>
      </c>
      <c r="S139" s="9">
        <f t="shared" si="122"/>
        <v>0</v>
      </c>
      <c r="T139" s="22" t="str">
        <f>IFERROR(INDEX(Target!$S$11:$S$167,MATCH('Calculations - Target'!$D139,Target!$N$11:$N$167,0)),"")</f>
        <v/>
      </c>
      <c r="U139" s="22" t="str">
        <f>IFERROR(INDEX(Target!$T$11:$T$167,MATCH('Calculations - Target'!$D139,Target!$N$11:$N$167,0)),"")</f>
        <v/>
      </c>
      <c r="V139" s="16" t="e">
        <f t="shared" si="87"/>
        <v>#VALUE!</v>
      </c>
      <c r="W139" s="16" t="e">
        <f t="shared" si="104"/>
        <v>#VALUE!</v>
      </c>
      <c r="X139" s="16" t="e">
        <f t="shared" si="105"/>
        <v>#VALUE!</v>
      </c>
      <c r="Y139" s="10" t="str">
        <f t="shared" si="88"/>
        <v>-</v>
      </c>
      <c r="Z139" s="10" t="str">
        <f t="shared" si="89"/>
        <v>-</v>
      </c>
      <c r="AA139" s="13" t="str">
        <f t="shared" si="106"/>
        <v>-</v>
      </c>
      <c r="AB139" s="9" t="str">
        <f t="shared" si="90"/>
        <v>-</v>
      </c>
      <c r="AC139" s="16" t="str">
        <f t="shared" si="107"/>
        <v>-</v>
      </c>
      <c r="AD139" s="16" t="str">
        <f t="shared" si="91"/>
        <v>-</v>
      </c>
      <c r="AE139" s="16" t="str">
        <f t="shared" si="92"/>
        <v>-</v>
      </c>
      <c r="AF139" s="16" t="str">
        <f t="shared" si="108"/>
        <v>-</v>
      </c>
      <c r="AG139" s="16"/>
      <c r="AH139" s="32" t="str">
        <f>IFERROR(INDEX(Target!$R$11:$R$167,MATCH('Calculations - Target'!D139,Target!$N$11:$N$167,0)),"")</f>
        <v/>
      </c>
      <c r="AI139" s="23" t="str">
        <f t="shared" si="109"/>
        <v/>
      </c>
      <c r="AJ139" s="23" t="str">
        <f t="shared" si="110"/>
        <v/>
      </c>
      <c r="AK139" s="9" t="str">
        <f t="shared" si="93"/>
        <v/>
      </c>
      <c r="AL139" s="4" t="str">
        <f t="shared" si="94"/>
        <v/>
      </c>
      <c r="AM139" s="4"/>
      <c r="AN139" s="4"/>
      <c r="AO139" s="4"/>
      <c r="AP139" s="4"/>
      <c r="AQ139" s="4"/>
      <c r="AR139" s="20" t="str">
        <f t="shared" si="95"/>
        <v>-</v>
      </c>
      <c r="AS139" s="13" t="str">
        <f t="shared" si="111"/>
        <v>-</v>
      </c>
      <c r="AT139" s="13" t="str">
        <f t="shared" si="112"/>
        <v>-</v>
      </c>
      <c r="AU139" s="13" t="str">
        <f t="shared" si="96"/>
        <v>-</v>
      </c>
      <c r="AV139" s="16" t="str">
        <f t="shared" si="113"/>
        <v>-</v>
      </c>
      <c r="AW139" s="16" t="str">
        <f t="shared" si="97"/>
        <v>-</v>
      </c>
      <c r="AX139" s="16" t="str">
        <f t="shared" si="98"/>
        <v>-</v>
      </c>
      <c r="AY139" s="16" t="str">
        <f t="shared" si="114"/>
        <v>-</v>
      </c>
      <c r="AZ139" s="13" t="str">
        <f t="shared" si="115"/>
        <v>-</v>
      </c>
      <c r="BA139" s="10" t="str">
        <f t="shared" si="116"/>
        <v>-</v>
      </c>
      <c r="BB139" s="9" t="str">
        <f t="shared" si="117"/>
        <v>-</v>
      </c>
      <c r="BC139" s="13" t="str">
        <f t="shared" si="118"/>
        <v>-</v>
      </c>
      <c r="BD139" s="10" t="str">
        <f t="shared" si="119"/>
        <v>-</v>
      </c>
      <c r="BE139" s="13" t="str">
        <f t="shared" si="120"/>
        <v>-</v>
      </c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</row>
    <row r="140" spans="2:70" x14ac:dyDescent="0.3">
      <c r="B140" s="96" t="str">
        <f t="shared" si="99"/>
        <v/>
      </c>
      <c r="C140" s="96" t="str">
        <f t="shared" si="100"/>
        <v/>
      </c>
      <c r="D140" s="96" t="str">
        <f t="shared" si="101"/>
        <v/>
      </c>
      <c r="E140" s="3"/>
      <c r="F140" s="3"/>
      <c r="G140" s="3"/>
      <c r="H140" s="3"/>
      <c r="I140" s="20">
        <f>IFERROR(INDEX('Input - Target'!G$2:G$200,MATCH('Calculations - Target'!$D140,'Input - Target'!$B$2:$B$200,0)),"")</f>
        <v>0</v>
      </c>
      <c r="J140" s="20">
        <f>IFERROR(INDEX('Input - Target'!H$2:H$200,MATCH('Calculations - Target'!$D140,'Input - Target'!$B$2:$B$200,0)),"")</f>
        <v>0</v>
      </c>
      <c r="K140" s="21">
        <f>IFERROR(INDEX('Input - Target'!I$2:I$200,MATCH('Calculations - Target'!$D140,'Input - Target'!$B$2:$B$200,0)),"")</f>
        <v>0</v>
      </c>
      <c r="L140" s="21">
        <f>IFERROR(INDEX('Input - Target'!J$2:J$200,MATCH('Calculations - Target'!$D140,'Input - Target'!$B$2:$B$200,0)),"")</f>
        <v>0</v>
      </c>
      <c r="M140" s="20">
        <f>IFERROR(INDEX('Input - Target'!K$2:K$200,MATCH('Calculations - Target'!$D140,'Input - Target'!$B$2:$B$200,0)),"")</f>
        <v>0</v>
      </c>
      <c r="N140" s="20">
        <f>IFERROR(INDEX('Input - Target'!L$2:L$200,MATCH('Calculations - Target'!$D140,'Input - Target'!$B$2:$B$200,0)),"")</f>
        <v>0</v>
      </c>
      <c r="O140" s="21" t="str">
        <f t="shared" si="102"/>
        <v/>
      </c>
      <c r="P140" s="21" t="str">
        <f t="shared" si="86"/>
        <v/>
      </c>
      <c r="Q140" s="21">
        <f t="shared" si="103"/>
        <v>0</v>
      </c>
      <c r="R140" s="9">
        <f t="shared" si="121"/>
        <v>0</v>
      </c>
      <c r="S140" s="9">
        <f t="shared" si="122"/>
        <v>0</v>
      </c>
      <c r="T140" s="22" t="str">
        <f>IFERROR(INDEX(Target!$S$11:$S$167,MATCH('Calculations - Target'!$D140,Target!$N$11:$N$167,0)),"")</f>
        <v/>
      </c>
      <c r="U140" s="22" t="str">
        <f>IFERROR(INDEX(Target!$T$11:$T$167,MATCH('Calculations - Target'!$D140,Target!$N$11:$N$167,0)),"")</f>
        <v/>
      </c>
      <c r="V140" s="16" t="e">
        <f t="shared" si="87"/>
        <v>#VALUE!</v>
      </c>
      <c r="W140" s="16" t="e">
        <f t="shared" si="104"/>
        <v>#VALUE!</v>
      </c>
      <c r="X140" s="16" t="e">
        <f t="shared" si="105"/>
        <v>#VALUE!</v>
      </c>
      <c r="Y140" s="10" t="str">
        <f t="shared" si="88"/>
        <v>-</v>
      </c>
      <c r="Z140" s="10" t="str">
        <f t="shared" si="89"/>
        <v>-</v>
      </c>
      <c r="AA140" s="13" t="str">
        <f t="shared" si="106"/>
        <v>-</v>
      </c>
      <c r="AB140" s="9" t="str">
        <f t="shared" si="90"/>
        <v>-</v>
      </c>
      <c r="AC140" s="16" t="str">
        <f t="shared" si="107"/>
        <v>-</v>
      </c>
      <c r="AD140" s="16" t="str">
        <f t="shared" si="91"/>
        <v>-</v>
      </c>
      <c r="AE140" s="16" t="str">
        <f t="shared" si="92"/>
        <v>-</v>
      </c>
      <c r="AF140" s="16" t="str">
        <f t="shared" si="108"/>
        <v>-</v>
      </c>
      <c r="AG140" s="16"/>
      <c r="AH140" s="32" t="str">
        <f>IFERROR(INDEX(Target!$R$11:$R$167,MATCH('Calculations - Target'!D140,Target!$N$11:$N$167,0)),"")</f>
        <v/>
      </c>
      <c r="AI140" s="23" t="str">
        <f t="shared" si="109"/>
        <v/>
      </c>
      <c r="AJ140" s="23" t="str">
        <f t="shared" si="110"/>
        <v/>
      </c>
      <c r="AK140" s="9" t="str">
        <f t="shared" si="93"/>
        <v/>
      </c>
      <c r="AL140" s="4" t="str">
        <f t="shared" si="94"/>
        <v/>
      </c>
      <c r="AM140" s="4"/>
      <c r="AN140" s="4"/>
      <c r="AO140" s="4"/>
      <c r="AP140" s="4"/>
      <c r="AQ140" s="4"/>
      <c r="AR140" s="20" t="str">
        <f t="shared" si="95"/>
        <v>-</v>
      </c>
      <c r="AS140" s="13" t="str">
        <f t="shared" si="111"/>
        <v>-</v>
      </c>
      <c r="AT140" s="13" t="str">
        <f t="shared" si="112"/>
        <v>-</v>
      </c>
      <c r="AU140" s="13" t="str">
        <f t="shared" si="96"/>
        <v>-</v>
      </c>
      <c r="AV140" s="16" t="str">
        <f t="shared" si="113"/>
        <v>-</v>
      </c>
      <c r="AW140" s="16" t="str">
        <f t="shared" si="97"/>
        <v>-</v>
      </c>
      <c r="AX140" s="16" t="str">
        <f t="shared" si="98"/>
        <v>-</v>
      </c>
      <c r="AY140" s="16" t="str">
        <f t="shared" si="114"/>
        <v>-</v>
      </c>
      <c r="AZ140" s="13" t="str">
        <f t="shared" si="115"/>
        <v>-</v>
      </c>
      <c r="BA140" s="10" t="str">
        <f t="shared" si="116"/>
        <v>-</v>
      </c>
      <c r="BB140" s="9" t="str">
        <f t="shared" si="117"/>
        <v>-</v>
      </c>
      <c r="BC140" s="13" t="str">
        <f t="shared" si="118"/>
        <v>-</v>
      </c>
      <c r="BD140" s="10" t="str">
        <f t="shared" si="119"/>
        <v>-</v>
      </c>
      <c r="BE140" s="13" t="str">
        <f t="shared" si="120"/>
        <v>-</v>
      </c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</row>
    <row r="141" spans="2:70" x14ac:dyDescent="0.3">
      <c r="B141" s="96" t="str">
        <f t="shared" si="99"/>
        <v/>
      </c>
      <c r="C141" s="96" t="str">
        <f t="shared" si="100"/>
        <v/>
      </c>
      <c r="D141" s="96" t="str">
        <f t="shared" si="101"/>
        <v/>
      </c>
      <c r="E141" s="3"/>
      <c r="F141" s="3"/>
      <c r="G141" s="3"/>
      <c r="H141" s="3"/>
      <c r="I141" s="20">
        <f>IFERROR(INDEX('Input - Target'!G$2:G$200,MATCH('Calculations - Target'!$D141,'Input - Target'!$B$2:$B$200,0)),"")</f>
        <v>0</v>
      </c>
      <c r="J141" s="20">
        <f>IFERROR(INDEX('Input - Target'!H$2:H$200,MATCH('Calculations - Target'!$D141,'Input - Target'!$B$2:$B$200,0)),"")</f>
        <v>0</v>
      </c>
      <c r="K141" s="21">
        <f>IFERROR(INDEX('Input - Target'!I$2:I$200,MATCH('Calculations - Target'!$D141,'Input - Target'!$B$2:$B$200,0)),"")</f>
        <v>0</v>
      </c>
      <c r="L141" s="21">
        <f>IFERROR(INDEX('Input - Target'!J$2:J$200,MATCH('Calculations - Target'!$D141,'Input - Target'!$B$2:$B$200,0)),"")</f>
        <v>0</v>
      </c>
      <c r="M141" s="20">
        <f>IFERROR(INDEX('Input - Target'!K$2:K$200,MATCH('Calculations - Target'!$D141,'Input - Target'!$B$2:$B$200,0)),"")</f>
        <v>0</v>
      </c>
      <c r="N141" s="20">
        <f>IFERROR(INDEX('Input - Target'!L$2:L$200,MATCH('Calculations - Target'!$D141,'Input - Target'!$B$2:$B$200,0)),"")</f>
        <v>0</v>
      </c>
      <c r="O141" s="21" t="str">
        <f t="shared" si="102"/>
        <v/>
      </c>
      <c r="P141" s="21" t="str">
        <f t="shared" si="86"/>
        <v/>
      </c>
      <c r="Q141" s="21">
        <f t="shared" si="103"/>
        <v>0</v>
      </c>
      <c r="R141" s="9">
        <f t="shared" si="121"/>
        <v>0</v>
      </c>
      <c r="S141" s="9">
        <f t="shared" si="122"/>
        <v>0</v>
      </c>
      <c r="T141" s="22" t="str">
        <f>IFERROR(INDEX(Target!$S$11:$S$167,MATCH('Calculations - Target'!$D141,Target!$N$11:$N$167,0)),"")</f>
        <v/>
      </c>
      <c r="U141" s="22" t="str">
        <f>IFERROR(INDEX(Target!$T$11:$T$167,MATCH('Calculations - Target'!$D141,Target!$N$11:$N$167,0)),"")</f>
        <v/>
      </c>
      <c r="V141" s="16" t="e">
        <f t="shared" si="87"/>
        <v>#VALUE!</v>
      </c>
      <c r="W141" s="16" t="e">
        <f t="shared" si="104"/>
        <v>#VALUE!</v>
      </c>
      <c r="X141" s="16" t="e">
        <f t="shared" si="105"/>
        <v>#VALUE!</v>
      </c>
      <c r="Y141" s="10" t="str">
        <f t="shared" si="88"/>
        <v>-</v>
      </c>
      <c r="Z141" s="10" t="str">
        <f t="shared" si="89"/>
        <v>-</v>
      </c>
      <c r="AA141" s="13" t="str">
        <f t="shared" si="106"/>
        <v>-</v>
      </c>
      <c r="AB141" s="9" t="str">
        <f t="shared" si="90"/>
        <v>-</v>
      </c>
      <c r="AC141" s="16" t="str">
        <f t="shared" si="107"/>
        <v>-</v>
      </c>
      <c r="AD141" s="16" t="str">
        <f t="shared" si="91"/>
        <v>-</v>
      </c>
      <c r="AE141" s="16" t="str">
        <f t="shared" si="92"/>
        <v>-</v>
      </c>
      <c r="AF141" s="16" t="str">
        <f t="shared" si="108"/>
        <v>-</v>
      </c>
      <c r="AG141" s="16"/>
      <c r="AH141" s="32" t="str">
        <f>IFERROR(INDEX(Target!$R$11:$R$167,MATCH('Calculations - Target'!D141,Target!$N$11:$N$167,0)),"")</f>
        <v/>
      </c>
      <c r="AI141" s="23" t="str">
        <f t="shared" si="109"/>
        <v/>
      </c>
      <c r="AJ141" s="23" t="str">
        <f t="shared" si="110"/>
        <v/>
      </c>
      <c r="AK141" s="9" t="str">
        <f t="shared" si="93"/>
        <v/>
      </c>
      <c r="AL141" s="4" t="str">
        <f t="shared" si="94"/>
        <v/>
      </c>
      <c r="AM141" s="4"/>
      <c r="AN141" s="4"/>
      <c r="AO141" s="4"/>
      <c r="AP141" s="4"/>
      <c r="AQ141" s="4"/>
      <c r="AR141" s="20" t="str">
        <f t="shared" si="95"/>
        <v>-</v>
      </c>
      <c r="AS141" s="13" t="str">
        <f t="shared" si="111"/>
        <v>-</v>
      </c>
      <c r="AT141" s="13" t="str">
        <f t="shared" si="112"/>
        <v>-</v>
      </c>
      <c r="AU141" s="13" t="str">
        <f t="shared" si="96"/>
        <v>-</v>
      </c>
      <c r="AV141" s="16" t="str">
        <f t="shared" si="113"/>
        <v>-</v>
      </c>
      <c r="AW141" s="16" t="str">
        <f t="shared" si="97"/>
        <v>-</v>
      </c>
      <c r="AX141" s="16" t="str">
        <f t="shared" si="98"/>
        <v>-</v>
      </c>
      <c r="AY141" s="16" t="str">
        <f t="shared" si="114"/>
        <v>-</v>
      </c>
      <c r="AZ141" s="13" t="str">
        <f t="shared" si="115"/>
        <v>-</v>
      </c>
      <c r="BA141" s="10" t="str">
        <f t="shared" si="116"/>
        <v>-</v>
      </c>
      <c r="BB141" s="9" t="str">
        <f t="shared" si="117"/>
        <v>-</v>
      </c>
      <c r="BC141" s="13" t="str">
        <f t="shared" si="118"/>
        <v>-</v>
      </c>
      <c r="BD141" s="10" t="str">
        <f t="shared" si="119"/>
        <v>-</v>
      </c>
      <c r="BE141" s="13" t="str">
        <f t="shared" si="120"/>
        <v>-</v>
      </c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</row>
    <row r="142" spans="2:70" x14ac:dyDescent="0.3">
      <c r="B142" s="96" t="str">
        <f t="shared" si="99"/>
        <v/>
      </c>
      <c r="C142" s="96" t="str">
        <f t="shared" si="100"/>
        <v/>
      </c>
      <c r="D142" s="96" t="str">
        <f t="shared" si="101"/>
        <v/>
      </c>
      <c r="E142" s="3"/>
      <c r="F142" s="3"/>
      <c r="G142" s="3"/>
      <c r="H142" s="3"/>
      <c r="I142" s="20">
        <f>IFERROR(INDEX('Input - Target'!G$2:G$200,MATCH('Calculations - Target'!$D142,'Input - Target'!$B$2:$B$200,0)),"")</f>
        <v>0</v>
      </c>
      <c r="J142" s="20">
        <f>IFERROR(INDEX('Input - Target'!H$2:H$200,MATCH('Calculations - Target'!$D142,'Input - Target'!$B$2:$B$200,0)),"")</f>
        <v>0</v>
      </c>
      <c r="K142" s="21">
        <f>IFERROR(INDEX('Input - Target'!I$2:I$200,MATCH('Calculations - Target'!$D142,'Input - Target'!$B$2:$B$200,0)),"")</f>
        <v>0</v>
      </c>
      <c r="L142" s="21">
        <f>IFERROR(INDEX('Input - Target'!J$2:J$200,MATCH('Calculations - Target'!$D142,'Input - Target'!$B$2:$B$200,0)),"")</f>
        <v>0</v>
      </c>
      <c r="M142" s="20">
        <f>IFERROR(INDEX('Input - Target'!K$2:K$200,MATCH('Calculations - Target'!$D142,'Input - Target'!$B$2:$B$200,0)),"")</f>
        <v>0</v>
      </c>
      <c r="N142" s="20">
        <f>IFERROR(INDEX('Input - Target'!L$2:L$200,MATCH('Calculations - Target'!$D142,'Input - Target'!$B$2:$B$200,0)),"")</f>
        <v>0</v>
      </c>
      <c r="O142" s="21" t="str">
        <f t="shared" si="102"/>
        <v/>
      </c>
      <c r="P142" s="21" t="str">
        <f t="shared" si="86"/>
        <v/>
      </c>
      <c r="Q142" s="21">
        <f t="shared" si="103"/>
        <v>0</v>
      </c>
      <c r="R142" s="9">
        <f t="shared" si="121"/>
        <v>0</v>
      </c>
      <c r="S142" s="9">
        <f t="shared" si="122"/>
        <v>0</v>
      </c>
      <c r="T142" s="22" t="str">
        <f>IFERROR(INDEX(Target!$S$11:$S$167,MATCH('Calculations - Target'!$D142,Target!$N$11:$N$167,0)),"")</f>
        <v/>
      </c>
      <c r="U142" s="22" t="str">
        <f>IFERROR(INDEX(Target!$T$11:$T$167,MATCH('Calculations - Target'!$D142,Target!$N$11:$N$167,0)),"")</f>
        <v/>
      </c>
      <c r="V142" s="16" t="e">
        <f t="shared" si="87"/>
        <v>#VALUE!</v>
      </c>
      <c r="W142" s="16" t="e">
        <f t="shared" si="104"/>
        <v>#VALUE!</v>
      </c>
      <c r="X142" s="16" t="e">
        <f t="shared" si="105"/>
        <v>#VALUE!</v>
      </c>
      <c r="Y142" s="10" t="str">
        <f t="shared" si="88"/>
        <v>-</v>
      </c>
      <c r="Z142" s="10" t="str">
        <f t="shared" si="89"/>
        <v>-</v>
      </c>
      <c r="AA142" s="13" t="str">
        <f t="shared" si="106"/>
        <v>-</v>
      </c>
      <c r="AB142" s="9" t="str">
        <f t="shared" si="90"/>
        <v>-</v>
      </c>
      <c r="AC142" s="16" t="str">
        <f t="shared" si="107"/>
        <v>-</v>
      </c>
      <c r="AD142" s="16" t="str">
        <f t="shared" si="91"/>
        <v>-</v>
      </c>
      <c r="AE142" s="16" t="str">
        <f t="shared" si="92"/>
        <v>-</v>
      </c>
      <c r="AF142" s="16" t="str">
        <f t="shared" si="108"/>
        <v>-</v>
      </c>
      <c r="AG142" s="16"/>
      <c r="AH142" s="32" t="str">
        <f>IFERROR(INDEX(Target!$R$11:$R$167,MATCH('Calculations - Target'!D142,Target!$N$11:$N$167,0)),"")</f>
        <v/>
      </c>
      <c r="AI142" s="23" t="str">
        <f t="shared" si="109"/>
        <v/>
      </c>
      <c r="AJ142" s="23" t="str">
        <f t="shared" si="110"/>
        <v/>
      </c>
      <c r="AK142" s="9" t="str">
        <f t="shared" si="93"/>
        <v/>
      </c>
      <c r="AL142" s="4" t="str">
        <f t="shared" si="94"/>
        <v/>
      </c>
      <c r="AM142" s="4"/>
      <c r="AN142" s="4"/>
      <c r="AO142" s="4"/>
      <c r="AP142" s="4"/>
      <c r="AQ142" s="4"/>
      <c r="AR142" s="20" t="str">
        <f t="shared" si="95"/>
        <v>-</v>
      </c>
      <c r="AS142" s="13" t="str">
        <f t="shared" si="111"/>
        <v>-</v>
      </c>
      <c r="AT142" s="13" t="str">
        <f t="shared" si="112"/>
        <v>-</v>
      </c>
      <c r="AU142" s="13" t="str">
        <f t="shared" si="96"/>
        <v>-</v>
      </c>
      <c r="AV142" s="16" t="str">
        <f t="shared" si="113"/>
        <v>-</v>
      </c>
      <c r="AW142" s="16" t="str">
        <f t="shared" si="97"/>
        <v>-</v>
      </c>
      <c r="AX142" s="16" t="str">
        <f t="shared" si="98"/>
        <v>-</v>
      </c>
      <c r="AY142" s="16" t="str">
        <f t="shared" si="114"/>
        <v>-</v>
      </c>
      <c r="AZ142" s="13" t="str">
        <f t="shared" si="115"/>
        <v>-</v>
      </c>
      <c r="BA142" s="10" t="str">
        <f t="shared" si="116"/>
        <v>-</v>
      </c>
      <c r="BB142" s="9" t="str">
        <f t="shared" si="117"/>
        <v>-</v>
      </c>
      <c r="BC142" s="13" t="str">
        <f t="shared" si="118"/>
        <v>-</v>
      </c>
      <c r="BD142" s="10" t="str">
        <f t="shared" si="119"/>
        <v>-</v>
      </c>
      <c r="BE142" s="13" t="str">
        <f t="shared" si="120"/>
        <v>-</v>
      </c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</row>
    <row r="143" spans="2:70" x14ac:dyDescent="0.3">
      <c r="B143" s="96" t="str">
        <f t="shared" si="99"/>
        <v/>
      </c>
      <c r="C143" s="96" t="str">
        <f t="shared" si="100"/>
        <v/>
      </c>
      <c r="D143" s="96" t="str">
        <f t="shared" si="101"/>
        <v/>
      </c>
      <c r="E143" s="3"/>
      <c r="F143" s="3"/>
      <c r="G143" s="3"/>
      <c r="H143" s="3"/>
      <c r="I143" s="20">
        <f>IFERROR(INDEX('Input - Target'!G$2:G$200,MATCH('Calculations - Target'!$D143,'Input - Target'!$B$2:$B$200,0)),"")</f>
        <v>0</v>
      </c>
      <c r="J143" s="20">
        <f>IFERROR(INDEX('Input - Target'!H$2:H$200,MATCH('Calculations - Target'!$D143,'Input - Target'!$B$2:$B$200,0)),"")</f>
        <v>0</v>
      </c>
      <c r="K143" s="21">
        <f>IFERROR(INDEX('Input - Target'!I$2:I$200,MATCH('Calculations - Target'!$D143,'Input - Target'!$B$2:$B$200,0)),"")</f>
        <v>0</v>
      </c>
      <c r="L143" s="21">
        <f>IFERROR(INDEX('Input - Target'!J$2:J$200,MATCH('Calculations - Target'!$D143,'Input - Target'!$B$2:$B$200,0)),"")</f>
        <v>0</v>
      </c>
      <c r="M143" s="20">
        <f>IFERROR(INDEX('Input - Target'!K$2:K$200,MATCH('Calculations - Target'!$D143,'Input - Target'!$B$2:$B$200,0)),"")</f>
        <v>0</v>
      </c>
      <c r="N143" s="20">
        <f>IFERROR(INDEX('Input - Target'!L$2:L$200,MATCH('Calculations - Target'!$D143,'Input - Target'!$B$2:$B$200,0)),"")</f>
        <v>0</v>
      </c>
      <c r="O143" s="21" t="str">
        <f t="shared" si="102"/>
        <v/>
      </c>
      <c r="P143" s="21" t="str">
        <f t="shared" si="86"/>
        <v/>
      </c>
      <c r="Q143" s="21">
        <f t="shared" si="103"/>
        <v>0</v>
      </c>
      <c r="R143" s="9">
        <f t="shared" si="121"/>
        <v>0</v>
      </c>
      <c r="S143" s="9">
        <f t="shared" si="122"/>
        <v>0</v>
      </c>
      <c r="T143" s="22" t="str">
        <f>IFERROR(INDEX(Target!$S$11:$S$167,MATCH('Calculations - Target'!$D143,Target!$N$11:$N$167,0)),"")</f>
        <v/>
      </c>
      <c r="U143" s="22" t="str">
        <f>IFERROR(INDEX(Target!$T$11:$T$167,MATCH('Calculations - Target'!$D143,Target!$N$11:$N$167,0)),"")</f>
        <v/>
      </c>
      <c r="V143" s="16" t="e">
        <f t="shared" si="87"/>
        <v>#VALUE!</v>
      </c>
      <c r="W143" s="16" t="e">
        <f t="shared" si="104"/>
        <v>#VALUE!</v>
      </c>
      <c r="X143" s="16" t="e">
        <f t="shared" si="105"/>
        <v>#VALUE!</v>
      </c>
      <c r="Y143" s="10" t="str">
        <f t="shared" si="88"/>
        <v>-</v>
      </c>
      <c r="Z143" s="10" t="str">
        <f t="shared" si="89"/>
        <v>-</v>
      </c>
      <c r="AA143" s="13" t="str">
        <f t="shared" si="106"/>
        <v>-</v>
      </c>
      <c r="AB143" s="9" t="str">
        <f t="shared" si="90"/>
        <v>-</v>
      </c>
      <c r="AC143" s="16" t="str">
        <f t="shared" si="107"/>
        <v>-</v>
      </c>
      <c r="AD143" s="16" t="str">
        <f t="shared" si="91"/>
        <v>-</v>
      </c>
      <c r="AE143" s="16" t="str">
        <f t="shared" si="92"/>
        <v>-</v>
      </c>
      <c r="AF143" s="16" t="str">
        <f t="shared" si="108"/>
        <v>-</v>
      </c>
      <c r="AG143" s="16"/>
      <c r="AH143" s="32" t="str">
        <f>IFERROR(INDEX(Target!$R$11:$R$167,MATCH('Calculations - Target'!D143,Target!$N$11:$N$167,0)),"")</f>
        <v/>
      </c>
      <c r="AI143" s="23" t="str">
        <f t="shared" si="109"/>
        <v/>
      </c>
      <c r="AJ143" s="23" t="str">
        <f t="shared" si="110"/>
        <v/>
      </c>
      <c r="AK143" s="9" t="str">
        <f t="shared" si="93"/>
        <v/>
      </c>
      <c r="AL143" s="4" t="str">
        <f t="shared" si="94"/>
        <v/>
      </c>
      <c r="AM143" s="4"/>
      <c r="AN143" s="4"/>
      <c r="AO143" s="4"/>
      <c r="AP143" s="4"/>
      <c r="AQ143" s="4"/>
      <c r="AR143" s="20" t="str">
        <f t="shared" si="95"/>
        <v>-</v>
      </c>
      <c r="AS143" s="13" t="str">
        <f t="shared" si="111"/>
        <v>-</v>
      </c>
      <c r="AT143" s="13" t="str">
        <f t="shared" si="112"/>
        <v>-</v>
      </c>
      <c r="AU143" s="13" t="str">
        <f t="shared" si="96"/>
        <v>-</v>
      </c>
      <c r="AV143" s="16" t="str">
        <f t="shared" si="113"/>
        <v>-</v>
      </c>
      <c r="AW143" s="16" t="str">
        <f t="shared" si="97"/>
        <v>-</v>
      </c>
      <c r="AX143" s="16" t="str">
        <f t="shared" si="98"/>
        <v>-</v>
      </c>
      <c r="AY143" s="16" t="str">
        <f t="shared" si="114"/>
        <v>-</v>
      </c>
      <c r="AZ143" s="13" t="str">
        <f t="shared" si="115"/>
        <v>-</v>
      </c>
      <c r="BA143" s="10" t="str">
        <f t="shared" si="116"/>
        <v>-</v>
      </c>
      <c r="BB143" s="9" t="str">
        <f t="shared" si="117"/>
        <v>-</v>
      </c>
      <c r="BC143" s="13" t="str">
        <f t="shared" si="118"/>
        <v>-</v>
      </c>
      <c r="BD143" s="10" t="str">
        <f t="shared" si="119"/>
        <v>-</v>
      </c>
      <c r="BE143" s="13" t="str">
        <f t="shared" si="120"/>
        <v>-</v>
      </c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</row>
    <row r="144" spans="2:70" x14ac:dyDescent="0.3">
      <c r="B144" s="96" t="str">
        <f t="shared" si="99"/>
        <v/>
      </c>
      <c r="C144" s="96" t="str">
        <f t="shared" si="100"/>
        <v/>
      </c>
      <c r="D144" s="96" t="str">
        <f t="shared" si="101"/>
        <v/>
      </c>
      <c r="E144" s="3"/>
      <c r="F144" s="3"/>
      <c r="G144" s="3"/>
      <c r="H144" s="3"/>
      <c r="I144" s="20">
        <f>IFERROR(INDEX('Input - Target'!G$2:G$200,MATCH('Calculations - Target'!$D144,'Input - Target'!$B$2:$B$200,0)),"")</f>
        <v>0</v>
      </c>
      <c r="J144" s="20">
        <f>IFERROR(INDEX('Input - Target'!H$2:H$200,MATCH('Calculations - Target'!$D144,'Input - Target'!$B$2:$B$200,0)),"")</f>
        <v>0</v>
      </c>
      <c r="K144" s="21">
        <f>IFERROR(INDEX('Input - Target'!I$2:I$200,MATCH('Calculations - Target'!$D144,'Input - Target'!$B$2:$B$200,0)),"")</f>
        <v>0</v>
      </c>
      <c r="L144" s="21">
        <f>IFERROR(INDEX('Input - Target'!J$2:J$200,MATCH('Calculations - Target'!$D144,'Input - Target'!$B$2:$B$200,0)),"")</f>
        <v>0</v>
      </c>
      <c r="M144" s="20">
        <f>IFERROR(INDEX('Input - Target'!K$2:K$200,MATCH('Calculations - Target'!$D144,'Input - Target'!$B$2:$B$200,0)),"")</f>
        <v>0</v>
      </c>
      <c r="N144" s="20">
        <f>IFERROR(INDEX('Input - Target'!L$2:L$200,MATCH('Calculations - Target'!$D144,'Input - Target'!$B$2:$B$200,0)),"")</f>
        <v>0</v>
      </c>
      <c r="O144" s="21" t="str">
        <f t="shared" si="102"/>
        <v/>
      </c>
      <c r="P144" s="21" t="str">
        <f t="shared" si="86"/>
        <v/>
      </c>
      <c r="Q144" s="21">
        <f t="shared" si="103"/>
        <v>0</v>
      </c>
      <c r="R144" s="9">
        <f t="shared" si="121"/>
        <v>0</v>
      </c>
      <c r="S144" s="9">
        <f t="shared" si="122"/>
        <v>0</v>
      </c>
      <c r="T144" s="22" t="str">
        <f>IFERROR(INDEX(Target!$S$11:$S$167,MATCH('Calculations - Target'!$D144,Target!$N$11:$N$167,0)),"")</f>
        <v/>
      </c>
      <c r="U144" s="22" t="str">
        <f>IFERROR(INDEX(Target!$T$11:$T$167,MATCH('Calculations - Target'!$D144,Target!$N$11:$N$167,0)),"")</f>
        <v/>
      </c>
      <c r="V144" s="16" t="e">
        <f t="shared" si="87"/>
        <v>#VALUE!</v>
      </c>
      <c r="W144" s="16" t="e">
        <f t="shared" si="104"/>
        <v>#VALUE!</v>
      </c>
      <c r="X144" s="16" t="e">
        <f t="shared" si="105"/>
        <v>#VALUE!</v>
      </c>
      <c r="Y144" s="10" t="str">
        <f t="shared" si="88"/>
        <v>-</v>
      </c>
      <c r="Z144" s="10" t="str">
        <f t="shared" si="89"/>
        <v>-</v>
      </c>
      <c r="AA144" s="13" t="str">
        <f t="shared" si="106"/>
        <v>-</v>
      </c>
      <c r="AB144" s="9" t="str">
        <f t="shared" si="90"/>
        <v>-</v>
      </c>
      <c r="AC144" s="16" t="str">
        <f t="shared" si="107"/>
        <v>-</v>
      </c>
      <c r="AD144" s="16" t="str">
        <f t="shared" si="91"/>
        <v>-</v>
      </c>
      <c r="AE144" s="16" t="str">
        <f t="shared" si="92"/>
        <v>-</v>
      </c>
      <c r="AF144" s="16" t="str">
        <f t="shared" si="108"/>
        <v>-</v>
      </c>
      <c r="AG144" s="16"/>
      <c r="AH144" s="32" t="str">
        <f>IFERROR(INDEX(Target!$R$11:$R$167,MATCH('Calculations - Target'!D144,Target!$N$11:$N$167,0)),"")</f>
        <v/>
      </c>
      <c r="AI144" s="23" t="str">
        <f t="shared" si="109"/>
        <v/>
      </c>
      <c r="AJ144" s="23" t="str">
        <f t="shared" si="110"/>
        <v/>
      </c>
      <c r="AK144" s="9" t="str">
        <f t="shared" si="93"/>
        <v/>
      </c>
      <c r="AL144" s="4" t="str">
        <f t="shared" si="94"/>
        <v/>
      </c>
      <c r="AM144" s="4"/>
      <c r="AN144" s="4"/>
      <c r="AO144" s="4"/>
      <c r="AP144" s="4"/>
      <c r="AQ144" s="4"/>
      <c r="AR144" s="20" t="str">
        <f t="shared" si="95"/>
        <v>-</v>
      </c>
      <c r="AS144" s="13" t="str">
        <f t="shared" si="111"/>
        <v>-</v>
      </c>
      <c r="AT144" s="13" t="str">
        <f t="shared" si="112"/>
        <v>-</v>
      </c>
      <c r="AU144" s="13" t="str">
        <f t="shared" si="96"/>
        <v>-</v>
      </c>
      <c r="AV144" s="16" t="str">
        <f t="shared" si="113"/>
        <v>-</v>
      </c>
      <c r="AW144" s="16" t="str">
        <f t="shared" si="97"/>
        <v>-</v>
      </c>
      <c r="AX144" s="16" t="str">
        <f t="shared" si="98"/>
        <v>-</v>
      </c>
      <c r="AY144" s="16" t="str">
        <f t="shared" si="114"/>
        <v>-</v>
      </c>
      <c r="AZ144" s="13" t="str">
        <f t="shared" si="115"/>
        <v>-</v>
      </c>
      <c r="BA144" s="10" t="str">
        <f t="shared" si="116"/>
        <v>-</v>
      </c>
      <c r="BB144" s="9" t="str">
        <f t="shared" si="117"/>
        <v>-</v>
      </c>
      <c r="BC144" s="13" t="str">
        <f t="shared" si="118"/>
        <v>-</v>
      </c>
      <c r="BD144" s="10" t="str">
        <f t="shared" si="119"/>
        <v>-</v>
      </c>
      <c r="BE144" s="13" t="str">
        <f t="shared" si="120"/>
        <v>-</v>
      </c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</row>
    <row r="145" spans="2:70" x14ac:dyDescent="0.3">
      <c r="B145" s="96" t="str">
        <f t="shared" si="99"/>
        <v/>
      </c>
      <c r="C145" s="96" t="str">
        <f t="shared" si="100"/>
        <v/>
      </c>
      <c r="D145" s="96" t="str">
        <f t="shared" si="101"/>
        <v/>
      </c>
      <c r="E145" s="3"/>
      <c r="F145" s="3"/>
      <c r="G145" s="3"/>
      <c r="H145" s="3"/>
      <c r="I145" s="20">
        <f>IFERROR(INDEX('Input - Target'!G$2:G$200,MATCH('Calculations - Target'!$D145,'Input - Target'!$B$2:$B$200,0)),"")</f>
        <v>0</v>
      </c>
      <c r="J145" s="20">
        <f>IFERROR(INDEX('Input - Target'!H$2:H$200,MATCH('Calculations - Target'!$D145,'Input - Target'!$B$2:$B$200,0)),"")</f>
        <v>0</v>
      </c>
      <c r="K145" s="21">
        <f>IFERROR(INDEX('Input - Target'!I$2:I$200,MATCH('Calculations - Target'!$D145,'Input - Target'!$B$2:$B$200,0)),"")</f>
        <v>0</v>
      </c>
      <c r="L145" s="21">
        <f>IFERROR(INDEX('Input - Target'!J$2:J$200,MATCH('Calculations - Target'!$D145,'Input - Target'!$B$2:$B$200,0)),"")</f>
        <v>0</v>
      </c>
      <c r="M145" s="20">
        <f>IFERROR(INDEX('Input - Target'!K$2:K$200,MATCH('Calculations - Target'!$D145,'Input - Target'!$B$2:$B$200,0)),"")</f>
        <v>0</v>
      </c>
      <c r="N145" s="20">
        <f>IFERROR(INDEX('Input - Target'!L$2:L$200,MATCH('Calculations - Target'!$D145,'Input - Target'!$B$2:$B$200,0)),"")</f>
        <v>0</v>
      </c>
      <c r="O145" s="21" t="str">
        <f t="shared" si="102"/>
        <v/>
      </c>
      <c r="P145" s="21" t="str">
        <f t="shared" si="86"/>
        <v/>
      </c>
      <c r="Q145" s="21">
        <f t="shared" si="103"/>
        <v>0</v>
      </c>
      <c r="R145" s="9">
        <f t="shared" si="121"/>
        <v>0</v>
      </c>
      <c r="S145" s="9">
        <f t="shared" si="122"/>
        <v>0</v>
      </c>
      <c r="T145" s="22" t="str">
        <f>IFERROR(INDEX(Target!$S$11:$S$167,MATCH('Calculations - Target'!$D145,Target!$N$11:$N$167,0)),"")</f>
        <v/>
      </c>
      <c r="U145" s="22" t="str">
        <f>IFERROR(INDEX(Target!$T$11:$T$167,MATCH('Calculations - Target'!$D145,Target!$N$11:$N$167,0)),"")</f>
        <v/>
      </c>
      <c r="V145" s="16" t="e">
        <f t="shared" si="87"/>
        <v>#VALUE!</v>
      </c>
      <c r="W145" s="16" t="e">
        <f t="shared" si="104"/>
        <v>#VALUE!</v>
      </c>
      <c r="X145" s="16" t="e">
        <f t="shared" si="105"/>
        <v>#VALUE!</v>
      </c>
      <c r="Y145" s="10" t="str">
        <f t="shared" si="88"/>
        <v>-</v>
      </c>
      <c r="Z145" s="10" t="str">
        <f t="shared" si="89"/>
        <v>-</v>
      </c>
      <c r="AA145" s="13" t="str">
        <f t="shared" si="106"/>
        <v>-</v>
      </c>
      <c r="AB145" s="9" t="str">
        <f t="shared" si="90"/>
        <v>-</v>
      </c>
      <c r="AC145" s="16" t="str">
        <f t="shared" si="107"/>
        <v>-</v>
      </c>
      <c r="AD145" s="16" t="str">
        <f t="shared" si="91"/>
        <v>-</v>
      </c>
      <c r="AE145" s="16" t="str">
        <f t="shared" si="92"/>
        <v>-</v>
      </c>
      <c r="AF145" s="16" t="str">
        <f t="shared" si="108"/>
        <v>-</v>
      </c>
      <c r="AG145" s="16"/>
      <c r="AH145" s="32" t="str">
        <f>IFERROR(INDEX(Target!$R$11:$R$167,MATCH('Calculations - Target'!D145,Target!$N$11:$N$167,0)),"")</f>
        <v/>
      </c>
      <c r="AI145" s="23" t="str">
        <f t="shared" si="109"/>
        <v/>
      </c>
      <c r="AJ145" s="23" t="str">
        <f t="shared" si="110"/>
        <v/>
      </c>
      <c r="AK145" s="9" t="str">
        <f t="shared" si="93"/>
        <v/>
      </c>
      <c r="AL145" s="4" t="str">
        <f t="shared" si="94"/>
        <v/>
      </c>
      <c r="AM145" s="4"/>
      <c r="AN145" s="4"/>
      <c r="AO145" s="4"/>
      <c r="AP145" s="4"/>
      <c r="AQ145" s="4"/>
      <c r="AR145" s="20" t="str">
        <f t="shared" si="95"/>
        <v>-</v>
      </c>
      <c r="AS145" s="13" t="str">
        <f t="shared" si="111"/>
        <v>-</v>
      </c>
      <c r="AT145" s="13" t="str">
        <f t="shared" si="112"/>
        <v>-</v>
      </c>
      <c r="AU145" s="13" t="str">
        <f t="shared" si="96"/>
        <v>-</v>
      </c>
      <c r="AV145" s="16" t="str">
        <f t="shared" si="113"/>
        <v>-</v>
      </c>
      <c r="AW145" s="16" t="str">
        <f t="shared" si="97"/>
        <v>-</v>
      </c>
      <c r="AX145" s="16" t="str">
        <f t="shared" si="98"/>
        <v>-</v>
      </c>
      <c r="AY145" s="16" t="str">
        <f t="shared" si="114"/>
        <v>-</v>
      </c>
      <c r="AZ145" s="13" t="str">
        <f t="shared" si="115"/>
        <v>-</v>
      </c>
      <c r="BA145" s="10" t="str">
        <f t="shared" si="116"/>
        <v>-</v>
      </c>
      <c r="BB145" s="9" t="str">
        <f t="shared" si="117"/>
        <v>-</v>
      </c>
      <c r="BC145" s="13" t="str">
        <f t="shared" si="118"/>
        <v>-</v>
      </c>
      <c r="BD145" s="10" t="str">
        <f t="shared" si="119"/>
        <v>-</v>
      </c>
      <c r="BE145" s="13" t="str">
        <f t="shared" si="120"/>
        <v>-</v>
      </c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</row>
    <row r="146" spans="2:70" x14ac:dyDescent="0.3">
      <c r="B146" s="96" t="str">
        <f t="shared" si="99"/>
        <v/>
      </c>
      <c r="C146" s="96" t="str">
        <f t="shared" si="100"/>
        <v/>
      </c>
      <c r="D146" s="96" t="str">
        <f t="shared" si="101"/>
        <v/>
      </c>
      <c r="E146" s="3"/>
      <c r="F146" s="3"/>
      <c r="G146" s="3"/>
      <c r="H146" s="3"/>
      <c r="I146" s="20">
        <f>IFERROR(INDEX('Input - Target'!G$2:G$200,MATCH('Calculations - Target'!$D146,'Input - Target'!$B$2:$B$200,0)),"")</f>
        <v>0</v>
      </c>
      <c r="J146" s="20">
        <f>IFERROR(INDEX('Input - Target'!H$2:H$200,MATCH('Calculations - Target'!$D146,'Input - Target'!$B$2:$B$200,0)),"")</f>
        <v>0</v>
      </c>
      <c r="K146" s="21">
        <f>IFERROR(INDEX('Input - Target'!I$2:I$200,MATCH('Calculations - Target'!$D146,'Input - Target'!$B$2:$B$200,0)),"")</f>
        <v>0</v>
      </c>
      <c r="L146" s="21">
        <f>IFERROR(INDEX('Input - Target'!J$2:J$200,MATCH('Calculations - Target'!$D146,'Input - Target'!$B$2:$B$200,0)),"")</f>
        <v>0</v>
      </c>
      <c r="M146" s="20">
        <f>IFERROR(INDEX('Input - Target'!K$2:K$200,MATCH('Calculations - Target'!$D146,'Input - Target'!$B$2:$B$200,0)),"")</f>
        <v>0</v>
      </c>
      <c r="N146" s="20">
        <f>IFERROR(INDEX('Input - Target'!L$2:L$200,MATCH('Calculations - Target'!$D146,'Input - Target'!$B$2:$B$200,0)),"")</f>
        <v>0</v>
      </c>
      <c r="O146" s="21" t="str">
        <f t="shared" si="102"/>
        <v/>
      </c>
      <c r="P146" s="21" t="str">
        <f t="shared" si="86"/>
        <v/>
      </c>
      <c r="Q146" s="21">
        <f t="shared" si="103"/>
        <v>0</v>
      </c>
      <c r="R146" s="9">
        <f t="shared" si="121"/>
        <v>0</v>
      </c>
      <c r="S146" s="9">
        <f t="shared" si="122"/>
        <v>0</v>
      </c>
      <c r="T146" s="22" t="str">
        <f>IFERROR(INDEX(Target!$S$11:$S$167,MATCH('Calculations - Target'!$D146,Target!$N$11:$N$167,0)),"")</f>
        <v/>
      </c>
      <c r="U146" s="22" t="str">
        <f>IFERROR(INDEX(Target!$T$11:$T$167,MATCH('Calculations - Target'!$D146,Target!$N$11:$N$167,0)),"")</f>
        <v/>
      </c>
      <c r="V146" s="16" t="e">
        <f t="shared" si="87"/>
        <v>#VALUE!</v>
      </c>
      <c r="W146" s="16" t="e">
        <f t="shared" si="104"/>
        <v>#VALUE!</v>
      </c>
      <c r="X146" s="16" t="e">
        <f t="shared" si="105"/>
        <v>#VALUE!</v>
      </c>
      <c r="Y146" s="10" t="str">
        <f t="shared" si="88"/>
        <v>-</v>
      </c>
      <c r="Z146" s="10" t="str">
        <f t="shared" si="89"/>
        <v>-</v>
      </c>
      <c r="AA146" s="13" t="str">
        <f t="shared" si="106"/>
        <v>-</v>
      </c>
      <c r="AB146" s="9" t="str">
        <f t="shared" si="90"/>
        <v>-</v>
      </c>
      <c r="AC146" s="16" t="str">
        <f t="shared" si="107"/>
        <v>-</v>
      </c>
      <c r="AD146" s="16" t="str">
        <f t="shared" si="91"/>
        <v>-</v>
      </c>
      <c r="AE146" s="16" t="str">
        <f t="shared" si="92"/>
        <v>-</v>
      </c>
      <c r="AF146" s="16" t="str">
        <f t="shared" si="108"/>
        <v>-</v>
      </c>
      <c r="AG146" s="16"/>
      <c r="AH146" s="32" t="str">
        <f>IFERROR(INDEX(Target!$R$11:$R$167,MATCH('Calculations - Target'!D146,Target!$N$11:$N$167,0)),"")</f>
        <v/>
      </c>
      <c r="AI146" s="23" t="str">
        <f t="shared" si="109"/>
        <v/>
      </c>
      <c r="AJ146" s="23" t="str">
        <f t="shared" si="110"/>
        <v/>
      </c>
      <c r="AK146" s="9" t="str">
        <f t="shared" si="93"/>
        <v/>
      </c>
      <c r="AL146" s="4" t="str">
        <f t="shared" si="94"/>
        <v/>
      </c>
      <c r="AM146" s="4"/>
      <c r="AN146" s="4"/>
      <c r="AO146" s="4"/>
      <c r="AP146" s="4"/>
      <c r="AQ146" s="4"/>
      <c r="AR146" s="20" t="str">
        <f t="shared" si="95"/>
        <v>-</v>
      </c>
      <c r="AS146" s="13" t="str">
        <f t="shared" si="111"/>
        <v>-</v>
      </c>
      <c r="AT146" s="13" t="str">
        <f t="shared" si="112"/>
        <v>-</v>
      </c>
      <c r="AU146" s="13" t="str">
        <f t="shared" si="96"/>
        <v>-</v>
      </c>
      <c r="AV146" s="16" t="str">
        <f t="shared" si="113"/>
        <v>-</v>
      </c>
      <c r="AW146" s="16" t="str">
        <f t="shared" si="97"/>
        <v>-</v>
      </c>
      <c r="AX146" s="16" t="str">
        <f t="shared" si="98"/>
        <v>-</v>
      </c>
      <c r="AY146" s="16" t="str">
        <f t="shared" si="114"/>
        <v>-</v>
      </c>
      <c r="AZ146" s="13" t="str">
        <f t="shared" si="115"/>
        <v>-</v>
      </c>
      <c r="BA146" s="10" t="str">
        <f t="shared" si="116"/>
        <v>-</v>
      </c>
      <c r="BB146" s="9" t="str">
        <f t="shared" si="117"/>
        <v>-</v>
      </c>
      <c r="BC146" s="13" t="str">
        <f t="shared" si="118"/>
        <v>-</v>
      </c>
      <c r="BD146" s="10" t="str">
        <f t="shared" si="119"/>
        <v>-</v>
      </c>
      <c r="BE146" s="13" t="str">
        <f t="shared" si="120"/>
        <v>-</v>
      </c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</row>
    <row r="147" spans="2:70" x14ac:dyDescent="0.3">
      <c r="B147" s="96" t="str">
        <f t="shared" si="99"/>
        <v/>
      </c>
      <c r="C147" s="96" t="str">
        <f t="shared" si="100"/>
        <v/>
      </c>
      <c r="D147" s="96" t="str">
        <f t="shared" si="101"/>
        <v/>
      </c>
      <c r="E147" s="3"/>
      <c r="F147" s="3"/>
      <c r="G147" s="3"/>
      <c r="H147" s="3"/>
      <c r="I147" s="20">
        <f>IFERROR(INDEX('Input - Target'!G$2:G$200,MATCH('Calculations - Target'!$D147,'Input - Target'!$B$2:$B$200,0)),"")</f>
        <v>0</v>
      </c>
      <c r="J147" s="20">
        <f>IFERROR(INDEX('Input - Target'!H$2:H$200,MATCH('Calculations - Target'!$D147,'Input - Target'!$B$2:$B$200,0)),"")</f>
        <v>0</v>
      </c>
      <c r="K147" s="21">
        <f>IFERROR(INDEX('Input - Target'!I$2:I$200,MATCH('Calculations - Target'!$D147,'Input - Target'!$B$2:$B$200,0)),"")</f>
        <v>0</v>
      </c>
      <c r="L147" s="21">
        <f>IFERROR(INDEX('Input - Target'!J$2:J$200,MATCH('Calculations - Target'!$D147,'Input - Target'!$B$2:$B$200,0)),"")</f>
        <v>0</v>
      </c>
      <c r="M147" s="20">
        <f>IFERROR(INDEX('Input - Target'!K$2:K$200,MATCH('Calculations - Target'!$D147,'Input - Target'!$B$2:$B$200,0)),"")</f>
        <v>0</v>
      </c>
      <c r="N147" s="20">
        <f>IFERROR(INDEX('Input - Target'!L$2:L$200,MATCH('Calculations - Target'!$D147,'Input - Target'!$B$2:$B$200,0)),"")</f>
        <v>0</v>
      </c>
      <c r="O147" s="21" t="str">
        <f t="shared" si="102"/>
        <v/>
      </c>
      <c r="P147" s="21" t="str">
        <f t="shared" si="86"/>
        <v/>
      </c>
      <c r="Q147" s="21">
        <f t="shared" si="103"/>
        <v>0</v>
      </c>
      <c r="R147" s="9">
        <f t="shared" si="121"/>
        <v>0</v>
      </c>
      <c r="S147" s="9">
        <f t="shared" si="122"/>
        <v>0</v>
      </c>
      <c r="T147" s="22" t="str">
        <f>IFERROR(INDEX(Target!$S$11:$S$167,MATCH('Calculations - Target'!$D147,Target!$N$11:$N$167,0)),"")</f>
        <v/>
      </c>
      <c r="U147" s="22" t="str">
        <f>IFERROR(INDEX(Target!$T$11:$T$167,MATCH('Calculations - Target'!$D147,Target!$N$11:$N$167,0)),"")</f>
        <v/>
      </c>
      <c r="V147" s="16" t="e">
        <f t="shared" si="87"/>
        <v>#VALUE!</v>
      </c>
      <c r="W147" s="16" t="e">
        <f t="shared" si="104"/>
        <v>#VALUE!</v>
      </c>
      <c r="X147" s="16" t="e">
        <f t="shared" si="105"/>
        <v>#VALUE!</v>
      </c>
      <c r="Y147" s="10" t="str">
        <f t="shared" si="88"/>
        <v>-</v>
      </c>
      <c r="Z147" s="10" t="str">
        <f t="shared" si="89"/>
        <v>-</v>
      </c>
      <c r="AA147" s="13" t="str">
        <f t="shared" si="106"/>
        <v>-</v>
      </c>
      <c r="AB147" s="9" t="str">
        <f t="shared" si="90"/>
        <v>-</v>
      </c>
      <c r="AC147" s="16" t="str">
        <f t="shared" si="107"/>
        <v>-</v>
      </c>
      <c r="AD147" s="16" t="str">
        <f t="shared" si="91"/>
        <v>-</v>
      </c>
      <c r="AE147" s="16" t="str">
        <f t="shared" si="92"/>
        <v>-</v>
      </c>
      <c r="AF147" s="16" t="str">
        <f t="shared" si="108"/>
        <v>-</v>
      </c>
      <c r="AG147" s="16"/>
      <c r="AH147" s="32" t="str">
        <f>IFERROR(INDEX(Target!$R$11:$R$167,MATCH('Calculations - Target'!D147,Target!$N$11:$N$167,0)),"")</f>
        <v/>
      </c>
      <c r="AI147" s="23" t="str">
        <f t="shared" si="109"/>
        <v/>
      </c>
      <c r="AJ147" s="23" t="str">
        <f t="shared" si="110"/>
        <v/>
      </c>
      <c r="AK147" s="9" t="str">
        <f t="shared" si="93"/>
        <v/>
      </c>
      <c r="AL147" s="4" t="str">
        <f t="shared" si="94"/>
        <v/>
      </c>
      <c r="AM147" s="4"/>
      <c r="AN147" s="4"/>
      <c r="AO147" s="4"/>
      <c r="AP147" s="4"/>
      <c r="AQ147" s="4"/>
      <c r="AR147" s="20" t="str">
        <f t="shared" si="95"/>
        <v>-</v>
      </c>
      <c r="AS147" s="13" t="str">
        <f t="shared" si="111"/>
        <v>-</v>
      </c>
      <c r="AT147" s="13" t="str">
        <f t="shared" si="112"/>
        <v>-</v>
      </c>
      <c r="AU147" s="13" t="str">
        <f t="shared" si="96"/>
        <v>-</v>
      </c>
      <c r="AV147" s="16" t="str">
        <f t="shared" si="113"/>
        <v>-</v>
      </c>
      <c r="AW147" s="16" t="str">
        <f t="shared" si="97"/>
        <v>-</v>
      </c>
      <c r="AX147" s="16" t="str">
        <f t="shared" si="98"/>
        <v>-</v>
      </c>
      <c r="AY147" s="16" t="str">
        <f t="shared" si="114"/>
        <v>-</v>
      </c>
      <c r="AZ147" s="13" t="str">
        <f t="shared" si="115"/>
        <v>-</v>
      </c>
      <c r="BA147" s="10" t="str">
        <f t="shared" si="116"/>
        <v>-</v>
      </c>
      <c r="BB147" s="9" t="str">
        <f t="shared" si="117"/>
        <v>-</v>
      </c>
      <c r="BC147" s="13" t="str">
        <f t="shared" si="118"/>
        <v>-</v>
      </c>
      <c r="BD147" s="10" t="str">
        <f t="shared" si="119"/>
        <v>-</v>
      </c>
      <c r="BE147" s="13" t="str">
        <f t="shared" si="120"/>
        <v>-</v>
      </c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</row>
    <row r="148" spans="2:70" x14ac:dyDescent="0.3">
      <c r="B148" s="96" t="str">
        <f t="shared" si="99"/>
        <v/>
      </c>
      <c r="C148" s="96" t="str">
        <f t="shared" si="100"/>
        <v/>
      </c>
      <c r="D148" s="96" t="str">
        <f t="shared" si="101"/>
        <v/>
      </c>
      <c r="E148" s="3"/>
      <c r="F148" s="3"/>
      <c r="G148" s="3"/>
      <c r="H148" s="3"/>
      <c r="I148" s="20">
        <f>IFERROR(INDEX('Input - Target'!G$2:G$200,MATCH('Calculations - Target'!$D148,'Input - Target'!$B$2:$B$200,0)),"")</f>
        <v>0</v>
      </c>
      <c r="J148" s="20">
        <f>IFERROR(INDEX('Input - Target'!H$2:H$200,MATCH('Calculations - Target'!$D148,'Input - Target'!$B$2:$B$200,0)),"")</f>
        <v>0</v>
      </c>
      <c r="K148" s="21">
        <f>IFERROR(INDEX('Input - Target'!I$2:I$200,MATCH('Calculations - Target'!$D148,'Input - Target'!$B$2:$B$200,0)),"")</f>
        <v>0</v>
      </c>
      <c r="L148" s="21">
        <f>IFERROR(INDEX('Input - Target'!J$2:J$200,MATCH('Calculations - Target'!$D148,'Input - Target'!$B$2:$B$200,0)),"")</f>
        <v>0</v>
      </c>
      <c r="M148" s="20">
        <f>IFERROR(INDEX('Input - Target'!K$2:K$200,MATCH('Calculations - Target'!$D148,'Input - Target'!$B$2:$B$200,0)),"")</f>
        <v>0</v>
      </c>
      <c r="N148" s="20">
        <f>IFERROR(INDEX('Input - Target'!L$2:L$200,MATCH('Calculations - Target'!$D148,'Input - Target'!$B$2:$B$200,0)),"")</f>
        <v>0</v>
      </c>
      <c r="O148" s="21" t="str">
        <f t="shared" si="102"/>
        <v/>
      </c>
      <c r="P148" s="21" t="str">
        <f t="shared" si="86"/>
        <v/>
      </c>
      <c r="Q148" s="21">
        <f t="shared" si="103"/>
        <v>0</v>
      </c>
      <c r="R148" s="9">
        <f t="shared" si="121"/>
        <v>0</v>
      </c>
      <c r="S148" s="9">
        <f t="shared" si="122"/>
        <v>0</v>
      </c>
      <c r="T148" s="22" t="str">
        <f>IFERROR(INDEX(Target!$S$11:$S$167,MATCH('Calculations - Target'!$D148,Target!$N$11:$N$167,0)),"")</f>
        <v/>
      </c>
      <c r="U148" s="22" t="str">
        <f>IFERROR(INDEX(Target!$T$11:$T$167,MATCH('Calculations - Target'!$D148,Target!$N$11:$N$167,0)),"")</f>
        <v/>
      </c>
      <c r="V148" s="16" t="e">
        <f t="shared" si="87"/>
        <v>#VALUE!</v>
      </c>
      <c r="W148" s="16" t="e">
        <f t="shared" si="104"/>
        <v>#VALUE!</v>
      </c>
      <c r="X148" s="16" t="e">
        <f t="shared" si="105"/>
        <v>#VALUE!</v>
      </c>
      <c r="Y148" s="10" t="str">
        <f t="shared" si="88"/>
        <v>-</v>
      </c>
      <c r="Z148" s="10" t="str">
        <f t="shared" si="89"/>
        <v>-</v>
      </c>
      <c r="AA148" s="13" t="str">
        <f t="shared" si="106"/>
        <v>-</v>
      </c>
      <c r="AB148" s="9" t="str">
        <f t="shared" si="90"/>
        <v>-</v>
      </c>
      <c r="AC148" s="16" t="str">
        <f t="shared" si="107"/>
        <v>-</v>
      </c>
      <c r="AD148" s="16" t="str">
        <f t="shared" si="91"/>
        <v>-</v>
      </c>
      <c r="AE148" s="16" t="str">
        <f t="shared" si="92"/>
        <v>-</v>
      </c>
      <c r="AF148" s="16" t="str">
        <f t="shared" si="108"/>
        <v>-</v>
      </c>
      <c r="AG148" s="16"/>
      <c r="AH148" s="32" t="str">
        <f>IFERROR(INDEX(Target!$R$11:$R$167,MATCH('Calculations - Target'!D148,Target!$N$11:$N$167,0)),"")</f>
        <v/>
      </c>
      <c r="AI148" s="23" t="str">
        <f t="shared" si="109"/>
        <v/>
      </c>
      <c r="AJ148" s="23" t="str">
        <f t="shared" si="110"/>
        <v/>
      </c>
      <c r="AK148" s="9" t="str">
        <f t="shared" si="93"/>
        <v/>
      </c>
      <c r="AL148" s="4" t="str">
        <f t="shared" si="94"/>
        <v/>
      </c>
      <c r="AM148" s="4"/>
      <c r="AN148" s="4"/>
      <c r="AO148" s="4"/>
      <c r="AP148" s="4"/>
      <c r="AQ148" s="4"/>
      <c r="AR148" s="20" t="str">
        <f t="shared" si="95"/>
        <v>-</v>
      </c>
      <c r="AS148" s="13" t="str">
        <f t="shared" si="111"/>
        <v>-</v>
      </c>
      <c r="AT148" s="13" t="str">
        <f t="shared" si="112"/>
        <v>-</v>
      </c>
      <c r="AU148" s="13" t="str">
        <f t="shared" si="96"/>
        <v>-</v>
      </c>
      <c r="AV148" s="16" t="str">
        <f t="shared" si="113"/>
        <v>-</v>
      </c>
      <c r="AW148" s="16" t="str">
        <f t="shared" si="97"/>
        <v>-</v>
      </c>
      <c r="AX148" s="16" t="str">
        <f t="shared" si="98"/>
        <v>-</v>
      </c>
      <c r="AY148" s="16" t="str">
        <f t="shared" si="114"/>
        <v>-</v>
      </c>
      <c r="AZ148" s="13" t="str">
        <f t="shared" si="115"/>
        <v>-</v>
      </c>
      <c r="BA148" s="10" t="str">
        <f t="shared" si="116"/>
        <v>-</v>
      </c>
      <c r="BB148" s="9" t="str">
        <f t="shared" si="117"/>
        <v>-</v>
      </c>
      <c r="BC148" s="13" t="str">
        <f t="shared" si="118"/>
        <v>-</v>
      </c>
      <c r="BD148" s="10" t="str">
        <f t="shared" si="119"/>
        <v>-</v>
      </c>
      <c r="BE148" s="13" t="str">
        <f t="shared" si="120"/>
        <v>-</v>
      </c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</row>
    <row r="149" spans="2:70" x14ac:dyDescent="0.3">
      <c r="B149" s="96" t="str">
        <f t="shared" si="99"/>
        <v/>
      </c>
      <c r="C149" s="96" t="str">
        <f t="shared" si="100"/>
        <v/>
      </c>
      <c r="D149" s="96" t="str">
        <f t="shared" si="101"/>
        <v/>
      </c>
      <c r="E149" s="3"/>
      <c r="F149" s="3"/>
      <c r="G149" s="3"/>
      <c r="H149" s="3"/>
      <c r="I149" s="20">
        <f>IFERROR(INDEX('Input - Target'!G$2:G$200,MATCH('Calculations - Target'!$D149,'Input - Target'!$B$2:$B$200,0)),"")</f>
        <v>0</v>
      </c>
      <c r="J149" s="20">
        <f>IFERROR(INDEX('Input - Target'!H$2:H$200,MATCH('Calculations - Target'!$D149,'Input - Target'!$B$2:$B$200,0)),"")</f>
        <v>0</v>
      </c>
      <c r="K149" s="21">
        <f>IFERROR(INDEX('Input - Target'!I$2:I$200,MATCH('Calculations - Target'!$D149,'Input - Target'!$B$2:$B$200,0)),"")</f>
        <v>0</v>
      </c>
      <c r="L149" s="21">
        <f>IFERROR(INDEX('Input - Target'!J$2:J$200,MATCH('Calculations - Target'!$D149,'Input - Target'!$B$2:$B$200,0)),"")</f>
        <v>0</v>
      </c>
      <c r="M149" s="20">
        <f>IFERROR(INDEX('Input - Target'!K$2:K$200,MATCH('Calculations - Target'!$D149,'Input - Target'!$B$2:$B$200,0)),"")</f>
        <v>0</v>
      </c>
      <c r="N149" s="20">
        <f>IFERROR(INDEX('Input - Target'!L$2:L$200,MATCH('Calculations - Target'!$D149,'Input - Target'!$B$2:$B$200,0)),"")</f>
        <v>0</v>
      </c>
      <c r="O149" s="21" t="str">
        <f t="shared" si="102"/>
        <v/>
      </c>
      <c r="P149" s="21" t="str">
        <f t="shared" si="86"/>
        <v/>
      </c>
      <c r="Q149" s="21">
        <f t="shared" si="103"/>
        <v>0</v>
      </c>
      <c r="R149" s="9">
        <f t="shared" si="121"/>
        <v>0</v>
      </c>
      <c r="S149" s="9">
        <f t="shared" si="122"/>
        <v>0</v>
      </c>
      <c r="T149" s="22" t="str">
        <f>IFERROR(INDEX(Target!$S$11:$S$167,MATCH('Calculations - Target'!$D149,Target!$N$11:$N$167,0)),"")</f>
        <v/>
      </c>
      <c r="U149" s="22" t="str">
        <f>IFERROR(INDEX(Target!$T$11:$T$167,MATCH('Calculations - Target'!$D149,Target!$N$11:$N$167,0)),"")</f>
        <v/>
      </c>
      <c r="V149" s="16" t="e">
        <f t="shared" si="87"/>
        <v>#VALUE!</v>
      </c>
      <c r="W149" s="16" t="e">
        <f t="shared" si="104"/>
        <v>#VALUE!</v>
      </c>
      <c r="X149" s="16" t="e">
        <f t="shared" si="105"/>
        <v>#VALUE!</v>
      </c>
      <c r="Y149" s="10" t="str">
        <f t="shared" si="88"/>
        <v>-</v>
      </c>
      <c r="Z149" s="10" t="str">
        <f t="shared" si="89"/>
        <v>-</v>
      </c>
      <c r="AA149" s="13" t="str">
        <f t="shared" si="106"/>
        <v>-</v>
      </c>
      <c r="AB149" s="9" t="str">
        <f t="shared" si="90"/>
        <v>-</v>
      </c>
      <c r="AC149" s="16" t="str">
        <f t="shared" si="107"/>
        <v>-</v>
      </c>
      <c r="AD149" s="16" t="str">
        <f t="shared" si="91"/>
        <v>-</v>
      </c>
      <c r="AE149" s="16" t="str">
        <f t="shared" si="92"/>
        <v>-</v>
      </c>
      <c r="AF149" s="16" t="str">
        <f t="shared" si="108"/>
        <v>-</v>
      </c>
      <c r="AG149" s="16"/>
      <c r="AH149" s="32" t="str">
        <f>IFERROR(INDEX(Target!$R$11:$R$167,MATCH('Calculations - Target'!D149,Target!$N$11:$N$167,0)),"")</f>
        <v/>
      </c>
      <c r="AI149" s="23" t="str">
        <f t="shared" si="109"/>
        <v/>
      </c>
      <c r="AJ149" s="23" t="str">
        <f t="shared" si="110"/>
        <v/>
      </c>
      <c r="AK149" s="9" t="str">
        <f t="shared" si="93"/>
        <v/>
      </c>
      <c r="AL149" s="4" t="str">
        <f t="shared" si="94"/>
        <v/>
      </c>
      <c r="AM149" s="4"/>
      <c r="AN149" s="4"/>
      <c r="AO149" s="4"/>
      <c r="AP149" s="4"/>
      <c r="AQ149" s="4"/>
      <c r="AR149" s="20" t="str">
        <f t="shared" si="95"/>
        <v>-</v>
      </c>
      <c r="AS149" s="13" t="str">
        <f t="shared" si="111"/>
        <v>-</v>
      </c>
      <c r="AT149" s="13" t="str">
        <f t="shared" si="112"/>
        <v>-</v>
      </c>
      <c r="AU149" s="13" t="str">
        <f t="shared" si="96"/>
        <v>-</v>
      </c>
      <c r="AV149" s="16" t="str">
        <f t="shared" si="113"/>
        <v>-</v>
      </c>
      <c r="AW149" s="16" t="str">
        <f t="shared" si="97"/>
        <v>-</v>
      </c>
      <c r="AX149" s="16" t="str">
        <f t="shared" si="98"/>
        <v>-</v>
      </c>
      <c r="AY149" s="16" t="str">
        <f t="shared" si="114"/>
        <v>-</v>
      </c>
      <c r="AZ149" s="13" t="str">
        <f t="shared" si="115"/>
        <v>-</v>
      </c>
      <c r="BA149" s="10" t="str">
        <f t="shared" si="116"/>
        <v>-</v>
      </c>
      <c r="BB149" s="9" t="str">
        <f t="shared" si="117"/>
        <v>-</v>
      </c>
      <c r="BC149" s="13" t="str">
        <f t="shared" si="118"/>
        <v>-</v>
      </c>
      <c r="BD149" s="10" t="str">
        <f t="shared" si="119"/>
        <v>-</v>
      </c>
      <c r="BE149" s="13" t="str">
        <f t="shared" si="120"/>
        <v>-</v>
      </c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</row>
    <row r="150" spans="2:70" x14ac:dyDescent="0.3">
      <c r="B150" s="96" t="str">
        <f t="shared" si="99"/>
        <v/>
      </c>
      <c r="C150" s="96" t="str">
        <f t="shared" si="100"/>
        <v/>
      </c>
      <c r="D150" s="96" t="str">
        <f t="shared" si="101"/>
        <v/>
      </c>
      <c r="E150" s="3"/>
      <c r="F150" s="3"/>
      <c r="G150" s="3"/>
      <c r="H150" s="3"/>
      <c r="I150" s="20">
        <f>IFERROR(INDEX('Input - Target'!G$2:G$200,MATCH('Calculations - Target'!$D150,'Input - Target'!$B$2:$B$200,0)),"")</f>
        <v>0</v>
      </c>
      <c r="J150" s="20">
        <f>IFERROR(INDEX('Input - Target'!H$2:H$200,MATCH('Calculations - Target'!$D150,'Input - Target'!$B$2:$B$200,0)),"")</f>
        <v>0</v>
      </c>
      <c r="K150" s="21">
        <f>IFERROR(INDEX('Input - Target'!I$2:I$200,MATCH('Calculations - Target'!$D150,'Input - Target'!$B$2:$B$200,0)),"")</f>
        <v>0</v>
      </c>
      <c r="L150" s="21">
        <f>IFERROR(INDEX('Input - Target'!J$2:J$200,MATCH('Calculations - Target'!$D150,'Input - Target'!$B$2:$B$200,0)),"")</f>
        <v>0</v>
      </c>
      <c r="M150" s="20">
        <f>IFERROR(INDEX('Input - Target'!K$2:K$200,MATCH('Calculations - Target'!$D150,'Input - Target'!$B$2:$B$200,0)),"")</f>
        <v>0</v>
      </c>
      <c r="N150" s="20">
        <f>IFERROR(INDEX('Input - Target'!L$2:L$200,MATCH('Calculations - Target'!$D150,'Input - Target'!$B$2:$B$200,0)),"")</f>
        <v>0</v>
      </c>
      <c r="O150" s="21" t="str">
        <f t="shared" si="102"/>
        <v/>
      </c>
      <c r="P150" s="21" t="str">
        <f t="shared" si="86"/>
        <v/>
      </c>
      <c r="Q150" s="21">
        <f t="shared" si="103"/>
        <v>0</v>
      </c>
      <c r="R150" s="9">
        <f t="shared" si="121"/>
        <v>0</v>
      </c>
      <c r="S150" s="9">
        <f t="shared" si="122"/>
        <v>0</v>
      </c>
      <c r="T150" s="22" t="str">
        <f>IFERROR(INDEX(Target!$S$11:$S$167,MATCH('Calculations - Target'!$D150,Target!$N$11:$N$167,0)),"")</f>
        <v/>
      </c>
      <c r="U150" s="22" t="str">
        <f>IFERROR(INDEX(Target!$T$11:$T$167,MATCH('Calculations - Target'!$D150,Target!$N$11:$N$167,0)),"")</f>
        <v/>
      </c>
      <c r="V150" s="16" t="e">
        <f t="shared" si="87"/>
        <v>#VALUE!</v>
      </c>
      <c r="W150" s="16" t="e">
        <f t="shared" si="104"/>
        <v>#VALUE!</v>
      </c>
      <c r="X150" s="16" t="e">
        <f t="shared" si="105"/>
        <v>#VALUE!</v>
      </c>
      <c r="Y150" s="10" t="str">
        <f t="shared" si="88"/>
        <v>-</v>
      </c>
      <c r="Z150" s="10" t="str">
        <f t="shared" si="89"/>
        <v>-</v>
      </c>
      <c r="AA150" s="13" t="str">
        <f t="shared" si="106"/>
        <v>-</v>
      </c>
      <c r="AB150" s="9" t="str">
        <f t="shared" si="90"/>
        <v>-</v>
      </c>
      <c r="AC150" s="16" t="str">
        <f t="shared" si="107"/>
        <v>-</v>
      </c>
      <c r="AD150" s="16" t="str">
        <f t="shared" si="91"/>
        <v>-</v>
      </c>
      <c r="AE150" s="16" t="str">
        <f t="shared" si="92"/>
        <v>-</v>
      </c>
      <c r="AF150" s="16" t="str">
        <f t="shared" si="108"/>
        <v>-</v>
      </c>
      <c r="AG150" s="16"/>
      <c r="AH150" s="32" t="str">
        <f>IFERROR(INDEX(Target!$R$11:$R$167,MATCH('Calculations - Target'!D150,Target!$N$11:$N$167,0)),"")</f>
        <v/>
      </c>
      <c r="AI150" s="23" t="str">
        <f t="shared" si="109"/>
        <v/>
      </c>
      <c r="AJ150" s="23" t="str">
        <f t="shared" si="110"/>
        <v/>
      </c>
      <c r="AK150" s="9" t="str">
        <f t="shared" si="93"/>
        <v/>
      </c>
      <c r="AL150" s="4" t="str">
        <f t="shared" si="94"/>
        <v/>
      </c>
      <c r="AM150" s="4"/>
      <c r="AN150" s="4"/>
      <c r="AO150" s="4"/>
      <c r="AP150" s="4"/>
      <c r="AQ150" s="4"/>
      <c r="AR150" s="20" t="str">
        <f t="shared" si="95"/>
        <v>-</v>
      </c>
      <c r="AS150" s="13" t="str">
        <f t="shared" si="111"/>
        <v>-</v>
      </c>
      <c r="AT150" s="13" t="str">
        <f t="shared" si="112"/>
        <v>-</v>
      </c>
      <c r="AU150" s="13" t="str">
        <f t="shared" si="96"/>
        <v>-</v>
      </c>
      <c r="AV150" s="16" t="str">
        <f t="shared" si="113"/>
        <v>-</v>
      </c>
      <c r="AW150" s="16" t="str">
        <f t="shared" si="97"/>
        <v>-</v>
      </c>
      <c r="AX150" s="16" t="str">
        <f t="shared" si="98"/>
        <v>-</v>
      </c>
      <c r="AY150" s="16" t="str">
        <f t="shared" si="114"/>
        <v>-</v>
      </c>
      <c r="AZ150" s="13" t="str">
        <f t="shared" si="115"/>
        <v>-</v>
      </c>
      <c r="BA150" s="10" t="str">
        <f t="shared" si="116"/>
        <v>-</v>
      </c>
      <c r="BB150" s="9" t="str">
        <f t="shared" si="117"/>
        <v>-</v>
      </c>
      <c r="BC150" s="13" t="str">
        <f t="shared" si="118"/>
        <v>-</v>
      </c>
      <c r="BD150" s="10" t="str">
        <f t="shared" si="119"/>
        <v>-</v>
      </c>
      <c r="BE150" s="13" t="str">
        <f t="shared" si="120"/>
        <v>-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</row>
    <row r="151" spans="2:70" x14ac:dyDescent="0.3">
      <c r="B151" s="96" t="str">
        <f t="shared" si="99"/>
        <v/>
      </c>
      <c r="C151" s="96" t="str">
        <f t="shared" si="100"/>
        <v/>
      </c>
      <c r="D151" s="96" t="str">
        <f t="shared" si="101"/>
        <v/>
      </c>
      <c r="E151" s="3"/>
      <c r="F151" s="3"/>
      <c r="G151" s="3"/>
      <c r="H151" s="3"/>
      <c r="I151" s="20">
        <f>IFERROR(INDEX('Input - Target'!G$2:G$200,MATCH('Calculations - Target'!$D151,'Input - Target'!$B$2:$B$200,0)),"")</f>
        <v>0</v>
      </c>
      <c r="J151" s="20">
        <f>IFERROR(INDEX('Input - Target'!H$2:H$200,MATCH('Calculations - Target'!$D151,'Input - Target'!$B$2:$B$200,0)),"")</f>
        <v>0</v>
      </c>
      <c r="K151" s="21">
        <f>IFERROR(INDEX('Input - Target'!I$2:I$200,MATCH('Calculations - Target'!$D151,'Input - Target'!$B$2:$B$200,0)),"")</f>
        <v>0</v>
      </c>
      <c r="L151" s="21">
        <f>IFERROR(INDEX('Input - Target'!J$2:J$200,MATCH('Calculations - Target'!$D151,'Input - Target'!$B$2:$B$200,0)),"")</f>
        <v>0</v>
      </c>
      <c r="M151" s="20">
        <f>IFERROR(INDEX('Input - Target'!K$2:K$200,MATCH('Calculations - Target'!$D151,'Input - Target'!$B$2:$B$200,0)),"")</f>
        <v>0</v>
      </c>
      <c r="N151" s="20">
        <f>IFERROR(INDEX('Input - Target'!L$2:L$200,MATCH('Calculations - Target'!$D151,'Input - Target'!$B$2:$B$200,0)),"")</f>
        <v>0</v>
      </c>
      <c r="O151" s="21" t="str">
        <f t="shared" si="102"/>
        <v/>
      </c>
      <c r="P151" s="21" t="str">
        <f t="shared" si="86"/>
        <v/>
      </c>
      <c r="Q151" s="21">
        <f t="shared" si="103"/>
        <v>0</v>
      </c>
      <c r="R151" s="9">
        <f t="shared" si="121"/>
        <v>0</v>
      </c>
      <c r="S151" s="9">
        <f t="shared" si="122"/>
        <v>0</v>
      </c>
      <c r="T151" s="22" t="str">
        <f>IFERROR(INDEX(Target!$S$11:$S$167,MATCH('Calculations - Target'!$D151,Target!$N$11:$N$167,0)),"")</f>
        <v/>
      </c>
      <c r="U151" s="22" t="str">
        <f>IFERROR(INDEX(Target!$T$11:$T$167,MATCH('Calculations - Target'!$D151,Target!$N$11:$N$167,0)),"")</f>
        <v/>
      </c>
      <c r="V151" s="16" t="e">
        <f t="shared" si="87"/>
        <v>#VALUE!</v>
      </c>
      <c r="W151" s="16" t="e">
        <f t="shared" si="104"/>
        <v>#VALUE!</v>
      </c>
      <c r="X151" s="16" t="e">
        <f t="shared" si="105"/>
        <v>#VALUE!</v>
      </c>
      <c r="Y151" s="10" t="str">
        <f t="shared" si="88"/>
        <v>-</v>
      </c>
      <c r="Z151" s="10" t="str">
        <f t="shared" si="89"/>
        <v>-</v>
      </c>
      <c r="AA151" s="13" t="str">
        <f t="shared" si="106"/>
        <v>-</v>
      </c>
      <c r="AB151" s="9" t="str">
        <f t="shared" si="90"/>
        <v>-</v>
      </c>
      <c r="AC151" s="16" t="str">
        <f t="shared" si="107"/>
        <v>-</v>
      </c>
      <c r="AD151" s="16" t="str">
        <f t="shared" si="91"/>
        <v>-</v>
      </c>
      <c r="AE151" s="16" t="str">
        <f t="shared" si="92"/>
        <v>-</v>
      </c>
      <c r="AF151" s="16" t="str">
        <f t="shared" si="108"/>
        <v>-</v>
      </c>
      <c r="AG151" s="16"/>
      <c r="AH151" s="32" t="str">
        <f>IFERROR(INDEX(Target!$R$11:$R$167,MATCH('Calculations - Target'!D151,Target!$N$11:$N$167,0)),"")</f>
        <v/>
      </c>
      <c r="AI151" s="23" t="str">
        <f t="shared" si="109"/>
        <v/>
      </c>
      <c r="AJ151" s="23" t="str">
        <f t="shared" si="110"/>
        <v/>
      </c>
      <c r="AK151" s="9" t="str">
        <f t="shared" si="93"/>
        <v/>
      </c>
      <c r="AL151" s="4" t="str">
        <f t="shared" si="94"/>
        <v/>
      </c>
      <c r="AM151" s="4"/>
      <c r="AN151" s="4"/>
      <c r="AO151" s="4"/>
      <c r="AP151" s="4"/>
      <c r="AQ151" s="4"/>
      <c r="AR151" s="20" t="str">
        <f t="shared" si="95"/>
        <v>-</v>
      </c>
      <c r="AS151" s="13" t="str">
        <f t="shared" si="111"/>
        <v>-</v>
      </c>
      <c r="AT151" s="13" t="str">
        <f t="shared" si="112"/>
        <v>-</v>
      </c>
      <c r="AU151" s="13" t="str">
        <f t="shared" si="96"/>
        <v>-</v>
      </c>
      <c r="AV151" s="16" t="str">
        <f t="shared" si="113"/>
        <v>-</v>
      </c>
      <c r="AW151" s="16" t="str">
        <f t="shared" si="97"/>
        <v>-</v>
      </c>
      <c r="AX151" s="16" t="str">
        <f t="shared" si="98"/>
        <v>-</v>
      </c>
      <c r="AY151" s="16" t="str">
        <f t="shared" si="114"/>
        <v>-</v>
      </c>
      <c r="AZ151" s="13" t="str">
        <f t="shared" si="115"/>
        <v>-</v>
      </c>
      <c r="BA151" s="10" t="str">
        <f t="shared" si="116"/>
        <v>-</v>
      </c>
      <c r="BB151" s="9" t="str">
        <f t="shared" si="117"/>
        <v>-</v>
      </c>
      <c r="BC151" s="13" t="str">
        <f t="shared" si="118"/>
        <v>-</v>
      </c>
      <c r="BD151" s="10" t="str">
        <f t="shared" si="119"/>
        <v>-</v>
      </c>
      <c r="BE151" s="13" t="str">
        <f t="shared" si="120"/>
        <v>-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</row>
    <row r="152" spans="2:70" x14ac:dyDescent="0.3">
      <c r="B152" s="96" t="str">
        <f t="shared" si="99"/>
        <v/>
      </c>
      <c r="C152" s="96" t="str">
        <f t="shared" si="100"/>
        <v/>
      </c>
      <c r="D152" s="96" t="str">
        <f t="shared" si="101"/>
        <v/>
      </c>
      <c r="E152" s="3"/>
      <c r="F152" s="3"/>
      <c r="G152" s="3"/>
      <c r="H152" s="3"/>
      <c r="I152" s="20">
        <f>IFERROR(INDEX('Input - Target'!G$2:G$200,MATCH('Calculations - Target'!$D152,'Input - Target'!$B$2:$B$200,0)),"")</f>
        <v>0</v>
      </c>
      <c r="J152" s="20">
        <f>IFERROR(INDEX('Input - Target'!H$2:H$200,MATCH('Calculations - Target'!$D152,'Input - Target'!$B$2:$B$200,0)),"")</f>
        <v>0</v>
      </c>
      <c r="K152" s="21">
        <f>IFERROR(INDEX('Input - Target'!I$2:I$200,MATCH('Calculations - Target'!$D152,'Input - Target'!$B$2:$B$200,0)),"")</f>
        <v>0</v>
      </c>
      <c r="L152" s="21">
        <f>IFERROR(INDEX('Input - Target'!J$2:J$200,MATCH('Calculations - Target'!$D152,'Input - Target'!$B$2:$B$200,0)),"")</f>
        <v>0</v>
      </c>
      <c r="M152" s="20">
        <f>IFERROR(INDEX('Input - Target'!K$2:K$200,MATCH('Calculations - Target'!$D152,'Input - Target'!$B$2:$B$200,0)),"")</f>
        <v>0</v>
      </c>
      <c r="N152" s="20">
        <f>IFERROR(INDEX('Input - Target'!L$2:L$200,MATCH('Calculations - Target'!$D152,'Input - Target'!$B$2:$B$200,0)),"")</f>
        <v>0</v>
      </c>
      <c r="O152" s="21" t="str">
        <f t="shared" si="102"/>
        <v/>
      </c>
      <c r="P152" s="21" t="str">
        <f t="shared" si="86"/>
        <v/>
      </c>
      <c r="Q152" s="21">
        <f t="shared" si="103"/>
        <v>0</v>
      </c>
      <c r="R152" s="9">
        <f t="shared" si="121"/>
        <v>0</v>
      </c>
      <c r="S152" s="9">
        <f t="shared" si="122"/>
        <v>0</v>
      </c>
      <c r="T152" s="22" t="str">
        <f>IFERROR(INDEX(Target!$S$11:$S$167,MATCH('Calculations - Target'!$D152,Target!$N$11:$N$167,0)),"")</f>
        <v/>
      </c>
      <c r="U152" s="22" t="str">
        <f>IFERROR(INDEX(Target!$T$11:$T$167,MATCH('Calculations - Target'!$D152,Target!$N$11:$N$167,0)),"")</f>
        <v/>
      </c>
      <c r="V152" s="16" t="e">
        <f t="shared" si="87"/>
        <v>#VALUE!</v>
      </c>
      <c r="W152" s="16" t="e">
        <f t="shared" si="104"/>
        <v>#VALUE!</v>
      </c>
      <c r="X152" s="16" t="e">
        <f t="shared" si="105"/>
        <v>#VALUE!</v>
      </c>
      <c r="Y152" s="10" t="str">
        <f t="shared" si="88"/>
        <v>-</v>
      </c>
      <c r="Z152" s="10" t="str">
        <f t="shared" si="89"/>
        <v>-</v>
      </c>
      <c r="AA152" s="13" t="str">
        <f t="shared" si="106"/>
        <v>-</v>
      </c>
      <c r="AB152" s="9" t="str">
        <f t="shared" si="90"/>
        <v>-</v>
      </c>
      <c r="AC152" s="16" t="str">
        <f t="shared" si="107"/>
        <v>-</v>
      </c>
      <c r="AD152" s="16" t="str">
        <f t="shared" si="91"/>
        <v>-</v>
      </c>
      <c r="AE152" s="16" t="str">
        <f t="shared" si="92"/>
        <v>-</v>
      </c>
      <c r="AF152" s="16" t="str">
        <f t="shared" si="108"/>
        <v>-</v>
      </c>
      <c r="AG152" s="16"/>
      <c r="AH152" s="32" t="str">
        <f>IFERROR(INDEX(Target!$R$11:$R$167,MATCH('Calculations - Target'!D152,Target!$N$11:$N$167,0)),"")</f>
        <v/>
      </c>
      <c r="AI152" s="23" t="str">
        <f t="shared" si="109"/>
        <v/>
      </c>
      <c r="AJ152" s="23" t="str">
        <f t="shared" si="110"/>
        <v/>
      </c>
      <c r="AK152" s="9" t="str">
        <f t="shared" si="93"/>
        <v/>
      </c>
      <c r="AL152" s="4" t="str">
        <f t="shared" si="94"/>
        <v/>
      </c>
      <c r="AM152" s="4"/>
      <c r="AN152" s="4"/>
      <c r="AO152" s="4"/>
      <c r="AP152" s="4"/>
      <c r="AQ152" s="4"/>
      <c r="AR152" s="20" t="str">
        <f t="shared" si="95"/>
        <v>-</v>
      </c>
      <c r="AS152" s="13" t="str">
        <f t="shared" si="111"/>
        <v>-</v>
      </c>
      <c r="AT152" s="13" t="str">
        <f t="shared" si="112"/>
        <v>-</v>
      </c>
      <c r="AU152" s="13" t="str">
        <f t="shared" si="96"/>
        <v>-</v>
      </c>
      <c r="AV152" s="16" t="str">
        <f t="shared" si="113"/>
        <v>-</v>
      </c>
      <c r="AW152" s="16" t="str">
        <f t="shared" si="97"/>
        <v>-</v>
      </c>
      <c r="AX152" s="16" t="str">
        <f t="shared" si="98"/>
        <v>-</v>
      </c>
      <c r="AY152" s="16" t="str">
        <f t="shared" si="114"/>
        <v>-</v>
      </c>
      <c r="AZ152" s="13" t="str">
        <f t="shared" si="115"/>
        <v>-</v>
      </c>
      <c r="BA152" s="10" t="str">
        <f t="shared" si="116"/>
        <v>-</v>
      </c>
      <c r="BB152" s="9" t="str">
        <f t="shared" si="117"/>
        <v>-</v>
      </c>
      <c r="BC152" s="13" t="str">
        <f t="shared" si="118"/>
        <v>-</v>
      </c>
      <c r="BD152" s="10" t="str">
        <f t="shared" si="119"/>
        <v>-</v>
      </c>
      <c r="BE152" s="13" t="str">
        <f t="shared" si="120"/>
        <v>-</v>
      </c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</row>
    <row r="153" spans="2:70" x14ac:dyDescent="0.3">
      <c r="B153" s="96" t="str">
        <f t="shared" si="99"/>
        <v/>
      </c>
      <c r="C153" s="96" t="str">
        <f t="shared" si="100"/>
        <v/>
      </c>
      <c r="D153" s="96" t="str">
        <f t="shared" si="101"/>
        <v/>
      </c>
      <c r="E153" s="3"/>
      <c r="F153" s="3"/>
      <c r="G153" s="3"/>
      <c r="H153" s="3"/>
      <c r="I153" s="20">
        <f>IFERROR(INDEX('Input - Target'!G$2:G$200,MATCH('Calculations - Target'!$D153,'Input - Target'!$B$2:$B$200,0)),"")</f>
        <v>0</v>
      </c>
      <c r="J153" s="20">
        <f>IFERROR(INDEX('Input - Target'!H$2:H$200,MATCH('Calculations - Target'!$D153,'Input - Target'!$B$2:$B$200,0)),"")</f>
        <v>0</v>
      </c>
      <c r="K153" s="21">
        <f>IFERROR(INDEX('Input - Target'!I$2:I$200,MATCH('Calculations - Target'!$D153,'Input - Target'!$B$2:$B$200,0)),"")</f>
        <v>0</v>
      </c>
      <c r="L153" s="21">
        <f>IFERROR(INDEX('Input - Target'!J$2:J$200,MATCH('Calculations - Target'!$D153,'Input - Target'!$B$2:$B$200,0)),"")</f>
        <v>0</v>
      </c>
      <c r="M153" s="20">
        <f>IFERROR(INDEX('Input - Target'!K$2:K$200,MATCH('Calculations - Target'!$D153,'Input - Target'!$B$2:$B$200,0)),"")</f>
        <v>0</v>
      </c>
      <c r="N153" s="20">
        <f>IFERROR(INDEX('Input - Target'!L$2:L$200,MATCH('Calculations - Target'!$D153,'Input - Target'!$B$2:$B$200,0)),"")</f>
        <v>0</v>
      </c>
      <c r="O153" s="21" t="str">
        <f t="shared" si="102"/>
        <v/>
      </c>
      <c r="P153" s="21" t="str">
        <f t="shared" si="86"/>
        <v/>
      </c>
      <c r="Q153" s="21">
        <f t="shared" si="103"/>
        <v>0</v>
      </c>
      <c r="R153" s="9">
        <f t="shared" si="121"/>
        <v>0</v>
      </c>
      <c r="S153" s="9">
        <f t="shared" si="122"/>
        <v>0</v>
      </c>
      <c r="T153" s="22" t="str">
        <f>IFERROR(INDEX(Target!$S$11:$S$167,MATCH('Calculations - Target'!$D153,Target!$N$11:$N$167,0)),"")</f>
        <v/>
      </c>
      <c r="U153" s="22" t="str">
        <f>IFERROR(INDEX(Target!$T$11:$T$167,MATCH('Calculations - Target'!$D153,Target!$N$11:$N$167,0)),"")</f>
        <v/>
      </c>
      <c r="V153" s="16" t="e">
        <f t="shared" si="87"/>
        <v>#VALUE!</v>
      </c>
      <c r="W153" s="16" t="e">
        <f t="shared" si="104"/>
        <v>#VALUE!</v>
      </c>
      <c r="X153" s="16" t="e">
        <f t="shared" si="105"/>
        <v>#VALUE!</v>
      </c>
      <c r="Y153" s="10" t="str">
        <f t="shared" si="88"/>
        <v>-</v>
      </c>
      <c r="Z153" s="10" t="str">
        <f t="shared" si="89"/>
        <v>-</v>
      </c>
      <c r="AA153" s="13" t="str">
        <f t="shared" si="106"/>
        <v>-</v>
      </c>
      <c r="AB153" s="9" t="str">
        <f t="shared" si="90"/>
        <v>-</v>
      </c>
      <c r="AC153" s="16" t="str">
        <f t="shared" si="107"/>
        <v>-</v>
      </c>
      <c r="AD153" s="16" t="str">
        <f t="shared" si="91"/>
        <v>-</v>
      </c>
      <c r="AE153" s="16" t="str">
        <f t="shared" si="92"/>
        <v>-</v>
      </c>
      <c r="AF153" s="16" t="str">
        <f t="shared" si="108"/>
        <v>-</v>
      </c>
      <c r="AG153" s="16"/>
      <c r="AH153" s="32" t="str">
        <f>IFERROR(INDEX(Target!$R$11:$R$167,MATCH('Calculations - Target'!D153,Target!$N$11:$N$167,0)),"")</f>
        <v/>
      </c>
      <c r="AI153" s="23" t="str">
        <f t="shared" si="109"/>
        <v/>
      </c>
      <c r="AJ153" s="23" t="str">
        <f t="shared" si="110"/>
        <v/>
      </c>
      <c r="AK153" s="9" t="str">
        <f t="shared" si="93"/>
        <v/>
      </c>
      <c r="AL153" s="4" t="str">
        <f t="shared" si="94"/>
        <v/>
      </c>
      <c r="AM153" s="4"/>
      <c r="AN153" s="4"/>
      <c r="AO153" s="4"/>
      <c r="AP153" s="4"/>
      <c r="AQ153" s="4"/>
      <c r="AR153" s="20" t="str">
        <f t="shared" si="95"/>
        <v>-</v>
      </c>
      <c r="AS153" s="13" t="str">
        <f t="shared" si="111"/>
        <v>-</v>
      </c>
      <c r="AT153" s="13" t="str">
        <f t="shared" si="112"/>
        <v>-</v>
      </c>
      <c r="AU153" s="13" t="str">
        <f t="shared" si="96"/>
        <v>-</v>
      </c>
      <c r="AV153" s="16" t="str">
        <f t="shared" si="113"/>
        <v>-</v>
      </c>
      <c r="AW153" s="16" t="str">
        <f t="shared" si="97"/>
        <v>-</v>
      </c>
      <c r="AX153" s="16" t="str">
        <f t="shared" si="98"/>
        <v>-</v>
      </c>
      <c r="AY153" s="16" t="str">
        <f t="shared" si="114"/>
        <v>-</v>
      </c>
      <c r="AZ153" s="13" t="str">
        <f t="shared" si="115"/>
        <v>-</v>
      </c>
      <c r="BA153" s="10" t="str">
        <f t="shared" si="116"/>
        <v>-</v>
      </c>
      <c r="BB153" s="9" t="str">
        <f t="shared" si="117"/>
        <v>-</v>
      </c>
      <c r="BC153" s="13" t="str">
        <f t="shared" si="118"/>
        <v>-</v>
      </c>
      <c r="BD153" s="10" t="str">
        <f t="shared" si="119"/>
        <v>-</v>
      </c>
      <c r="BE153" s="13" t="str">
        <f t="shared" si="120"/>
        <v>-</v>
      </c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</row>
    <row r="154" spans="2:70" x14ac:dyDescent="0.3">
      <c r="B154" s="96" t="str">
        <f t="shared" si="99"/>
        <v/>
      </c>
      <c r="C154" s="96" t="str">
        <f t="shared" si="100"/>
        <v/>
      </c>
      <c r="D154" s="96" t="str">
        <f t="shared" si="101"/>
        <v/>
      </c>
      <c r="E154" s="3"/>
      <c r="F154" s="3"/>
      <c r="G154" s="3"/>
      <c r="H154" s="3"/>
      <c r="I154" s="20">
        <f>IFERROR(INDEX('Input - Target'!G$2:G$200,MATCH('Calculations - Target'!$D154,'Input - Target'!$B$2:$B$200,0)),"")</f>
        <v>0</v>
      </c>
      <c r="J154" s="20">
        <f>IFERROR(INDEX('Input - Target'!H$2:H$200,MATCH('Calculations - Target'!$D154,'Input - Target'!$B$2:$B$200,0)),"")</f>
        <v>0</v>
      </c>
      <c r="K154" s="21">
        <f>IFERROR(INDEX('Input - Target'!I$2:I$200,MATCH('Calculations - Target'!$D154,'Input - Target'!$B$2:$B$200,0)),"")</f>
        <v>0</v>
      </c>
      <c r="L154" s="21">
        <f>IFERROR(INDEX('Input - Target'!J$2:J$200,MATCH('Calculations - Target'!$D154,'Input - Target'!$B$2:$B$200,0)),"")</f>
        <v>0</v>
      </c>
      <c r="M154" s="20">
        <f>IFERROR(INDEX('Input - Target'!K$2:K$200,MATCH('Calculations - Target'!$D154,'Input - Target'!$B$2:$B$200,0)),"")</f>
        <v>0</v>
      </c>
      <c r="N154" s="20">
        <f>IFERROR(INDEX('Input - Target'!L$2:L$200,MATCH('Calculations - Target'!$D154,'Input - Target'!$B$2:$B$200,0)),"")</f>
        <v>0</v>
      </c>
      <c r="O154" s="21" t="str">
        <f t="shared" si="102"/>
        <v/>
      </c>
      <c r="P154" s="21" t="str">
        <f t="shared" si="86"/>
        <v/>
      </c>
      <c r="Q154" s="21">
        <f t="shared" si="103"/>
        <v>0</v>
      </c>
      <c r="R154" s="9">
        <f t="shared" si="121"/>
        <v>0</v>
      </c>
      <c r="S154" s="9">
        <f t="shared" si="122"/>
        <v>0</v>
      </c>
      <c r="T154" s="22" t="str">
        <f>IFERROR(INDEX(Target!$S$11:$S$167,MATCH('Calculations - Target'!$D154,Target!$N$11:$N$167,0)),"")</f>
        <v/>
      </c>
      <c r="U154" s="22" t="str">
        <f>IFERROR(INDEX(Target!$T$11:$T$167,MATCH('Calculations - Target'!$D154,Target!$N$11:$N$167,0)),"")</f>
        <v/>
      </c>
      <c r="V154" s="16" t="e">
        <f t="shared" si="87"/>
        <v>#VALUE!</v>
      </c>
      <c r="W154" s="16" t="e">
        <f t="shared" si="104"/>
        <v>#VALUE!</v>
      </c>
      <c r="X154" s="16" t="e">
        <f t="shared" si="105"/>
        <v>#VALUE!</v>
      </c>
      <c r="Y154" s="10" t="str">
        <f t="shared" si="88"/>
        <v>-</v>
      </c>
      <c r="Z154" s="10" t="str">
        <f t="shared" si="89"/>
        <v>-</v>
      </c>
      <c r="AA154" s="13" t="str">
        <f t="shared" si="106"/>
        <v>-</v>
      </c>
      <c r="AB154" s="9" t="str">
        <f t="shared" si="90"/>
        <v>-</v>
      </c>
      <c r="AC154" s="16" t="str">
        <f t="shared" si="107"/>
        <v>-</v>
      </c>
      <c r="AD154" s="16" t="str">
        <f t="shared" si="91"/>
        <v>-</v>
      </c>
      <c r="AE154" s="16" t="str">
        <f t="shared" si="92"/>
        <v>-</v>
      </c>
      <c r="AF154" s="16" t="str">
        <f t="shared" si="108"/>
        <v>-</v>
      </c>
      <c r="AG154" s="16"/>
      <c r="AH154" s="32" t="str">
        <f>IFERROR(INDEX(Target!$R$11:$R$167,MATCH('Calculations - Target'!D154,Target!$N$11:$N$167,0)),"")</f>
        <v/>
      </c>
      <c r="AI154" s="23" t="str">
        <f t="shared" si="109"/>
        <v/>
      </c>
      <c r="AJ154" s="23" t="str">
        <f t="shared" si="110"/>
        <v/>
      </c>
      <c r="AK154" s="9" t="str">
        <f t="shared" si="93"/>
        <v/>
      </c>
      <c r="AL154" s="4" t="str">
        <f t="shared" si="94"/>
        <v/>
      </c>
      <c r="AM154" s="4"/>
      <c r="AN154" s="4"/>
      <c r="AO154" s="4"/>
      <c r="AP154" s="4"/>
      <c r="AQ154" s="4"/>
      <c r="AR154" s="20" t="str">
        <f t="shared" si="95"/>
        <v>-</v>
      </c>
      <c r="AS154" s="13" t="str">
        <f t="shared" si="111"/>
        <v>-</v>
      </c>
      <c r="AT154" s="13" t="str">
        <f t="shared" si="112"/>
        <v>-</v>
      </c>
      <c r="AU154" s="13" t="str">
        <f t="shared" si="96"/>
        <v>-</v>
      </c>
      <c r="AV154" s="16" t="str">
        <f t="shared" si="113"/>
        <v>-</v>
      </c>
      <c r="AW154" s="16" t="str">
        <f t="shared" si="97"/>
        <v>-</v>
      </c>
      <c r="AX154" s="16" t="str">
        <f t="shared" si="98"/>
        <v>-</v>
      </c>
      <c r="AY154" s="16" t="str">
        <f t="shared" si="114"/>
        <v>-</v>
      </c>
      <c r="AZ154" s="13" t="str">
        <f t="shared" si="115"/>
        <v>-</v>
      </c>
      <c r="BA154" s="10" t="str">
        <f t="shared" si="116"/>
        <v>-</v>
      </c>
      <c r="BB154" s="9" t="str">
        <f t="shared" si="117"/>
        <v>-</v>
      </c>
      <c r="BC154" s="13" t="str">
        <f t="shared" si="118"/>
        <v>-</v>
      </c>
      <c r="BD154" s="10" t="str">
        <f t="shared" si="119"/>
        <v>-</v>
      </c>
      <c r="BE154" s="13" t="str">
        <f t="shared" si="120"/>
        <v>-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</row>
    <row r="155" spans="2:70" x14ac:dyDescent="0.3">
      <c r="B155" s="96" t="str">
        <f t="shared" si="99"/>
        <v/>
      </c>
      <c r="C155" s="96" t="str">
        <f t="shared" si="100"/>
        <v/>
      </c>
      <c r="D155" s="96" t="str">
        <f t="shared" si="101"/>
        <v/>
      </c>
      <c r="E155" s="3"/>
      <c r="F155" s="3"/>
      <c r="G155" s="3"/>
      <c r="H155" s="3"/>
      <c r="I155" s="20">
        <f>IFERROR(INDEX('Input - Target'!G$2:G$200,MATCH('Calculations - Target'!$D155,'Input - Target'!$B$2:$B$200,0)),"")</f>
        <v>0</v>
      </c>
      <c r="J155" s="20">
        <f>IFERROR(INDEX('Input - Target'!H$2:H$200,MATCH('Calculations - Target'!$D155,'Input - Target'!$B$2:$B$200,0)),"")</f>
        <v>0</v>
      </c>
      <c r="K155" s="21">
        <f>IFERROR(INDEX('Input - Target'!I$2:I$200,MATCH('Calculations - Target'!$D155,'Input - Target'!$B$2:$B$200,0)),"")</f>
        <v>0</v>
      </c>
      <c r="L155" s="21">
        <f>IFERROR(INDEX('Input - Target'!J$2:J$200,MATCH('Calculations - Target'!$D155,'Input - Target'!$B$2:$B$200,0)),"")</f>
        <v>0</v>
      </c>
      <c r="M155" s="20">
        <f>IFERROR(INDEX('Input - Target'!K$2:K$200,MATCH('Calculations - Target'!$D155,'Input - Target'!$B$2:$B$200,0)),"")</f>
        <v>0</v>
      </c>
      <c r="N155" s="20">
        <f>IFERROR(INDEX('Input - Target'!L$2:L$200,MATCH('Calculations - Target'!$D155,'Input - Target'!$B$2:$B$200,0)),"")</f>
        <v>0</v>
      </c>
      <c r="O155" s="21" t="str">
        <f t="shared" si="102"/>
        <v/>
      </c>
      <c r="P155" s="21" t="str">
        <f t="shared" si="86"/>
        <v/>
      </c>
      <c r="Q155" s="21">
        <f t="shared" si="103"/>
        <v>0</v>
      </c>
      <c r="R155" s="9">
        <f t="shared" si="121"/>
        <v>0</v>
      </c>
      <c r="S155" s="9">
        <f t="shared" si="122"/>
        <v>0</v>
      </c>
      <c r="T155" s="22" t="str">
        <f>IFERROR(INDEX(Target!$S$11:$S$167,MATCH('Calculations - Target'!$D155,Target!$N$11:$N$167,0)),"")</f>
        <v/>
      </c>
      <c r="U155" s="22" t="str">
        <f>IFERROR(INDEX(Target!$T$11:$T$167,MATCH('Calculations - Target'!$D155,Target!$N$11:$N$167,0)),"")</f>
        <v/>
      </c>
      <c r="V155" s="16" t="e">
        <f t="shared" si="87"/>
        <v>#VALUE!</v>
      </c>
      <c r="W155" s="16" t="e">
        <f t="shared" si="104"/>
        <v>#VALUE!</v>
      </c>
      <c r="X155" s="16" t="e">
        <f t="shared" si="105"/>
        <v>#VALUE!</v>
      </c>
      <c r="Y155" s="10" t="str">
        <f t="shared" si="88"/>
        <v>-</v>
      </c>
      <c r="Z155" s="10" t="str">
        <f t="shared" si="89"/>
        <v>-</v>
      </c>
      <c r="AA155" s="13" t="str">
        <f t="shared" si="106"/>
        <v>-</v>
      </c>
      <c r="AB155" s="9" t="str">
        <f t="shared" si="90"/>
        <v>-</v>
      </c>
      <c r="AC155" s="16" t="str">
        <f t="shared" si="107"/>
        <v>-</v>
      </c>
      <c r="AD155" s="16" t="str">
        <f t="shared" si="91"/>
        <v>-</v>
      </c>
      <c r="AE155" s="16" t="str">
        <f t="shared" si="92"/>
        <v>-</v>
      </c>
      <c r="AF155" s="16" t="str">
        <f t="shared" si="108"/>
        <v>-</v>
      </c>
      <c r="AG155" s="16"/>
      <c r="AH155" s="32" t="str">
        <f>IFERROR(INDEX(Target!$R$11:$R$167,MATCH('Calculations - Target'!D155,Target!$N$11:$N$167,0)),"")</f>
        <v/>
      </c>
      <c r="AI155" s="23" t="str">
        <f t="shared" si="109"/>
        <v/>
      </c>
      <c r="AJ155" s="23" t="str">
        <f t="shared" si="110"/>
        <v/>
      </c>
      <c r="AK155" s="9" t="str">
        <f t="shared" si="93"/>
        <v/>
      </c>
      <c r="AL155" s="4" t="str">
        <f t="shared" si="94"/>
        <v/>
      </c>
      <c r="AM155" s="4"/>
      <c r="AN155" s="4"/>
      <c r="AO155" s="4"/>
      <c r="AP155" s="4"/>
      <c r="AQ155" s="4"/>
      <c r="AR155" s="20" t="str">
        <f t="shared" si="95"/>
        <v>-</v>
      </c>
      <c r="AS155" s="13" t="str">
        <f t="shared" si="111"/>
        <v>-</v>
      </c>
      <c r="AT155" s="13" t="str">
        <f t="shared" si="112"/>
        <v>-</v>
      </c>
      <c r="AU155" s="13" t="str">
        <f t="shared" si="96"/>
        <v>-</v>
      </c>
      <c r="AV155" s="16" t="str">
        <f t="shared" si="113"/>
        <v>-</v>
      </c>
      <c r="AW155" s="16" t="str">
        <f t="shared" si="97"/>
        <v>-</v>
      </c>
      <c r="AX155" s="16" t="str">
        <f t="shared" si="98"/>
        <v>-</v>
      </c>
      <c r="AY155" s="16" t="str">
        <f t="shared" si="114"/>
        <v>-</v>
      </c>
      <c r="AZ155" s="13" t="str">
        <f t="shared" si="115"/>
        <v>-</v>
      </c>
      <c r="BA155" s="10" t="str">
        <f t="shared" si="116"/>
        <v>-</v>
      </c>
      <c r="BB155" s="9" t="str">
        <f t="shared" si="117"/>
        <v>-</v>
      </c>
      <c r="BC155" s="13" t="str">
        <f t="shared" si="118"/>
        <v>-</v>
      </c>
      <c r="BD155" s="10" t="str">
        <f t="shared" si="119"/>
        <v>-</v>
      </c>
      <c r="BE155" s="13" t="str">
        <f t="shared" si="120"/>
        <v>-</v>
      </c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</row>
    <row r="156" spans="2:70" x14ac:dyDescent="0.3">
      <c r="B156" s="96" t="str">
        <f t="shared" si="99"/>
        <v/>
      </c>
      <c r="C156" s="96" t="str">
        <f t="shared" si="100"/>
        <v/>
      </c>
      <c r="D156" s="96" t="str">
        <f t="shared" si="101"/>
        <v/>
      </c>
      <c r="E156" s="3"/>
      <c r="F156" s="3"/>
      <c r="G156" s="3"/>
      <c r="H156" s="3"/>
      <c r="I156" s="20">
        <f>IFERROR(INDEX('Input - Target'!G$2:G$200,MATCH('Calculations - Target'!$D156,'Input - Target'!$B$2:$B$200,0)),"")</f>
        <v>0</v>
      </c>
      <c r="J156" s="20">
        <f>IFERROR(INDEX('Input - Target'!H$2:H$200,MATCH('Calculations - Target'!$D156,'Input - Target'!$B$2:$B$200,0)),"")</f>
        <v>0</v>
      </c>
      <c r="K156" s="21">
        <f>IFERROR(INDEX('Input - Target'!I$2:I$200,MATCH('Calculations - Target'!$D156,'Input - Target'!$B$2:$B$200,0)),"")</f>
        <v>0</v>
      </c>
      <c r="L156" s="21">
        <f>IFERROR(INDEX('Input - Target'!J$2:J$200,MATCH('Calculations - Target'!$D156,'Input - Target'!$B$2:$B$200,0)),"")</f>
        <v>0</v>
      </c>
      <c r="M156" s="20">
        <f>IFERROR(INDEX('Input - Target'!K$2:K$200,MATCH('Calculations - Target'!$D156,'Input - Target'!$B$2:$B$200,0)),"")</f>
        <v>0</v>
      </c>
      <c r="N156" s="20">
        <f>IFERROR(INDEX('Input - Target'!L$2:L$200,MATCH('Calculations - Target'!$D156,'Input - Target'!$B$2:$B$200,0)),"")</f>
        <v>0</v>
      </c>
      <c r="O156" s="21" t="str">
        <f t="shared" si="102"/>
        <v/>
      </c>
      <c r="P156" s="21" t="str">
        <f t="shared" si="86"/>
        <v/>
      </c>
      <c r="Q156" s="21">
        <f t="shared" si="103"/>
        <v>0</v>
      </c>
      <c r="R156" s="9">
        <f t="shared" si="121"/>
        <v>0</v>
      </c>
      <c r="S156" s="9">
        <f t="shared" si="122"/>
        <v>0</v>
      </c>
      <c r="T156" s="22" t="str">
        <f>IFERROR(INDEX(Target!$S$11:$S$167,MATCH('Calculations - Target'!$D156,Target!$N$11:$N$167,0)),"")</f>
        <v/>
      </c>
      <c r="U156" s="22" t="str">
        <f>IFERROR(INDEX(Target!$T$11:$T$167,MATCH('Calculations - Target'!$D156,Target!$N$11:$N$167,0)),"")</f>
        <v/>
      </c>
      <c r="V156" s="16" t="e">
        <f t="shared" si="87"/>
        <v>#VALUE!</v>
      </c>
      <c r="W156" s="16" t="e">
        <f t="shared" si="104"/>
        <v>#VALUE!</v>
      </c>
      <c r="X156" s="16" t="e">
        <f t="shared" si="105"/>
        <v>#VALUE!</v>
      </c>
      <c r="Y156" s="10" t="str">
        <f t="shared" si="88"/>
        <v>-</v>
      </c>
      <c r="Z156" s="10" t="str">
        <f t="shared" si="89"/>
        <v>-</v>
      </c>
      <c r="AA156" s="13" t="str">
        <f t="shared" si="106"/>
        <v>-</v>
      </c>
      <c r="AB156" s="9" t="str">
        <f t="shared" si="90"/>
        <v>-</v>
      </c>
      <c r="AC156" s="16" t="str">
        <f t="shared" si="107"/>
        <v>-</v>
      </c>
      <c r="AD156" s="16" t="str">
        <f t="shared" si="91"/>
        <v>-</v>
      </c>
      <c r="AE156" s="16" t="str">
        <f t="shared" si="92"/>
        <v>-</v>
      </c>
      <c r="AF156" s="16" t="str">
        <f t="shared" si="108"/>
        <v>-</v>
      </c>
      <c r="AG156" s="16"/>
      <c r="AH156" s="32" t="str">
        <f>IFERROR(INDEX(Target!$R$11:$R$167,MATCH('Calculations - Target'!D156,Target!$N$11:$N$167,0)),"")</f>
        <v/>
      </c>
      <c r="AI156" s="23" t="str">
        <f t="shared" si="109"/>
        <v/>
      </c>
      <c r="AJ156" s="23" t="str">
        <f t="shared" si="110"/>
        <v/>
      </c>
      <c r="AK156" s="9" t="str">
        <f t="shared" si="93"/>
        <v/>
      </c>
      <c r="AL156" s="4" t="str">
        <f t="shared" si="94"/>
        <v/>
      </c>
      <c r="AM156" s="4"/>
      <c r="AN156" s="4"/>
      <c r="AO156" s="4"/>
      <c r="AP156" s="4"/>
      <c r="AQ156" s="4"/>
      <c r="AR156" s="20" t="str">
        <f t="shared" si="95"/>
        <v>-</v>
      </c>
      <c r="AS156" s="13" t="str">
        <f t="shared" si="111"/>
        <v>-</v>
      </c>
      <c r="AT156" s="13" t="str">
        <f t="shared" si="112"/>
        <v>-</v>
      </c>
      <c r="AU156" s="13" t="str">
        <f t="shared" si="96"/>
        <v>-</v>
      </c>
      <c r="AV156" s="16" t="str">
        <f t="shared" si="113"/>
        <v>-</v>
      </c>
      <c r="AW156" s="16" t="str">
        <f t="shared" si="97"/>
        <v>-</v>
      </c>
      <c r="AX156" s="16" t="str">
        <f t="shared" si="98"/>
        <v>-</v>
      </c>
      <c r="AY156" s="16" t="str">
        <f t="shared" si="114"/>
        <v>-</v>
      </c>
      <c r="AZ156" s="13" t="str">
        <f t="shared" si="115"/>
        <v>-</v>
      </c>
      <c r="BA156" s="10" t="str">
        <f t="shared" si="116"/>
        <v>-</v>
      </c>
      <c r="BB156" s="9" t="str">
        <f t="shared" si="117"/>
        <v>-</v>
      </c>
      <c r="BC156" s="13" t="str">
        <f t="shared" si="118"/>
        <v>-</v>
      </c>
      <c r="BD156" s="10" t="str">
        <f t="shared" si="119"/>
        <v>-</v>
      </c>
      <c r="BE156" s="13" t="str">
        <f t="shared" si="120"/>
        <v>-</v>
      </c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</row>
    <row r="157" spans="2:70" x14ac:dyDescent="0.3">
      <c r="B157" s="96" t="str">
        <f t="shared" si="99"/>
        <v/>
      </c>
      <c r="C157" s="96" t="str">
        <f t="shared" si="100"/>
        <v/>
      </c>
      <c r="D157" s="96" t="str">
        <f t="shared" si="101"/>
        <v/>
      </c>
      <c r="E157" s="3"/>
      <c r="F157" s="3"/>
      <c r="G157" s="3"/>
      <c r="H157" s="3"/>
      <c r="I157" s="20">
        <f>IFERROR(INDEX('Input - Target'!G$2:G$200,MATCH('Calculations - Target'!$D157,'Input - Target'!$B$2:$B$200,0)),"")</f>
        <v>0</v>
      </c>
      <c r="J157" s="20">
        <f>IFERROR(INDEX('Input - Target'!H$2:H$200,MATCH('Calculations - Target'!$D157,'Input - Target'!$B$2:$B$200,0)),"")</f>
        <v>0</v>
      </c>
      <c r="K157" s="21">
        <f>IFERROR(INDEX('Input - Target'!I$2:I$200,MATCH('Calculations - Target'!$D157,'Input - Target'!$B$2:$B$200,0)),"")</f>
        <v>0</v>
      </c>
      <c r="L157" s="21">
        <f>IFERROR(INDEX('Input - Target'!J$2:J$200,MATCH('Calculations - Target'!$D157,'Input - Target'!$B$2:$B$200,0)),"")</f>
        <v>0</v>
      </c>
      <c r="M157" s="20">
        <f>IFERROR(INDEX('Input - Target'!K$2:K$200,MATCH('Calculations - Target'!$D157,'Input - Target'!$B$2:$B$200,0)),"")</f>
        <v>0</v>
      </c>
      <c r="N157" s="20">
        <f>IFERROR(INDEX('Input - Target'!L$2:L$200,MATCH('Calculations - Target'!$D157,'Input - Target'!$B$2:$B$200,0)),"")</f>
        <v>0</v>
      </c>
      <c r="O157" s="21" t="str">
        <f t="shared" si="102"/>
        <v/>
      </c>
      <c r="P157" s="21" t="str">
        <f t="shared" si="86"/>
        <v/>
      </c>
      <c r="Q157" s="21">
        <f t="shared" si="103"/>
        <v>0</v>
      </c>
      <c r="R157" s="9">
        <f t="shared" si="121"/>
        <v>0</v>
      </c>
      <c r="S157" s="9">
        <f t="shared" si="122"/>
        <v>0</v>
      </c>
      <c r="T157" s="22" t="str">
        <f>IFERROR(INDEX(Target!$S$11:$S$167,MATCH('Calculations - Target'!$D157,Target!$N$11:$N$167,0)),"")</f>
        <v/>
      </c>
      <c r="U157" s="22" t="str">
        <f>IFERROR(INDEX(Target!$T$11:$T$167,MATCH('Calculations - Target'!$D157,Target!$N$11:$N$167,0)),"")</f>
        <v/>
      </c>
      <c r="V157" s="16" t="e">
        <f t="shared" si="87"/>
        <v>#VALUE!</v>
      </c>
      <c r="W157" s="16" t="e">
        <f t="shared" si="104"/>
        <v>#VALUE!</v>
      </c>
      <c r="X157" s="16" t="e">
        <f t="shared" si="105"/>
        <v>#VALUE!</v>
      </c>
      <c r="Y157" s="10" t="str">
        <f t="shared" si="88"/>
        <v>-</v>
      </c>
      <c r="Z157" s="10" t="str">
        <f t="shared" si="89"/>
        <v>-</v>
      </c>
      <c r="AA157" s="13" t="str">
        <f t="shared" si="106"/>
        <v>-</v>
      </c>
      <c r="AB157" s="9" t="str">
        <f t="shared" si="90"/>
        <v>-</v>
      </c>
      <c r="AC157" s="16" t="str">
        <f t="shared" si="107"/>
        <v>-</v>
      </c>
      <c r="AD157" s="16" t="str">
        <f t="shared" si="91"/>
        <v>-</v>
      </c>
      <c r="AE157" s="16" t="str">
        <f t="shared" si="92"/>
        <v>-</v>
      </c>
      <c r="AF157" s="16" t="str">
        <f t="shared" si="108"/>
        <v>-</v>
      </c>
      <c r="AG157" s="16"/>
      <c r="AH157" s="32" t="str">
        <f>IFERROR(INDEX(Target!$R$11:$R$167,MATCH('Calculations - Target'!D157,Target!$N$11:$N$167,0)),"")</f>
        <v/>
      </c>
      <c r="AI157" s="23" t="str">
        <f t="shared" si="109"/>
        <v/>
      </c>
      <c r="AJ157" s="23" t="str">
        <f t="shared" si="110"/>
        <v/>
      </c>
      <c r="AK157" s="9" t="str">
        <f t="shared" si="93"/>
        <v/>
      </c>
      <c r="AL157" s="4" t="str">
        <f t="shared" si="94"/>
        <v/>
      </c>
      <c r="AM157" s="4"/>
      <c r="AN157" s="4"/>
      <c r="AO157" s="4"/>
      <c r="AP157" s="4"/>
      <c r="AQ157" s="4"/>
      <c r="AR157" s="20" t="str">
        <f t="shared" si="95"/>
        <v>-</v>
      </c>
      <c r="AS157" s="13" t="str">
        <f t="shared" si="111"/>
        <v>-</v>
      </c>
      <c r="AT157" s="13" t="str">
        <f t="shared" si="112"/>
        <v>-</v>
      </c>
      <c r="AU157" s="13" t="str">
        <f t="shared" si="96"/>
        <v>-</v>
      </c>
      <c r="AV157" s="16" t="str">
        <f t="shared" si="113"/>
        <v>-</v>
      </c>
      <c r="AW157" s="16" t="str">
        <f t="shared" si="97"/>
        <v>-</v>
      </c>
      <c r="AX157" s="16" t="str">
        <f t="shared" si="98"/>
        <v>-</v>
      </c>
      <c r="AY157" s="16" t="str">
        <f t="shared" si="114"/>
        <v>-</v>
      </c>
      <c r="AZ157" s="13" t="str">
        <f t="shared" si="115"/>
        <v>-</v>
      </c>
      <c r="BA157" s="10" t="str">
        <f t="shared" si="116"/>
        <v>-</v>
      </c>
      <c r="BB157" s="9" t="str">
        <f t="shared" si="117"/>
        <v>-</v>
      </c>
      <c r="BC157" s="13" t="str">
        <f t="shared" si="118"/>
        <v>-</v>
      </c>
      <c r="BD157" s="10" t="str">
        <f t="shared" si="119"/>
        <v>-</v>
      </c>
      <c r="BE157" s="13" t="str">
        <f t="shared" si="120"/>
        <v>-</v>
      </c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</row>
    <row r="158" spans="2:70" x14ac:dyDescent="0.3">
      <c r="B158" s="96" t="str">
        <f t="shared" si="99"/>
        <v/>
      </c>
      <c r="C158" s="96" t="str">
        <f t="shared" si="100"/>
        <v/>
      </c>
      <c r="D158" s="96" t="str">
        <f t="shared" si="101"/>
        <v/>
      </c>
      <c r="E158" s="3"/>
      <c r="F158" s="3"/>
      <c r="G158" s="3"/>
      <c r="H158" s="3"/>
      <c r="I158" s="20">
        <f>IFERROR(INDEX('Input - Target'!G$2:G$200,MATCH('Calculations - Target'!$D158,'Input - Target'!$B$2:$B$200,0)),"")</f>
        <v>0</v>
      </c>
      <c r="J158" s="20">
        <f>IFERROR(INDEX('Input - Target'!H$2:H$200,MATCH('Calculations - Target'!$D158,'Input - Target'!$B$2:$B$200,0)),"")</f>
        <v>0</v>
      </c>
      <c r="K158" s="21">
        <f>IFERROR(INDEX('Input - Target'!I$2:I$200,MATCH('Calculations - Target'!$D158,'Input - Target'!$B$2:$B$200,0)),"")</f>
        <v>0</v>
      </c>
      <c r="L158" s="21">
        <f>IFERROR(INDEX('Input - Target'!J$2:J$200,MATCH('Calculations - Target'!$D158,'Input - Target'!$B$2:$B$200,0)),"")</f>
        <v>0</v>
      </c>
      <c r="M158" s="20">
        <f>IFERROR(INDEX('Input - Target'!K$2:K$200,MATCH('Calculations - Target'!$D158,'Input - Target'!$B$2:$B$200,0)),"")</f>
        <v>0</v>
      </c>
      <c r="N158" s="20">
        <f>IFERROR(INDEX('Input - Target'!L$2:L$200,MATCH('Calculations - Target'!$D158,'Input - Target'!$B$2:$B$200,0)),"")</f>
        <v>0</v>
      </c>
      <c r="O158" s="21" t="str">
        <f t="shared" si="102"/>
        <v/>
      </c>
      <c r="P158" s="21" t="str">
        <f t="shared" si="86"/>
        <v/>
      </c>
      <c r="Q158" s="21">
        <f t="shared" si="103"/>
        <v>0</v>
      </c>
      <c r="R158" s="9">
        <f t="shared" si="121"/>
        <v>0</v>
      </c>
      <c r="S158" s="9">
        <f t="shared" si="122"/>
        <v>0</v>
      </c>
      <c r="T158" s="22" t="str">
        <f>IFERROR(INDEX(Target!$S$11:$S$167,MATCH('Calculations - Target'!$D158,Target!$N$11:$N$167,0)),"")</f>
        <v/>
      </c>
      <c r="U158" s="22" t="str">
        <f>IFERROR(INDEX(Target!$T$11:$T$167,MATCH('Calculations - Target'!$D158,Target!$N$11:$N$167,0)),"")</f>
        <v/>
      </c>
      <c r="V158" s="16" t="e">
        <f t="shared" si="87"/>
        <v>#VALUE!</v>
      </c>
      <c r="W158" s="16" t="e">
        <f t="shared" si="104"/>
        <v>#VALUE!</v>
      </c>
      <c r="X158" s="16" t="e">
        <f t="shared" si="105"/>
        <v>#VALUE!</v>
      </c>
      <c r="Y158" s="10" t="str">
        <f t="shared" si="88"/>
        <v>-</v>
      </c>
      <c r="Z158" s="10" t="str">
        <f t="shared" si="89"/>
        <v>-</v>
      </c>
      <c r="AA158" s="13" t="str">
        <f t="shared" si="106"/>
        <v>-</v>
      </c>
      <c r="AB158" s="9" t="str">
        <f t="shared" si="90"/>
        <v>-</v>
      </c>
      <c r="AC158" s="16" t="str">
        <f t="shared" si="107"/>
        <v>-</v>
      </c>
      <c r="AD158" s="16" t="str">
        <f t="shared" si="91"/>
        <v>-</v>
      </c>
      <c r="AE158" s="16" t="str">
        <f t="shared" si="92"/>
        <v>-</v>
      </c>
      <c r="AF158" s="16" t="str">
        <f t="shared" si="108"/>
        <v>-</v>
      </c>
      <c r="AG158" s="16"/>
      <c r="AH158" s="32" t="str">
        <f>IFERROR(INDEX(Target!$R$11:$R$167,MATCH('Calculations - Target'!D158,Target!$N$11:$N$167,0)),"")</f>
        <v/>
      </c>
      <c r="AI158" s="23" t="str">
        <f t="shared" si="109"/>
        <v/>
      </c>
      <c r="AJ158" s="23" t="str">
        <f t="shared" si="110"/>
        <v/>
      </c>
      <c r="AK158" s="9" t="str">
        <f t="shared" si="93"/>
        <v/>
      </c>
      <c r="AL158" s="4" t="str">
        <f t="shared" si="94"/>
        <v/>
      </c>
      <c r="AM158" s="4"/>
      <c r="AN158" s="4"/>
      <c r="AO158" s="4"/>
      <c r="AP158" s="4"/>
      <c r="AQ158" s="4"/>
      <c r="AR158" s="20" t="str">
        <f t="shared" si="95"/>
        <v>-</v>
      </c>
      <c r="AS158" s="13" t="str">
        <f t="shared" si="111"/>
        <v>-</v>
      </c>
      <c r="AT158" s="13" t="str">
        <f t="shared" si="112"/>
        <v>-</v>
      </c>
      <c r="AU158" s="13" t="str">
        <f t="shared" si="96"/>
        <v>-</v>
      </c>
      <c r="AV158" s="16" t="str">
        <f t="shared" si="113"/>
        <v>-</v>
      </c>
      <c r="AW158" s="16" t="str">
        <f t="shared" si="97"/>
        <v>-</v>
      </c>
      <c r="AX158" s="16" t="str">
        <f t="shared" si="98"/>
        <v>-</v>
      </c>
      <c r="AY158" s="16" t="str">
        <f t="shared" si="114"/>
        <v>-</v>
      </c>
      <c r="AZ158" s="13" t="str">
        <f t="shared" si="115"/>
        <v>-</v>
      </c>
      <c r="BA158" s="10" t="str">
        <f t="shared" si="116"/>
        <v>-</v>
      </c>
      <c r="BB158" s="9" t="str">
        <f t="shared" si="117"/>
        <v>-</v>
      </c>
      <c r="BC158" s="13" t="str">
        <f t="shared" si="118"/>
        <v>-</v>
      </c>
      <c r="BD158" s="10" t="str">
        <f t="shared" si="119"/>
        <v>-</v>
      </c>
      <c r="BE158" s="13" t="str">
        <f t="shared" si="120"/>
        <v>-</v>
      </c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</row>
    <row r="159" spans="2:70" x14ac:dyDescent="0.3">
      <c r="B159" s="96" t="str">
        <f t="shared" si="99"/>
        <v/>
      </c>
      <c r="C159" s="96" t="str">
        <f t="shared" si="100"/>
        <v/>
      </c>
      <c r="D159" s="96" t="str">
        <f t="shared" si="101"/>
        <v/>
      </c>
      <c r="E159" s="3"/>
      <c r="F159" s="3"/>
      <c r="G159" s="3"/>
      <c r="H159" s="3"/>
      <c r="I159" s="20">
        <f>IFERROR(INDEX('Input - Target'!G$2:G$200,MATCH('Calculations - Target'!$D159,'Input - Target'!$B$2:$B$200,0)),"")</f>
        <v>0</v>
      </c>
      <c r="J159" s="20">
        <f>IFERROR(INDEX('Input - Target'!H$2:H$200,MATCH('Calculations - Target'!$D159,'Input - Target'!$B$2:$B$200,0)),"")</f>
        <v>0</v>
      </c>
      <c r="K159" s="21">
        <f>IFERROR(INDEX('Input - Target'!I$2:I$200,MATCH('Calculations - Target'!$D159,'Input - Target'!$B$2:$B$200,0)),"")</f>
        <v>0</v>
      </c>
      <c r="L159" s="21">
        <f>IFERROR(INDEX('Input - Target'!J$2:J$200,MATCH('Calculations - Target'!$D159,'Input - Target'!$B$2:$B$200,0)),"")</f>
        <v>0</v>
      </c>
      <c r="M159" s="20">
        <f>IFERROR(INDEX('Input - Target'!K$2:K$200,MATCH('Calculations - Target'!$D159,'Input - Target'!$B$2:$B$200,0)),"")</f>
        <v>0</v>
      </c>
      <c r="N159" s="20">
        <f>IFERROR(INDEX('Input - Target'!L$2:L$200,MATCH('Calculations - Target'!$D159,'Input - Target'!$B$2:$B$200,0)),"")</f>
        <v>0</v>
      </c>
      <c r="O159" s="21" t="str">
        <f t="shared" si="102"/>
        <v/>
      </c>
      <c r="P159" s="21" t="str">
        <f t="shared" si="86"/>
        <v/>
      </c>
      <c r="Q159" s="21">
        <f t="shared" si="103"/>
        <v>0</v>
      </c>
      <c r="R159" s="9">
        <f t="shared" si="121"/>
        <v>0</v>
      </c>
      <c r="S159" s="9">
        <f t="shared" si="122"/>
        <v>0</v>
      </c>
      <c r="T159" s="22" t="str">
        <f>IFERROR(INDEX(Target!$S$11:$S$167,MATCH('Calculations - Target'!$D159,Target!$N$11:$N$167,0)),"")</f>
        <v/>
      </c>
      <c r="U159" s="22" t="str">
        <f>IFERROR(INDEX(Target!$T$11:$T$167,MATCH('Calculations - Target'!$D159,Target!$N$11:$N$167,0)),"")</f>
        <v/>
      </c>
      <c r="V159" s="16" t="e">
        <f t="shared" si="87"/>
        <v>#VALUE!</v>
      </c>
      <c r="W159" s="16" t="e">
        <f t="shared" si="104"/>
        <v>#VALUE!</v>
      </c>
      <c r="X159" s="16" t="e">
        <f t="shared" si="105"/>
        <v>#VALUE!</v>
      </c>
      <c r="Y159" s="10" t="str">
        <f t="shared" si="88"/>
        <v>-</v>
      </c>
      <c r="Z159" s="10" t="str">
        <f t="shared" si="89"/>
        <v>-</v>
      </c>
      <c r="AA159" s="13" t="str">
        <f t="shared" si="106"/>
        <v>-</v>
      </c>
      <c r="AB159" s="9" t="str">
        <f t="shared" si="90"/>
        <v>-</v>
      </c>
      <c r="AC159" s="16" t="str">
        <f t="shared" si="107"/>
        <v>-</v>
      </c>
      <c r="AD159" s="16" t="str">
        <f t="shared" si="91"/>
        <v>-</v>
      </c>
      <c r="AE159" s="16" t="str">
        <f t="shared" si="92"/>
        <v>-</v>
      </c>
      <c r="AF159" s="16" t="str">
        <f t="shared" si="108"/>
        <v>-</v>
      </c>
      <c r="AG159" s="16"/>
      <c r="AH159" s="32" t="str">
        <f>IFERROR(INDEX(Target!$R$11:$R$167,MATCH('Calculations - Target'!D159,Target!$N$11:$N$167,0)),"")</f>
        <v/>
      </c>
      <c r="AI159" s="23" t="str">
        <f t="shared" si="109"/>
        <v/>
      </c>
      <c r="AJ159" s="23" t="str">
        <f t="shared" si="110"/>
        <v/>
      </c>
      <c r="AK159" s="9" t="str">
        <f t="shared" si="93"/>
        <v/>
      </c>
      <c r="AL159" s="4" t="str">
        <f t="shared" si="94"/>
        <v/>
      </c>
      <c r="AM159" s="4"/>
      <c r="AN159" s="4"/>
      <c r="AO159" s="4"/>
      <c r="AP159" s="4"/>
      <c r="AQ159" s="4"/>
      <c r="AR159" s="20" t="str">
        <f t="shared" si="95"/>
        <v>-</v>
      </c>
      <c r="AS159" s="13" t="str">
        <f t="shared" si="111"/>
        <v>-</v>
      </c>
      <c r="AT159" s="13" t="str">
        <f t="shared" si="112"/>
        <v>-</v>
      </c>
      <c r="AU159" s="13" t="str">
        <f t="shared" si="96"/>
        <v>-</v>
      </c>
      <c r="AV159" s="16" t="str">
        <f t="shared" si="113"/>
        <v>-</v>
      </c>
      <c r="AW159" s="16" t="str">
        <f t="shared" si="97"/>
        <v>-</v>
      </c>
      <c r="AX159" s="16" t="str">
        <f t="shared" si="98"/>
        <v>-</v>
      </c>
      <c r="AY159" s="16" t="str">
        <f t="shared" si="114"/>
        <v>-</v>
      </c>
      <c r="AZ159" s="13" t="str">
        <f t="shared" si="115"/>
        <v>-</v>
      </c>
      <c r="BA159" s="10" t="str">
        <f t="shared" si="116"/>
        <v>-</v>
      </c>
      <c r="BB159" s="9" t="str">
        <f t="shared" si="117"/>
        <v>-</v>
      </c>
      <c r="BC159" s="13" t="str">
        <f t="shared" si="118"/>
        <v>-</v>
      </c>
      <c r="BD159" s="10" t="str">
        <f t="shared" si="119"/>
        <v>-</v>
      </c>
      <c r="BE159" s="13" t="str">
        <f t="shared" si="120"/>
        <v>-</v>
      </c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</row>
    <row r="160" spans="2:70" x14ac:dyDescent="0.3">
      <c r="B160" s="96" t="str">
        <f t="shared" si="99"/>
        <v/>
      </c>
      <c r="C160" s="96" t="str">
        <f t="shared" si="100"/>
        <v/>
      </c>
      <c r="D160" s="96" t="str">
        <f t="shared" si="101"/>
        <v/>
      </c>
      <c r="E160" s="3"/>
      <c r="F160" s="3"/>
      <c r="G160" s="3"/>
      <c r="H160" s="3"/>
      <c r="I160" s="20">
        <f>IFERROR(INDEX('Input - Target'!G$2:G$200,MATCH('Calculations - Target'!$D160,'Input - Target'!$B$2:$B$200,0)),"")</f>
        <v>0</v>
      </c>
      <c r="J160" s="20">
        <f>IFERROR(INDEX('Input - Target'!H$2:H$200,MATCH('Calculations - Target'!$D160,'Input - Target'!$B$2:$B$200,0)),"")</f>
        <v>0</v>
      </c>
      <c r="K160" s="21">
        <f>IFERROR(INDEX('Input - Target'!I$2:I$200,MATCH('Calculations - Target'!$D160,'Input - Target'!$B$2:$B$200,0)),"")</f>
        <v>0</v>
      </c>
      <c r="L160" s="21">
        <f>IFERROR(INDEX('Input - Target'!J$2:J$200,MATCH('Calculations - Target'!$D160,'Input - Target'!$B$2:$B$200,0)),"")</f>
        <v>0</v>
      </c>
      <c r="M160" s="20">
        <f>IFERROR(INDEX('Input - Target'!K$2:K$200,MATCH('Calculations - Target'!$D160,'Input - Target'!$B$2:$B$200,0)),"")</f>
        <v>0</v>
      </c>
      <c r="N160" s="20">
        <f>IFERROR(INDEX('Input - Target'!L$2:L$200,MATCH('Calculations - Target'!$D160,'Input - Target'!$B$2:$B$200,0)),"")</f>
        <v>0</v>
      </c>
      <c r="O160" s="21" t="str">
        <f t="shared" si="102"/>
        <v/>
      </c>
      <c r="P160" s="21" t="str">
        <f t="shared" ref="P160:P223" si="123">IFERROR(M160/N160,"")</f>
        <v/>
      </c>
      <c r="Q160" s="21">
        <f t="shared" si="103"/>
        <v>0</v>
      </c>
      <c r="R160" s="9">
        <f t="shared" si="121"/>
        <v>0</v>
      </c>
      <c r="S160" s="9">
        <f t="shared" si="122"/>
        <v>0</v>
      </c>
      <c r="T160" s="22" t="str">
        <f>IFERROR(INDEX(Target!$S$11:$S$167,MATCH('Calculations - Target'!$D160,Target!$N$11:$N$167,0)),"")</f>
        <v/>
      </c>
      <c r="U160" s="22" t="str">
        <f>IFERROR(INDEX(Target!$T$11:$T$167,MATCH('Calculations - Target'!$D160,Target!$N$11:$N$167,0)),"")</f>
        <v/>
      </c>
      <c r="V160" s="16" t="e">
        <f t="shared" ref="V160:V223" si="124">T160*I160</f>
        <v>#VALUE!</v>
      </c>
      <c r="W160" s="16" t="e">
        <f t="shared" si="104"/>
        <v>#VALUE!</v>
      </c>
      <c r="X160" s="16" t="e">
        <f t="shared" si="105"/>
        <v>#VALUE!</v>
      </c>
      <c r="Y160" s="10" t="str">
        <f t="shared" ref="Y160:Y223" si="125">IFERROR(X160/J160,"-")</f>
        <v>-</v>
      </c>
      <c r="Z160" s="10" t="str">
        <f t="shared" ref="Z160:Z223" si="126">IFERROR((L160+O160)*J160*0.5,"-")</f>
        <v>-</v>
      </c>
      <c r="AA160" s="13" t="str">
        <f t="shared" si="106"/>
        <v>-</v>
      </c>
      <c r="AB160" s="9" t="str">
        <f t="shared" ref="AB160:AB223" si="127">IFERROR(AA160-R160,"-")</f>
        <v>-</v>
      </c>
      <c r="AC160" s="16" t="str">
        <f t="shared" si="107"/>
        <v>-</v>
      </c>
      <c r="AD160" s="16" t="str">
        <f t="shared" ref="AD160:AD223" si="128">IFERROR(AC160/O160,"-")</f>
        <v>-</v>
      </c>
      <c r="AE160" s="16" t="str">
        <f t="shared" ref="AE160:AE223" si="129">IFERROR(T160*AC160,"-")</f>
        <v>-</v>
      </c>
      <c r="AF160" s="16" t="str">
        <f t="shared" si="108"/>
        <v>-</v>
      </c>
      <c r="AG160" s="16"/>
      <c r="AH160" s="32" t="str">
        <f>IFERROR(INDEX(Target!$R$11:$R$167,MATCH('Calculations - Target'!D160,Target!$N$11:$N$167,0)),"")</f>
        <v/>
      </c>
      <c r="AI160" s="23" t="str">
        <f t="shared" si="109"/>
        <v/>
      </c>
      <c r="AJ160" s="23" t="str">
        <f t="shared" si="110"/>
        <v/>
      </c>
      <c r="AK160" s="9" t="str">
        <f t="shared" ref="AK160:AK223" si="130">IFERROR((AH160-O160)/O160,"")</f>
        <v/>
      </c>
      <c r="AL160" s="4" t="str">
        <f t="shared" ref="AL160:AL223" si="131">IFERROR(MAX((1+AK160*Q160/5)*J160,0),"")</f>
        <v/>
      </c>
      <c r="AM160" s="4"/>
      <c r="AN160" s="4"/>
      <c r="AO160" s="4"/>
      <c r="AP160" s="4"/>
      <c r="AQ160" s="4"/>
      <c r="AR160" s="20" t="str">
        <f t="shared" ref="AR160:AR223" si="132">IFERROR(0.5*(L160+AH160)*AL160,"-")</f>
        <v>-</v>
      </c>
      <c r="AS160" s="13" t="str">
        <f t="shared" si="111"/>
        <v>-</v>
      </c>
      <c r="AT160" s="13" t="str">
        <f t="shared" si="112"/>
        <v>-</v>
      </c>
      <c r="AU160" s="13" t="str">
        <f t="shared" ref="AU160:AU223" si="133">IFERROR(AT160-R160,"-")</f>
        <v>-</v>
      </c>
      <c r="AV160" s="16" t="str">
        <f t="shared" si="113"/>
        <v>-</v>
      </c>
      <c r="AW160" s="16" t="str">
        <f t="shared" ref="AW160:AW223" si="134">IFERROR(AV160/AH160,"-")</f>
        <v>-</v>
      </c>
      <c r="AX160" s="16" t="str">
        <f t="shared" ref="AX160:AX223" si="135">IFERROR(AI160*AV160,"-")</f>
        <v>-</v>
      </c>
      <c r="AY160" s="16" t="str">
        <f t="shared" si="114"/>
        <v>-</v>
      </c>
      <c r="AZ160" s="13" t="str">
        <f t="shared" si="115"/>
        <v>-</v>
      </c>
      <c r="BA160" s="10" t="str">
        <f t="shared" si="116"/>
        <v>-</v>
      </c>
      <c r="BB160" s="9" t="str">
        <f t="shared" si="117"/>
        <v>-</v>
      </c>
      <c r="BC160" s="13" t="str">
        <f t="shared" si="118"/>
        <v>-</v>
      </c>
      <c r="BD160" s="10" t="str">
        <f t="shared" si="119"/>
        <v>-</v>
      </c>
      <c r="BE160" s="13" t="str">
        <f t="shared" si="120"/>
        <v>-</v>
      </c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</row>
    <row r="161" spans="2:70" x14ac:dyDescent="0.3">
      <c r="B161" s="96" t="str">
        <f t="shared" ref="B161:B224" si="136">IFERROR(E161&amp;F161,"")</f>
        <v/>
      </c>
      <c r="C161" s="96" t="str">
        <f t="shared" ref="C161:C224" si="137">E161&amp;F161&amp;G161</f>
        <v/>
      </c>
      <c r="D161" s="96" t="str">
        <f t="shared" ref="D161:D224" si="138">IFERROR(E161&amp;F161&amp;G161&amp;H161,"")</f>
        <v/>
      </c>
      <c r="E161" s="3"/>
      <c r="F161" s="3"/>
      <c r="G161" s="3"/>
      <c r="H161" s="3"/>
      <c r="I161" s="20">
        <f>IFERROR(INDEX('Input - Target'!G$2:G$200,MATCH('Calculations - Target'!$D161,'Input - Target'!$B$2:$B$200,0)),"")</f>
        <v>0</v>
      </c>
      <c r="J161" s="20">
        <f>IFERROR(INDEX('Input - Target'!H$2:H$200,MATCH('Calculations - Target'!$D161,'Input - Target'!$B$2:$B$200,0)),"")</f>
        <v>0</v>
      </c>
      <c r="K161" s="21">
        <f>IFERROR(INDEX('Input - Target'!I$2:I$200,MATCH('Calculations - Target'!$D161,'Input - Target'!$B$2:$B$200,0)),"")</f>
        <v>0</v>
      </c>
      <c r="L161" s="21">
        <f>IFERROR(INDEX('Input - Target'!J$2:J$200,MATCH('Calculations - Target'!$D161,'Input - Target'!$B$2:$B$200,0)),"")</f>
        <v>0</v>
      </c>
      <c r="M161" s="20">
        <f>IFERROR(INDEX('Input - Target'!K$2:K$200,MATCH('Calculations - Target'!$D161,'Input - Target'!$B$2:$B$200,0)),"")</f>
        <v>0</v>
      </c>
      <c r="N161" s="20">
        <f>IFERROR(INDEX('Input - Target'!L$2:L$200,MATCH('Calculations - Target'!$D161,'Input - Target'!$B$2:$B$200,0)),"")</f>
        <v>0</v>
      </c>
      <c r="O161" s="21" t="str">
        <f t="shared" ref="O161:O224" si="139">IFERROR(I161/J161,"")</f>
        <v/>
      </c>
      <c r="P161" s="21" t="str">
        <f t="shared" si="123"/>
        <v/>
      </c>
      <c r="Q161" s="21">
        <f t="shared" ref="Q161:Q224" si="140">IFERROR((O161/(O161-L161)*5),0)</f>
        <v>0</v>
      </c>
      <c r="R161" s="9">
        <f t="shared" si="121"/>
        <v>0</v>
      </c>
      <c r="S161" s="9">
        <f t="shared" si="122"/>
        <v>0</v>
      </c>
      <c r="T161" s="22" t="str">
        <f>IFERROR(INDEX(Target!$S$11:$S$167,MATCH('Calculations - Target'!$D161,Target!$N$11:$N$167,0)),"")</f>
        <v/>
      </c>
      <c r="U161" s="22" t="str">
        <f>IFERROR(INDEX(Target!$T$11:$T$167,MATCH('Calculations - Target'!$D161,Target!$N$11:$N$167,0)),"")</f>
        <v/>
      </c>
      <c r="V161" s="16" t="e">
        <f t="shared" si="124"/>
        <v>#VALUE!</v>
      </c>
      <c r="W161" s="16" t="e">
        <f t="shared" ref="W161:W224" si="141">U161*V161</f>
        <v>#VALUE!</v>
      </c>
      <c r="X161" s="16" t="e">
        <f t="shared" ref="X161:X224" si="142">V161-W161</f>
        <v>#VALUE!</v>
      </c>
      <c r="Y161" s="10" t="str">
        <f t="shared" si="125"/>
        <v>-</v>
      </c>
      <c r="Z161" s="10" t="str">
        <f t="shared" si="126"/>
        <v>-</v>
      </c>
      <c r="AA161" s="13" t="str">
        <f t="shared" ref="AA161:AA224" si="143">IFERROR(Z161/$Z$30,"-")</f>
        <v>-</v>
      </c>
      <c r="AB161" s="9" t="str">
        <f t="shared" si="127"/>
        <v>-</v>
      </c>
      <c r="AC161" s="16" t="str">
        <f t="shared" ref="AC161:AC224" si="144">IFERROR(AA161*$I$30,"-")</f>
        <v>-</v>
      </c>
      <c r="AD161" s="16" t="str">
        <f t="shared" si="128"/>
        <v>-</v>
      </c>
      <c r="AE161" s="16" t="str">
        <f t="shared" si="129"/>
        <v>-</v>
      </c>
      <c r="AF161" s="16" t="str">
        <f t="shared" ref="AF161:AF224" si="145">IFERROR(AE161-(Y161)*AD161,"-")</f>
        <v>-</v>
      </c>
      <c r="AG161" s="16"/>
      <c r="AH161" s="32" t="str">
        <f>IFERROR(INDEX(Target!$R$11:$R$167,MATCH('Calculations - Target'!D161,Target!$N$11:$N$167,0)),"")</f>
        <v/>
      </c>
      <c r="AI161" s="23" t="str">
        <f t="shared" ref="AI161:AI224" si="146">T161</f>
        <v/>
      </c>
      <c r="AJ161" s="23" t="str">
        <f t="shared" ref="AJ161:AJ224" si="147">U161</f>
        <v/>
      </c>
      <c r="AK161" s="9" t="str">
        <f t="shared" si="130"/>
        <v/>
      </c>
      <c r="AL161" s="4" t="str">
        <f t="shared" si="131"/>
        <v/>
      </c>
      <c r="AM161" s="4"/>
      <c r="AN161" s="4"/>
      <c r="AO161" s="4"/>
      <c r="AP161" s="4"/>
      <c r="AQ161" s="4"/>
      <c r="AR161" s="20" t="str">
        <f t="shared" si="132"/>
        <v>-</v>
      </c>
      <c r="AS161" s="13" t="str">
        <f t="shared" ref="AS161:AS224" si="148">IFERROR(AR161/AR$30,"-")</f>
        <v>-</v>
      </c>
      <c r="AT161" s="13" t="str">
        <f t="shared" ref="AT161:AT224" si="149">IFERROR(AS161*$R$30,"-")</f>
        <v>-</v>
      </c>
      <c r="AU161" s="13" t="str">
        <f t="shared" si="133"/>
        <v>-</v>
      </c>
      <c r="AV161" s="16" t="str">
        <f t="shared" ref="AV161:AV224" si="150">IFERROR(AT161*AQ$32,"-")</f>
        <v>-</v>
      </c>
      <c r="AW161" s="16" t="str">
        <f t="shared" si="134"/>
        <v>-</v>
      </c>
      <c r="AX161" s="16" t="str">
        <f t="shared" si="135"/>
        <v>-</v>
      </c>
      <c r="AY161" s="16" t="str">
        <f t="shared" ref="AY161:AY224" si="151">IFERROR(AX161-(Y161*AW161),"-")</f>
        <v>-</v>
      </c>
      <c r="AZ161" s="13" t="str">
        <f t="shared" ref="AZ161:AZ224" si="152">IFERROR(AW161/SUMIFS($AW$32:$AW$229,$B$32:$B$229,B161),"-")</f>
        <v>-</v>
      </c>
      <c r="BA161" s="10" t="str">
        <f t="shared" ref="BA161:BA224" si="153">IFERROR(AZ161*INDEX($AU$4:$AU$24,MATCH($B161,$D$4:$D$24,0)),"-")</f>
        <v>-</v>
      </c>
      <c r="BB161" s="9" t="str">
        <f t="shared" ref="BB161:BB224" si="154">IFERROR(BA161/SUM($BA$32:$BA$229),"-")</f>
        <v>-</v>
      </c>
      <c r="BC161" s="13" t="str">
        <f t="shared" ref="BC161:BC224" si="155">IFERROR(AV161/SUMIFS($AV$32:$AV$229,$B$32:$B$229,B161),"-")</f>
        <v>-</v>
      </c>
      <c r="BD161" s="10" t="str">
        <f t="shared" ref="BD161:BD224" si="156">IFERROR(BC161*INDEX($AT$4:$AT$24,MATCH($B161,$D$4:$D$24,0)),"-")</f>
        <v>-</v>
      </c>
      <c r="BE161" s="13" t="str">
        <f t="shared" ref="BE161:BE224" si="157">IFERROR(BD161/SUM($BD$32:$BD$229),"-")</f>
        <v>-</v>
      </c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</row>
    <row r="162" spans="2:70" x14ac:dyDescent="0.3">
      <c r="B162" s="96" t="str">
        <f t="shared" si="136"/>
        <v/>
      </c>
      <c r="C162" s="96" t="str">
        <f t="shared" si="137"/>
        <v/>
      </c>
      <c r="D162" s="96" t="str">
        <f t="shared" si="138"/>
        <v/>
      </c>
      <c r="E162" s="3"/>
      <c r="F162" s="3"/>
      <c r="G162" s="3"/>
      <c r="H162" s="3"/>
      <c r="I162" s="20">
        <f>IFERROR(INDEX('Input - Target'!G$2:G$200,MATCH('Calculations - Target'!$D162,'Input - Target'!$B$2:$B$200,0)),"")</f>
        <v>0</v>
      </c>
      <c r="J162" s="20">
        <f>IFERROR(INDEX('Input - Target'!H$2:H$200,MATCH('Calculations - Target'!$D162,'Input - Target'!$B$2:$B$200,0)),"")</f>
        <v>0</v>
      </c>
      <c r="K162" s="21">
        <f>IFERROR(INDEX('Input - Target'!I$2:I$200,MATCH('Calculations - Target'!$D162,'Input - Target'!$B$2:$B$200,0)),"")</f>
        <v>0</v>
      </c>
      <c r="L162" s="21">
        <f>IFERROR(INDEX('Input - Target'!J$2:J$200,MATCH('Calculations - Target'!$D162,'Input - Target'!$B$2:$B$200,0)),"")</f>
        <v>0</v>
      </c>
      <c r="M162" s="20">
        <f>IFERROR(INDEX('Input - Target'!K$2:K$200,MATCH('Calculations - Target'!$D162,'Input - Target'!$B$2:$B$200,0)),"")</f>
        <v>0</v>
      </c>
      <c r="N162" s="20">
        <f>IFERROR(INDEX('Input - Target'!L$2:L$200,MATCH('Calculations - Target'!$D162,'Input - Target'!$B$2:$B$200,0)),"")</f>
        <v>0</v>
      </c>
      <c r="O162" s="21" t="str">
        <f t="shared" si="139"/>
        <v/>
      </c>
      <c r="P162" s="21" t="str">
        <f t="shared" si="123"/>
        <v/>
      </c>
      <c r="Q162" s="21">
        <f t="shared" si="140"/>
        <v>0</v>
      </c>
      <c r="R162" s="9">
        <f t="shared" si="121"/>
        <v>0</v>
      </c>
      <c r="S162" s="9">
        <f t="shared" si="122"/>
        <v>0</v>
      </c>
      <c r="T162" s="22" t="str">
        <f>IFERROR(INDEX(Target!$S$11:$S$167,MATCH('Calculations - Target'!$D162,Target!$N$11:$N$167,0)),"")</f>
        <v/>
      </c>
      <c r="U162" s="22" t="str">
        <f>IFERROR(INDEX(Target!$T$11:$T$167,MATCH('Calculations - Target'!$D162,Target!$N$11:$N$167,0)),"")</f>
        <v/>
      </c>
      <c r="V162" s="16" t="e">
        <f t="shared" si="124"/>
        <v>#VALUE!</v>
      </c>
      <c r="W162" s="16" t="e">
        <f t="shared" si="141"/>
        <v>#VALUE!</v>
      </c>
      <c r="X162" s="16" t="e">
        <f t="shared" si="142"/>
        <v>#VALUE!</v>
      </c>
      <c r="Y162" s="10" t="str">
        <f t="shared" si="125"/>
        <v>-</v>
      </c>
      <c r="Z162" s="10" t="str">
        <f t="shared" si="126"/>
        <v>-</v>
      </c>
      <c r="AA162" s="13" t="str">
        <f t="shared" si="143"/>
        <v>-</v>
      </c>
      <c r="AB162" s="9" t="str">
        <f t="shared" si="127"/>
        <v>-</v>
      </c>
      <c r="AC162" s="16" t="str">
        <f t="shared" si="144"/>
        <v>-</v>
      </c>
      <c r="AD162" s="16" t="str">
        <f t="shared" si="128"/>
        <v>-</v>
      </c>
      <c r="AE162" s="16" t="str">
        <f t="shared" si="129"/>
        <v>-</v>
      </c>
      <c r="AF162" s="16" t="str">
        <f t="shared" si="145"/>
        <v>-</v>
      </c>
      <c r="AG162" s="16"/>
      <c r="AH162" s="32" t="str">
        <f>IFERROR(INDEX(Target!$R$11:$R$167,MATCH('Calculations - Target'!D162,Target!$N$11:$N$167,0)),"")</f>
        <v/>
      </c>
      <c r="AI162" s="23" t="str">
        <f t="shared" si="146"/>
        <v/>
      </c>
      <c r="AJ162" s="23" t="str">
        <f t="shared" si="147"/>
        <v/>
      </c>
      <c r="AK162" s="9" t="str">
        <f t="shared" si="130"/>
        <v/>
      </c>
      <c r="AL162" s="4" t="str">
        <f t="shared" si="131"/>
        <v/>
      </c>
      <c r="AM162" s="4"/>
      <c r="AN162" s="4"/>
      <c r="AO162" s="4"/>
      <c r="AP162" s="4"/>
      <c r="AQ162" s="4"/>
      <c r="AR162" s="20" t="str">
        <f t="shared" si="132"/>
        <v>-</v>
      </c>
      <c r="AS162" s="13" t="str">
        <f t="shared" si="148"/>
        <v>-</v>
      </c>
      <c r="AT162" s="13" t="str">
        <f t="shared" si="149"/>
        <v>-</v>
      </c>
      <c r="AU162" s="13" t="str">
        <f t="shared" si="133"/>
        <v>-</v>
      </c>
      <c r="AV162" s="16" t="str">
        <f t="shared" si="150"/>
        <v>-</v>
      </c>
      <c r="AW162" s="16" t="str">
        <f t="shared" si="134"/>
        <v>-</v>
      </c>
      <c r="AX162" s="16" t="str">
        <f t="shared" si="135"/>
        <v>-</v>
      </c>
      <c r="AY162" s="16" t="str">
        <f t="shared" si="151"/>
        <v>-</v>
      </c>
      <c r="AZ162" s="13" t="str">
        <f t="shared" si="152"/>
        <v>-</v>
      </c>
      <c r="BA162" s="10" t="str">
        <f t="shared" si="153"/>
        <v>-</v>
      </c>
      <c r="BB162" s="9" t="str">
        <f t="shared" si="154"/>
        <v>-</v>
      </c>
      <c r="BC162" s="13" t="str">
        <f t="shared" si="155"/>
        <v>-</v>
      </c>
      <c r="BD162" s="10" t="str">
        <f t="shared" si="156"/>
        <v>-</v>
      </c>
      <c r="BE162" s="13" t="str">
        <f t="shared" si="157"/>
        <v>-</v>
      </c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</row>
    <row r="163" spans="2:70" x14ac:dyDescent="0.3">
      <c r="B163" s="96" t="str">
        <f t="shared" si="136"/>
        <v/>
      </c>
      <c r="C163" s="96" t="str">
        <f t="shared" si="137"/>
        <v/>
      </c>
      <c r="D163" s="96" t="str">
        <f t="shared" si="138"/>
        <v/>
      </c>
      <c r="E163" s="3"/>
      <c r="F163" s="3"/>
      <c r="G163" s="3"/>
      <c r="H163" s="3"/>
      <c r="I163" s="20">
        <f>IFERROR(INDEX('Input - Target'!G$2:G$200,MATCH('Calculations - Target'!$D163,'Input - Target'!$B$2:$B$200,0)),"")</f>
        <v>0</v>
      </c>
      <c r="J163" s="20">
        <f>IFERROR(INDEX('Input - Target'!H$2:H$200,MATCH('Calculations - Target'!$D163,'Input - Target'!$B$2:$B$200,0)),"")</f>
        <v>0</v>
      </c>
      <c r="K163" s="21">
        <f>IFERROR(INDEX('Input - Target'!I$2:I$200,MATCH('Calculations - Target'!$D163,'Input - Target'!$B$2:$B$200,0)),"")</f>
        <v>0</v>
      </c>
      <c r="L163" s="21">
        <f>IFERROR(INDEX('Input - Target'!J$2:J$200,MATCH('Calculations - Target'!$D163,'Input - Target'!$B$2:$B$200,0)),"")</f>
        <v>0</v>
      </c>
      <c r="M163" s="20">
        <f>IFERROR(INDEX('Input - Target'!K$2:K$200,MATCH('Calculations - Target'!$D163,'Input - Target'!$B$2:$B$200,0)),"")</f>
        <v>0</v>
      </c>
      <c r="N163" s="20">
        <f>IFERROR(INDEX('Input - Target'!L$2:L$200,MATCH('Calculations - Target'!$D163,'Input - Target'!$B$2:$B$200,0)),"")</f>
        <v>0</v>
      </c>
      <c r="O163" s="21" t="str">
        <f t="shared" si="139"/>
        <v/>
      </c>
      <c r="P163" s="21" t="str">
        <f t="shared" si="123"/>
        <v/>
      </c>
      <c r="Q163" s="21">
        <f t="shared" si="140"/>
        <v>0</v>
      </c>
      <c r="R163" s="9">
        <f t="shared" si="121"/>
        <v>0</v>
      </c>
      <c r="S163" s="9">
        <f t="shared" si="122"/>
        <v>0</v>
      </c>
      <c r="T163" s="22" t="str">
        <f>IFERROR(INDEX(Target!$S$11:$S$167,MATCH('Calculations - Target'!$D163,Target!$N$11:$N$167,0)),"")</f>
        <v/>
      </c>
      <c r="U163" s="22" t="str">
        <f>IFERROR(INDEX(Target!$T$11:$T$167,MATCH('Calculations - Target'!$D163,Target!$N$11:$N$167,0)),"")</f>
        <v/>
      </c>
      <c r="V163" s="16" t="e">
        <f t="shared" si="124"/>
        <v>#VALUE!</v>
      </c>
      <c r="W163" s="16" t="e">
        <f t="shared" si="141"/>
        <v>#VALUE!</v>
      </c>
      <c r="X163" s="16" t="e">
        <f t="shared" si="142"/>
        <v>#VALUE!</v>
      </c>
      <c r="Y163" s="10" t="str">
        <f t="shared" si="125"/>
        <v>-</v>
      </c>
      <c r="Z163" s="10" t="str">
        <f t="shared" si="126"/>
        <v>-</v>
      </c>
      <c r="AA163" s="13" t="str">
        <f t="shared" si="143"/>
        <v>-</v>
      </c>
      <c r="AB163" s="9" t="str">
        <f t="shared" si="127"/>
        <v>-</v>
      </c>
      <c r="AC163" s="16" t="str">
        <f t="shared" si="144"/>
        <v>-</v>
      </c>
      <c r="AD163" s="16" t="str">
        <f t="shared" si="128"/>
        <v>-</v>
      </c>
      <c r="AE163" s="16" t="str">
        <f t="shared" si="129"/>
        <v>-</v>
      </c>
      <c r="AF163" s="16" t="str">
        <f t="shared" si="145"/>
        <v>-</v>
      </c>
      <c r="AG163" s="16"/>
      <c r="AH163" s="32" t="str">
        <f>IFERROR(INDEX(Target!$R$11:$R$167,MATCH('Calculations - Target'!D163,Target!$N$11:$N$167,0)),"")</f>
        <v/>
      </c>
      <c r="AI163" s="23" t="str">
        <f t="shared" si="146"/>
        <v/>
      </c>
      <c r="AJ163" s="23" t="str">
        <f t="shared" si="147"/>
        <v/>
      </c>
      <c r="AK163" s="9" t="str">
        <f t="shared" si="130"/>
        <v/>
      </c>
      <c r="AL163" s="4" t="str">
        <f t="shared" si="131"/>
        <v/>
      </c>
      <c r="AM163" s="4"/>
      <c r="AN163" s="4"/>
      <c r="AO163" s="4"/>
      <c r="AP163" s="4"/>
      <c r="AQ163" s="4"/>
      <c r="AR163" s="20" t="str">
        <f t="shared" si="132"/>
        <v>-</v>
      </c>
      <c r="AS163" s="13" t="str">
        <f t="shared" si="148"/>
        <v>-</v>
      </c>
      <c r="AT163" s="13" t="str">
        <f t="shared" si="149"/>
        <v>-</v>
      </c>
      <c r="AU163" s="13" t="str">
        <f t="shared" si="133"/>
        <v>-</v>
      </c>
      <c r="AV163" s="16" t="str">
        <f t="shared" si="150"/>
        <v>-</v>
      </c>
      <c r="AW163" s="16" t="str">
        <f t="shared" si="134"/>
        <v>-</v>
      </c>
      <c r="AX163" s="16" t="str">
        <f t="shared" si="135"/>
        <v>-</v>
      </c>
      <c r="AY163" s="16" t="str">
        <f t="shared" si="151"/>
        <v>-</v>
      </c>
      <c r="AZ163" s="13" t="str">
        <f t="shared" si="152"/>
        <v>-</v>
      </c>
      <c r="BA163" s="10" t="str">
        <f t="shared" si="153"/>
        <v>-</v>
      </c>
      <c r="BB163" s="9" t="str">
        <f t="shared" si="154"/>
        <v>-</v>
      </c>
      <c r="BC163" s="13" t="str">
        <f t="shared" si="155"/>
        <v>-</v>
      </c>
      <c r="BD163" s="10" t="str">
        <f t="shared" si="156"/>
        <v>-</v>
      </c>
      <c r="BE163" s="13" t="str">
        <f t="shared" si="157"/>
        <v>-</v>
      </c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</row>
    <row r="164" spans="2:70" x14ac:dyDescent="0.3">
      <c r="B164" s="96" t="str">
        <f t="shared" si="136"/>
        <v/>
      </c>
      <c r="C164" s="96" t="str">
        <f t="shared" si="137"/>
        <v/>
      </c>
      <c r="D164" s="96" t="str">
        <f t="shared" si="138"/>
        <v/>
      </c>
      <c r="E164" s="3"/>
      <c r="F164" s="3"/>
      <c r="G164" s="3"/>
      <c r="H164" s="3"/>
      <c r="I164" s="20">
        <f>IFERROR(INDEX('Input - Target'!G$2:G$200,MATCH('Calculations - Target'!$D164,'Input - Target'!$B$2:$B$200,0)),"")</f>
        <v>0</v>
      </c>
      <c r="J164" s="20">
        <f>IFERROR(INDEX('Input - Target'!H$2:H$200,MATCH('Calculations - Target'!$D164,'Input - Target'!$B$2:$B$200,0)),"")</f>
        <v>0</v>
      </c>
      <c r="K164" s="21">
        <f>IFERROR(INDEX('Input - Target'!I$2:I$200,MATCH('Calculations - Target'!$D164,'Input - Target'!$B$2:$B$200,0)),"")</f>
        <v>0</v>
      </c>
      <c r="L164" s="21">
        <f>IFERROR(INDEX('Input - Target'!J$2:J$200,MATCH('Calculations - Target'!$D164,'Input - Target'!$B$2:$B$200,0)),"")</f>
        <v>0</v>
      </c>
      <c r="M164" s="20">
        <f>IFERROR(INDEX('Input - Target'!K$2:K$200,MATCH('Calculations - Target'!$D164,'Input - Target'!$B$2:$B$200,0)),"")</f>
        <v>0</v>
      </c>
      <c r="N164" s="20">
        <f>IFERROR(INDEX('Input - Target'!L$2:L$200,MATCH('Calculations - Target'!$D164,'Input - Target'!$B$2:$B$200,0)),"")</f>
        <v>0</v>
      </c>
      <c r="O164" s="21" t="str">
        <f t="shared" si="139"/>
        <v/>
      </c>
      <c r="P164" s="21" t="str">
        <f t="shared" si="123"/>
        <v/>
      </c>
      <c r="Q164" s="21">
        <f t="shared" si="140"/>
        <v>0</v>
      </c>
      <c r="R164" s="9">
        <f t="shared" si="121"/>
        <v>0</v>
      </c>
      <c r="S164" s="9">
        <f t="shared" si="122"/>
        <v>0</v>
      </c>
      <c r="T164" s="22" t="str">
        <f>IFERROR(INDEX(Target!$S$11:$S$167,MATCH('Calculations - Target'!$D164,Target!$N$11:$N$167,0)),"")</f>
        <v/>
      </c>
      <c r="U164" s="22" t="str">
        <f>IFERROR(INDEX(Target!$T$11:$T$167,MATCH('Calculations - Target'!$D164,Target!$N$11:$N$167,0)),"")</f>
        <v/>
      </c>
      <c r="V164" s="16" t="e">
        <f t="shared" si="124"/>
        <v>#VALUE!</v>
      </c>
      <c r="W164" s="16" t="e">
        <f t="shared" si="141"/>
        <v>#VALUE!</v>
      </c>
      <c r="X164" s="16" t="e">
        <f t="shared" si="142"/>
        <v>#VALUE!</v>
      </c>
      <c r="Y164" s="10" t="str">
        <f t="shared" si="125"/>
        <v>-</v>
      </c>
      <c r="Z164" s="10" t="str">
        <f t="shared" si="126"/>
        <v>-</v>
      </c>
      <c r="AA164" s="13" t="str">
        <f t="shared" si="143"/>
        <v>-</v>
      </c>
      <c r="AB164" s="9" t="str">
        <f t="shared" si="127"/>
        <v>-</v>
      </c>
      <c r="AC164" s="16" t="str">
        <f t="shared" si="144"/>
        <v>-</v>
      </c>
      <c r="AD164" s="16" t="str">
        <f t="shared" si="128"/>
        <v>-</v>
      </c>
      <c r="AE164" s="16" t="str">
        <f t="shared" si="129"/>
        <v>-</v>
      </c>
      <c r="AF164" s="16" t="str">
        <f t="shared" si="145"/>
        <v>-</v>
      </c>
      <c r="AG164" s="16"/>
      <c r="AH164" s="32" t="str">
        <f>IFERROR(INDEX(Target!$R$11:$R$167,MATCH('Calculations - Target'!D164,Target!$N$11:$N$167,0)),"")</f>
        <v/>
      </c>
      <c r="AI164" s="23" t="str">
        <f t="shared" si="146"/>
        <v/>
      </c>
      <c r="AJ164" s="23" t="str">
        <f t="shared" si="147"/>
        <v/>
      </c>
      <c r="AK164" s="9" t="str">
        <f t="shared" si="130"/>
        <v/>
      </c>
      <c r="AL164" s="4" t="str">
        <f t="shared" si="131"/>
        <v/>
      </c>
      <c r="AM164" s="4"/>
      <c r="AN164" s="4"/>
      <c r="AO164" s="4"/>
      <c r="AP164" s="4"/>
      <c r="AQ164" s="4"/>
      <c r="AR164" s="20" t="str">
        <f t="shared" si="132"/>
        <v>-</v>
      </c>
      <c r="AS164" s="13" t="str">
        <f t="shared" si="148"/>
        <v>-</v>
      </c>
      <c r="AT164" s="13" t="str">
        <f t="shared" si="149"/>
        <v>-</v>
      </c>
      <c r="AU164" s="13" t="str">
        <f t="shared" si="133"/>
        <v>-</v>
      </c>
      <c r="AV164" s="16" t="str">
        <f t="shared" si="150"/>
        <v>-</v>
      </c>
      <c r="AW164" s="16" t="str">
        <f t="shared" si="134"/>
        <v>-</v>
      </c>
      <c r="AX164" s="16" t="str">
        <f t="shared" si="135"/>
        <v>-</v>
      </c>
      <c r="AY164" s="16" t="str">
        <f t="shared" si="151"/>
        <v>-</v>
      </c>
      <c r="AZ164" s="13" t="str">
        <f t="shared" si="152"/>
        <v>-</v>
      </c>
      <c r="BA164" s="10" t="str">
        <f t="shared" si="153"/>
        <v>-</v>
      </c>
      <c r="BB164" s="9" t="str">
        <f t="shared" si="154"/>
        <v>-</v>
      </c>
      <c r="BC164" s="13" t="str">
        <f t="shared" si="155"/>
        <v>-</v>
      </c>
      <c r="BD164" s="10" t="str">
        <f t="shared" si="156"/>
        <v>-</v>
      </c>
      <c r="BE164" s="13" t="str">
        <f t="shared" si="157"/>
        <v>-</v>
      </c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</row>
    <row r="165" spans="2:70" x14ac:dyDescent="0.3">
      <c r="B165" s="96" t="str">
        <f t="shared" si="136"/>
        <v/>
      </c>
      <c r="C165" s="96" t="str">
        <f t="shared" si="137"/>
        <v/>
      </c>
      <c r="D165" s="96" t="str">
        <f t="shared" si="138"/>
        <v/>
      </c>
      <c r="E165" s="3"/>
      <c r="F165" s="3"/>
      <c r="G165" s="3"/>
      <c r="H165" s="3"/>
      <c r="I165" s="20">
        <f>IFERROR(INDEX('Input - Target'!G$2:G$200,MATCH('Calculations - Target'!$D165,'Input - Target'!$B$2:$B$200,0)),"")</f>
        <v>0</v>
      </c>
      <c r="J165" s="20">
        <f>IFERROR(INDEX('Input - Target'!H$2:H$200,MATCH('Calculations - Target'!$D165,'Input - Target'!$B$2:$B$200,0)),"")</f>
        <v>0</v>
      </c>
      <c r="K165" s="21">
        <f>IFERROR(INDEX('Input - Target'!I$2:I$200,MATCH('Calculations - Target'!$D165,'Input - Target'!$B$2:$B$200,0)),"")</f>
        <v>0</v>
      </c>
      <c r="L165" s="21">
        <f>IFERROR(INDEX('Input - Target'!J$2:J$200,MATCH('Calculations - Target'!$D165,'Input - Target'!$B$2:$B$200,0)),"")</f>
        <v>0</v>
      </c>
      <c r="M165" s="20">
        <f>IFERROR(INDEX('Input - Target'!K$2:K$200,MATCH('Calculations - Target'!$D165,'Input - Target'!$B$2:$B$200,0)),"")</f>
        <v>0</v>
      </c>
      <c r="N165" s="20">
        <f>IFERROR(INDEX('Input - Target'!L$2:L$200,MATCH('Calculations - Target'!$D165,'Input - Target'!$B$2:$B$200,0)),"")</f>
        <v>0</v>
      </c>
      <c r="O165" s="21" t="str">
        <f t="shared" si="139"/>
        <v/>
      </c>
      <c r="P165" s="21" t="str">
        <f t="shared" si="123"/>
        <v/>
      </c>
      <c r="Q165" s="21">
        <f t="shared" si="140"/>
        <v>0</v>
      </c>
      <c r="R165" s="9">
        <f t="shared" si="121"/>
        <v>0</v>
      </c>
      <c r="S165" s="9">
        <f t="shared" si="122"/>
        <v>0</v>
      </c>
      <c r="T165" s="22" t="str">
        <f>IFERROR(INDEX(Target!$S$11:$S$167,MATCH('Calculations - Target'!$D165,Target!$N$11:$N$167,0)),"")</f>
        <v/>
      </c>
      <c r="U165" s="22" t="str">
        <f>IFERROR(INDEX(Target!$T$11:$T$167,MATCH('Calculations - Target'!$D165,Target!$N$11:$N$167,0)),"")</f>
        <v/>
      </c>
      <c r="V165" s="16" t="e">
        <f t="shared" si="124"/>
        <v>#VALUE!</v>
      </c>
      <c r="W165" s="16" t="e">
        <f t="shared" si="141"/>
        <v>#VALUE!</v>
      </c>
      <c r="X165" s="16" t="e">
        <f t="shared" si="142"/>
        <v>#VALUE!</v>
      </c>
      <c r="Y165" s="10" t="str">
        <f t="shared" si="125"/>
        <v>-</v>
      </c>
      <c r="Z165" s="10" t="str">
        <f t="shared" si="126"/>
        <v>-</v>
      </c>
      <c r="AA165" s="13" t="str">
        <f t="shared" si="143"/>
        <v>-</v>
      </c>
      <c r="AB165" s="9" t="str">
        <f t="shared" si="127"/>
        <v>-</v>
      </c>
      <c r="AC165" s="16" t="str">
        <f t="shared" si="144"/>
        <v>-</v>
      </c>
      <c r="AD165" s="16" t="str">
        <f t="shared" si="128"/>
        <v>-</v>
      </c>
      <c r="AE165" s="16" t="str">
        <f t="shared" si="129"/>
        <v>-</v>
      </c>
      <c r="AF165" s="16" t="str">
        <f t="shared" si="145"/>
        <v>-</v>
      </c>
      <c r="AG165" s="16"/>
      <c r="AH165" s="32" t="str">
        <f>IFERROR(INDEX(Target!$R$11:$R$167,MATCH('Calculations - Target'!D165,Target!$N$11:$N$167,0)),"")</f>
        <v/>
      </c>
      <c r="AI165" s="23" t="str">
        <f t="shared" si="146"/>
        <v/>
      </c>
      <c r="AJ165" s="23" t="str">
        <f t="shared" si="147"/>
        <v/>
      </c>
      <c r="AK165" s="9" t="str">
        <f t="shared" si="130"/>
        <v/>
      </c>
      <c r="AL165" s="4" t="str">
        <f t="shared" si="131"/>
        <v/>
      </c>
      <c r="AM165" s="4"/>
      <c r="AN165" s="4"/>
      <c r="AO165" s="4"/>
      <c r="AP165" s="4"/>
      <c r="AQ165" s="4"/>
      <c r="AR165" s="20" t="str">
        <f t="shared" si="132"/>
        <v>-</v>
      </c>
      <c r="AS165" s="13" t="str">
        <f t="shared" si="148"/>
        <v>-</v>
      </c>
      <c r="AT165" s="13" t="str">
        <f t="shared" si="149"/>
        <v>-</v>
      </c>
      <c r="AU165" s="13" t="str">
        <f t="shared" si="133"/>
        <v>-</v>
      </c>
      <c r="AV165" s="16" t="str">
        <f t="shared" si="150"/>
        <v>-</v>
      </c>
      <c r="AW165" s="16" t="str">
        <f t="shared" si="134"/>
        <v>-</v>
      </c>
      <c r="AX165" s="16" t="str">
        <f t="shared" si="135"/>
        <v>-</v>
      </c>
      <c r="AY165" s="16" t="str">
        <f t="shared" si="151"/>
        <v>-</v>
      </c>
      <c r="AZ165" s="13" t="str">
        <f t="shared" si="152"/>
        <v>-</v>
      </c>
      <c r="BA165" s="10" t="str">
        <f t="shared" si="153"/>
        <v>-</v>
      </c>
      <c r="BB165" s="9" t="str">
        <f t="shared" si="154"/>
        <v>-</v>
      </c>
      <c r="BC165" s="13" t="str">
        <f t="shared" si="155"/>
        <v>-</v>
      </c>
      <c r="BD165" s="10" t="str">
        <f t="shared" si="156"/>
        <v>-</v>
      </c>
      <c r="BE165" s="13" t="str">
        <f t="shared" si="157"/>
        <v>-</v>
      </c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</row>
    <row r="166" spans="2:70" x14ac:dyDescent="0.3">
      <c r="B166" s="96" t="str">
        <f t="shared" si="136"/>
        <v/>
      </c>
      <c r="C166" s="96" t="str">
        <f t="shared" si="137"/>
        <v/>
      </c>
      <c r="D166" s="96" t="str">
        <f t="shared" si="138"/>
        <v/>
      </c>
      <c r="E166" s="3"/>
      <c r="F166" s="3"/>
      <c r="G166" s="3"/>
      <c r="H166" s="3"/>
      <c r="I166" s="20">
        <f>IFERROR(INDEX('Input - Target'!G$2:G$200,MATCH('Calculations - Target'!$D166,'Input - Target'!$B$2:$B$200,0)),"")</f>
        <v>0</v>
      </c>
      <c r="J166" s="20">
        <f>IFERROR(INDEX('Input - Target'!H$2:H$200,MATCH('Calculations - Target'!$D166,'Input - Target'!$B$2:$B$200,0)),"")</f>
        <v>0</v>
      </c>
      <c r="K166" s="21">
        <f>IFERROR(INDEX('Input - Target'!I$2:I$200,MATCH('Calculations - Target'!$D166,'Input - Target'!$B$2:$B$200,0)),"")</f>
        <v>0</v>
      </c>
      <c r="L166" s="21">
        <f>IFERROR(INDEX('Input - Target'!J$2:J$200,MATCH('Calculations - Target'!$D166,'Input - Target'!$B$2:$B$200,0)),"")</f>
        <v>0</v>
      </c>
      <c r="M166" s="20">
        <f>IFERROR(INDEX('Input - Target'!K$2:K$200,MATCH('Calculations - Target'!$D166,'Input - Target'!$B$2:$B$200,0)),"")</f>
        <v>0</v>
      </c>
      <c r="N166" s="20">
        <f>IFERROR(INDEX('Input - Target'!L$2:L$200,MATCH('Calculations - Target'!$D166,'Input - Target'!$B$2:$B$200,0)),"")</f>
        <v>0</v>
      </c>
      <c r="O166" s="21" t="str">
        <f t="shared" si="139"/>
        <v/>
      </c>
      <c r="P166" s="21" t="str">
        <f t="shared" si="123"/>
        <v/>
      </c>
      <c r="Q166" s="21">
        <f t="shared" si="140"/>
        <v>0</v>
      </c>
      <c r="R166" s="9">
        <f t="shared" si="121"/>
        <v>0</v>
      </c>
      <c r="S166" s="9">
        <f t="shared" si="122"/>
        <v>0</v>
      </c>
      <c r="T166" s="22" t="str">
        <f>IFERROR(INDEX(Target!$S$11:$S$167,MATCH('Calculations - Target'!$D166,Target!$N$11:$N$167,0)),"")</f>
        <v/>
      </c>
      <c r="U166" s="22" t="str">
        <f>IFERROR(INDEX(Target!$T$11:$T$167,MATCH('Calculations - Target'!$D166,Target!$N$11:$N$167,0)),"")</f>
        <v/>
      </c>
      <c r="V166" s="16" t="e">
        <f t="shared" si="124"/>
        <v>#VALUE!</v>
      </c>
      <c r="W166" s="16" t="e">
        <f t="shared" si="141"/>
        <v>#VALUE!</v>
      </c>
      <c r="X166" s="16" t="e">
        <f t="shared" si="142"/>
        <v>#VALUE!</v>
      </c>
      <c r="Y166" s="10" t="str">
        <f t="shared" si="125"/>
        <v>-</v>
      </c>
      <c r="Z166" s="10" t="str">
        <f t="shared" si="126"/>
        <v>-</v>
      </c>
      <c r="AA166" s="13" t="str">
        <f t="shared" si="143"/>
        <v>-</v>
      </c>
      <c r="AB166" s="9" t="str">
        <f t="shared" si="127"/>
        <v>-</v>
      </c>
      <c r="AC166" s="16" t="str">
        <f t="shared" si="144"/>
        <v>-</v>
      </c>
      <c r="AD166" s="16" t="str">
        <f t="shared" si="128"/>
        <v>-</v>
      </c>
      <c r="AE166" s="16" t="str">
        <f t="shared" si="129"/>
        <v>-</v>
      </c>
      <c r="AF166" s="16" t="str">
        <f t="shared" si="145"/>
        <v>-</v>
      </c>
      <c r="AG166" s="16"/>
      <c r="AH166" s="32" t="str">
        <f>IFERROR(INDEX(Target!$R$11:$R$167,MATCH('Calculations - Target'!D166,Target!$N$11:$N$167,0)),"")</f>
        <v/>
      </c>
      <c r="AI166" s="23" t="str">
        <f t="shared" si="146"/>
        <v/>
      </c>
      <c r="AJ166" s="23" t="str">
        <f t="shared" si="147"/>
        <v/>
      </c>
      <c r="AK166" s="9" t="str">
        <f t="shared" si="130"/>
        <v/>
      </c>
      <c r="AL166" s="4" t="str">
        <f t="shared" si="131"/>
        <v/>
      </c>
      <c r="AM166" s="4"/>
      <c r="AN166" s="4"/>
      <c r="AO166" s="4"/>
      <c r="AP166" s="4"/>
      <c r="AQ166" s="4"/>
      <c r="AR166" s="20" t="str">
        <f t="shared" si="132"/>
        <v>-</v>
      </c>
      <c r="AS166" s="13" t="str">
        <f t="shared" si="148"/>
        <v>-</v>
      </c>
      <c r="AT166" s="13" t="str">
        <f t="shared" si="149"/>
        <v>-</v>
      </c>
      <c r="AU166" s="13" t="str">
        <f t="shared" si="133"/>
        <v>-</v>
      </c>
      <c r="AV166" s="16" t="str">
        <f t="shared" si="150"/>
        <v>-</v>
      </c>
      <c r="AW166" s="16" t="str">
        <f t="shared" si="134"/>
        <v>-</v>
      </c>
      <c r="AX166" s="16" t="str">
        <f t="shared" si="135"/>
        <v>-</v>
      </c>
      <c r="AY166" s="16" t="str">
        <f t="shared" si="151"/>
        <v>-</v>
      </c>
      <c r="AZ166" s="13" t="str">
        <f t="shared" si="152"/>
        <v>-</v>
      </c>
      <c r="BA166" s="10" t="str">
        <f t="shared" si="153"/>
        <v>-</v>
      </c>
      <c r="BB166" s="9" t="str">
        <f t="shared" si="154"/>
        <v>-</v>
      </c>
      <c r="BC166" s="13" t="str">
        <f t="shared" si="155"/>
        <v>-</v>
      </c>
      <c r="BD166" s="10" t="str">
        <f t="shared" si="156"/>
        <v>-</v>
      </c>
      <c r="BE166" s="13" t="str">
        <f t="shared" si="157"/>
        <v>-</v>
      </c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</row>
    <row r="167" spans="2:70" x14ac:dyDescent="0.3">
      <c r="B167" s="96" t="str">
        <f t="shared" si="136"/>
        <v/>
      </c>
      <c r="C167" s="96" t="str">
        <f t="shared" si="137"/>
        <v/>
      </c>
      <c r="D167" s="96" t="str">
        <f t="shared" si="138"/>
        <v/>
      </c>
      <c r="E167" s="3"/>
      <c r="F167" s="3"/>
      <c r="G167" s="3"/>
      <c r="H167" s="3"/>
      <c r="I167" s="20">
        <f>IFERROR(INDEX('Input - Target'!G$2:G$200,MATCH('Calculations - Target'!$D167,'Input - Target'!$B$2:$B$200,0)),"")</f>
        <v>0</v>
      </c>
      <c r="J167" s="20">
        <f>IFERROR(INDEX('Input - Target'!H$2:H$200,MATCH('Calculations - Target'!$D167,'Input - Target'!$B$2:$B$200,0)),"")</f>
        <v>0</v>
      </c>
      <c r="K167" s="21">
        <f>IFERROR(INDEX('Input - Target'!I$2:I$200,MATCH('Calculations - Target'!$D167,'Input - Target'!$B$2:$B$200,0)),"")</f>
        <v>0</v>
      </c>
      <c r="L167" s="21">
        <f>IFERROR(INDEX('Input - Target'!J$2:J$200,MATCH('Calculations - Target'!$D167,'Input - Target'!$B$2:$B$200,0)),"")</f>
        <v>0</v>
      </c>
      <c r="M167" s="20">
        <f>IFERROR(INDEX('Input - Target'!K$2:K$200,MATCH('Calculations - Target'!$D167,'Input - Target'!$B$2:$B$200,0)),"")</f>
        <v>0</v>
      </c>
      <c r="N167" s="20">
        <f>IFERROR(INDEX('Input - Target'!L$2:L$200,MATCH('Calculations - Target'!$D167,'Input - Target'!$B$2:$B$200,0)),"")</f>
        <v>0</v>
      </c>
      <c r="O167" s="21" t="str">
        <f t="shared" si="139"/>
        <v/>
      </c>
      <c r="P167" s="21" t="str">
        <f t="shared" si="123"/>
        <v/>
      </c>
      <c r="Q167" s="21">
        <f t="shared" si="140"/>
        <v>0</v>
      </c>
      <c r="R167" s="9">
        <f t="shared" si="121"/>
        <v>0</v>
      </c>
      <c r="S167" s="9">
        <f t="shared" si="122"/>
        <v>0</v>
      </c>
      <c r="T167" s="22" t="str">
        <f>IFERROR(INDEX(Target!$S$11:$S$167,MATCH('Calculations - Target'!$D167,Target!$N$11:$N$167,0)),"")</f>
        <v/>
      </c>
      <c r="U167" s="22" t="str">
        <f>IFERROR(INDEX(Target!$T$11:$T$167,MATCH('Calculations - Target'!$D167,Target!$N$11:$N$167,0)),"")</f>
        <v/>
      </c>
      <c r="V167" s="16" t="e">
        <f t="shared" si="124"/>
        <v>#VALUE!</v>
      </c>
      <c r="W167" s="16" t="e">
        <f t="shared" si="141"/>
        <v>#VALUE!</v>
      </c>
      <c r="X167" s="16" t="e">
        <f t="shared" si="142"/>
        <v>#VALUE!</v>
      </c>
      <c r="Y167" s="10" t="str">
        <f t="shared" si="125"/>
        <v>-</v>
      </c>
      <c r="Z167" s="10" t="str">
        <f t="shared" si="126"/>
        <v>-</v>
      </c>
      <c r="AA167" s="13" t="str">
        <f t="shared" si="143"/>
        <v>-</v>
      </c>
      <c r="AB167" s="9" t="str">
        <f t="shared" si="127"/>
        <v>-</v>
      </c>
      <c r="AC167" s="16" t="str">
        <f t="shared" si="144"/>
        <v>-</v>
      </c>
      <c r="AD167" s="16" t="str">
        <f t="shared" si="128"/>
        <v>-</v>
      </c>
      <c r="AE167" s="16" t="str">
        <f t="shared" si="129"/>
        <v>-</v>
      </c>
      <c r="AF167" s="16" t="str">
        <f t="shared" si="145"/>
        <v>-</v>
      </c>
      <c r="AG167" s="16"/>
      <c r="AH167" s="32" t="str">
        <f>IFERROR(INDEX(Target!$R$11:$R$167,MATCH('Calculations - Target'!D167,Target!$N$11:$N$167,0)),"")</f>
        <v/>
      </c>
      <c r="AI167" s="23" t="str">
        <f t="shared" si="146"/>
        <v/>
      </c>
      <c r="AJ167" s="23" t="str">
        <f t="shared" si="147"/>
        <v/>
      </c>
      <c r="AK167" s="9" t="str">
        <f t="shared" si="130"/>
        <v/>
      </c>
      <c r="AL167" s="4" t="str">
        <f t="shared" si="131"/>
        <v/>
      </c>
      <c r="AM167" s="4"/>
      <c r="AN167" s="4"/>
      <c r="AO167" s="4"/>
      <c r="AP167" s="4"/>
      <c r="AQ167" s="4"/>
      <c r="AR167" s="20" t="str">
        <f t="shared" si="132"/>
        <v>-</v>
      </c>
      <c r="AS167" s="13" t="str">
        <f t="shared" si="148"/>
        <v>-</v>
      </c>
      <c r="AT167" s="13" t="str">
        <f t="shared" si="149"/>
        <v>-</v>
      </c>
      <c r="AU167" s="13" t="str">
        <f t="shared" si="133"/>
        <v>-</v>
      </c>
      <c r="AV167" s="16" t="str">
        <f t="shared" si="150"/>
        <v>-</v>
      </c>
      <c r="AW167" s="16" t="str">
        <f t="shared" si="134"/>
        <v>-</v>
      </c>
      <c r="AX167" s="16" t="str">
        <f t="shared" si="135"/>
        <v>-</v>
      </c>
      <c r="AY167" s="16" t="str">
        <f t="shared" si="151"/>
        <v>-</v>
      </c>
      <c r="AZ167" s="13" t="str">
        <f t="shared" si="152"/>
        <v>-</v>
      </c>
      <c r="BA167" s="10" t="str">
        <f t="shared" si="153"/>
        <v>-</v>
      </c>
      <c r="BB167" s="9" t="str">
        <f t="shared" si="154"/>
        <v>-</v>
      </c>
      <c r="BC167" s="13" t="str">
        <f t="shared" si="155"/>
        <v>-</v>
      </c>
      <c r="BD167" s="10" t="str">
        <f t="shared" si="156"/>
        <v>-</v>
      </c>
      <c r="BE167" s="13" t="str">
        <f t="shared" si="157"/>
        <v>-</v>
      </c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</row>
    <row r="168" spans="2:70" x14ac:dyDescent="0.3">
      <c r="B168" s="96" t="str">
        <f t="shared" si="136"/>
        <v/>
      </c>
      <c r="C168" s="96" t="str">
        <f t="shared" si="137"/>
        <v/>
      </c>
      <c r="D168" s="96" t="str">
        <f t="shared" si="138"/>
        <v/>
      </c>
      <c r="E168" s="3"/>
      <c r="F168" s="3"/>
      <c r="G168" s="3"/>
      <c r="H168" s="3"/>
      <c r="I168" s="20">
        <f>IFERROR(INDEX('Input - Target'!G$2:G$200,MATCH('Calculations - Target'!$D168,'Input - Target'!$B$2:$B$200,0)),"")</f>
        <v>0</v>
      </c>
      <c r="J168" s="20">
        <f>IFERROR(INDEX('Input - Target'!H$2:H$200,MATCH('Calculations - Target'!$D168,'Input - Target'!$B$2:$B$200,0)),"")</f>
        <v>0</v>
      </c>
      <c r="K168" s="21">
        <f>IFERROR(INDEX('Input - Target'!I$2:I$200,MATCH('Calculations - Target'!$D168,'Input - Target'!$B$2:$B$200,0)),"")</f>
        <v>0</v>
      </c>
      <c r="L168" s="21">
        <f>IFERROR(INDEX('Input - Target'!J$2:J$200,MATCH('Calculations - Target'!$D168,'Input - Target'!$B$2:$B$200,0)),"")</f>
        <v>0</v>
      </c>
      <c r="M168" s="20">
        <f>IFERROR(INDEX('Input - Target'!K$2:K$200,MATCH('Calculations - Target'!$D168,'Input - Target'!$B$2:$B$200,0)),"")</f>
        <v>0</v>
      </c>
      <c r="N168" s="20">
        <f>IFERROR(INDEX('Input - Target'!L$2:L$200,MATCH('Calculations - Target'!$D168,'Input - Target'!$B$2:$B$200,0)),"")</f>
        <v>0</v>
      </c>
      <c r="O168" s="21" t="str">
        <f t="shared" si="139"/>
        <v/>
      </c>
      <c r="P168" s="21" t="str">
        <f t="shared" si="123"/>
        <v/>
      </c>
      <c r="Q168" s="21">
        <f t="shared" si="140"/>
        <v>0</v>
      </c>
      <c r="R168" s="9">
        <f t="shared" si="121"/>
        <v>0</v>
      </c>
      <c r="S168" s="9">
        <f t="shared" si="122"/>
        <v>0</v>
      </c>
      <c r="T168" s="22" t="str">
        <f>IFERROR(INDEX(Target!$S$11:$S$167,MATCH('Calculations - Target'!$D168,Target!$N$11:$N$167,0)),"")</f>
        <v/>
      </c>
      <c r="U168" s="22" t="str">
        <f>IFERROR(INDEX(Target!$T$11:$T$167,MATCH('Calculations - Target'!$D168,Target!$N$11:$N$167,0)),"")</f>
        <v/>
      </c>
      <c r="V168" s="16" t="e">
        <f t="shared" si="124"/>
        <v>#VALUE!</v>
      </c>
      <c r="W168" s="16" t="e">
        <f t="shared" si="141"/>
        <v>#VALUE!</v>
      </c>
      <c r="X168" s="16" t="e">
        <f t="shared" si="142"/>
        <v>#VALUE!</v>
      </c>
      <c r="Y168" s="10" t="str">
        <f t="shared" si="125"/>
        <v>-</v>
      </c>
      <c r="Z168" s="10" t="str">
        <f t="shared" si="126"/>
        <v>-</v>
      </c>
      <c r="AA168" s="13" t="str">
        <f t="shared" si="143"/>
        <v>-</v>
      </c>
      <c r="AB168" s="9" t="str">
        <f t="shared" si="127"/>
        <v>-</v>
      </c>
      <c r="AC168" s="16" t="str">
        <f t="shared" si="144"/>
        <v>-</v>
      </c>
      <c r="AD168" s="16" t="str">
        <f t="shared" si="128"/>
        <v>-</v>
      </c>
      <c r="AE168" s="16" t="str">
        <f t="shared" si="129"/>
        <v>-</v>
      </c>
      <c r="AF168" s="16" t="str">
        <f t="shared" si="145"/>
        <v>-</v>
      </c>
      <c r="AG168" s="16"/>
      <c r="AH168" s="32" t="str">
        <f>IFERROR(INDEX(Target!$R$11:$R$167,MATCH('Calculations - Target'!D168,Target!$N$11:$N$167,0)),"")</f>
        <v/>
      </c>
      <c r="AI168" s="23" t="str">
        <f t="shared" si="146"/>
        <v/>
      </c>
      <c r="AJ168" s="23" t="str">
        <f t="shared" si="147"/>
        <v/>
      </c>
      <c r="AK168" s="9" t="str">
        <f t="shared" si="130"/>
        <v/>
      </c>
      <c r="AL168" s="4" t="str">
        <f t="shared" si="131"/>
        <v/>
      </c>
      <c r="AM168" s="4"/>
      <c r="AN168" s="4"/>
      <c r="AO168" s="4"/>
      <c r="AP168" s="4"/>
      <c r="AQ168" s="4"/>
      <c r="AR168" s="20" t="str">
        <f t="shared" si="132"/>
        <v>-</v>
      </c>
      <c r="AS168" s="13" t="str">
        <f t="shared" si="148"/>
        <v>-</v>
      </c>
      <c r="AT168" s="13" t="str">
        <f t="shared" si="149"/>
        <v>-</v>
      </c>
      <c r="AU168" s="13" t="str">
        <f t="shared" si="133"/>
        <v>-</v>
      </c>
      <c r="AV168" s="16" t="str">
        <f t="shared" si="150"/>
        <v>-</v>
      </c>
      <c r="AW168" s="16" t="str">
        <f t="shared" si="134"/>
        <v>-</v>
      </c>
      <c r="AX168" s="16" t="str">
        <f t="shared" si="135"/>
        <v>-</v>
      </c>
      <c r="AY168" s="16" t="str">
        <f t="shared" si="151"/>
        <v>-</v>
      </c>
      <c r="AZ168" s="13" t="str">
        <f t="shared" si="152"/>
        <v>-</v>
      </c>
      <c r="BA168" s="10" t="str">
        <f t="shared" si="153"/>
        <v>-</v>
      </c>
      <c r="BB168" s="9" t="str">
        <f t="shared" si="154"/>
        <v>-</v>
      </c>
      <c r="BC168" s="13" t="str">
        <f t="shared" si="155"/>
        <v>-</v>
      </c>
      <c r="BD168" s="10" t="str">
        <f t="shared" si="156"/>
        <v>-</v>
      </c>
      <c r="BE168" s="13" t="str">
        <f t="shared" si="157"/>
        <v>-</v>
      </c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</row>
    <row r="169" spans="2:70" x14ac:dyDescent="0.3">
      <c r="B169" s="96" t="str">
        <f t="shared" si="136"/>
        <v/>
      </c>
      <c r="C169" s="96" t="str">
        <f t="shared" si="137"/>
        <v/>
      </c>
      <c r="D169" s="96" t="str">
        <f t="shared" si="138"/>
        <v/>
      </c>
      <c r="E169" s="3"/>
      <c r="F169" s="3"/>
      <c r="G169" s="3"/>
      <c r="H169" s="3"/>
      <c r="I169" s="20">
        <f>IFERROR(INDEX('Input - Target'!G$2:G$200,MATCH('Calculations - Target'!$D169,'Input - Target'!$B$2:$B$200,0)),"")</f>
        <v>0</v>
      </c>
      <c r="J169" s="20">
        <f>IFERROR(INDEX('Input - Target'!H$2:H$200,MATCH('Calculations - Target'!$D169,'Input - Target'!$B$2:$B$200,0)),"")</f>
        <v>0</v>
      </c>
      <c r="K169" s="21">
        <f>IFERROR(INDEX('Input - Target'!I$2:I$200,MATCH('Calculations - Target'!$D169,'Input - Target'!$B$2:$B$200,0)),"")</f>
        <v>0</v>
      </c>
      <c r="L169" s="21">
        <f>IFERROR(INDEX('Input - Target'!J$2:J$200,MATCH('Calculations - Target'!$D169,'Input - Target'!$B$2:$B$200,0)),"")</f>
        <v>0</v>
      </c>
      <c r="M169" s="20">
        <f>IFERROR(INDEX('Input - Target'!K$2:K$200,MATCH('Calculations - Target'!$D169,'Input - Target'!$B$2:$B$200,0)),"")</f>
        <v>0</v>
      </c>
      <c r="N169" s="20">
        <f>IFERROR(INDEX('Input - Target'!L$2:L$200,MATCH('Calculations - Target'!$D169,'Input - Target'!$B$2:$B$200,0)),"")</f>
        <v>0</v>
      </c>
      <c r="O169" s="21" t="str">
        <f t="shared" si="139"/>
        <v/>
      </c>
      <c r="P169" s="21" t="str">
        <f t="shared" si="123"/>
        <v/>
      </c>
      <c r="Q169" s="21">
        <f t="shared" si="140"/>
        <v>0</v>
      </c>
      <c r="R169" s="9">
        <f t="shared" si="121"/>
        <v>0</v>
      </c>
      <c r="S169" s="9">
        <f t="shared" si="122"/>
        <v>0</v>
      </c>
      <c r="T169" s="22" t="str">
        <f>IFERROR(INDEX(Target!$S$11:$S$167,MATCH('Calculations - Target'!$D169,Target!$N$11:$N$167,0)),"")</f>
        <v/>
      </c>
      <c r="U169" s="22" t="str">
        <f>IFERROR(INDEX(Target!$T$11:$T$167,MATCH('Calculations - Target'!$D169,Target!$N$11:$N$167,0)),"")</f>
        <v/>
      </c>
      <c r="V169" s="16" t="e">
        <f t="shared" si="124"/>
        <v>#VALUE!</v>
      </c>
      <c r="W169" s="16" t="e">
        <f t="shared" si="141"/>
        <v>#VALUE!</v>
      </c>
      <c r="X169" s="16" t="e">
        <f t="shared" si="142"/>
        <v>#VALUE!</v>
      </c>
      <c r="Y169" s="10" t="str">
        <f t="shared" si="125"/>
        <v>-</v>
      </c>
      <c r="Z169" s="10" t="str">
        <f t="shared" si="126"/>
        <v>-</v>
      </c>
      <c r="AA169" s="13" t="str">
        <f t="shared" si="143"/>
        <v>-</v>
      </c>
      <c r="AB169" s="9" t="str">
        <f t="shared" si="127"/>
        <v>-</v>
      </c>
      <c r="AC169" s="16" t="str">
        <f t="shared" si="144"/>
        <v>-</v>
      </c>
      <c r="AD169" s="16" t="str">
        <f t="shared" si="128"/>
        <v>-</v>
      </c>
      <c r="AE169" s="16" t="str">
        <f t="shared" si="129"/>
        <v>-</v>
      </c>
      <c r="AF169" s="16" t="str">
        <f t="shared" si="145"/>
        <v>-</v>
      </c>
      <c r="AG169" s="16"/>
      <c r="AH169" s="32" t="str">
        <f>IFERROR(INDEX(Target!$R$11:$R$167,MATCH('Calculations - Target'!D169,Target!$N$11:$N$167,0)),"")</f>
        <v/>
      </c>
      <c r="AI169" s="23" t="str">
        <f t="shared" si="146"/>
        <v/>
      </c>
      <c r="AJ169" s="23" t="str">
        <f t="shared" si="147"/>
        <v/>
      </c>
      <c r="AK169" s="9" t="str">
        <f t="shared" si="130"/>
        <v/>
      </c>
      <c r="AL169" s="4" t="str">
        <f t="shared" si="131"/>
        <v/>
      </c>
      <c r="AM169" s="4"/>
      <c r="AN169" s="4"/>
      <c r="AO169" s="4"/>
      <c r="AP169" s="4"/>
      <c r="AQ169" s="4"/>
      <c r="AR169" s="20" t="str">
        <f t="shared" si="132"/>
        <v>-</v>
      </c>
      <c r="AS169" s="13" t="str">
        <f t="shared" si="148"/>
        <v>-</v>
      </c>
      <c r="AT169" s="13" t="str">
        <f t="shared" si="149"/>
        <v>-</v>
      </c>
      <c r="AU169" s="13" t="str">
        <f t="shared" si="133"/>
        <v>-</v>
      </c>
      <c r="AV169" s="16" t="str">
        <f t="shared" si="150"/>
        <v>-</v>
      </c>
      <c r="AW169" s="16" t="str">
        <f t="shared" si="134"/>
        <v>-</v>
      </c>
      <c r="AX169" s="16" t="str">
        <f t="shared" si="135"/>
        <v>-</v>
      </c>
      <c r="AY169" s="16" t="str">
        <f t="shared" si="151"/>
        <v>-</v>
      </c>
      <c r="AZ169" s="13" t="str">
        <f t="shared" si="152"/>
        <v>-</v>
      </c>
      <c r="BA169" s="10" t="str">
        <f t="shared" si="153"/>
        <v>-</v>
      </c>
      <c r="BB169" s="9" t="str">
        <f t="shared" si="154"/>
        <v>-</v>
      </c>
      <c r="BC169" s="13" t="str">
        <f t="shared" si="155"/>
        <v>-</v>
      </c>
      <c r="BD169" s="10" t="str">
        <f t="shared" si="156"/>
        <v>-</v>
      </c>
      <c r="BE169" s="13" t="str">
        <f t="shared" si="157"/>
        <v>-</v>
      </c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</row>
    <row r="170" spans="2:70" x14ac:dyDescent="0.3">
      <c r="B170" s="96" t="str">
        <f t="shared" si="136"/>
        <v/>
      </c>
      <c r="C170" s="96" t="str">
        <f t="shared" si="137"/>
        <v/>
      </c>
      <c r="D170" s="96" t="str">
        <f t="shared" si="138"/>
        <v/>
      </c>
      <c r="E170" s="3"/>
      <c r="F170" s="3"/>
      <c r="G170" s="3"/>
      <c r="H170" s="3"/>
      <c r="I170" s="20">
        <f>IFERROR(INDEX('Input - Target'!G$2:G$200,MATCH('Calculations - Target'!$D170,'Input - Target'!$B$2:$B$200,0)),"")</f>
        <v>0</v>
      </c>
      <c r="J170" s="20">
        <f>IFERROR(INDEX('Input - Target'!H$2:H$200,MATCH('Calculations - Target'!$D170,'Input - Target'!$B$2:$B$200,0)),"")</f>
        <v>0</v>
      </c>
      <c r="K170" s="21">
        <f>IFERROR(INDEX('Input - Target'!I$2:I$200,MATCH('Calculations - Target'!$D170,'Input - Target'!$B$2:$B$200,0)),"")</f>
        <v>0</v>
      </c>
      <c r="L170" s="21">
        <f>IFERROR(INDEX('Input - Target'!J$2:J$200,MATCH('Calculations - Target'!$D170,'Input - Target'!$B$2:$B$200,0)),"")</f>
        <v>0</v>
      </c>
      <c r="M170" s="20">
        <f>IFERROR(INDEX('Input - Target'!K$2:K$200,MATCH('Calculations - Target'!$D170,'Input - Target'!$B$2:$B$200,0)),"")</f>
        <v>0</v>
      </c>
      <c r="N170" s="20">
        <f>IFERROR(INDEX('Input - Target'!L$2:L$200,MATCH('Calculations - Target'!$D170,'Input - Target'!$B$2:$B$200,0)),"")</f>
        <v>0</v>
      </c>
      <c r="O170" s="21" t="str">
        <f t="shared" si="139"/>
        <v/>
      </c>
      <c r="P170" s="21" t="str">
        <f t="shared" si="123"/>
        <v/>
      </c>
      <c r="Q170" s="21">
        <f t="shared" si="140"/>
        <v>0</v>
      </c>
      <c r="R170" s="9">
        <f t="shared" si="121"/>
        <v>0</v>
      </c>
      <c r="S170" s="9">
        <f t="shared" si="122"/>
        <v>0</v>
      </c>
      <c r="T170" s="22" t="str">
        <f>IFERROR(INDEX(Target!$S$11:$S$167,MATCH('Calculations - Target'!$D170,Target!$N$11:$N$167,0)),"")</f>
        <v/>
      </c>
      <c r="U170" s="22" t="str">
        <f>IFERROR(INDEX(Target!$T$11:$T$167,MATCH('Calculations - Target'!$D170,Target!$N$11:$N$167,0)),"")</f>
        <v/>
      </c>
      <c r="V170" s="16" t="e">
        <f t="shared" si="124"/>
        <v>#VALUE!</v>
      </c>
      <c r="W170" s="16" t="e">
        <f t="shared" si="141"/>
        <v>#VALUE!</v>
      </c>
      <c r="X170" s="16" t="e">
        <f t="shared" si="142"/>
        <v>#VALUE!</v>
      </c>
      <c r="Y170" s="10" t="str">
        <f t="shared" si="125"/>
        <v>-</v>
      </c>
      <c r="Z170" s="10" t="str">
        <f t="shared" si="126"/>
        <v>-</v>
      </c>
      <c r="AA170" s="13" t="str">
        <f t="shared" si="143"/>
        <v>-</v>
      </c>
      <c r="AB170" s="9" t="str">
        <f t="shared" si="127"/>
        <v>-</v>
      </c>
      <c r="AC170" s="16" t="str">
        <f t="shared" si="144"/>
        <v>-</v>
      </c>
      <c r="AD170" s="16" t="str">
        <f t="shared" si="128"/>
        <v>-</v>
      </c>
      <c r="AE170" s="16" t="str">
        <f t="shared" si="129"/>
        <v>-</v>
      </c>
      <c r="AF170" s="16" t="str">
        <f t="shared" si="145"/>
        <v>-</v>
      </c>
      <c r="AG170" s="16"/>
      <c r="AH170" s="32" t="str">
        <f>IFERROR(INDEX(Target!$R$11:$R$167,MATCH('Calculations - Target'!D170,Target!$N$11:$N$167,0)),"")</f>
        <v/>
      </c>
      <c r="AI170" s="23" t="str">
        <f t="shared" si="146"/>
        <v/>
      </c>
      <c r="AJ170" s="23" t="str">
        <f t="shared" si="147"/>
        <v/>
      </c>
      <c r="AK170" s="9" t="str">
        <f t="shared" si="130"/>
        <v/>
      </c>
      <c r="AL170" s="4" t="str">
        <f t="shared" si="131"/>
        <v/>
      </c>
      <c r="AM170" s="4"/>
      <c r="AN170" s="4"/>
      <c r="AO170" s="4"/>
      <c r="AP170" s="4"/>
      <c r="AQ170" s="4"/>
      <c r="AR170" s="20" t="str">
        <f t="shared" si="132"/>
        <v>-</v>
      </c>
      <c r="AS170" s="13" t="str">
        <f t="shared" si="148"/>
        <v>-</v>
      </c>
      <c r="AT170" s="13" t="str">
        <f t="shared" si="149"/>
        <v>-</v>
      </c>
      <c r="AU170" s="13" t="str">
        <f t="shared" si="133"/>
        <v>-</v>
      </c>
      <c r="AV170" s="16" t="str">
        <f t="shared" si="150"/>
        <v>-</v>
      </c>
      <c r="AW170" s="16" t="str">
        <f t="shared" si="134"/>
        <v>-</v>
      </c>
      <c r="AX170" s="16" t="str">
        <f t="shared" si="135"/>
        <v>-</v>
      </c>
      <c r="AY170" s="16" t="str">
        <f t="shared" si="151"/>
        <v>-</v>
      </c>
      <c r="AZ170" s="13" t="str">
        <f t="shared" si="152"/>
        <v>-</v>
      </c>
      <c r="BA170" s="10" t="str">
        <f t="shared" si="153"/>
        <v>-</v>
      </c>
      <c r="BB170" s="9" t="str">
        <f t="shared" si="154"/>
        <v>-</v>
      </c>
      <c r="BC170" s="13" t="str">
        <f t="shared" si="155"/>
        <v>-</v>
      </c>
      <c r="BD170" s="10" t="str">
        <f t="shared" si="156"/>
        <v>-</v>
      </c>
      <c r="BE170" s="13" t="str">
        <f t="shared" si="157"/>
        <v>-</v>
      </c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</row>
    <row r="171" spans="2:70" x14ac:dyDescent="0.3">
      <c r="B171" s="96" t="str">
        <f t="shared" si="136"/>
        <v/>
      </c>
      <c r="C171" s="96" t="str">
        <f t="shared" si="137"/>
        <v/>
      </c>
      <c r="D171" s="96" t="str">
        <f t="shared" si="138"/>
        <v/>
      </c>
      <c r="E171" s="3"/>
      <c r="F171" s="3"/>
      <c r="G171" s="3"/>
      <c r="H171" s="3"/>
      <c r="I171" s="20">
        <f>IFERROR(INDEX('Input - Target'!G$2:G$200,MATCH('Calculations - Target'!$D171,'Input - Target'!$B$2:$B$200,0)),"")</f>
        <v>0</v>
      </c>
      <c r="J171" s="20">
        <f>IFERROR(INDEX('Input - Target'!H$2:H$200,MATCH('Calculations - Target'!$D171,'Input - Target'!$B$2:$B$200,0)),"")</f>
        <v>0</v>
      </c>
      <c r="K171" s="21">
        <f>IFERROR(INDEX('Input - Target'!I$2:I$200,MATCH('Calculations - Target'!$D171,'Input - Target'!$B$2:$B$200,0)),"")</f>
        <v>0</v>
      </c>
      <c r="L171" s="21">
        <f>IFERROR(INDEX('Input - Target'!J$2:J$200,MATCH('Calculations - Target'!$D171,'Input - Target'!$B$2:$B$200,0)),"")</f>
        <v>0</v>
      </c>
      <c r="M171" s="20">
        <f>IFERROR(INDEX('Input - Target'!K$2:K$200,MATCH('Calculations - Target'!$D171,'Input - Target'!$B$2:$B$200,0)),"")</f>
        <v>0</v>
      </c>
      <c r="N171" s="20">
        <f>IFERROR(INDEX('Input - Target'!L$2:L$200,MATCH('Calculations - Target'!$D171,'Input - Target'!$B$2:$B$200,0)),"")</f>
        <v>0</v>
      </c>
      <c r="O171" s="21" t="str">
        <f t="shared" si="139"/>
        <v/>
      </c>
      <c r="P171" s="21" t="str">
        <f t="shared" si="123"/>
        <v/>
      </c>
      <c r="Q171" s="21">
        <f t="shared" si="140"/>
        <v>0</v>
      </c>
      <c r="R171" s="9">
        <f t="shared" si="121"/>
        <v>0</v>
      </c>
      <c r="S171" s="9">
        <f t="shared" si="122"/>
        <v>0</v>
      </c>
      <c r="T171" s="22" t="str">
        <f>IFERROR(INDEX(Target!$S$11:$S$167,MATCH('Calculations - Target'!$D171,Target!$N$11:$N$167,0)),"")</f>
        <v/>
      </c>
      <c r="U171" s="22" t="str">
        <f>IFERROR(INDEX(Target!$T$11:$T$167,MATCH('Calculations - Target'!$D171,Target!$N$11:$N$167,0)),"")</f>
        <v/>
      </c>
      <c r="V171" s="16" t="e">
        <f t="shared" si="124"/>
        <v>#VALUE!</v>
      </c>
      <c r="W171" s="16" t="e">
        <f t="shared" si="141"/>
        <v>#VALUE!</v>
      </c>
      <c r="X171" s="16" t="e">
        <f t="shared" si="142"/>
        <v>#VALUE!</v>
      </c>
      <c r="Y171" s="10" t="str">
        <f t="shared" si="125"/>
        <v>-</v>
      </c>
      <c r="Z171" s="10" t="str">
        <f t="shared" si="126"/>
        <v>-</v>
      </c>
      <c r="AA171" s="13" t="str">
        <f t="shared" si="143"/>
        <v>-</v>
      </c>
      <c r="AB171" s="9" t="str">
        <f t="shared" si="127"/>
        <v>-</v>
      </c>
      <c r="AC171" s="16" t="str">
        <f t="shared" si="144"/>
        <v>-</v>
      </c>
      <c r="AD171" s="16" t="str">
        <f t="shared" si="128"/>
        <v>-</v>
      </c>
      <c r="AE171" s="16" t="str">
        <f t="shared" si="129"/>
        <v>-</v>
      </c>
      <c r="AF171" s="16" t="str">
        <f t="shared" si="145"/>
        <v>-</v>
      </c>
      <c r="AG171" s="16"/>
      <c r="AH171" s="32" t="str">
        <f>IFERROR(INDEX(Target!$R$11:$R$167,MATCH('Calculations - Target'!D171,Target!$N$11:$N$167,0)),"")</f>
        <v/>
      </c>
      <c r="AI171" s="23" t="str">
        <f t="shared" si="146"/>
        <v/>
      </c>
      <c r="AJ171" s="23" t="str">
        <f t="shared" si="147"/>
        <v/>
      </c>
      <c r="AK171" s="9" t="str">
        <f t="shared" si="130"/>
        <v/>
      </c>
      <c r="AL171" s="4" t="str">
        <f t="shared" si="131"/>
        <v/>
      </c>
      <c r="AM171" s="4"/>
      <c r="AN171" s="4"/>
      <c r="AO171" s="4"/>
      <c r="AP171" s="4"/>
      <c r="AQ171" s="4"/>
      <c r="AR171" s="20" t="str">
        <f t="shared" si="132"/>
        <v>-</v>
      </c>
      <c r="AS171" s="13" t="str">
        <f t="shared" si="148"/>
        <v>-</v>
      </c>
      <c r="AT171" s="13" t="str">
        <f t="shared" si="149"/>
        <v>-</v>
      </c>
      <c r="AU171" s="13" t="str">
        <f t="shared" si="133"/>
        <v>-</v>
      </c>
      <c r="AV171" s="16" t="str">
        <f t="shared" si="150"/>
        <v>-</v>
      </c>
      <c r="AW171" s="16" t="str">
        <f t="shared" si="134"/>
        <v>-</v>
      </c>
      <c r="AX171" s="16" t="str">
        <f t="shared" si="135"/>
        <v>-</v>
      </c>
      <c r="AY171" s="16" t="str">
        <f t="shared" si="151"/>
        <v>-</v>
      </c>
      <c r="AZ171" s="13" t="str">
        <f t="shared" si="152"/>
        <v>-</v>
      </c>
      <c r="BA171" s="10" t="str">
        <f t="shared" si="153"/>
        <v>-</v>
      </c>
      <c r="BB171" s="9" t="str">
        <f t="shared" si="154"/>
        <v>-</v>
      </c>
      <c r="BC171" s="13" t="str">
        <f t="shared" si="155"/>
        <v>-</v>
      </c>
      <c r="BD171" s="10" t="str">
        <f t="shared" si="156"/>
        <v>-</v>
      </c>
      <c r="BE171" s="13" t="str">
        <f t="shared" si="157"/>
        <v>-</v>
      </c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</row>
    <row r="172" spans="2:70" x14ac:dyDescent="0.3">
      <c r="B172" s="96" t="str">
        <f t="shared" si="136"/>
        <v/>
      </c>
      <c r="C172" s="96" t="str">
        <f t="shared" si="137"/>
        <v/>
      </c>
      <c r="D172" s="96" t="str">
        <f t="shared" si="138"/>
        <v/>
      </c>
      <c r="E172" s="3"/>
      <c r="F172" s="3"/>
      <c r="G172" s="3"/>
      <c r="H172" s="3"/>
      <c r="I172" s="20">
        <f>IFERROR(INDEX('Input - Target'!G$2:G$200,MATCH('Calculations - Target'!$D172,'Input - Target'!$B$2:$B$200,0)),"")</f>
        <v>0</v>
      </c>
      <c r="J172" s="20">
        <f>IFERROR(INDEX('Input - Target'!H$2:H$200,MATCH('Calculations - Target'!$D172,'Input - Target'!$B$2:$B$200,0)),"")</f>
        <v>0</v>
      </c>
      <c r="K172" s="21">
        <f>IFERROR(INDEX('Input - Target'!I$2:I$200,MATCH('Calculations - Target'!$D172,'Input - Target'!$B$2:$B$200,0)),"")</f>
        <v>0</v>
      </c>
      <c r="L172" s="21">
        <f>IFERROR(INDEX('Input - Target'!J$2:J$200,MATCH('Calculations - Target'!$D172,'Input - Target'!$B$2:$B$200,0)),"")</f>
        <v>0</v>
      </c>
      <c r="M172" s="20">
        <f>IFERROR(INDEX('Input - Target'!K$2:K$200,MATCH('Calculations - Target'!$D172,'Input - Target'!$B$2:$B$200,0)),"")</f>
        <v>0</v>
      </c>
      <c r="N172" s="20">
        <f>IFERROR(INDEX('Input - Target'!L$2:L$200,MATCH('Calculations - Target'!$D172,'Input - Target'!$B$2:$B$200,0)),"")</f>
        <v>0</v>
      </c>
      <c r="O172" s="21" t="str">
        <f t="shared" si="139"/>
        <v/>
      </c>
      <c r="P172" s="21" t="str">
        <f t="shared" si="123"/>
        <v/>
      </c>
      <c r="Q172" s="21">
        <f t="shared" si="140"/>
        <v>0</v>
      </c>
      <c r="R172" s="9">
        <f t="shared" si="121"/>
        <v>0</v>
      </c>
      <c r="S172" s="9">
        <f t="shared" si="122"/>
        <v>0</v>
      </c>
      <c r="T172" s="22" t="str">
        <f>IFERROR(INDEX(Target!$S$11:$S$167,MATCH('Calculations - Target'!$D172,Target!$N$11:$N$167,0)),"")</f>
        <v/>
      </c>
      <c r="U172" s="22" t="str">
        <f>IFERROR(INDEX(Target!$T$11:$T$167,MATCH('Calculations - Target'!$D172,Target!$N$11:$N$167,0)),"")</f>
        <v/>
      </c>
      <c r="V172" s="16" t="e">
        <f t="shared" si="124"/>
        <v>#VALUE!</v>
      </c>
      <c r="W172" s="16" t="e">
        <f t="shared" si="141"/>
        <v>#VALUE!</v>
      </c>
      <c r="X172" s="16" t="e">
        <f t="shared" si="142"/>
        <v>#VALUE!</v>
      </c>
      <c r="Y172" s="10" t="str">
        <f t="shared" si="125"/>
        <v>-</v>
      </c>
      <c r="Z172" s="10" t="str">
        <f t="shared" si="126"/>
        <v>-</v>
      </c>
      <c r="AA172" s="13" t="str">
        <f t="shared" si="143"/>
        <v>-</v>
      </c>
      <c r="AB172" s="9" t="str">
        <f t="shared" si="127"/>
        <v>-</v>
      </c>
      <c r="AC172" s="16" t="str">
        <f t="shared" si="144"/>
        <v>-</v>
      </c>
      <c r="AD172" s="16" t="str">
        <f t="shared" si="128"/>
        <v>-</v>
      </c>
      <c r="AE172" s="16" t="str">
        <f t="shared" si="129"/>
        <v>-</v>
      </c>
      <c r="AF172" s="16" t="str">
        <f t="shared" si="145"/>
        <v>-</v>
      </c>
      <c r="AG172" s="16"/>
      <c r="AH172" s="32" t="str">
        <f>IFERROR(INDEX(Target!$R$11:$R$167,MATCH('Calculations - Target'!D172,Target!$N$11:$N$167,0)),"")</f>
        <v/>
      </c>
      <c r="AI172" s="23" t="str">
        <f t="shared" si="146"/>
        <v/>
      </c>
      <c r="AJ172" s="23" t="str">
        <f t="shared" si="147"/>
        <v/>
      </c>
      <c r="AK172" s="9" t="str">
        <f t="shared" si="130"/>
        <v/>
      </c>
      <c r="AL172" s="4" t="str">
        <f t="shared" si="131"/>
        <v/>
      </c>
      <c r="AM172" s="4"/>
      <c r="AN172" s="4"/>
      <c r="AO172" s="4"/>
      <c r="AP172" s="4"/>
      <c r="AQ172" s="4"/>
      <c r="AR172" s="20" t="str">
        <f t="shared" si="132"/>
        <v>-</v>
      </c>
      <c r="AS172" s="13" t="str">
        <f t="shared" si="148"/>
        <v>-</v>
      </c>
      <c r="AT172" s="13" t="str">
        <f t="shared" si="149"/>
        <v>-</v>
      </c>
      <c r="AU172" s="13" t="str">
        <f t="shared" si="133"/>
        <v>-</v>
      </c>
      <c r="AV172" s="16" t="str">
        <f t="shared" si="150"/>
        <v>-</v>
      </c>
      <c r="AW172" s="16" t="str">
        <f t="shared" si="134"/>
        <v>-</v>
      </c>
      <c r="AX172" s="16" t="str">
        <f t="shared" si="135"/>
        <v>-</v>
      </c>
      <c r="AY172" s="16" t="str">
        <f t="shared" si="151"/>
        <v>-</v>
      </c>
      <c r="AZ172" s="13" t="str">
        <f t="shared" si="152"/>
        <v>-</v>
      </c>
      <c r="BA172" s="10" t="str">
        <f t="shared" si="153"/>
        <v>-</v>
      </c>
      <c r="BB172" s="9" t="str">
        <f t="shared" si="154"/>
        <v>-</v>
      </c>
      <c r="BC172" s="13" t="str">
        <f t="shared" si="155"/>
        <v>-</v>
      </c>
      <c r="BD172" s="10" t="str">
        <f t="shared" si="156"/>
        <v>-</v>
      </c>
      <c r="BE172" s="13" t="str">
        <f t="shared" si="157"/>
        <v>-</v>
      </c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</row>
    <row r="173" spans="2:70" x14ac:dyDescent="0.3">
      <c r="B173" s="96" t="str">
        <f t="shared" si="136"/>
        <v/>
      </c>
      <c r="C173" s="96" t="str">
        <f t="shared" si="137"/>
        <v/>
      </c>
      <c r="D173" s="96" t="str">
        <f t="shared" si="138"/>
        <v/>
      </c>
      <c r="E173" s="3"/>
      <c r="F173" s="3"/>
      <c r="G173" s="3"/>
      <c r="H173" s="3"/>
      <c r="I173" s="20">
        <f>IFERROR(INDEX('Input - Target'!G$2:G$200,MATCH('Calculations - Target'!$D173,'Input - Target'!$B$2:$B$200,0)),"")</f>
        <v>0</v>
      </c>
      <c r="J173" s="20">
        <f>IFERROR(INDEX('Input - Target'!H$2:H$200,MATCH('Calculations - Target'!$D173,'Input - Target'!$B$2:$B$200,0)),"")</f>
        <v>0</v>
      </c>
      <c r="K173" s="21">
        <f>IFERROR(INDEX('Input - Target'!I$2:I$200,MATCH('Calculations - Target'!$D173,'Input - Target'!$B$2:$B$200,0)),"")</f>
        <v>0</v>
      </c>
      <c r="L173" s="21">
        <f>IFERROR(INDEX('Input - Target'!J$2:J$200,MATCH('Calculations - Target'!$D173,'Input - Target'!$B$2:$B$200,0)),"")</f>
        <v>0</v>
      </c>
      <c r="M173" s="20">
        <f>IFERROR(INDEX('Input - Target'!K$2:K$200,MATCH('Calculations - Target'!$D173,'Input - Target'!$B$2:$B$200,0)),"")</f>
        <v>0</v>
      </c>
      <c r="N173" s="20">
        <f>IFERROR(INDEX('Input - Target'!L$2:L$200,MATCH('Calculations - Target'!$D173,'Input - Target'!$B$2:$B$200,0)),"")</f>
        <v>0</v>
      </c>
      <c r="O173" s="21" t="str">
        <f t="shared" si="139"/>
        <v/>
      </c>
      <c r="P173" s="21" t="str">
        <f t="shared" si="123"/>
        <v/>
      </c>
      <c r="Q173" s="21">
        <f t="shared" si="140"/>
        <v>0</v>
      </c>
      <c r="R173" s="9">
        <f t="shared" si="121"/>
        <v>0</v>
      </c>
      <c r="S173" s="9">
        <f t="shared" si="122"/>
        <v>0</v>
      </c>
      <c r="T173" s="22" t="str">
        <f>IFERROR(INDEX(Target!$S$11:$S$167,MATCH('Calculations - Target'!$D173,Target!$N$11:$N$167,0)),"")</f>
        <v/>
      </c>
      <c r="U173" s="22" t="str">
        <f>IFERROR(INDEX(Target!$T$11:$T$167,MATCH('Calculations - Target'!$D173,Target!$N$11:$N$167,0)),"")</f>
        <v/>
      </c>
      <c r="V173" s="16" t="e">
        <f t="shared" si="124"/>
        <v>#VALUE!</v>
      </c>
      <c r="W173" s="16" t="e">
        <f t="shared" si="141"/>
        <v>#VALUE!</v>
      </c>
      <c r="X173" s="16" t="e">
        <f t="shared" si="142"/>
        <v>#VALUE!</v>
      </c>
      <c r="Y173" s="10" t="str">
        <f t="shared" si="125"/>
        <v>-</v>
      </c>
      <c r="Z173" s="10" t="str">
        <f t="shared" si="126"/>
        <v>-</v>
      </c>
      <c r="AA173" s="13" t="str">
        <f t="shared" si="143"/>
        <v>-</v>
      </c>
      <c r="AB173" s="9" t="str">
        <f t="shared" si="127"/>
        <v>-</v>
      </c>
      <c r="AC173" s="16" t="str">
        <f t="shared" si="144"/>
        <v>-</v>
      </c>
      <c r="AD173" s="16" t="str">
        <f t="shared" si="128"/>
        <v>-</v>
      </c>
      <c r="AE173" s="16" t="str">
        <f t="shared" si="129"/>
        <v>-</v>
      </c>
      <c r="AF173" s="16" t="str">
        <f t="shared" si="145"/>
        <v>-</v>
      </c>
      <c r="AG173" s="16"/>
      <c r="AH173" s="32" t="str">
        <f>IFERROR(INDEX(Target!$R$11:$R$167,MATCH('Calculations - Target'!D173,Target!$N$11:$N$167,0)),"")</f>
        <v/>
      </c>
      <c r="AI173" s="23" t="str">
        <f t="shared" si="146"/>
        <v/>
      </c>
      <c r="AJ173" s="23" t="str">
        <f t="shared" si="147"/>
        <v/>
      </c>
      <c r="AK173" s="9" t="str">
        <f t="shared" si="130"/>
        <v/>
      </c>
      <c r="AL173" s="4" t="str">
        <f t="shared" si="131"/>
        <v/>
      </c>
      <c r="AM173" s="4"/>
      <c r="AN173" s="4"/>
      <c r="AO173" s="4"/>
      <c r="AP173" s="4"/>
      <c r="AQ173" s="4"/>
      <c r="AR173" s="20" t="str">
        <f t="shared" si="132"/>
        <v>-</v>
      </c>
      <c r="AS173" s="13" t="str">
        <f t="shared" si="148"/>
        <v>-</v>
      </c>
      <c r="AT173" s="13" t="str">
        <f t="shared" si="149"/>
        <v>-</v>
      </c>
      <c r="AU173" s="13" t="str">
        <f t="shared" si="133"/>
        <v>-</v>
      </c>
      <c r="AV173" s="16" t="str">
        <f t="shared" si="150"/>
        <v>-</v>
      </c>
      <c r="AW173" s="16" t="str">
        <f t="shared" si="134"/>
        <v>-</v>
      </c>
      <c r="AX173" s="16" t="str">
        <f t="shared" si="135"/>
        <v>-</v>
      </c>
      <c r="AY173" s="16" t="str">
        <f t="shared" si="151"/>
        <v>-</v>
      </c>
      <c r="AZ173" s="13" t="str">
        <f t="shared" si="152"/>
        <v>-</v>
      </c>
      <c r="BA173" s="10" t="str">
        <f t="shared" si="153"/>
        <v>-</v>
      </c>
      <c r="BB173" s="9" t="str">
        <f t="shared" si="154"/>
        <v>-</v>
      </c>
      <c r="BC173" s="13" t="str">
        <f t="shared" si="155"/>
        <v>-</v>
      </c>
      <c r="BD173" s="10" t="str">
        <f t="shared" si="156"/>
        <v>-</v>
      </c>
      <c r="BE173" s="13" t="str">
        <f t="shared" si="157"/>
        <v>-</v>
      </c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</row>
    <row r="174" spans="2:70" x14ac:dyDescent="0.3">
      <c r="B174" s="96" t="str">
        <f t="shared" si="136"/>
        <v/>
      </c>
      <c r="C174" s="96" t="str">
        <f t="shared" si="137"/>
        <v/>
      </c>
      <c r="D174" s="96" t="str">
        <f t="shared" si="138"/>
        <v/>
      </c>
      <c r="E174" s="3"/>
      <c r="F174" s="3"/>
      <c r="G174" s="3"/>
      <c r="H174" s="3"/>
      <c r="I174" s="20">
        <f>IFERROR(INDEX('Input - Target'!G$2:G$200,MATCH('Calculations - Target'!$D174,'Input - Target'!$B$2:$B$200,0)),"")</f>
        <v>0</v>
      </c>
      <c r="J174" s="20">
        <f>IFERROR(INDEX('Input - Target'!H$2:H$200,MATCH('Calculations - Target'!$D174,'Input - Target'!$B$2:$B$200,0)),"")</f>
        <v>0</v>
      </c>
      <c r="K174" s="21">
        <f>IFERROR(INDEX('Input - Target'!I$2:I$200,MATCH('Calculations - Target'!$D174,'Input - Target'!$B$2:$B$200,0)),"")</f>
        <v>0</v>
      </c>
      <c r="L174" s="21">
        <f>IFERROR(INDEX('Input - Target'!J$2:J$200,MATCH('Calculations - Target'!$D174,'Input - Target'!$B$2:$B$200,0)),"")</f>
        <v>0</v>
      </c>
      <c r="M174" s="20">
        <f>IFERROR(INDEX('Input - Target'!K$2:K$200,MATCH('Calculations - Target'!$D174,'Input - Target'!$B$2:$B$200,0)),"")</f>
        <v>0</v>
      </c>
      <c r="N174" s="20">
        <f>IFERROR(INDEX('Input - Target'!L$2:L$200,MATCH('Calculations - Target'!$D174,'Input - Target'!$B$2:$B$200,0)),"")</f>
        <v>0</v>
      </c>
      <c r="O174" s="21" t="str">
        <f t="shared" si="139"/>
        <v/>
      </c>
      <c r="P174" s="21" t="str">
        <f t="shared" si="123"/>
        <v/>
      </c>
      <c r="Q174" s="21">
        <f t="shared" si="140"/>
        <v>0</v>
      </c>
      <c r="R174" s="9">
        <f t="shared" si="121"/>
        <v>0</v>
      </c>
      <c r="S174" s="9">
        <f t="shared" si="122"/>
        <v>0</v>
      </c>
      <c r="T174" s="22" t="str">
        <f>IFERROR(INDEX(Target!$S$11:$S$167,MATCH('Calculations - Target'!$D174,Target!$N$11:$N$167,0)),"")</f>
        <v/>
      </c>
      <c r="U174" s="22" t="str">
        <f>IFERROR(INDEX(Target!$T$11:$T$167,MATCH('Calculations - Target'!$D174,Target!$N$11:$N$167,0)),"")</f>
        <v/>
      </c>
      <c r="V174" s="16" t="e">
        <f t="shared" si="124"/>
        <v>#VALUE!</v>
      </c>
      <c r="W174" s="16" t="e">
        <f t="shared" si="141"/>
        <v>#VALUE!</v>
      </c>
      <c r="X174" s="16" t="e">
        <f t="shared" si="142"/>
        <v>#VALUE!</v>
      </c>
      <c r="Y174" s="10" t="str">
        <f t="shared" si="125"/>
        <v>-</v>
      </c>
      <c r="Z174" s="10" t="str">
        <f t="shared" si="126"/>
        <v>-</v>
      </c>
      <c r="AA174" s="13" t="str">
        <f t="shared" si="143"/>
        <v>-</v>
      </c>
      <c r="AB174" s="9" t="str">
        <f t="shared" si="127"/>
        <v>-</v>
      </c>
      <c r="AC174" s="16" t="str">
        <f t="shared" si="144"/>
        <v>-</v>
      </c>
      <c r="AD174" s="16" t="str">
        <f t="shared" si="128"/>
        <v>-</v>
      </c>
      <c r="AE174" s="16" t="str">
        <f t="shared" si="129"/>
        <v>-</v>
      </c>
      <c r="AF174" s="16" t="str">
        <f t="shared" si="145"/>
        <v>-</v>
      </c>
      <c r="AG174" s="16"/>
      <c r="AH174" s="32" t="str">
        <f>IFERROR(INDEX(Target!$R$11:$R$167,MATCH('Calculations - Target'!D174,Target!$N$11:$N$167,0)),"")</f>
        <v/>
      </c>
      <c r="AI174" s="23" t="str">
        <f t="shared" si="146"/>
        <v/>
      </c>
      <c r="AJ174" s="23" t="str">
        <f t="shared" si="147"/>
        <v/>
      </c>
      <c r="AK174" s="9" t="str">
        <f t="shared" si="130"/>
        <v/>
      </c>
      <c r="AL174" s="4" t="str">
        <f t="shared" si="131"/>
        <v/>
      </c>
      <c r="AM174" s="4"/>
      <c r="AN174" s="4"/>
      <c r="AO174" s="4"/>
      <c r="AP174" s="4"/>
      <c r="AQ174" s="4"/>
      <c r="AR174" s="20" t="str">
        <f t="shared" si="132"/>
        <v>-</v>
      </c>
      <c r="AS174" s="13" t="str">
        <f t="shared" si="148"/>
        <v>-</v>
      </c>
      <c r="AT174" s="13" t="str">
        <f t="shared" si="149"/>
        <v>-</v>
      </c>
      <c r="AU174" s="13" t="str">
        <f t="shared" si="133"/>
        <v>-</v>
      </c>
      <c r="AV174" s="16" t="str">
        <f t="shared" si="150"/>
        <v>-</v>
      </c>
      <c r="AW174" s="16" t="str">
        <f t="shared" si="134"/>
        <v>-</v>
      </c>
      <c r="AX174" s="16" t="str">
        <f t="shared" si="135"/>
        <v>-</v>
      </c>
      <c r="AY174" s="16" t="str">
        <f t="shared" si="151"/>
        <v>-</v>
      </c>
      <c r="AZ174" s="13" t="str">
        <f t="shared" si="152"/>
        <v>-</v>
      </c>
      <c r="BA174" s="10" t="str">
        <f t="shared" si="153"/>
        <v>-</v>
      </c>
      <c r="BB174" s="9" t="str">
        <f t="shared" si="154"/>
        <v>-</v>
      </c>
      <c r="BC174" s="13" t="str">
        <f t="shared" si="155"/>
        <v>-</v>
      </c>
      <c r="BD174" s="10" t="str">
        <f t="shared" si="156"/>
        <v>-</v>
      </c>
      <c r="BE174" s="13" t="str">
        <f t="shared" si="157"/>
        <v>-</v>
      </c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</row>
    <row r="175" spans="2:70" x14ac:dyDescent="0.3">
      <c r="B175" s="96" t="str">
        <f t="shared" si="136"/>
        <v/>
      </c>
      <c r="C175" s="96" t="str">
        <f t="shared" si="137"/>
        <v/>
      </c>
      <c r="D175" s="96" t="str">
        <f t="shared" si="138"/>
        <v/>
      </c>
      <c r="E175" s="3"/>
      <c r="F175" s="3"/>
      <c r="G175" s="3"/>
      <c r="H175" s="3"/>
      <c r="I175" s="20">
        <f>IFERROR(INDEX('Input - Target'!G$2:G$200,MATCH('Calculations - Target'!$D175,'Input - Target'!$B$2:$B$200,0)),"")</f>
        <v>0</v>
      </c>
      <c r="J175" s="20">
        <f>IFERROR(INDEX('Input - Target'!H$2:H$200,MATCH('Calculations - Target'!$D175,'Input - Target'!$B$2:$B$200,0)),"")</f>
        <v>0</v>
      </c>
      <c r="K175" s="21">
        <f>IFERROR(INDEX('Input - Target'!I$2:I$200,MATCH('Calculations - Target'!$D175,'Input - Target'!$B$2:$B$200,0)),"")</f>
        <v>0</v>
      </c>
      <c r="L175" s="21">
        <f>IFERROR(INDEX('Input - Target'!J$2:J$200,MATCH('Calculations - Target'!$D175,'Input - Target'!$B$2:$B$200,0)),"")</f>
        <v>0</v>
      </c>
      <c r="M175" s="20">
        <f>IFERROR(INDEX('Input - Target'!K$2:K$200,MATCH('Calculations - Target'!$D175,'Input - Target'!$B$2:$B$200,0)),"")</f>
        <v>0</v>
      </c>
      <c r="N175" s="20">
        <f>IFERROR(INDEX('Input - Target'!L$2:L$200,MATCH('Calculations - Target'!$D175,'Input - Target'!$B$2:$B$200,0)),"")</f>
        <v>0</v>
      </c>
      <c r="O175" s="21" t="str">
        <f t="shared" si="139"/>
        <v/>
      </c>
      <c r="P175" s="21" t="str">
        <f t="shared" si="123"/>
        <v/>
      </c>
      <c r="Q175" s="21">
        <f t="shared" si="140"/>
        <v>0</v>
      </c>
      <c r="R175" s="9">
        <f t="shared" si="121"/>
        <v>0</v>
      </c>
      <c r="S175" s="9">
        <f t="shared" si="122"/>
        <v>0</v>
      </c>
      <c r="T175" s="22" t="str">
        <f>IFERROR(INDEX(Target!$S$11:$S$167,MATCH('Calculations - Target'!$D175,Target!$N$11:$N$167,0)),"")</f>
        <v/>
      </c>
      <c r="U175" s="22" t="str">
        <f>IFERROR(INDEX(Target!$T$11:$T$167,MATCH('Calculations - Target'!$D175,Target!$N$11:$N$167,0)),"")</f>
        <v/>
      </c>
      <c r="V175" s="16" t="e">
        <f t="shared" si="124"/>
        <v>#VALUE!</v>
      </c>
      <c r="W175" s="16" t="e">
        <f t="shared" si="141"/>
        <v>#VALUE!</v>
      </c>
      <c r="X175" s="16" t="e">
        <f t="shared" si="142"/>
        <v>#VALUE!</v>
      </c>
      <c r="Y175" s="10" t="str">
        <f t="shared" si="125"/>
        <v>-</v>
      </c>
      <c r="Z175" s="10" t="str">
        <f t="shared" si="126"/>
        <v>-</v>
      </c>
      <c r="AA175" s="13" t="str">
        <f t="shared" si="143"/>
        <v>-</v>
      </c>
      <c r="AB175" s="9" t="str">
        <f t="shared" si="127"/>
        <v>-</v>
      </c>
      <c r="AC175" s="16" t="str">
        <f t="shared" si="144"/>
        <v>-</v>
      </c>
      <c r="AD175" s="16" t="str">
        <f t="shared" si="128"/>
        <v>-</v>
      </c>
      <c r="AE175" s="16" t="str">
        <f t="shared" si="129"/>
        <v>-</v>
      </c>
      <c r="AF175" s="16" t="str">
        <f t="shared" si="145"/>
        <v>-</v>
      </c>
      <c r="AG175" s="16"/>
      <c r="AH175" s="32" t="str">
        <f>IFERROR(INDEX(Target!$R$11:$R$167,MATCH('Calculations - Target'!D175,Target!$N$11:$N$167,0)),"")</f>
        <v/>
      </c>
      <c r="AI175" s="23" t="str">
        <f t="shared" si="146"/>
        <v/>
      </c>
      <c r="AJ175" s="23" t="str">
        <f t="shared" si="147"/>
        <v/>
      </c>
      <c r="AK175" s="9" t="str">
        <f t="shared" si="130"/>
        <v/>
      </c>
      <c r="AL175" s="4" t="str">
        <f t="shared" si="131"/>
        <v/>
      </c>
      <c r="AM175" s="4"/>
      <c r="AN175" s="4"/>
      <c r="AO175" s="4"/>
      <c r="AP175" s="4"/>
      <c r="AQ175" s="4"/>
      <c r="AR175" s="20" t="str">
        <f t="shared" si="132"/>
        <v>-</v>
      </c>
      <c r="AS175" s="13" t="str">
        <f t="shared" si="148"/>
        <v>-</v>
      </c>
      <c r="AT175" s="13" t="str">
        <f t="shared" si="149"/>
        <v>-</v>
      </c>
      <c r="AU175" s="13" t="str">
        <f t="shared" si="133"/>
        <v>-</v>
      </c>
      <c r="AV175" s="16" t="str">
        <f t="shared" si="150"/>
        <v>-</v>
      </c>
      <c r="AW175" s="16" t="str">
        <f t="shared" si="134"/>
        <v>-</v>
      </c>
      <c r="AX175" s="16" t="str">
        <f t="shared" si="135"/>
        <v>-</v>
      </c>
      <c r="AY175" s="16" t="str">
        <f t="shared" si="151"/>
        <v>-</v>
      </c>
      <c r="AZ175" s="13" t="str">
        <f t="shared" si="152"/>
        <v>-</v>
      </c>
      <c r="BA175" s="10" t="str">
        <f t="shared" si="153"/>
        <v>-</v>
      </c>
      <c r="BB175" s="9" t="str">
        <f t="shared" si="154"/>
        <v>-</v>
      </c>
      <c r="BC175" s="13" t="str">
        <f t="shared" si="155"/>
        <v>-</v>
      </c>
      <c r="BD175" s="10" t="str">
        <f t="shared" si="156"/>
        <v>-</v>
      </c>
      <c r="BE175" s="13" t="str">
        <f t="shared" si="157"/>
        <v>-</v>
      </c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</row>
    <row r="176" spans="2:70" x14ac:dyDescent="0.3">
      <c r="B176" s="96" t="str">
        <f t="shared" si="136"/>
        <v/>
      </c>
      <c r="C176" s="96" t="str">
        <f t="shared" si="137"/>
        <v/>
      </c>
      <c r="D176" s="96" t="str">
        <f t="shared" si="138"/>
        <v/>
      </c>
      <c r="E176" s="3"/>
      <c r="F176" s="3"/>
      <c r="G176" s="3"/>
      <c r="H176" s="3"/>
      <c r="I176" s="20">
        <f>IFERROR(INDEX('Input - Target'!G$2:G$200,MATCH('Calculations - Target'!$D176,'Input - Target'!$B$2:$B$200,0)),"")</f>
        <v>0</v>
      </c>
      <c r="J176" s="20">
        <f>IFERROR(INDEX('Input - Target'!H$2:H$200,MATCH('Calculations - Target'!$D176,'Input - Target'!$B$2:$B$200,0)),"")</f>
        <v>0</v>
      </c>
      <c r="K176" s="21">
        <f>IFERROR(INDEX('Input - Target'!I$2:I$200,MATCH('Calculations - Target'!$D176,'Input - Target'!$B$2:$B$200,0)),"")</f>
        <v>0</v>
      </c>
      <c r="L176" s="21">
        <f>IFERROR(INDEX('Input - Target'!J$2:J$200,MATCH('Calculations - Target'!$D176,'Input - Target'!$B$2:$B$200,0)),"")</f>
        <v>0</v>
      </c>
      <c r="M176" s="20">
        <f>IFERROR(INDEX('Input - Target'!K$2:K$200,MATCH('Calculations - Target'!$D176,'Input - Target'!$B$2:$B$200,0)),"")</f>
        <v>0</v>
      </c>
      <c r="N176" s="20">
        <f>IFERROR(INDEX('Input - Target'!L$2:L$200,MATCH('Calculations - Target'!$D176,'Input - Target'!$B$2:$B$200,0)),"")</f>
        <v>0</v>
      </c>
      <c r="O176" s="21" t="str">
        <f t="shared" si="139"/>
        <v/>
      </c>
      <c r="P176" s="21" t="str">
        <f t="shared" si="123"/>
        <v/>
      </c>
      <c r="Q176" s="21">
        <f t="shared" si="140"/>
        <v>0</v>
      </c>
      <c r="R176" s="9">
        <f t="shared" si="121"/>
        <v>0</v>
      </c>
      <c r="S176" s="9">
        <f t="shared" si="122"/>
        <v>0</v>
      </c>
      <c r="T176" s="22" t="str">
        <f>IFERROR(INDEX(Target!$S$11:$S$167,MATCH('Calculations - Target'!$D176,Target!$N$11:$N$167,0)),"")</f>
        <v/>
      </c>
      <c r="U176" s="22" t="str">
        <f>IFERROR(INDEX(Target!$T$11:$T$167,MATCH('Calculations - Target'!$D176,Target!$N$11:$N$167,0)),"")</f>
        <v/>
      </c>
      <c r="V176" s="16" t="e">
        <f t="shared" si="124"/>
        <v>#VALUE!</v>
      </c>
      <c r="W176" s="16" t="e">
        <f t="shared" si="141"/>
        <v>#VALUE!</v>
      </c>
      <c r="X176" s="16" t="e">
        <f t="shared" si="142"/>
        <v>#VALUE!</v>
      </c>
      <c r="Y176" s="10" t="str">
        <f t="shared" si="125"/>
        <v>-</v>
      </c>
      <c r="Z176" s="10" t="str">
        <f t="shared" si="126"/>
        <v>-</v>
      </c>
      <c r="AA176" s="13" t="str">
        <f t="shared" si="143"/>
        <v>-</v>
      </c>
      <c r="AB176" s="9" t="str">
        <f t="shared" si="127"/>
        <v>-</v>
      </c>
      <c r="AC176" s="16" t="str">
        <f t="shared" si="144"/>
        <v>-</v>
      </c>
      <c r="AD176" s="16" t="str">
        <f t="shared" si="128"/>
        <v>-</v>
      </c>
      <c r="AE176" s="16" t="str">
        <f t="shared" si="129"/>
        <v>-</v>
      </c>
      <c r="AF176" s="16" t="str">
        <f t="shared" si="145"/>
        <v>-</v>
      </c>
      <c r="AG176" s="16"/>
      <c r="AH176" s="32" t="str">
        <f>IFERROR(INDEX(Target!$R$11:$R$167,MATCH('Calculations - Target'!D176,Target!$N$11:$N$167,0)),"")</f>
        <v/>
      </c>
      <c r="AI176" s="23" t="str">
        <f t="shared" si="146"/>
        <v/>
      </c>
      <c r="AJ176" s="23" t="str">
        <f t="shared" si="147"/>
        <v/>
      </c>
      <c r="AK176" s="9" t="str">
        <f t="shared" si="130"/>
        <v/>
      </c>
      <c r="AL176" s="4" t="str">
        <f t="shared" si="131"/>
        <v/>
      </c>
      <c r="AM176" s="4"/>
      <c r="AN176" s="4"/>
      <c r="AO176" s="4"/>
      <c r="AP176" s="4"/>
      <c r="AQ176" s="4"/>
      <c r="AR176" s="20" t="str">
        <f t="shared" si="132"/>
        <v>-</v>
      </c>
      <c r="AS176" s="13" t="str">
        <f t="shared" si="148"/>
        <v>-</v>
      </c>
      <c r="AT176" s="13" t="str">
        <f t="shared" si="149"/>
        <v>-</v>
      </c>
      <c r="AU176" s="13" t="str">
        <f t="shared" si="133"/>
        <v>-</v>
      </c>
      <c r="AV176" s="16" t="str">
        <f t="shared" si="150"/>
        <v>-</v>
      </c>
      <c r="AW176" s="16" t="str">
        <f t="shared" si="134"/>
        <v>-</v>
      </c>
      <c r="AX176" s="16" t="str">
        <f t="shared" si="135"/>
        <v>-</v>
      </c>
      <c r="AY176" s="16" t="str">
        <f t="shared" si="151"/>
        <v>-</v>
      </c>
      <c r="AZ176" s="13" t="str">
        <f t="shared" si="152"/>
        <v>-</v>
      </c>
      <c r="BA176" s="10" t="str">
        <f t="shared" si="153"/>
        <v>-</v>
      </c>
      <c r="BB176" s="9" t="str">
        <f t="shared" si="154"/>
        <v>-</v>
      </c>
      <c r="BC176" s="13" t="str">
        <f t="shared" si="155"/>
        <v>-</v>
      </c>
      <c r="BD176" s="10" t="str">
        <f t="shared" si="156"/>
        <v>-</v>
      </c>
      <c r="BE176" s="13" t="str">
        <f t="shared" si="157"/>
        <v>-</v>
      </c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</row>
    <row r="177" spans="2:70" x14ac:dyDescent="0.3">
      <c r="B177" s="96" t="str">
        <f t="shared" si="136"/>
        <v/>
      </c>
      <c r="C177" s="96" t="str">
        <f t="shared" si="137"/>
        <v/>
      </c>
      <c r="D177" s="96" t="str">
        <f t="shared" si="138"/>
        <v/>
      </c>
      <c r="E177" s="3"/>
      <c r="F177" s="3"/>
      <c r="G177" s="3"/>
      <c r="H177" s="3"/>
      <c r="I177" s="20">
        <f>IFERROR(INDEX('Input - Target'!G$2:G$200,MATCH('Calculations - Target'!$D177,'Input - Target'!$B$2:$B$200,0)),"")</f>
        <v>0</v>
      </c>
      <c r="J177" s="20">
        <f>IFERROR(INDEX('Input - Target'!H$2:H$200,MATCH('Calculations - Target'!$D177,'Input - Target'!$B$2:$B$200,0)),"")</f>
        <v>0</v>
      </c>
      <c r="K177" s="21">
        <f>IFERROR(INDEX('Input - Target'!I$2:I$200,MATCH('Calculations - Target'!$D177,'Input - Target'!$B$2:$B$200,0)),"")</f>
        <v>0</v>
      </c>
      <c r="L177" s="21">
        <f>IFERROR(INDEX('Input - Target'!J$2:J$200,MATCH('Calculations - Target'!$D177,'Input - Target'!$B$2:$B$200,0)),"")</f>
        <v>0</v>
      </c>
      <c r="M177" s="20">
        <f>IFERROR(INDEX('Input - Target'!K$2:K$200,MATCH('Calculations - Target'!$D177,'Input - Target'!$B$2:$B$200,0)),"")</f>
        <v>0</v>
      </c>
      <c r="N177" s="20">
        <f>IFERROR(INDEX('Input - Target'!L$2:L$200,MATCH('Calculations - Target'!$D177,'Input - Target'!$B$2:$B$200,0)),"")</f>
        <v>0</v>
      </c>
      <c r="O177" s="21" t="str">
        <f t="shared" si="139"/>
        <v/>
      </c>
      <c r="P177" s="21" t="str">
        <f t="shared" si="123"/>
        <v/>
      </c>
      <c r="Q177" s="21">
        <f t="shared" si="140"/>
        <v>0</v>
      </c>
      <c r="R177" s="9">
        <f t="shared" si="121"/>
        <v>0</v>
      </c>
      <c r="S177" s="9">
        <f t="shared" si="122"/>
        <v>0</v>
      </c>
      <c r="T177" s="22" t="str">
        <f>IFERROR(INDEX(Target!$S$11:$S$167,MATCH('Calculations - Target'!$D177,Target!$N$11:$N$167,0)),"")</f>
        <v/>
      </c>
      <c r="U177" s="22" t="str">
        <f>IFERROR(INDEX(Target!$T$11:$T$167,MATCH('Calculations - Target'!$D177,Target!$N$11:$N$167,0)),"")</f>
        <v/>
      </c>
      <c r="V177" s="16" t="e">
        <f t="shared" si="124"/>
        <v>#VALUE!</v>
      </c>
      <c r="W177" s="16" t="e">
        <f t="shared" si="141"/>
        <v>#VALUE!</v>
      </c>
      <c r="X177" s="16" t="e">
        <f t="shared" si="142"/>
        <v>#VALUE!</v>
      </c>
      <c r="Y177" s="10" t="str">
        <f t="shared" si="125"/>
        <v>-</v>
      </c>
      <c r="Z177" s="10" t="str">
        <f t="shared" si="126"/>
        <v>-</v>
      </c>
      <c r="AA177" s="13" t="str">
        <f t="shared" si="143"/>
        <v>-</v>
      </c>
      <c r="AB177" s="9" t="str">
        <f t="shared" si="127"/>
        <v>-</v>
      </c>
      <c r="AC177" s="16" t="str">
        <f t="shared" si="144"/>
        <v>-</v>
      </c>
      <c r="AD177" s="16" t="str">
        <f t="shared" si="128"/>
        <v>-</v>
      </c>
      <c r="AE177" s="16" t="str">
        <f t="shared" si="129"/>
        <v>-</v>
      </c>
      <c r="AF177" s="16" t="str">
        <f t="shared" si="145"/>
        <v>-</v>
      </c>
      <c r="AG177" s="16"/>
      <c r="AH177" s="32" t="str">
        <f>IFERROR(INDEX(Target!$R$11:$R$167,MATCH('Calculations - Target'!D177,Target!$N$11:$N$167,0)),"")</f>
        <v/>
      </c>
      <c r="AI177" s="23" t="str">
        <f t="shared" si="146"/>
        <v/>
      </c>
      <c r="AJ177" s="23" t="str">
        <f t="shared" si="147"/>
        <v/>
      </c>
      <c r="AK177" s="9" t="str">
        <f t="shared" si="130"/>
        <v/>
      </c>
      <c r="AL177" s="4" t="str">
        <f t="shared" si="131"/>
        <v/>
      </c>
      <c r="AM177" s="4"/>
      <c r="AN177" s="4"/>
      <c r="AO177" s="4"/>
      <c r="AP177" s="4"/>
      <c r="AQ177" s="4"/>
      <c r="AR177" s="20" t="str">
        <f t="shared" si="132"/>
        <v>-</v>
      </c>
      <c r="AS177" s="13" t="str">
        <f t="shared" si="148"/>
        <v>-</v>
      </c>
      <c r="AT177" s="13" t="str">
        <f t="shared" si="149"/>
        <v>-</v>
      </c>
      <c r="AU177" s="13" t="str">
        <f t="shared" si="133"/>
        <v>-</v>
      </c>
      <c r="AV177" s="16" t="str">
        <f t="shared" si="150"/>
        <v>-</v>
      </c>
      <c r="AW177" s="16" t="str">
        <f t="shared" si="134"/>
        <v>-</v>
      </c>
      <c r="AX177" s="16" t="str">
        <f t="shared" si="135"/>
        <v>-</v>
      </c>
      <c r="AY177" s="16" t="str">
        <f t="shared" si="151"/>
        <v>-</v>
      </c>
      <c r="AZ177" s="13" t="str">
        <f t="shared" si="152"/>
        <v>-</v>
      </c>
      <c r="BA177" s="10" t="str">
        <f t="shared" si="153"/>
        <v>-</v>
      </c>
      <c r="BB177" s="9" t="str">
        <f t="shared" si="154"/>
        <v>-</v>
      </c>
      <c r="BC177" s="13" t="str">
        <f t="shared" si="155"/>
        <v>-</v>
      </c>
      <c r="BD177" s="10" t="str">
        <f t="shared" si="156"/>
        <v>-</v>
      </c>
      <c r="BE177" s="13" t="str">
        <f t="shared" si="157"/>
        <v>-</v>
      </c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</row>
    <row r="178" spans="2:70" x14ac:dyDescent="0.3">
      <c r="B178" s="96" t="str">
        <f t="shared" si="136"/>
        <v/>
      </c>
      <c r="C178" s="96" t="str">
        <f t="shared" si="137"/>
        <v/>
      </c>
      <c r="D178" s="96" t="str">
        <f t="shared" si="138"/>
        <v/>
      </c>
      <c r="E178" s="3"/>
      <c r="F178" s="3"/>
      <c r="G178" s="3"/>
      <c r="H178" s="3"/>
      <c r="I178" s="20">
        <f>IFERROR(INDEX('Input - Target'!G$2:G$200,MATCH('Calculations - Target'!$D178,'Input - Target'!$B$2:$B$200,0)),"")</f>
        <v>0</v>
      </c>
      <c r="J178" s="20">
        <f>IFERROR(INDEX('Input - Target'!H$2:H$200,MATCH('Calculations - Target'!$D178,'Input - Target'!$B$2:$B$200,0)),"")</f>
        <v>0</v>
      </c>
      <c r="K178" s="21">
        <f>IFERROR(INDEX('Input - Target'!I$2:I$200,MATCH('Calculations - Target'!$D178,'Input - Target'!$B$2:$B$200,0)),"")</f>
        <v>0</v>
      </c>
      <c r="L178" s="21">
        <f>IFERROR(INDEX('Input - Target'!J$2:J$200,MATCH('Calculations - Target'!$D178,'Input - Target'!$B$2:$B$200,0)),"")</f>
        <v>0</v>
      </c>
      <c r="M178" s="20">
        <f>IFERROR(INDEX('Input - Target'!K$2:K$200,MATCH('Calculations - Target'!$D178,'Input - Target'!$B$2:$B$200,0)),"")</f>
        <v>0</v>
      </c>
      <c r="N178" s="20">
        <f>IFERROR(INDEX('Input - Target'!L$2:L$200,MATCH('Calculations - Target'!$D178,'Input - Target'!$B$2:$B$200,0)),"")</f>
        <v>0</v>
      </c>
      <c r="O178" s="21" t="str">
        <f t="shared" si="139"/>
        <v/>
      </c>
      <c r="P178" s="21" t="str">
        <f t="shared" si="123"/>
        <v/>
      </c>
      <c r="Q178" s="21">
        <f t="shared" si="140"/>
        <v>0</v>
      </c>
      <c r="R178" s="9">
        <f t="shared" si="121"/>
        <v>0</v>
      </c>
      <c r="S178" s="9">
        <f t="shared" si="122"/>
        <v>0</v>
      </c>
      <c r="T178" s="22" t="str">
        <f>IFERROR(INDEX(Target!$S$11:$S$167,MATCH('Calculations - Target'!$D178,Target!$N$11:$N$167,0)),"")</f>
        <v/>
      </c>
      <c r="U178" s="22" t="str">
        <f>IFERROR(INDEX(Target!$T$11:$T$167,MATCH('Calculations - Target'!$D178,Target!$N$11:$N$167,0)),"")</f>
        <v/>
      </c>
      <c r="V178" s="16" t="e">
        <f t="shared" si="124"/>
        <v>#VALUE!</v>
      </c>
      <c r="W178" s="16" t="e">
        <f t="shared" si="141"/>
        <v>#VALUE!</v>
      </c>
      <c r="X178" s="16" t="e">
        <f t="shared" si="142"/>
        <v>#VALUE!</v>
      </c>
      <c r="Y178" s="10" t="str">
        <f t="shared" si="125"/>
        <v>-</v>
      </c>
      <c r="Z178" s="10" t="str">
        <f t="shared" si="126"/>
        <v>-</v>
      </c>
      <c r="AA178" s="13" t="str">
        <f t="shared" si="143"/>
        <v>-</v>
      </c>
      <c r="AB178" s="9" t="str">
        <f t="shared" si="127"/>
        <v>-</v>
      </c>
      <c r="AC178" s="16" t="str">
        <f t="shared" si="144"/>
        <v>-</v>
      </c>
      <c r="AD178" s="16" t="str">
        <f t="shared" si="128"/>
        <v>-</v>
      </c>
      <c r="AE178" s="16" t="str">
        <f t="shared" si="129"/>
        <v>-</v>
      </c>
      <c r="AF178" s="16" t="str">
        <f t="shared" si="145"/>
        <v>-</v>
      </c>
      <c r="AG178" s="16"/>
      <c r="AH178" s="32" t="str">
        <f>IFERROR(INDEX(Target!$R$11:$R$167,MATCH('Calculations - Target'!D178,Target!$N$11:$N$167,0)),"")</f>
        <v/>
      </c>
      <c r="AI178" s="23" t="str">
        <f t="shared" si="146"/>
        <v/>
      </c>
      <c r="AJ178" s="23" t="str">
        <f t="shared" si="147"/>
        <v/>
      </c>
      <c r="AK178" s="9" t="str">
        <f t="shared" si="130"/>
        <v/>
      </c>
      <c r="AL178" s="4" t="str">
        <f t="shared" si="131"/>
        <v/>
      </c>
      <c r="AM178" s="4"/>
      <c r="AN178" s="4"/>
      <c r="AO178" s="4"/>
      <c r="AP178" s="4"/>
      <c r="AQ178" s="4"/>
      <c r="AR178" s="20" t="str">
        <f t="shared" si="132"/>
        <v>-</v>
      </c>
      <c r="AS178" s="13" t="str">
        <f t="shared" si="148"/>
        <v>-</v>
      </c>
      <c r="AT178" s="13" t="str">
        <f t="shared" si="149"/>
        <v>-</v>
      </c>
      <c r="AU178" s="13" t="str">
        <f t="shared" si="133"/>
        <v>-</v>
      </c>
      <c r="AV178" s="16" t="str">
        <f t="shared" si="150"/>
        <v>-</v>
      </c>
      <c r="AW178" s="16" t="str">
        <f t="shared" si="134"/>
        <v>-</v>
      </c>
      <c r="AX178" s="16" t="str">
        <f t="shared" si="135"/>
        <v>-</v>
      </c>
      <c r="AY178" s="16" t="str">
        <f t="shared" si="151"/>
        <v>-</v>
      </c>
      <c r="AZ178" s="13" t="str">
        <f t="shared" si="152"/>
        <v>-</v>
      </c>
      <c r="BA178" s="10" t="str">
        <f t="shared" si="153"/>
        <v>-</v>
      </c>
      <c r="BB178" s="9" t="str">
        <f t="shared" si="154"/>
        <v>-</v>
      </c>
      <c r="BC178" s="13" t="str">
        <f t="shared" si="155"/>
        <v>-</v>
      </c>
      <c r="BD178" s="10" t="str">
        <f t="shared" si="156"/>
        <v>-</v>
      </c>
      <c r="BE178" s="13" t="str">
        <f t="shared" si="157"/>
        <v>-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</row>
    <row r="179" spans="2:70" x14ac:dyDescent="0.3">
      <c r="B179" s="96" t="str">
        <f t="shared" si="136"/>
        <v/>
      </c>
      <c r="C179" s="96" t="str">
        <f t="shared" si="137"/>
        <v/>
      </c>
      <c r="D179" s="96" t="str">
        <f t="shared" si="138"/>
        <v/>
      </c>
      <c r="E179" s="3"/>
      <c r="F179" s="3"/>
      <c r="G179" s="3"/>
      <c r="H179" s="3"/>
      <c r="I179" s="20">
        <f>IFERROR(INDEX('Input - Target'!G$2:G$200,MATCH('Calculations - Target'!$D179,'Input - Target'!$B$2:$B$200,0)),"")</f>
        <v>0</v>
      </c>
      <c r="J179" s="20">
        <f>IFERROR(INDEX('Input - Target'!H$2:H$200,MATCH('Calculations - Target'!$D179,'Input - Target'!$B$2:$B$200,0)),"")</f>
        <v>0</v>
      </c>
      <c r="K179" s="21">
        <f>IFERROR(INDEX('Input - Target'!I$2:I$200,MATCH('Calculations - Target'!$D179,'Input - Target'!$B$2:$B$200,0)),"")</f>
        <v>0</v>
      </c>
      <c r="L179" s="21">
        <f>IFERROR(INDEX('Input - Target'!J$2:J$200,MATCH('Calculations - Target'!$D179,'Input - Target'!$B$2:$B$200,0)),"")</f>
        <v>0</v>
      </c>
      <c r="M179" s="20">
        <f>IFERROR(INDEX('Input - Target'!K$2:K$200,MATCH('Calculations - Target'!$D179,'Input - Target'!$B$2:$B$200,0)),"")</f>
        <v>0</v>
      </c>
      <c r="N179" s="20">
        <f>IFERROR(INDEX('Input - Target'!L$2:L$200,MATCH('Calculations - Target'!$D179,'Input - Target'!$B$2:$B$200,0)),"")</f>
        <v>0</v>
      </c>
      <c r="O179" s="21" t="str">
        <f t="shared" si="139"/>
        <v/>
      </c>
      <c r="P179" s="21" t="str">
        <f t="shared" si="123"/>
        <v/>
      </c>
      <c r="Q179" s="21">
        <f t="shared" si="140"/>
        <v>0</v>
      </c>
      <c r="R179" s="9">
        <f t="shared" si="121"/>
        <v>0</v>
      </c>
      <c r="S179" s="9">
        <f t="shared" si="122"/>
        <v>0</v>
      </c>
      <c r="T179" s="22" t="str">
        <f>IFERROR(INDEX(Target!$S$11:$S$167,MATCH('Calculations - Target'!$D179,Target!$N$11:$N$167,0)),"")</f>
        <v/>
      </c>
      <c r="U179" s="22" t="str">
        <f>IFERROR(INDEX(Target!$T$11:$T$167,MATCH('Calculations - Target'!$D179,Target!$N$11:$N$167,0)),"")</f>
        <v/>
      </c>
      <c r="V179" s="16" t="e">
        <f t="shared" si="124"/>
        <v>#VALUE!</v>
      </c>
      <c r="W179" s="16" t="e">
        <f t="shared" si="141"/>
        <v>#VALUE!</v>
      </c>
      <c r="X179" s="16" t="e">
        <f t="shared" si="142"/>
        <v>#VALUE!</v>
      </c>
      <c r="Y179" s="10" t="str">
        <f t="shared" si="125"/>
        <v>-</v>
      </c>
      <c r="Z179" s="10" t="str">
        <f t="shared" si="126"/>
        <v>-</v>
      </c>
      <c r="AA179" s="13" t="str">
        <f t="shared" si="143"/>
        <v>-</v>
      </c>
      <c r="AB179" s="9" t="str">
        <f t="shared" si="127"/>
        <v>-</v>
      </c>
      <c r="AC179" s="16" t="str">
        <f t="shared" si="144"/>
        <v>-</v>
      </c>
      <c r="AD179" s="16" t="str">
        <f t="shared" si="128"/>
        <v>-</v>
      </c>
      <c r="AE179" s="16" t="str">
        <f t="shared" si="129"/>
        <v>-</v>
      </c>
      <c r="AF179" s="16" t="str">
        <f t="shared" si="145"/>
        <v>-</v>
      </c>
      <c r="AG179" s="16"/>
      <c r="AH179" s="32" t="str">
        <f>IFERROR(INDEX(Target!$R$11:$R$167,MATCH('Calculations - Target'!D179,Target!$N$11:$N$167,0)),"")</f>
        <v/>
      </c>
      <c r="AI179" s="23" t="str">
        <f t="shared" si="146"/>
        <v/>
      </c>
      <c r="AJ179" s="23" t="str">
        <f t="shared" si="147"/>
        <v/>
      </c>
      <c r="AK179" s="9" t="str">
        <f t="shared" si="130"/>
        <v/>
      </c>
      <c r="AL179" s="4" t="str">
        <f t="shared" si="131"/>
        <v/>
      </c>
      <c r="AM179" s="4"/>
      <c r="AN179" s="4"/>
      <c r="AO179" s="4"/>
      <c r="AP179" s="4"/>
      <c r="AQ179" s="4"/>
      <c r="AR179" s="20" t="str">
        <f t="shared" si="132"/>
        <v>-</v>
      </c>
      <c r="AS179" s="13" t="str">
        <f t="shared" si="148"/>
        <v>-</v>
      </c>
      <c r="AT179" s="13" t="str">
        <f t="shared" si="149"/>
        <v>-</v>
      </c>
      <c r="AU179" s="13" t="str">
        <f t="shared" si="133"/>
        <v>-</v>
      </c>
      <c r="AV179" s="16" t="str">
        <f t="shared" si="150"/>
        <v>-</v>
      </c>
      <c r="AW179" s="16" t="str">
        <f t="shared" si="134"/>
        <v>-</v>
      </c>
      <c r="AX179" s="16" t="str">
        <f t="shared" si="135"/>
        <v>-</v>
      </c>
      <c r="AY179" s="16" t="str">
        <f t="shared" si="151"/>
        <v>-</v>
      </c>
      <c r="AZ179" s="13" t="str">
        <f t="shared" si="152"/>
        <v>-</v>
      </c>
      <c r="BA179" s="10" t="str">
        <f t="shared" si="153"/>
        <v>-</v>
      </c>
      <c r="BB179" s="9" t="str">
        <f t="shared" si="154"/>
        <v>-</v>
      </c>
      <c r="BC179" s="13" t="str">
        <f t="shared" si="155"/>
        <v>-</v>
      </c>
      <c r="BD179" s="10" t="str">
        <f t="shared" si="156"/>
        <v>-</v>
      </c>
      <c r="BE179" s="13" t="str">
        <f t="shared" si="157"/>
        <v>-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</row>
    <row r="180" spans="2:70" x14ac:dyDescent="0.3">
      <c r="B180" s="96" t="str">
        <f t="shared" si="136"/>
        <v/>
      </c>
      <c r="C180" s="96" t="str">
        <f t="shared" si="137"/>
        <v/>
      </c>
      <c r="D180" s="96" t="str">
        <f t="shared" si="138"/>
        <v/>
      </c>
      <c r="E180" s="3"/>
      <c r="F180" s="3"/>
      <c r="G180" s="3"/>
      <c r="H180" s="3"/>
      <c r="I180" s="20">
        <f>IFERROR(INDEX('Input - Target'!G$2:G$200,MATCH('Calculations - Target'!$D180,'Input - Target'!$B$2:$B$200,0)),"")</f>
        <v>0</v>
      </c>
      <c r="J180" s="20">
        <f>IFERROR(INDEX('Input - Target'!H$2:H$200,MATCH('Calculations - Target'!$D180,'Input - Target'!$B$2:$B$200,0)),"")</f>
        <v>0</v>
      </c>
      <c r="K180" s="21">
        <f>IFERROR(INDEX('Input - Target'!I$2:I$200,MATCH('Calculations - Target'!$D180,'Input - Target'!$B$2:$B$200,0)),"")</f>
        <v>0</v>
      </c>
      <c r="L180" s="21">
        <f>IFERROR(INDEX('Input - Target'!J$2:J$200,MATCH('Calculations - Target'!$D180,'Input - Target'!$B$2:$B$200,0)),"")</f>
        <v>0</v>
      </c>
      <c r="M180" s="20">
        <f>IFERROR(INDEX('Input - Target'!K$2:K$200,MATCH('Calculations - Target'!$D180,'Input - Target'!$B$2:$B$200,0)),"")</f>
        <v>0</v>
      </c>
      <c r="N180" s="20">
        <f>IFERROR(INDEX('Input - Target'!L$2:L$200,MATCH('Calculations - Target'!$D180,'Input - Target'!$B$2:$B$200,0)),"")</f>
        <v>0</v>
      </c>
      <c r="O180" s="21" t="str">
        <f t="shared" si="139"/>
        <v/>
      </c>
      <c r="P180" s="21" t="str">
        <f t="shared" si="123"/>
        <v/>
      </c>
      <c r="Q180" s="21">
        <f t="shared" si="140"/>
        <v>0</v>
      </c>
      <c r="R180" s="9">
        <f t="shared" si="121"/>
        <v>0</v>
      </c>
      <c r="S180" s="9">
        <f t="shared" si="122"/>
        <v>0</v>
      </c>
      <c r="T180" s="22" t="str">
        <f>IFERROR(INDEX(Target!$S$11:$S$167,MATCH('Calculations - Target'!$D180,Target!$N$11:$N$167,0)),"")</f>
        <v/>
      </c>
      <c r="U180" s="22" t="str">
        <f>IFERROR(INDEX(Target!$T$11:$T$167,MATCH('Calculations - Target'!$D180,Target!$N$11:$N$167,0)),"")</f>
        <v/>
      </c>
      <c r="V180" s="16" t="e">
        <f t="shared" si="124"/>
        <v>#VALUE!</v>
      </c>
      <c r="W180" s="16" t="e">
        <f t="shared" si="141"/>
        <v>#VALUE!</v>
      </c>
      <c r="X180" s="16" t="e">
        <f t="shared" si="142"/>
        <v>#VALUE!</v>
      </c>
      <c r="Y180" s="10" t="str">
        <f t="shared" si="125"/>
        <v>-</v>
      </c>
      <c r="Z180" s="10" t="str">
        <f t="shared" si="126"/>
        <v>-</v>
      </c>
      <c r="AA180" s="13" t="str">
        <f t="shared" si="143"/>
        <v>-</v>
      </c>
      <c r="AB180" s="9" t="str">
        <f t="shared" si="127"/>
        <v>-</v>
      </c>
      <c r="AC180" s="16" t="str">
        <f t="shared" si="144"/>
        <v>-</v>
      </c>
      <c r="AD180" s="16" t="str">
        <f t="shared" si="128"/>
        <v>-</v>
      </c>
      <c r="AE180" s="16" t="str">
        <f t="shared" si="129"/>
        <v>-</v>
      </c>
      <c r="AF180" s="16" t="str">
        <f t="shared" si="145"/>
        <v>-</v>
      </c>
      <c r="AG180" s="16"/>
      <c r="AH180" s="32" t="str">
        <f>IFERROR(INDEX(Target!$R$11:$R$167,MATCH('Calculations - Target'!D180,Target!$N$11:$N$167,0)),"")</f>
        <v/>
      </c>
      <c r="AI180" s="23" t="str">
        <f t="shared" si="146"/>
        <v/>
      </c>
      <c r="AJ180" s="23" t="str">
        <f t="shared" si="147"/>
        <v/>
      </c>
      <c r="AK180" s="9" t="str">
        <f t="shared" si="130"/>
        <v/>
      </c>
      <c r="AL180" s="4" t="str">
        <f t="shared" si="131"/>
        <v/>
      </c>
      <c r="AM180" s="4"/>
      <c r="AN180" s="4"/>
      <c r="AO180" s="4"/>
      <c r="AP180" s="4"/>
      <c r="AQ180" s="4"/>
      <c r="AR180" s="20" t="str">
        <f t="shared" si="132"/>
        <v>-</v>
      </c>
      <c r="AS180" s="13" t="str">
        <f t="shared" si="148"/>
        <v>-</v>
      </c>
      <c r="AT180" s="13" t="str">
        <f t="shared" si="149"/>
        <v>-</v>
      </c>
      <c r="AU180" s="13" t="str">
        <f t="shared" si="133"/>
        <v>-</v>
      </c>
      <c r="AV180" s="16" t="str">
        <f t="shared" si="150"/>
        <v>-</v>
      </c>
      <c r="AW180" s="16" t="str">
        <f t="shared" si="134"/>
        <v>-</v>
      </c>
      <c r="AX180" s="16" t="str">
        <f t="shared" si="135"/>
        <v>-</v>
      </c>
      <c r="AY180" s="16" t="str">
        <f t="shared" si="151"/>
        <v>-</v>
      </c>
      <c r="AZ180" s="13" t="str">
        <f t="shared" si="152"/>
        <v>-</v>
      </c>
      <c r="BA180" s="10" t="str">
        <f t="shared" si="153"/>
        <v>-</v>
      </c>
      <c r="BB180" s="9" t="str">
        <f t="shared" si="154"/>
        <v>-</v>
      </c>
      <c r="BC180" s="13" t="str">
        <f t="shared" si="155"/>
        <v>-</v>
      </c>
      <c r="BD180" s="10" t="str">
        <f t="shared" si="156"/>
        <v>-</v>
      </c>
      <c r="BE180" s="13" t="str">
        <f t="shared" si="157"/>
        <v>-</v>
      </c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</row>
    <row r="181" spans="2:70" x14ac:dyDescent="0.3">
      <c r="B181" s="96" t="str">
        <f t="shared" si="136"/>
        <v/>
      </c>
      <c r="C181" s="96" t="str">
        <f t="shared" si="137"/>
        <v/>
      </c>
      <c r="D181" s="96" t="str">
        <f t="shared" si="138"/>
        <v/>
      </c>
      <c r="E181" s="3"/>
      <c r="F181" s="3"/>
      <c r="G181" s="3"/>
      <c r="H181" s="3"/>
      <c r="I181" s="20">
        <f>IFERROR(INDEX('Input - Target'!G$2:G$200,MATCH('Calculations - Target'!$D181,'Input - Target'!$B$2:$B$200,0)),"")</f>
        <v>0</v>
      </c>
      <c r="J181" s="20">
        <f>IFERROR(INDEX('Input - Target'!H$2:H$200,MATCH('Calculations - Target'!$D181,'Input - Target'!$B$2:$B$200,0)),"")</f>
        <v>0</v>
      </c>
      <c r="K181" s="21">
        <f>IFERROR(INDEX('Input - Target'!I$2:I$200,MATCH('Calculations - Target'!$D181,'Input - Target'!$B$2:$B$200,0)),"")</f>
        <v>0</v>
      </c>
      <c r="L181" s="21">
        <f>IFERROR(INDEX('Input - Target'!J$2:J$200,MATCH('Calculations - Target'!$D181,'Input - Target'!$B$2:$B$200,0)),"")</f>
        <v>0</v>
      </c>
      <c r="M181" s="20">
        <f>IFERROR(INDEX('Input - Target'!K$2:K$200,MATCH('Calculations - Target'!$D181,'Input - Target'!$B$2:$B$200,0)),"")</f>
        <v>0</v>
      </c>
      <c r="N181" s="20">
        <f>IFERROR(INDEX('Input - Target'!L$2:L$200,MATCH('Calculations - Target'!$D181,'Input - Target'!$B$2:$B$200,0)),"")</f>
        <v>0</v>
      </c>
      <c r="O181" s="21" t="str">
        <f t="shared" si="139"/>
        <v/>
      </c>
      <c r="P181" s="21" t="str">
        <f t="shared" si="123"/>
        <v/>
      </c>
      <c r="Q181" s="21">
        <f t="shared" si="140"/>
        <v>0</v>
      </c>
      <c r="R181" s="9">
        <f t="shared" si="121"/>
        <v>0</v>
      </c>
      <c r="S181" s="9">
        <f t="shared" si="122"/>
        <v>0</v>
      </c>
      <c r="T181" s="22" t="str">
        <f>IFERROR(INDEX(Target!$S$11:$S$167,MATCH('Calculations - Target'!$D181,Target!$N$11:$N$167,0)),"")</f>
        <v/>
      </c>
      <c r="U181" s="22" t="str">
        <f>IFERROR(INDEX(Target!$T$11:$T$167,MATCH('Calculations - Target'!$D181,Target!$N$11:$N$167,0)),"")</f>
        <v/>
      </c>
      <c r="V181" s="16" t="e">
        <f t="shared" si="124"/>
        <v>#VALUE!</v>
      </c>
      <c r="W181" s="16" t="e">
        <f t="shared" si="141"/>
        <v>#VALUE!</v>
      </c>
      <c r="X181" s="16" t="e">
        <f t="shared" si="142"/>
        <v>#VALUE!</v>
      </c>
      <c r="Y181" s="10" t="str">
        <f t="shared" si="125"/>
        <v>-</v>
      </c>
      <c r="Z181" s="10" t="str">
        <f t="shared" si="126"/>
        <v>-</v>
      </c>
      <c r="AA181" s="13" t="str">
        <f t="shared" si="143"/>
        <v>-</v>
      </c>
      <c r="AB181" s="9" t="str">
        <f t="shared" si="127"/>
        <v>-</v>
      </c>
      <c r="AC181" s="16" t="str">
        <f t="shared" si="144"/>
        <v>-</v>
      </c>
      <c r="AD181" s="16" t="str">
        <f t="shared" si="128"/>
        <v>-</v>
      </c>
      <c r="AE181" s="16" t="str">
        <f t="shared" si="129"/>
        <v>-</v>
      </c>
      <c r="AF181" s="16" t="str">
        <f t="shared" si="145"/>
        <v>-</v>
      </c>
      <c r="AG181" s="16"/>
      <c r="AH181" s="32" t="str">
        <f>IFERROR(INDEX(Target!$R$11:$R$167,MATCH('Calculations - Target'!D181,Target!$N$11:$N$167,0)),"")</f>
        <v/>
      </c>
      <c r="AI181" s="23" t="str">
        <f t="shared" si="146"/>
        <v/>
      </c>
      <c r="AJ181" s="23" t="str">
        <f t="shared" si="147"/>
        <v/>
      </c>
      <c r="AK181" s="9" t="str">
        <f t="shared" si="130"/>
        <v/>
      </c>
      <c r="AL181" s="4" t="str">
        <f t="shared" si="131"/>
        <v/>
      </c>
      <c r="AM181" s="4"/>
      <c r="AN181" s="4"/>
      <c r="AO181" s="4"/>
      <c r="AP181" s="4"/>
      <c r="AQ181" s="4"/>
      <c r="AR181" s="20" t="str">
        <f t="shared" si="132"/>
        <v>-</v>
      </c>
      <c r="AS181" s="13" t="str">
        <f t="shared" si="148"/>
        <v>-</v>
      </c>
      <c r="AT181" s="13" t="str">
        <f t="shared" si="149"/>
        <v>-</v>
      </c>
      <c r="AU181" s="13" t="str">
        <f t="shared" si="133"/>
        <v>-</v>
      </c>
      <c r="AV181" s="16" t="str">
        <f t="shared" si="150"/>
        <v>-</v>
      </c>
      <c r="AW181" s="16" t="str">
        <f t="shared" si="134"/>
        <v>-</v>
      </c>
      <c r="AX181" s="16" t="str">
        <f t="shared" si="135"/>
        <v>-</v>
      </c>
      <c r="AY181" s="16" t="str">
        <f t="shared" si="151"/>
        <v>-</v>
      </c>
      <c r="AZ181" s="13" t="str">
        <f t="shared" si="152"/>
        <v>-</v>
      </c>
      <c r="BA181" s="10" t="str">
        <f t="shared" si="153"/>
        <v>-</v>
      </c>
      <c r="BB181" s="9" t="str">
        <f t="shared" si="154"/>
        <v>-</v>
      </c>
      <c r="BC181" s="13" t="str">
        <f t="shared" si="155"/>
        <v>-</v>
      </c>
      <c r="BD181" s="10" t="str">
        <f t="shared" si="156"/>
        <v>-</v>
      </c>
      <c r="BE181" s="13" t="str">
        <f t="shared" si="157"/>
        <v>-</v>
      </c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</row>
    <row r="182" spans="2:70" x14ac:dyDescent="0.3">
      <c r="B182" s="96" t="str">
        <f t="shared" si="136"/>
        <v/>
      </c>
      <c r="C182" s="96" t="str">
        <f t="shared" si="137"/>
        <v/>
      </c>
      <c r="D182" s="96" t="str">
        <f t="shared" si="138"/>
        <v/>
      </c>
      <c r="E182" s="3"/>
      <c r="F182" s="3"/>
      <c r="G182" s="3"/>
      <c r="H182" s="3"/>
      <c r="I182" s="20">
        <f>IFERROR(INDEX('Input - Target'!G$2:G$200,MATCH('Calculations - Target'!$D182,'Input - Target'!$B$2:$B$200,0)),"")</f>
        <v>0</v>
      </c>
      <c r="J182" s="20">
        <f>IFERROR(INDEX('Input - Target'!H$2:H$200,MATCH('Calculations - Target'!$D182,'Input - Target'!$B$2:$B$200,0)),"")</f>
        <v>0</v>
      </c>
      <c r="K182" s="21">
        <f>IFERROR(INDEX('Input - Target'!I$2:I$200,MATCH('Calculations - Target'!$D182,'Input - Target'!$B$2:$B$200,0)),"")</f>
        <v>0</v>
      </c>
      <c r="L182" s="21">
        <f>IFERROR(INDEX('Input - Target'!J$2:J$200,MATCH('Calculations - Target'!$D182,'Input - Target'!$B$2:$B$200,0)),"")</f>
        <v>0</v>
      </c>
      <c r="M182" s="20">
        <f>IFERROR(INDEX('Input - Target'!K$2:K$200,MATCH('Calculations - Target'!$D182,'Input - Target'!$B$2:$B$200,0)),"")</f>
        <v>0</v>
      </c>
      <c r="N182" s="20">
        <f>IFERROR(INDEX('Input - Target'!L$2:L$200,MATCH('Calculations - Target'!$D182,'Input - Target'!$B$2:$B$200,0)),"")</f>
        <v>0</v>
      </c>
      <c r="O182" s="21" t="str">
        <f t="shared" si="139"/>
        <v/>
      </c>
      <c r="P182" s="21" t="str">
        <f t="shared" si="123"/>
        <v/>
      </c>
      <c r="Q182" s="21">
        <f t="shared" si="140"/>
        <v>0</v>
      </c>
      <c r="R182" s="9">
        <f t="shared" si="121"/>
        <v>0</v>
      </c>
      <c r="S182" s="9">
        <f t="shared" si="122"/>
        <v>0</v>
      </c>
      <c r="T182" s="22" t="str">
        <f>IFERROR(INDEX(Target!$S$11:$S$167,MATCH('Calculations - Target'!$D182,Target!$N$11:$N$167,0)),"")</f>
        <v/>
      </c>
      <c r="U182" s="22" t="str">
        <f>IFERROR(INDEX(Target!$T$11:$T$167,MATCH('Calculations - Target'!$D182,Target!$N$11:$N$167,0)),"")</f>
        <v/>
      </c>
      <c r="V182" s="16" t="e">
        <f t="shared" si="124"/>
        <v>#VALUE!</v>
      </c>
      <c r="W182" s="16" t="e">
        <f t="shared" si="141"/>
        <v>#VALUE!</v>
      </c>
      <c r="X182" s="16" t="e">
        <f t="shared" si="142"/>
        <v>#VALUE!</v>
      </c>
      <c r="Y182" s="10" t="str">
        <f t="shared" si="125"/>
        <v>-</v>
      </c>
      <c r="Z182" s="10" t="str">
        <f t="shared" si="126"/>
        <v>-</v>
      </c>
      <c r="AA182" s="13" t="str">
        <f t="shared" si="143"/>
        <v>-</v>
      </c>
      <c r="AB182" s="9" t="str">
        <f t="shared" si="127"/>
        <v>-</v>
      </c>
      <c r="AC182" s="16" t="str">
        <f t="shared" si="144"/>
        <v>-</v>
      </c>
      <c r="AD182" s="16" t="str">
        <f t="shared" si="128"/>
        <v>-</v>
      </c>
      <c r="AE182" s="16" t="str">
        <f t="shared" si="129"/>
        <v>-</v>
      </c>
      <c r="AF182" s="16" t="str">
        <f t="shared" si="145"/>
        <v>-</v>
      </c>
      <c r="AG182" s="16"/>
      <c r="AH182" s="32" t="str">
        <f>IFERROR(INDEX(Target!$R$11:$R$167,MATCH('Calculations - Target'!D182,Target!$N$11:$N$167,0)),"")</f>
        <v/>
      </c>
      <c r="AI182" s="23" t="str">
        <f t="shared" si="146"/>
        <v/>
      </c>
      <c r="AJ182" s="23" t="str">
        <f t="shared" si="147"/>
        <v/>
      </c>
      <c r="AK182" s="9" t="str">
        <f t="shared" si="130"/>
        <v/>
      </c>
      <c r="AL182" s="4" t="str">
        <f t="shared" si="131"/>
        <v/>
      </c>
      <c r="AM182" s="4"/>
      <c r="AN182" s="4"/>
      <c r="AO182" s="4"/>
      <c r="AP182" s="4"/>
      <c r="AQ182" s="4"/>
      <c r="AR182" s="20" t="str">
        <f t="shared" si="132"/>
        <v>-</v>
      </c>
      <c r="AS182" s="13" t="str">
        <f t="shared" si="148"/>
        <v>-</v>
      </c>
      <c r="AT182" s="13" t="str">
        <f t="shared" si="149"/>
        <v>-</v>
      </c>
      <c r="AU182" s="13" t="str">
        <f t="shared" si="133"/>
        <v>-</v>
      </c>
      <c r="AV182" s="16" t="str">
        <f t="shared" si="150"/>
        <v>-</v>
      </c>
      <c r="AW182" s="16" t="str">
        <f t="shared" si="134"/>
        <v>-</v>
      </c>
      <c r="AX182" s="16" t="str">
        <f t="shared" si="135"/>
        <v>-</v>
      </c>
      <c r="AY182" s="16" t="str">
        <f t="shared" si="151"/>
        <v>-</v>
      </c>
      <c r="AZ182" s="13" t="str">
        <f t="shared" si="152"/>
        <v>-</v>
      </c>
      <c r="BA182" s="10" t="str">
        <f t="shared" si="153"/>
        <v>-</v>
      </c>
      <c r="BB182" s="9" t="str">
        <f t="shared" si="154"/>
        <v>-</v>
      </c>
      <c r="BC182" s="13" t="str">
        <f t="shared" si="155"/>
        <v>-</v>
      </c>
      <c r="BD182" s="10" t="str">
        <f t="shared" si="156"/>
        <v>-</v>
      </c>
      <c r="BE182" s="13" t="str">
        <f t="shared" si="157"/>
        <v>-</v>
      </c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</row>
    <row r="183" spans="2:70" x14ac:dyDescent="0.3">
      <c r="B183" s="96" t="str">
        <f t="shared" si="136"/>
        <v/>
      </c>
      <c r="C183" s="96" t="str">
        <f t="shared" si="137"/>
        <v/>
      </c>
      <c r="D183" s="96" t="str">
        <f t="shared" si="138"/>
        <v/>
      </c>
      <c r="E183" s="3"/>
      <c r="F183" s="3"/>
      <c r="G183" s="3"/>
      <c r="H183" s="3"/>
      <c r="I183" s="20">
        <f>IFERROR(INDEX('Input - Target'!G$2:G$200,MATCH('Calculations - Target'!$D183,'Input - Target'!$B$2:$B$200,0)),"")</f>
        <v>0</v>
      </c>
      <c r="J183" s="20">
        <f>IFERROR(INDEX('Input - Target'!H$2:H$200,MATCH('Calculations - Target'!$D183,'Input - Target'!$B$2:$B$200,0)),"")</f>
        <v>0</v>
      </c>
      <c r="K183" s="21">
        <f>IFERROR(INDEX('Input - Target'!I$2:I$200,MATCH('Calculations - Target'!$D183,'Input - Target'!$B$2:$B$200,0)),"")</f>
        <v>0</v>
      </c>
      <c r="L183" s="21">
        <f>IFERROR(INDEX('Input - Target'!J$2:J$200,MATCH('Calculations - Target'!$D183,'Input - Target'!$B$2:$B$200,0)),"")</f>
        <v>0</v>
      </c>
      <c r="M183" s="20">
        <f>IFERROR(INDEX('Input - Target'!K$2:K$200,MATCH('Calculations - Target'!$D183,'Input - Target'!$B$2:$B$200,0)),"")</f>
        <v>0</v>
      </c>
      <c r="N183" s="20">
        <f>IFERROR(INDEX('Input - Target'!L$2:L$200,MATCH('Calculations - Target'!$D183,'Input - Target'!$B$2:$B$200,0)),"")</f>
        <v>0</v>
      </c>
      <c r="O183" s="21" t="str">
        <f t="shared" si="139"/>
        <v/>
      </c>
      <c r="P183" s="21" t="str">
        <f t="shared" si="123"/>
        <v/>
      </c>
      <c r="Q183" s="21">
        <f t="shared" si="140"/>
        <v>0</v>
      </c>
      <c r="R183" s="9">
        <f t="shared" si="121"/>
        <v>0</v>
      </c>
      <c r="S183" s="9">
        <f t="shared" si="122"/>
        <v>0</v>
      </c>
      <c r="T183" s="22" t="str">
        <f>IFERROR(INDEX(Target!$S$11:$S$167,MATCH('Calculations - Target'!$D183,Target!$N$11:$N$167,0)),"")</f>
        <v/>
      </c>
      <c r="U183" s="22" t="str">
        <f>IFERROR(INDEX(Target!$T$11:$T$167,MATCH('Calculations - Target'!$D183,Target!$N$11:$N$167,0)),"")</f>
        <v/>
      </c>
      <c r="V183" s="16" t="e">
        <f t="shared" si="124"/>
        <v>#VALUE!</v>
      </c>
      <c r="W183" s="16" t="e">
        <f t="shared" si="141"/>
        <v>#VALUE!</v>
      </c>
      <c r="X183" s="16" t="e">
        <f t="shared" si="142"/>
        <v>#VALUE!</v>
      </c>
      <c r="Y183" s="10" t="str">
        <f t="shared" si="125"/>
        <v>-</v>
      </c>
      <c r="Z183" s="10" t="str">
        <f t="shared" si="126"/>
        <v>-</v>
      </c>
      <c r="AA183" s="13" t="str">
        <f t="shared" si="143"/>
        <v>-</v>
      </c>
      <c r="AB183" s="9" t="str">
        <f t="shared" si="127"/>
        <v>-</v>
      </c>
      <c r="AC183" s="16" t="str">
        <f t="shared" si="144"/>
        <v>-</v>
      </c>
      <c r="AD183" s="16" t="str">
        <f t="shared" si="128"/>
        <v>-</v>
      </c>
      <c r="AE183" s="16" t="str">
        <f t="shared" si="129"/>
        <v>-</v>
      </c>
      <c r="AF183" s="16" t="str">
        <f t="shared" si="145"/>
        <v>-</v>
      </c>
      <c r="AG183" s="16"/>
      <c r="AH183" s="32" t="str">
        <f>IFERROR(INDEX(Target!$R$11:$R$167,MATCH('Calculations - Target'!D183,Target!$N$11:$N$167,0)),"")</f>
        <v/>
      </c>
      <c r="AI183" s="23" t="str">
        <f t="shared" si="146"/>
        <v/>
      </c>
      <c r="AJ183" s="23" t="str">
        <f t="shared" si="147"/>
        <v/>
      </c>
      <c r="AK183" s="9" t="str">
        <f t="shared" si="130"/>
        <v/>
      </c>
      <c r="AL183" s="4" t="str">
        <f t="shared" si="131"/>
        <v/>
      </c>
      <c r="AM183" s="4"/>
      <c r="AN183" s="4"/>
      <c r="AO183" s="4"/>
      <c r="AP183" s="4"/>
      <c r="AQ183" s="4"/>
      <c r="AR183" s="20" t="str">
        <f t="shared" si="132"/>
        <v>-</v>
      </c>
      <c r="AS183" s="13" t="str">
        <f t="shared" si="148"/>
        <v>-</v>
      </c>
      <c r="AT183" s="13" t="str">
        <f t="shared" si="149"/>
        <v>-</v>
      </c>
      <c r="AU183" s="13" t="str">
        <f t="shared" si="133"/>
        <v>-</v>
      </c>
      <c r="AV183" s="16" t="str">
        <f t="shared" si="150"/>
        <v>-</v>
      </c>
      <c r="AW183" s="16" t="str">
        <f t="shared" si="134"/>
        <v>-</v>
      </c>
      <c r="AX183" s="16" t="str">
        <f t="shared" si="135"/>
        <v>-</v>
      </c>
      <c r="AY183" s="16" t="str">
        <f t="shared" si="151"/>
        <v>-</v>
      </c>
      <c r="AZ183" s="13" t="str">
        <f t="shared" si="152"/>
        <v>-</v>
      </c>
      <c r="BA183" s="10" t="str">
        <f t="shared" si="153"/>
        <v>-</v>
      </c>
      <c r="BB183" s="9" t="str">
        <f t="shared" si="154"/>
        <v>-</v>
      </c>
      <c r="BC183" s="13" t="str">
        <f t="shared" si="155"/>
        <v>-</v>
      </c>
      <c r="BD183" s="10" t="str">
        <f t="shared" si="156"/>
        <v>-</v>
      </c>
      <c r="BE183" s="13" t="str">
        <f t="shared" si="157"/>
        <v>-</v>
      </c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</row>
    <row r="184" spans="2:70" x14ac:dyDescent="0.3">
      <c r="B184" s="96" t="str">
        <f t="shared" si="136"/>
        <v/>
      </c>
      <c r="C184" s="96" t="str">
        <f t="shared" si="137"/>
        <v/>
      </c>
      <c r="D184" s="96" t="str">
        <f t="shared" si="138"/>
        <v/>
      </c>
      <c r="E184" s="3"/>
      <c r="F184" s="3"/>
      <c r="G184" s="3"/>
      <c r="H184" s="3"/>
      <c r="I184" s="20">
        <f>IFERROR(INDEX('Input - Target'!G$2:G$200,MATCH('Calculations - Target'!$D184,'Input - Target'!$B$2:$B$200,0)),"")</f>
        <v>0</v>
      </c>
      <c r="J184" s="20">
        <f>IFERROR(INDEX('Input - Target'!H$2:H$200,MATCH('Calculations - Target'!$D184,'Input - Target'!$B$2:$B$200,0)),"")</f>
        <v>0</v>
      </c>
      <c r="K184" s="21">
        <f>IFERROR(INDEX('Input - Target'!I$2:I$200,MATCH('Calculations - Target'!$D184,'Input - Target'!$B$2:$B$200,0)),"")</f>
        <v>0</v>
      </c>
      <c r="L184" s="21">
        <f>IFERROR(INDEX('Input - Target'!J$2:J$200,MATCH('Calculations - Target'!$D184,'Input - Target'!$B$2:$B$200,0)),"")</f>
        <v>0</v>
      </c>
      <c r="M184" s="20">
        <f>IFERROR(INDEX('Input - Target'!K$2:K$200,MATCH('Calculations - Target'!$D184,'Input - Target'!$B$2:$B$200,0)),"")</f>
        <v>0</v>
      </c>
      <c r="N184" s="20">
        <f>IFERROR(INDEX('Input - Target'!L$2:L$200,MATCH('Calculations - Target'!$D184,'Input - Target'!$B$2:$B$200,0)),"")</f>
        <v>0</v>
      </c>
      <c r="O184" s="21" t="str">
        <f t="shared" si="139"/>
        <v/>
      </c>
      <c r="P184" s="21" t="str">
        <f t="shared" si="123"/>
        <v/>
      </c>
      <c r="Q184" s="21">
        <f t="shared" si="140"/>
        <v>0</v>
      </c>
      <c r="R184" s="9">
        <f t="shared" si="121"/>
        <v>0</v>
      </c>
      <c r="S184" s="9">
        <f t="shared" si="122"/>
        <v>0</v>
      </c>
      <c r="T184" s="22" t="str">
        <f>IFERROR(INDEX(Target!$S$11:$S$167,MATCH('Calculations - Target'!$D184,Target!$N$11:$N$167,0)),"")</f>
        <v/>
      </c>
      <c r="U184" s="22" t="str">
        <f>IFERROR(INDEX(Target!$T$11:$T$167,MATCH('Calculations - Target'!$D184,Target!$N$11:$N$167,0)),"")</f>
        <v/>
      </c>
      <c r="V184" s="16" t="e">
        <f t="shared" si="124"/>
        <v>#VALUE!</v>
      </c>
      <c r="W184" s="16" t="e">
        <f t="shared" si="141"/>
        <v>#VALUE!</v>
      </c>
      <c r="X184" s="16" t="e">
        <f t="shared" si="142"/>
        <v>#VALUE!</v>
      </c>
      <c r="Y184" s="10" t="str">
        <f t="shared" si="125"/>
        <v>-</v>
      </c>
      <c r="Z184" s="10" t="str">
        <f t="shared" si="126"/>
        <v>-</v>
      </c>
      <c r="AA184" s="13" t="str">
        <f t="shared" si="143"/>
        <v>-</v>
      </c>
      <c r="AB184" s="9" t="str">
        <f t="shared" si="127"/>
        <v>-</v>
      </c>
      <c r="AC184" s="16" t="str">
        <f t="shared" si="144"/>
        <v>-</v>
      </c>
      <c r="AD184" s="16" t="str">
        <f t="shared" si="128"/>
        <v>-</v>
      </c>
      <c r="AE184" s="16" t="str">
        <f t="shared" si="129"/>
        <v>-</v>
      </c>
      <c r="AF184" s="16" t="str">
        <f t="shared" si="145"/>
        <v>-</v>
      </c>
      <c r="AG184" s="16"/>
      <c r="AH184" s="32" t="str">
        <f>IFERROR(INDEX(Target!$R$11:$R$167,MATCH('Calculations - Target'!D184,Target!$N$11:$N$167,0)),"")</f>
        <v/>
      </c>
      <c r="AI184" s="23" t="str">
        <f t="shared" si="146"/>
        <v/>
      </c>
      <c r="AJ184" s="23" t="str">
        <f t="shared" si="147"/>
        <v/>
      </c>
      <c r="AK184" s="9" t="str">
        <f t="shared" si="130"/>
        <v/>
      </c>
      <c r="AL184" s="4" t="str">
        <f t="shared" si="131"/>
        <v/>
      </c>
      <c r="AM184" s="4"/>
      <c r="AN184" s="4"/>
      <c r="AO184" s="4"/>
      <c r="AP184" s="4"/>
      <c r="AQ184" s="4"/>
      <c r="AR184" s="20" t="str">
        <f t="shared" si="132"/>
        <v>-</v>
      </c>
      <c r="AS184" s="13" t="str">
        <f t="shared" si="148"/>
        <v>-</v>
      </c>
      <c r="AT184" s="13" t="str">
        <f t="shared" si="149"/>
        <v>-</v>
      </c>
      <c r="AU184" s="13" t="str">
        <f t="shared" si="133"/>
        <v>-</v>
      </c>
      <c r="AV184" s="16" t="str">
        <f t="shared" si="150"/>
        <v>-</v>
      </c>
      <c r="AW184" s="16" t="str">
        <f t="shared" si="134"/>
        <v>-</v>
      </c>
      <c r="AX184" s="16" t="str">
        <f t="shared" si="135"/>
        <v>-</v>
      </c>
      <c r="AY184" s="16" t="str">
        <f t="shared" si="151"/>
        <v>-</v>
      </c>
      <c r="AZ184" s="13" t="str">
        <f t="shared" si="152"/>
        <v>-</v>
      </c>
      <c r="BA184" s="10" t="str">
        <f t="shared" si="153"/>
        <v>-</v>
      </c>
      <c r="BB184" s="9" t="str">
        <f t="shared" si="154"/>
        <v>-</v>
      </c>
      <c r="BC184" s="13" t="str">
        <f t="shared" si="155"/>
        <v>-</v>
      </c>
      <c r="BD184" s="10" t="str">
        <f t="shared" si="156"/>
        <v>-</v>
      </c>
      <c r="BE184" s="13" t="str">
        <f t="shared" si="157"/>
        <v>-</v>
      </c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</row>
    <row r="185" spans="2:70" x14ac:dyDescent="0.3">
      <c r="B185" s="96" t="str">
        <f t="shared" si="136"/>
        <v/>
      </c>
      <c r="C185" s="96" t="str">
        <f t="shared" si="137"/>
        <v/>
      </c>
      <c r="D185" s="96" t="str">
        <f t="shared" si="138"/>
        <v/>
      </c>
      <c r="E185" s="3"/>
      <c r="F185" s="3"/>
      <c r="G185" s="3"/>
      <c r="H185" s="3"/>
      <c r="I185" s="20">
        <f>IFERROR(INDEX('Input - Target'!G$2:G$200,MATCH('Calculations - Target'!$D185,'Input - Target'!$B$2:$B$200,0)),"")</f>
        <v>0</v>
      </c>
      <c r="J185" s="20">
        <f>IFERROR(INDEX('Input - Target'!H$2:H$200,MATCH('Calculations - Target'!$D185,'Input - Target'!$B$2:$B$200,0)),"")</f>
        <v>0</v>
      </c>
      <c r="K185" s="21">
        <f>IFERROR(INDEX('Input - Target'!I$2:I$200,MATCH('Calculations - Target'!$D185,'Input - Target'!$B$2:$B$200,0)),"")</f>
        <v>0</v>
      </c>
      <c r="L185" s="21">
        <f>IFERROR(INDEX('Input - Target'!J$2:J$200,MATCH('Calculations - Target'!$D185,'Input - Target'!$B$2:$B$200,0)),"")</f>
        <v>0</v>
      </c>
      <c r="M185" s="20">
        <f>IFERROR(INDEX('Input - Target'!K$2:K$200,MATCH('Calculations - Target'!$D185,'Input - Target'!$B$2:$B$200,0)),"")</f>
        <v>0</v>
      </c>
      <c r="N185" s="20">
        <f>IFERROR(INDEX('Input - Target'!L$2:L$200,MATCH('Calculations - Target'!$D185,'Input - Target'!$B$2:$B$200,0)),"")</f>
        <v>0</v>
      </c>
      <c r="O185" s="21" t="str">
        <f t="shared" si="139"/>
        <v/>
      </c>
      <c r="P185" s="21" t="str">
        <f t="shared" si="123"/>
        <v/>
      </c>
      <c r="Q185" s="21">
        <f t="shared" si="140"/>
        <v>0</v>
      </c>
      <c r="R185" s="9">
        <f t="shared" si="121"/>
        <v>0</v>
      </c>
      <c r="S185" s="9">
        <f t="shared" si="122"/>
        <v>0</v>
      </c>
      <c r="T185" s="22" t="str">
        <f>IFERROR(INDEX(Target!$S$11:$S$167,MATCH('Calculations - Target'!$D185,Target!$N$11:$N$167,0)),"")</f>
        <v/>
      </c>
      <c r="U185" s="22" t="str">
        <f>IFERROR(INDEX(Target!$T$11:$T$167,MATCH('Calculations - Target'!$D185,Target!$N$11:$N$167,0)),"")</f>
        <v/>
      </c>
      <c r="V185" s="16" t="e">
        <f t="shared" si="124"/>
        <v>#VALUE!</v>
      </c>
      <c r="W185" s="16" t="e">
        <f t="shared" si="141"/>
        <v>#VALUE!</v>
      </c>
      <c r="X185" s="16" t="e">
        <f t="shared" si="142"/>
        <v>#VALUE!</v>
      </c>
      <c r="Y185" s="10" t="str">
        <f t="shared" si="125"/>
        <v>-</v>
      </c>
      <c r="Z185" s="10" t="str">
        <f t="shared" si="126"/>
        <v>-</v>
      </c>
      <c r="AA185" s="13" t="str">
        <f t="shared" si="143"/>
        <v>-</v>
      </c>
      <c r="AB185" s="9" t="str">
        <f t="shared" si="127"/>
        <v>-</v>
      </c>
      <c r="AC185" s="16" t="str">
        <f t="shared" si="144"/>
        <v>-</v>
      </c>
      <c r="AD185" s="16" t="str">
        <f t="shared" si="128"/>
        <v>-</v>
      </c>
      <c r="AE185" s="16" t="str">
        <f t="shared" si="129"/>
        <v>-</v>
      </c>
      <c r="AF185" s="16" t="str">
        <f t="shared" si="145"/>
        <v>-</v>
      </c>
      <c r="AG185" s="16"/>
      <c r="AH185" s="32" t="str">
        <f>IFERROR(INDEX(Target!$R$11:$R$167,MATCH('Calculations - Target'!D185,Target!$N$11:$N$167,0)),"")</f>
        <v/>
      </c>
      <c r="AI185" s="23" t="str">
        <f t="shared" si="146"/>
        <v/>
      </c>
      <c r="AJ185" s="23" t="str">
        <f t="shared" si="147"/>
        <v/>
      </c>
      <c r="AK185" s="9" t="str">
        <f t="shared" si="130"/>
        <v/>
      </c>
      <c r="AL185" s="4" t="str">
        <f t="shared" si="131"/>
        <v/>
      </c>
      <c r="AM185" s="4"/>
      <c r="AN185" s="4"/>
      <c r="AO185" s="4"/>
      <c r="AP185" s="4"/>
      <c r="AQ185" s="4"/>
      <c r="AR185" s="20" t="str">
        <f t="shared" si="132"/>
        <v>-</v>
      </c>
      <c r="AS185" s="13" t="str">
        <f t="shared" si="148"/>
        <v>-</v>
      </c>
      <c r="AT185" s="13" t="str">
        <f t="shared" si="149"/>
        <v>-</v>
      </c>
      <c r="AU185" s="13" t="str">
        <f t="shared" si="133"/>
        <v>-</v>
      </c>
      <c r="AV185" s="16" t="str">
        <f t="shared" si="150"/>
        <v>-</v>
      </c>
      <c r="AW185" s="16" t="str">
        <f t="shared" si="134"/>
        <v>-</v>
      </c>
      <c r="AX185" s="16" t="str">
        <f t="shared" si="135"/>
        <v>-</v>
      </c>
      <c r="AY185" s="16" t="str">
        <f t="shared" si="151"/>
        <v>-</v>
      </c>
      <c r="AZ185" s="13" t="str">
        <f t="shared" si="152"/>
        <v>-</v>
      </c>
      <c r="BA185" s="10" t="str">
        <f t="shared" si="153"/>
        <v>-</v>
      </c>
      <c r="BB185" s="9" t="str">
        <f t="shared" si="154"/>
        <v>-</v>
      </c>
      <c r="BC185" s="13" t="str">
        <f t="shared" si="155"/>
        <v>-</v>
      </c>
      <c r="BD185" s="10" t="str">
        <f t="shared" si="156"/>
        <v>-</v>
      </c>
      <c r="BE185" s="13" t="str">
        <f t="shared" si="157"/>
        <v>-</v>
      </c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</row>
    <row r="186" spans="2:70" x14ac:dyDescent="0.3">
      <c r="B186" s="96" t="str">
        <f t="shared" si="136"/>
        <v/>
      </c>
      <c r="C186" s="96" t="str">
        <f t="shared" si="137"/>
        <v/>
      </c>
      <c r="D186" s="96" t="str">
        <f t="shared" si="138"/>
        <v/>
      </c>
      <c r="E186" s="3"/>
      <c r="F186" s="3"/>
      <c r="G186" s="3"/>
      <c r="H186" s="3"/>
      <c r="I186" s="20">
        <f>IFERROR(INDEX('Input - Target'!G$2:G$200,MATCH('Calculations - Target'!$D186,'Input - Target'!$B$2:$B$200,0)),"")</f>
        <v>0</v>
      </c>
      <c r="J186" s="20">
        <f>IFERROR(INDEX('Input - Target'!H$2:H$200,MATCH('Calculations - Target'!$D186,'Input - Target'!$B$2:$B$200,0)),"")</f>
        <v>0</v>
      </c>
      <c r="K186" s="21">
        <f>IFERROR(INDEX('Input - Target'!I$2:I$200,MATCH('Calculations - Target'!$D186,'Input - Target'!$B$2:$B$200,0)),"")</f>
        <v>0</v>
      </c>
      <c r="L186" s="21">
        <f>IFERROR(INDEX('Input - Target'!J$2:J$200,MATCH('Calculations - Target'!$D186,'Input - Target'!$B$2:$B$200,0)),"")</f>
        <v>0</v>
      </c>
      <c r="M186" s="20">
        <f>IFERROR(INDEX('Input - Target'!K$2:K$200,MATCH('Calculations - Target'!$D186,'Input - Target'!$B$2:$B$200,0)),"")</f>
        <v>0</v>
      </c>
      <c r="N186" s="20">
        <f>IFERROR(INDEX('Input - Target'!L$2:L$200,MATCH('Calculations - Target'!$D186,'Input - Target'!$B$2:$B$200,0)),"")</f>
        <v>0</v>
      </c>
      <c r="O186" s="21" t="str">
        <f t="shared" si="139"/>
        <v/>
      </c>
      <c r="P186" s="21" t="str">
        <f t="shared" si="123"/>
        <v/>
      </c>
      <c r="Q186" s="21">
        <f t="shared" si="140"/>
        <v>0</v>
      </c>
      <c r="R186" s="9">
        <f t="shared" si="121"/>
        <v>0</v>
      </c>
      <c r="S186" s="9">
        <f t="shared" si="122"/>
        <v>0</v>
      </c>
      <c r="T186" s="22" t="str">
        <f>IFERROR(INDEX(Target!$S$11:$S$167,MATCH('Calculations - Target'!$D186,Target!$N$11:$N$167,0)),"")</f>
        <v/>
      </c>
      <c r="U186" s="22" t="str">
        <f>IFERROR(INDEX(Target!$T$11:$T$167,MATCH('Calculations - Target'!$D186,Target!$N$11:$N$167,0)),"")</f>
        <v/>
      </c>
      <c r="V186" s="16" t="e">
        <f t="shared" si="124"/>
        <v>#VALUE!</v>
      </c>
      <c r="W186" s="16" t="e">
        <f t="shared" si="141"/>
        <v>#VALUE!</v>
      </c>
      <c r="X186" s="16" t="e">
        <f t="shared" si="142"/>
        <v>#VALUE!</v>
      </c>
      <c r="Y186" s="10" t="str">
        <f t="shared" si="125"/>
        <v>-</v>
      </c>
      <c r="Z186" s="10" t="str">
        <f t="shared" si="126"/>
        <v>-</v>
      </c>
      <c r="AA186" s="13" t="str">
        <f t="shared" si="143"/>
        <v>-</v>
      </c>
      <c r="AB186" s="9" t="str">
        <f t="shared" si="127"/>
        <v>-</v>
      </c>
      <c r="AC186" s="16" t="str">
        <f t="shared" si="144"/>
        <v>-</v>
      </c>
      <c r="AD186" s="16" t="str">
        <f t="shared" si="128"/>
        <v>-</v>
      </c>
      <c r="AE186" s="16" t="str">
        <f t="shared" si="129"/>
        <v>-</v>
      </c>
      <c r="AF186" s="16" t="str">
        <f t="shared" si="145"/>
        <v>-</v>
      </c>
      <c r="AG186" s="16"/>
      <c r="AH186" s="32" t="str">
        <f>IFERROR(INDEX(Target!$R$11:$R$167,MATCH('Calculations - Target'!D186,Target!$N$11:$N$167,0)),"")</f>
        <v/>
      </c>
      <c r="AI186" s="23" t="str">
        <f t="shared" si="146"/>
        <v/>
      </c>
      <c r="AJ186" s="23" t="str">
        <f t="shared" si="147"/>
        <v/>
      </c>
      <c r="AK186" s="9" t="str">
        <f t="shared" si="130"/>
        <v/>
      </c>
      <c r="AL186" s="4" t="str">
        <f t="shared" si="131"/>
        <v/>
      </c>
      <c r="AM186" s="4"/>
      <c r="AN186" s="4"/>
      <c r="AO186" s="4"/>
      <c r="AP186" s="4"/>
      <c r="AQ186" s="4"/>
      <c r="AR186" s="20" t="str">
        <f t="shared" si="132"/>
        <v>-</v>
      </c>
      <c r="AS186" s="13" t="str">
        <f t="shared" si="148"/>
        <v>-</v>
      </c>
      <c r="AT186" s="13" t="str">
        <f t="shared" si="149"/>
        <v>-</v>
      </c>
      <c r="AU186" s="13" t="str">
        <f t="shared" si="133"/>
        <v>-</v>
      </c>
      <c r="AV186" s="16" t="str">
        <f t="shared" si="150"/>
        <v>-</v>
      </c>
      <c r="AW186" s="16" t="str">
        <f t="shared" si="134"/>
        <v>-</v>
      </c>
      <c r="AX186" s="16" t="str">
        <f t="shared" si="135"/>
        <v>-</v>
      </c>
      <c r="AY186" s="16" t="str">
        <f t="shared" si="151"/>
        <v>-</v>
      </c>
      <c r="AZ186" s="13" t="str">
        <f t="shared" si="152"/>
        <v>-</v>
      </c>
      <c r="BA186" s="10" t="str">
        <f t="shared" si="153"/>
        <v>-</v>
      </c>
      <c r="BB186" s="9" t="str">
        <f t="shared" si="154"/>
        <v>-</v>
      </c>
      <c r="BC186" s="13" t="str">
        <f t="shared" si="155"/>
        <v>-</v>
      </c>
      <c r="BD186" s="10" t="str">
        <f t="shared" si="156"/>
        <v>-</v>
      </c>
      <c r="BE186" s="13" t="str">
        <f t="shared" si="157"/>
        <v>-</v>
      </c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</row>
    <row r="187" spans="2:70" x14ac:dyDescent="0.3">
      <c r="B187" s="96" t="str">
        <f t="shared" si="136"/>
        <v/>
      </c>
      <c r="C187" s="96" t="str">
        <f t="shared" si="137"/>
        <v/>
      </c>
      <c r="D187" s="96" t="str">
        <f t="shared" si="138"/>
        <v/>
      </c>
      <c r="E187" s="3"/>
      <c r="F187" s="3"/>
      <c r="G187" s="3"/>
      <c r="H187" s="3"/>
      <c r="I187" s="20">
        <f>IFERROR(INDEX('Input - Target'!G$2:G$200,MATCH('Calculations - Target'!$D187,'Input - Target'!$B$2:$B$200,0)),"")</f>
        <v>0</v>
      </c>
      <c r="J187" s="20">
        <f>IFERROR(INDEX('Input - Target'!H$2:H$200,MATCH('Calculations - Target'!$D187,'Input - Target'!$B$2:$B$200,0)),"")</f>
        <v>0</v>
      </c>
      <c r="K187" s="21">
        <f>IFERROR(INDEX('Input - Target'!I$2:I$200,MATCH('Calculations - Target'!$D187,'Input - Target'!$B$2:$B$200,0)),"")</f>
        <v>0</v>
      </c>
      <c r="L187" s="21">
        <f>IFERROR(INDEX('Input - Target'!J$2:J$200,MATCH('Calculations - Target'!$D187,'Input - Target'!$B$2:$B$200,0)),"")</f>
        <v>0</v>
      </c>
      <c r="M187" s="20">
        <f>IFERROR(INDEX('Input - Target'!K$2:K$200,MATCH('Calculations - Target'!$D187,'Input - Target'!$B$2:$B$200,0)),"")</f>
        <v>0</v>
      </c>
      <c r="N187" s="20">
        <f>IFERROR(INDEX('Input - Target'!L$2:L$200,MATCH('Calculations - Target'!$D187,'Input - Target'!$B$2:$B$200,0)),"")</f>
        <v>0</v>
      </c>
      <c r="O187" s="21" t="str">
        <f t="shared" si="139"/>
        <v/>
      </c>
      <c r="P187" s="21" t="str">
        <f t="shared" si="123"/>
        <v/>
      </c>
      <c r="Q187" s="21">
        <f t="shared" si="140"/>
        <v>0</v>
      </c>
      <c r="R187" s="9">
        <f t="shared" si="121"/>
        <v>0</v>
      </c>
      <c r="S187" s="9">
        <f t="shared" si="122"/>
        <v>0</v>
      </c>
      <c r="T187" s="22" t="str">
        <f>IFERROR(INDEX(Target!$S$11:$S$167,MATCH('Calculations - Target'!$D187,Target!$N$11:$N$167,0)),"")</f>
        <v/>
      </c>
      <c r="U187" s="22" t="str">
        <f>IFERROR(INDEX(Target!$T$11:$T$167,MATCH('Calculations - Target'!$D187,Target!$N$11:$N$167,0)),"")</f>
        <v/>
      </c>
      <c r="V187" s="16" t="e">
        <f t="shared" si="124"/>
        <v>#VALUE!</v>
      </c>
      <c r="W187" s="16" t="e">
        <f t="shared" si="141"/>
        <v>#VALUE!</v>
      </c>
      <c r="X187" s="16" t="e">
        <f t="shared" si="142"/>
        <v>#VALUE!</v>
      </c>
      <c r="Y187" s="10" t="str">
        <f t="shared" si="125"/>
        <v>-</v>
      </c>
      <c r="Z187" s="10" t="str">
        <f t="shared" si="126"/>
        <v>-</v>
      </c>
      <c r="AA187" s="13" t="str">
        <f t="shared" si="143"/>
        <v>-</v>
      </c>
      <c r="AB187" s="9" t="str">
        <f t="shared" si="127"/>
        <v>-</v>
      </c>
      <c r="AC187" s="16" t="str">
        <f t="shared" si="144"/>
        <v>-</v>
      </c>
      <c r="AD187" s="16" t="str">
        <f t="shared" si="128"/>
        <v>-</v>
      </c>
      <c r="AE187" s="16" t="str">
        <f t="shared" si="129"/>
        <v>-</v>
      </c>
      <c r="AF187" s="16" t="str">
        <f t="shared" si="145"/>
        <v>-</v>
      </c>
      <c r="AG187" s="16"/>
      <c r="AH187" s="32" t="str">
        <f>IFERROR(INDEX(Target!$R$11:$R$167,MATCH('Calculations - Target'!D187,Target!$N$11:$N$167,0)),"")</f>
        <v/>
      </c>
      <c r="AI187" s="23" t="str">
        <f t="shared" si="146"/>
        <v/>
      </c>
      <c r="AJ187" s="23" t="str">
        <f t="shared" si="147"/>
        <v/>
      </c>
      <c r="AK187" s="9" t="str">
        <f t="shared" si="130"/>
        <v/>
      </c>
      <c r="AL187" s="4" t="str">
        <f t="shared" si="131"/>
        <v/>
      </c>
      <c r="AM187" s="4"/>
      <c r="AN187" s="4"/>
      <c r="AO187" s="4"/>
      <c r="AP187" s="4"/>
      <c r="AQ187" s="4"/>
      <c r="AR187" s="20" t="str">
        <f t="shared" si="132"/>
        <v>-</v>
      </c>
      <c r="AS187" s="13" t="str">
        <f t="shared" si="148"/>
        <v>-</v>
      </c>
      <c r="AT187" s="13" t="str">
        <f t="shared" si="149"/>
        <v>-</v>
      </c>
      <c r="AU187" s="13" t="str">
        <f t="shared" si="133"/>
        <v>-</v>
      </c>
      <c r="AV187" s="16" t="str">
        <f t="shared" si="150"/>
        <v>-</v>
      </c>
      <c r="AW187" s="16" t="str">
        <f t="shared" si="134"/>
        <v>-</v>
      </c>
      <c r="AX187" s="16" t="str">
        <f t="shared" si="135"/>
        <v>-</v>
      </c>
      <c r="AY187" s="16" t="str">
        <f t="shared" si="151"/>
        <v>-</v>
      </c>
      <c r="AZ187" s="13" t="str">
        <f t="shared" si="152"/>
        <v>-</v>
      </c>
      <c r="BA187" s="10" t="str">
        <f t="shared" si="153"/>
        <v>-</v>
      </c>
      <c r="BB187" s="9" t="str">
        <f t="shared" si="154"/>
        <v>-</v>
      </c>
      <c r="BC187" s="13" t="str">
        <f t="shared" si="155"/>
        <v>-</v>
      </c>
      <c r="BD187" s="10" t="str">
        <f t="shared" si="156"/>
        <v>-</v>
      </c>
      <c r="BE187" s="13" t="str">
        <f t="shared" si="157"/>
        <v>-</v>
      </c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</row>
    <row r="188" spans="2:70" x14ac:dyDescent="0.3">
      <c r="B188" s="96" t="str">
        <f t="shared" si="136"/>
        <v/>
      </c>
      <c r="C188" s="96" t="str">
        <f t="shared" si="137"/>
        <v/>
      </c>
      <c r="D188" s="96" t="str">
        <f t="shared" si="138"/>
        <v/>
      </c>
      <c r="E188" s="3"/>
      <c r="F188" s="3"/>
      <c r="G188" s="3"/>
      <c r="H188" s="3"/>
      <c r="I188" s="20">
        <f>IFERROR(INDEX('Input - Target'!G$2:G$200,MATCH('Calculations - Target'!$D188,'Input - Target'!$B$2:$B$200,0)),"")</f>
        <v>0</v>
      </c>
      <c r="J188" s="20">
        <f>IFERROR(INDEX('Input - Target'!H$2:H$200,MATCH('Calculations - Target'!$D188,'Input - Target'!$B$2:$B$200,0)),"")</f>
        <v>0</v>
      </c>
      <c r="K188" s="21">
        <f>IFERROR(INDEX('Input - Target'!I$2:I$200,MATCH('Calculations - Target'!$D188,'Input - Target'!$B$2:$B$200,0)),"")</f>
        <v>0</v>
      </c>
      <c r="L188" s="21">
        <f>IFERROR(INDEX('Input - Target'!J$2:J$200,MATCH('Calculations - Target'!$D188,'Input - Target'!$B$2:$B$200,0)),"")</f>
        <v>0</v>
      </c>
      <c r="M188" s="20">
        <f>IFERROR(INDEX('Input - Target'!K$2:K$200,MATCH('Calculations - Target'!$D188,'Input - Target'!$B$2:$B$200,0)),"")</f>
        <v>0</v>
      </c>
      <c r="N188" s="20">
        <f>IFERROR(INDEX('Input - Target'!L$2:L$200,MATCH('Calculations - Target'!$D188,'Input - Target'!$B$2:$B$200,0)),"")</f>
        <v>0</v>
      </c>
      <c r="O188" s="21" t="str">
        <f t="shared" si="139"/>
        <v/>
      </c>
      <c r="P188" s="21" t="str">
        <f t="shared" si="123"/>
        <v/>
      </c>
      <c r="Q188" s="21">
        <f t="shared" si="140"/>
        <v>0</v>
      </c>
      <c r="R188" s="9">
        <f t="shared" si="121"/>
        <v>0</v>
      </c>
      <c r="S188" s="9">
        <f t="shared" si="122"/>
        <v>0</v>
      </c>
      <c r="T188" s="22" t="str">
        <f>IFERROR(INDEX(Target!$S$11:$S$167,MATCH('Calculations - Target'!$D188,Target!$N$11:$N$167,0)),"")</f>
        <v/>
      </c>
      <c r="U188" s="22" t="str">
        <f>IFERROR(INDEX(Target!$T$11:$T$167,MATCH('Calculations - Target'!$D188,Target!$N$11:$N$167,0)),"")</f>
        <v/>
      </c>
      <c r="V188" s="16" t="e">
        <f t="shared" si="124"/>
        <v>#VALUE!</v>
      </c>
      <c r="W188" s="16" t="e">
        <f t="shared" si="141"/>
        <v>#VALUE!</v>
      </c>
      <c r="X188" s="16" t="e">
        <f t="shared" si="142"/>
        <v>#VALUE!</v>
      </c>
      <c r="Y188" s="10" t="str">
        <f t="shared" si="125"/>
        <v>-</v>
      </c>
      <c r="Z188" s="10" t="str">
        <f t="shared" si="126"/>
        <v>-</v>
      </c>
      <c r="AA188" s="13" t="str">
        <f t="shared" si="143"/>
        <v>-</v>
      </c>
      <c r="AB188" s="9" t="str">
        <f t="shared" si="127"/>
        <v>-</v>
      </c>
      <c r="AC188" s="16" t="str">
        <f t="shared" si="144"/>
        <v>-</v>
      </c>
      <c r="AD188" s="16" t="str">
        <f t="shared" si="128"/>
        <v>-</v>
      </c>
      <c r="AE188" s="16" t="str">
        <f t="shared" si="129"/>
        <v>-</v>
      </c>
      <c r="AF188" s="16" t="str">
        <f t="shared" si="145"/>
        <v>-</v>
      </c>
      <c r="AG188" s="16"/>
      <c r="AH188" s="32" t="str">
        <f>IFERROR(INDEX(Target!$R$11:$R$167,MATCH('Calculations - Target'!D188,Target!$N$11:$N$167,0)),"")</f>
        <v/>
      </c>
      <c r="AI188" s="23" t="str">
        <f t="shared" si="146"/>
        <v/>
      </c>
      <c r="AJ188" s="23" t="str">
        <f t="shared" si="147"/>
        <v/>
      </c>
      <c r="AK188" s="9" t="str">
        <f t="shared" si="130"/>
        <v/>
      </c>
      <c r="AL188" s="4" t="str">
        <f t="shared" si="131"/>
        <v/>
      </c>
      <c r="AM188" s="4"/>
      <c r="AN188" s="4"/>
      <c r="AO188" s="4"/>
      <c r="AP188" s="4"/>
      <c r="AQ188" s="4"/>
      <c r="AR188" s="20" t="str">
        <f t="shared" si="132"/>
        <v>-</v>
      </c>
      <c r="AS188" s="13" t="str">
        <f t="shared" si="148"/>
        <v>-</v>
      </c>
      <c r="AT188" s="13" t="str">
        <f t="shared" si="149"/>
        <v>-</v>
      </c>
      <c r="AU188" s="13" t="str">
        <f t="shared" si="133"/>
        <v>-</v>
      </c>
      <c r="AV188" s="16" t="str">
        <f t="shared" si="150"/>
        <v>-</v>
      </c>
      <c r="AW188" s="16" t="str">
        <f t="shared" si="134"/>
        <v>-</v>
      </c>
      <c r="AX188" s="16" t="str">
        <f t="shared" si="135"/>
        <v>-</v>
      </c>
      <c r="AY188" s="16" t="str">
        <f t="shared" si="151"/>
        <v>-</v>
      </c>
      <c r="AZ188" s="13" t="str">
        <f t="shared" si="152"/>
        <v>-</v>
      </c>
      <c r="BA188" s="10" t="str">
        <f t="shared" si="153"/>
        <v>-</v>
      </c>
      <c r="BB188" s="9" t="str">
        <f t="shared" si="154"/>
        <v>-</v>
      </c>
      <c r="BC188" s="13" t="str">
        <f t="shared" si="155"/>
        <v>-</v>
      </c>
      <c r="BD188" s="10" t="str">
        <f t="shared" si="156"/>
        <v>-</v>
      </c>
      <c r="BE188" s="13" t="str">
        <f t="shared" si="157"/>
        <v>-</v>
      </c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</row>
    <row r="189" spans="2:70" x14ac:dyDescent="0.3">
      <c r="B189" s="96" t="str">
        <f t="shared" si="136"/>
        <v/>
      </c>
      <c r="C189" s="96" t="str">
        <f t="shared" si="137"/>
        <v/>
      </c>
      <c r="D189" s="96" t="str">
        <f t="shared" si="138"/>
        <v/>
      </c>
      <c r="E189" s="3"/>
      <c r="F189" s="3"/>
      <c r="G189" s="3"/>
      <c r="H189" s="3"/>
      <c r="I189" s="20">
        <f>IFERROR(INDEX('Input - Target'!G$2:G$200,MATCH('Calculations - Target'!$D189,'Input - Target'!$B$2:$B$200,0)),"")</f>
        <v>0</v>
      </c>
      <c r="J189" s="20">
        <f>IFERROR(INDEX('Input - Target'!H$2:H$200,MATCH('Calculations - Target'!$D189,'Input - Target'!$B$2:$B$200,0)),"")</f>
        <v>0</v>
      </c>
      <c r="K189" s="21">
        <f>IFERROR(INDEX('Input - Target'!I$2:I$200,MATCH('Calculations - Target'!$D189,'Input - Target'!$B$2:$B$200,0)),"")</f>
        <v>0</v>
      </c>
      <c r="L189" s="21">
        <f>IFERROR(INDEX('Input - Target'!J$2:J$200,MATCH('Calculations - Target'!$D189,'Input - Target'!$B$2:$B$200,0)),"")</f>
        <v>0</v>
      </c>
      <c r="M189" s="20">
        <f>IFERROR(INDEX('Input - Target'!K$2:K$200,MATCH('Calculations - Target'!$D189,'Input - Target'!$B$2:$B$200,0)),"")</f>
        <v>0</v>
      </c>
      <c r="N189" s="20">
        <f>IFERROR(INDEX('Input - Target'!L$2:L$200,MATCH('Calculations - Target'!$D189,'Input - Target'!$B$2:$B$200,0)),"")</f>
        <v>0</v>
      </c>
      <c r="O189" s="21" t="str">
        <f t="shared" si="139"/>
        <v/>
      </c>
      <c r="P189" s="21" t="str">
        <f t="shared" si="123"/>
        <v/>
      </c>
      <c r="Q189" s="21">
        <f t="shared" si="140"/>
        <v>0</v>
      </c>
      <c r="R189" s="9">
        <f t="shared" si="121"/>
        <v>0</v>
      </c>
      <c r="S189" s="9">
        <f t="shared" si="122"/>
        <v>0</v>
      </c>
      <c r="T189" s="22" t="str">
        <f>IFERROR(INDEX(Target!$S$11:$S$167,MATCH('Calculations - Target'!$D189,Target!$N$11:$N$167,0)),"")</f>
        <v/>
      </c>
      <c r="U189" s="22" t="str">
        <f>IFERROR(INDEX(Target!$T$11:$T$167,MATCH('Calculations - Target'!$D189,Target!$N$11:$N$167,0)),"")</f>
        <v/>
      </c>
      <c r="V189" s="16" t="e">
        <f t="shared" si="124"/>
        <v>#VALUE!</v>
      </c>
      <c r="W189" s="16" t="e">
        <f t="shared" si="141"/>
        <v>#VALUE!</v>
      </c>
      <c r="X189" s="16" t="e">
        <f t="shared" si="142"/>
        <v>#VALUE!</v>
      </c>
      <c r="Y189" s="10" t="str">
        <f t="shared" si="125"/>
        <v>-</v>
      </c>
      <c r="Z189" s="10" t="str">
        <f t="shared" si="126"/>
        <v>-</v>
      </c>
      <c r="AA189" s="13" t="str">
        <f t="shared" si="143"/>
        <v>-</v>
      </c>
      <c r="AB189" s="9" t="str">
        <f t="shared" si="127"/>
        <v>-</v>
      </c>
      <c r="AC189" s="16" t="str">
        <f t="shared" si="144"/>
        <v>-</v>
      </c>
      <c r="AD189" s="16" t="str">
        <f t="shared" si="128"/>
        <v>-</v>
      </c>
      <c r="AE189" s="16" t="str">
        <f t="shared" si="129"/>
        <v>-</v>
      </c>
      <c r="AF189" s="16" t="str">
        <f t="shared" si="145"/>
        <v>-</v>
      </c>
      <c r="AG189" s="16"/>
      <c r="AH189" s="32" t="str">
        <f>IFERROR(INDEX(Target!$R$11:$R$167,MATCH('Calculations - Target'!D189,Target!$N$11:$N$167,0)),"")</f>
        <v/>
      </c>
      <c r="AI189" s="23" t="str">
        <f t="shared" si="146"/>
        <v/>
      </c>
      <c r="AJ189" s="23" t="str">
        <f t="shared" si="147"/>
        <v/>
      </c>
      <c r="AK189" s="9" t="str">
        <f t="shared" si="130"/>
        <v/>
      </c>
      <c r="AL189" s="4" t="str">
        <f t="shared" si="131"/>
        <v/>
      </c>
      <c r="AM189" s="4"/>
      <c r="AN189" s="4"/>
      <c r="AO189" s="4"/>
      <c r="AP189" s="4"/>
      <c r="AQ189" s="4"/>
      <c r="AR189" s="20" t="str">
        <f t="shared" si="132"/>
        <v>-</v>
      </c>
      <c r="AS189" s="13" t="str">
        <f t="shared" si="148"/>
        <v>-</v>
      </c>
      <c r="AT189" s="13" t="str">
        <f t="shared" si="149"/>
        <v>-</v>
      </c>
      <c r="AU189" s="13" t="str">
        <f t="shared" si="133"/>
        <v>-</v>
      </c>
      <c r="AV189" s="16" t="str">
        <f t="shared" si="150"/>
        <v>-</v>
      </c>
      <c r="AW189" s="16" t="str">
        <f t="shared" si="134"/>
        <v>-</v>
      </c>
      <c r="AX189" s="16" t="str">
        <f t="shared" si="135"/>
        <v>-</v>
      </c>
      <c r="AY189" s="16" t="str">
        <f t="shared" si="151"/>
        <v>-</v>
      </c>
      <c r="AZ189" s="13" t="str">
        <f t="shared" si="152"/>
        <v>-</v>
      </c>
      <c r="BA189" s="10" t="str">
        <f t="shared" si="153"/>
        <v>-</v>
      </c>
      <c r="BB189" s="9" t="str">
        <f t="shared" si="154"/>
        <v>-</v>
      </c>
      <c r="BC189" s="13" t="str">
        <f t="shared" si="155"/>
        <v>-</v>
      </c>
      <c r="BD189" s="10" t="str">
        <f t="shared" si="156"/>
        <v>-</v>
      </c>
      <c r="BE189" s="13" t="str">
        <f t="shared" si="157"/>
        <v>-</v>
      </c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</row>
    <row r="190" spans="2:70" x14ac:dyDescent="0.3">
      <c r="B190" s="96" t="str">
        <f t="shared" si="136"/>
        <v/>
      </c>
      <c r="C190" s="96" t="str">
        <f t="shared" si="137"/>
        <v/>
      </c>
      <c r="D190" s="96" t="str">
        <f t="shared" si="138"/>
        <v/>
      </c>
      <c r="E190" s="3"/>
      <c r="F190" s="3"/>
      <c r="G190" s="3"/>
      <c r="H190" s="3"/>
      <c r="I190" s="20">
        <f>IFERROR(INDEX('Input - Target'!G$2:G$200,MATCH('Calculations - Target'!$D190,'Input - Target'!$B$2:$B$200,0)),"")</f>
        <v>0</v>
      </c>
      <c r="J190" s="20">
        <f>IFERROR(INDEX('Input - Target'!H$2:H$200,MATCH('Calculations - Target'!$D190,'Input - Target'!$B$2:$B$200,0)),"")</f>
        <v>0</v>
      </c>
      <c r="K190" s="21">
        <f>IFERROR(INDEX('Input - Target'!I$2:I$200,MATCH('Calculations - Target'!$D190,'Input - Target'!$B$2:$B$200,0)),"")</f>
        <v>0</v>
      </c>
      <c r="L190" s="21">
        <f>IFERROR(INDEX('Input - Target'!J$2:J$200,MATCH('Calculations - Target'!$D190,'Input - Target'!$B$2:$B$200,0)),"")</f>
        <v>0</v>
      </c>
      <c r="M190" s="20">
        <f>IFERROR(INDEX('Input - Target'!K$2:K$200,MATCH('Calculations - Target'!$D190,'Input - Target'!$B$2:$B$200,0)),"")</f>
        <v>0</v>
      </c>
      <c r="N190" s="20">
        <f>IFERROR(INDEX('Input - Target'!L$2:L$200,MATCH('Calculations - Target'!$D190,'Input - Target'!$B$2:$B$200,0)),"")</f>
        <v>0</v>
      </c>
      <c r="O190" s="21" t="str">
        <f t="shared" si="139"/>
        <v/>
      </c>
      <c r="P190" s="21" t="str">
        <f t="shared" si="123"/>
        <v/>
      </c>
      <c r="Q190" s="21">
        <f t="shared" si="140"/>
        <v>0</v>
      </c>
      <c r="R190" s="9">
        <f t="shared" si="121"/>
        <v>0</v>
      </c>
      <c r="S190" s="9">
        <f t="shared" si="122"/>
        <v>0</v>
      </c>
      <c r="T190" s="22" t="str">
        <f>IFERROR(INDEX(Target!$S$11:$S$167,MATCH('Calculations - Target'!$D190,Target!$N$11:$N$167,0)),"")</f>
        <v/>
      </c>
      <c r="U190" s="22" t="str">
        <f>IFERROR(INDEX(Target!$T$11:$T$167,MATCH('Calculations - Target'!$D190,Target!$N$11:$N$167,0)),"")</f>
        <v/>
      </c>
      <c r="V190" s="16" t="e">
        <f t="shared" si="124"/>
        <v>#VALUE!</v>
      </c>
      <c r="W190" s="16" t="e">
        <f t="shared" si="141"/>
        <v>#VALUE!</v>
      </c>
      <c r="X190" s="16" t="e">
        <f t="shared" si="142"/>
        <v>#VALUE!</v>
      </c>
      <c r="Y190" s="10" t="str">
        <f t="shared" si="125"/>
        <v>-</v>
      </c>
      <c r="Z190" s="10" t="str">
        <f t="shared" si="126"/>
        <v>-</v>
      </c>
      <c r="AA190" s="13" t="str">
        <f t="shared" si="143"/>
        <v>-</v>
      </c>
      <c r="AB190" s="9" t="str">
        <f t="shared" si="127"/>
        <v>-</v>
      </c>
      <c r="AC190" s="16" t="str">
        <f t="shared" si="144"/>
        <v>-</v>
      </c>
      <c r="AD190" s="16" t="str">
        <f t="shared" si="128"/>
        <v>-</v>
      </c>
      <c r="AE190" s="16" t="str">
        <f t="shared" si="129"/>
        <v>-</v>
      </c>
      <c r="AF190" s="16" t="str">
        <f t="shared" si="145"/>
        <v>-</v>
      </c>
      <c r="AG190" s="16"/>
      <c r="AH190" s="32" t="str">
        <f>IFERROR(INDEX(Target!$R$11:$R$167,MATCH('Calculations - Target'!D190,Target!$N$11:$N$167,0)),"")</f>
        <v/>
      </c>
      <c r="AI190" s="23" t="str">
        <f t="shared" si="146"/>
        <v/>
      </c>
      <c r="AJ190" s="23" t="str">
        <f t="shared" si="147"/>
        <v/>
      </c>
      <c r="AK190" s="9" t="str">
        <f t="shared" si="130"/>
        <v/>
      </c>
      <c r="AL190" s="4" t="str">
        <f t="shared" si="131"/>
        <v/>
      </c>
      <c r="AM190" s="4"/>
      <c r="AN190" s="4"/>
      <c r="AO190" s="4"/>
      <c r="AP190" s="4"/>
      <c r="AQ190" s="4"/>
      <c r="AR190" s="20" t="str">
        <f t="shared" si="132"/>
        <v>-</v>
      </c>
      <c r="AS190" s="13" t="str">
        <f t="shared" si="148"/>
        <v>-</v>
      </c>
      <c r="AT190" s="13" t="str">
        <f t="shared" si="149"/>
        <v>-</v>
      </c>
      <c r="AU190" s="13" t="str">
        <f t="shared" si="133"/>
        <v>-</v>
      </c>
      <c r="AV190" s="16" t="str">
        <f t="shared" si="150"/>
        <v>-</v>
      </c>
      <c r="AW190" s="16" t="str">
        <f t="shared" si="134"/>
        <v>-</v>
      </c>
      <c r="AX190" s="16" t="str">
        <f t="shared" si="135"/>
        <v>-</v>
      </c>
      <c r="AY190" s="16" t="str">
        <f t="shared" si="151"/>
        <v>-</v>
      </c>
      <c r="AZ190" s="13" t="str">
        <f t="shared" si="152"/>
        <v>-</v>
      </c>
      <c r="BA190" s="10" t="str">
        <f t="shared" si="153"/>
        <v>-</v>
      </c>
      <c r="BB190" s="9" t="str">
        <f t="shared" si="154"/>
        <v>-</v>
      </c>
      <c r="BC190" s="13" t="str">
        <f t="shared" si="155"/>
        <v>-</v>
      </c>
      <c r="BD190" s="10" t="str">
        <f t="shared" si="156"/>
        <v>-</v>
      </c>
      <c r="BE190" s="13" t="str">
        <f t="shared" si="157"/>
        <v>-</v>
      </c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</row>
    <row r="191" spans="2:70" x14ac:dyDescent="0.3">
      <c r="B191" s="96" t="str">
        <f t="shared" si="136"/>
        <v/>
      </c>
      <c r="C191" s="96" t="str">
        <f t="shared" si="137"/>
        <v/>
      </c>
      <c r="D191" s="96" t="str">
        <f t="shared" si="138"/>
        <v/>
      </c>
      <c r="E191" s="3"/>
      <c r="F191" s="3"/>
      <c r="G191" s="3"/>
      <c r="H191" s="3"/>
      <c r="I191" s="20">
        <f>IFERROR(INDEX('Input - Target'!G$2:G$200,MATCH('Calculations - Target'!$D191,'Input - Target'!$B$2:$B$200,0)),"")</f>
        <v>0</v>
      </c>
      <c r="J191" s="20">
        <f>IFERROR(INDEX('Input - Target'!H$2:H$200,MATCH('Calculations - Target'!$D191,'Input - Target'!$B$2:$B$200,0)),"")</f>
        <v>0</v>
      </c>
      <c r="K191" s="21">
        <f>IFERROR(INDEX('Input - Target'!I$2:I$200,MATCH('Calculations - Target'!$D191,'Input - Target'!$B$2:$B$200,0)),"")</f>
        <v>0</v>
      </c>
      <c r="L191" s="21">
        <f>IFERROR(INDEX('Input - Target'!J$2:J$200,MATCH('Calculations - Target'!$D191,'Input - Target'!$B$2:$B$200,0)),"")</f>
        <v>0</v>
      </c>
      <c r="M191" s="20">
        <f>IFERROR(INDEX('Input - Target'!K$2:K$200,MATCH('Calculations - Target'!$D191,'Input - Target'!$B$2:$B$200,0)),"")</f>
        <v>0</v>
      </c>
      <c r="N191" s="20">
        <f>IFERROR(INDEX('Input - Target'!L$2:L$200,MATCH('Calculations - Target'!$D191,'Input - Target'!$B$2:$B$200,0)),"")</f>
        <v>0</v>
      </c>
      <c r="O191" s="21" t="str">
        <f t="shared" si="139"/>
        <v/>
      </c>
      <c r="P191" s="21" t="str">
        <f t="shared" si="123"/>
        <v/>
      </c>
      <c r="Q191" s="21">
        <f t="shared" si="140"/>
        <v>0</v>
      </c>
      <c r="R191" s="9">
        <f t="shared" si="121"/>
        <v>0</v>
      </c>
      <c r="S191" s="9">
        <f t="shared" si="122"/>
        <v>0</v>
      </c>
      <c r="T191" s="22" t="str">
        <f>IFERROR(INDEX(Target!$S$11:$S$167,MATCH('Calculations - Target'!$D191,Target!$N$11:$N$167,0)),"")</f>
        <v/>
      </c>
      <c r="U191" s="22" t="str">
        <f>IFERROR(INDEX(Target!$T$11:$T$167,MATCH('Calculations - Target'!$D191,Target!$N$11:$N$167,0)),"")</f>
        <v/>
      </c>
      <c r="V191" s="16" t="e">
        <f t="shared" si="124"/>
        <v>#VALUE!</v>
      </c>
      <c r="W191" s="16" t="e">
        <f t="shared" si="141"/>
        <v>#VALUE!</v>
      </c>
      <c r="X191" s="16" t="e">
        <f t="shared" si="142"/>
        <v>#VALUE!</v>
      </c>
      <c r="Y191" s="10" t="str">
        <f t="shared" si="125"/>
        <v>-</v>
      </c>
      <c r="Z191" s="10" t="str">
        <f t="shared" si="126"/>
        <v>-</v>
      </c>
      <c r="AA191" s="13" t="str">
        <f t="shared" si="143"/>
        <v>-</v>
      </c>
      <c r="AB191" s="9" t="str">
        <f t="shared" si="127"/>
        <v>-</v>
      </c>
      <c r="AC191" s="16" t="str">
        <f t="shared" si="144"/>
        <v>-</v>
      </c>
      <c r="AD191" s="16" t="str">
        <f t="shared" si="128"/>
        <v>-</v>
      </c>
      <c r="AE191" s="16" t="str">
        <f t="shared" si="129"/>
        <v>-</v>
      </c>
      <c r="AF191" s="16" t="str">
        <f t="shared" si="145"/>
        <v>-</v>
      </c>
      <c r="AG191" s="16"/>
      <c r="AH191" s="32" t="str">
        <f>IFERROR(INDEX(Target!$R$11:$R$167,MATCH('Calculations - Target'!D191,Target!$N$11:$N$167,0)),"")</f>
        <v/>
      </c>
      <c r="AI191" s="23" t="str">
        <f t="shared" si="146"/>
        <v/>
      </c>
      <c r="AJ191" s="23" t="str">
        <f t="shared" si="147"/>
        <v/>
      </c>
      <c r="AK191" s="9" t="str">
        <f t="shared" si="130"/>
        <v/>
      </c>
      <c r="AL191" s="4" t="str">
        <f t="shared" si="131"/>
        <v/>
      </c>
      <c r="AM191" s="4"/>
      <c r="AN191" s="4"/>
      <c r="AO191" s="4"/>
      <c r="AP191" s="4"/>
      <c r="AQ191" s="4"/>
      <c r="AR191" s="20" t="str">
        <f t="shared" si="132"/>
        <v>-</v>
      </c>
      <c r="AS191" s="13" t="str">
        <f t="shared" si="148"/>
        <v>-</v>
      </c>
      <c r="AT191" s="13" t="str">
        <f t="shared" si="149"/>
        <v>-</v>
      </c>
      <c r="AU191" s="13" t="str">
        <f t="shared" si="133"/>
        <v>-</v>
      </c>
      <c r="AV191" s="16" t="str">
        <f t="shared" si="150"/>
        <v>-</v>
      </c>
      <c r="AW191" s="16" t="str">
        <f t="shared" si="134"/>
        <v>-</v>
      </c>
      <c r="AX191" s="16" t="str">
        <f t="shared" si="135"/>
        <v>-</v>
      </c>
      <c r="AY191" s="16" t="str">
        <f t="shared" si="151"/>
        <v>-</v>
      </c>
      <c r="AZ191" s="13" t="str">
        <f t="shared" si="152"/>
        <v>-</v>
      </c>
      <c r="BA191" s="10" t="str">
        <f t="shared" si="153"/>
        <v>-</v>
      </c>
      <c r="BB191" s="9" t="str">
        <f t="shared" si="154"/>
        <v>-</v>
      </c>
      <c r="BC191" s="13" t="str">
        <f t="shared" si="155"/>
        <v>-</v>
      </c>
      <c r="BD191" s="10" t="str">
        <f t="shared" si="156"/>
        <v>-</v>
      </c>
      <c r="BE191" s="13" t="str">
        <f t="shared" si="157"/>
        <v>-</v>
      </c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</row>
    <row r="192" spans="2:70" x14ac:dyDescent="0.3">
      <c r="B192" s="96" t="str">
        <f t="shared" si="136"/>
        <v/>
      </c>
      <c r="C192" s="96" t="str">
        <f t="shared" si="137"/>
        <v/>
      </c>
      <c r="D192" s="96" t="str">
        <f t="shared" si="138"/>
        <v/>
      </c>
      <c r="E192" s="3"/>
      <c r="F192" s="3"/>
      <c r="G192" s="3"/>
      <c r="H192" s="3"/>
      <c r="I192" s="20">
        <f>IFERROR(INDEX('Input - Target'!G$2:G$200,MATCH('Calculations - Target'!$D192,'Input - Target'!$B$2:$B$200,0)),"")</f>
        <v>0</v>
      </c>
      <c r="J192" s="20">
        <f>IFERROR(INDEX('Input - Target'!H$2:H$200,MATCH('Calculations - Target'!$D192,'Input - Target'!$B$2:$B$200,0)),"")</f>
        <v>0</v>
      </c>
      <c r="K192" s="21">
        <f>IFERROR(INDEX('Input - Target'!I$2:I$200,MATCH('Calculations - Target'!$D192,'Input - Target'!$B$2:$B$200,0)),"")</f>
        <v>0</v>
      </c>
      <c r="L192" s="21">
        <f>IFERROR(INDEX('Input - Target'!J$2:J$200,MATCH('Calculations - Target'!$D192,'Input - Target'!$B$2:$B$200,0)),"")</f>
        <v>0</v>
      </c>
      <c r="M192" s="20">
        <f>IFERROR(INDEX('Input - Target'!K$2:K$200,MATCH('Calculations - Target'!$D192,'Input - Target'!$B$2:$B$200,0)),"")</f>
        <v>0</v>
      </c>
      <c r="N192" s="20">
        <f>IFERROR(INDEX('Input - Target'!L$2:L$200,MATCH('Calculations - Target'!$D192,'Input - Target'!$B$2:$B$200,0)),"")</f>
        <v>0</v>
      </c>
      <c r="O192" s="21" t="str">
        <f t="shared" si="139"/>
        <v/>
      </c>
      <c r="P192" s="21" t="str">
        <f t="shared" si="123"/>
        <v/>
      </c>
      <c r="Q192" s="21">
        <f t="shared" si="140"/>
        <v>0</v>
      </c>
      <c r="R192" s="9">
        <f t="shared" ref="R192:R229" si="158">I192/SUM(I$32:I$229)</f>
        <v>0</v>
      </c>
      <c r="S192" s="9">
        <f t="shared" ref="S192:S229" si="159">J192/SUM(J$32:J$229)</f>
        <v>0</v>
      </c>
      <c r="T192" s="22" t="str">
        <f>IFERROR(INDEX(Target!$S$11:$S$167,MATCH('Calculations - Target'!$D192,Target!$N$11:$N$167,0)),"")</f>
        <v/>
      </c>
      <c r="U192" s="22" t="str">
        <f>IFERROR(INDEX(Target!$T$11:$T$167,MATCH('Calculations - Target'!$D192,Target!$N$11:$N$167,0)),"")</f>
        <v/>
      </c>
      <c r="V192" s="16" t="e">
        <f t="shared" si="124"/>
        <v>#VALUE!</v>
      </c>
      <c r="W192" s="16" t="e">
        <f t="shared" si="141"/>
        <v>#VALUE!</v>
      </c>
      <c r="X192" s="16" t="e">
        <f t="shared" si="142"/>
        <v>#VALUE!</v>
      </c>
      <c r="Y192" s="10" t="str">
        <f t="shared" si="125"/>
        <v>-</v>
      </c>
      <c r="Z192" s="10" t="str">
        <f t="shared" si="126"/>
        <v>-</v>
      </c>
      <c r="AA192" s="13" t="str">
        <f t="shared" si="143"/>
        <v>-</v>
      </c>
      <c r="AB192" s="9" t="str">
        <f t="shared" si="127"/>
        <v>-</v>
      </c>
      <c r="AC192" s="16" t="str">
        <f t="shared" si="144"/>
        <v>-</v>
      </c>
      <c r="AD192" s="16" t="str">
        <f t="shared" si="128"/>
        <v>-</v>
      </c>
      <c r="AE192" s="16" t="str">
        <f t="shared" si="129"/>
        <v>-</v>
      </c>
      <c r="AF192" s="16" t="str">
        <f t="shared" si="145"/>
        <v>-</v>
      </c>
      <c r="AG192" s="16"/>
      <c r="AH192" s="32" t="str">
        <f>IFERROR(INDEX(Target!$R$11:$R$167,MATCH('Calculations - Target'!D192,Target!$N$11:$N$167,0)),"")</f>
        <v/>
      </c>
      <c r="AI192" s="23" t="str">
        <f t="shared" si="146"/>
        <v/>
      </c>
      <c r="AJ192" s="23" t="str">
        <f t="shared" si="147"/>
        <v/>
      </c>
      <c r="AK192" s="9" t="str">
        <f t="shared" si="130"/>
        <v/>
      </c>
      <c r="AL192" s="4" t="str">
        <f t="shared" si="131"/>
        <v/>
      </c>
      <c r="AM192" s="4"/>
      <c r="AN192" s="4"/>
      <c r="AO192" s="4"/>
      <c r="AP192" s="4"/>
      <c r="AQ192" s="4"/>
      <c r="AR192" s="20" t="str">
        <f t="shared" si="132"/>
        <v>-</v>
      </c>
      <c r="AS192" s="13" t="str">
        <f t="shared" si="148"/>
        <v>-</v>
      </c>
      <c r="AT192" s="13" t="str">
        <f t="shared" si="149"/>
        <v>-</v>
      </c>
      <c r="AU192" s="13" t="str">
        <f t="shared" si="133"/>
        <v>-</v>
      </c>
      <c r="AV192" s="16" t="str">
        <f t="shared" si="150"/>
        <v>-</v>
      </c>
      <c r="AW192" s="16" t="str">
        <f t="shared" si="134"/>
        <v>-</v>
      </c>
      <c r="AX192" s="16" t="str">
        <f t="shared" si="135"/>
        <v>-</v>
      </c>
      <c r="AY192" s="16" t="str">
        <f t="shared" si="151"/>
        <v>-</v>
      </c>
      <c r="AZ192" s="13" t="str">
        <f t="shared" si="152"/>
        <v>-</v>
      </c>
      <c r="BA192" s="10" t="str">
        <f t="shared" si="153"/>
        <v>-</v>
      </c>
      <c r="BB192" s="9" t="str">
        <f t="shared" si="154"/>
        <v>-</v>
      </c>
      <c r="BC192" s="13" t="str">
        <f t="shared" si="155"/>
        <v>-</v>
      </c>
      <c r="BD192" s="10" t="str">
        <f t="shared" si="156"/>
        <v>-</v>
      </c>
      <c r="BE192" s="13" t="str">
        <f t="shared" si="157"/>
        <v>-</v>
      </c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</row>
    <row r="193" spans="2:70" x14ac:dyDescent="0.3">
      <c r="B193" s="96" t="str">
        <f t="shared" si="136"/>
        <v/>
      </c>
      <c r="C193" s="96" t="str">
        <f t="shared" si="137"/>
        <v/>
      </c>
      <c r="D193" s="96" t="str">
        <f t="shared" si="138"/>
        <v/>
      </c>
      <c r="E193" s="3"/>
      <c r="F193" s="3"/>
      <c r="G193" s="3"/>
      <c r="H193" s="3"/>
      <c r="I193" s="20">
        <f>IFERROR(INDEX('Input - Target'!G$2:G$200,MATCH('Calculations - Target'!$D193,'Input - Target'!$B$2:$B$200,0)),"")</f>
        <v>0</v>
      </c>
      <c r="J193" s="20">
        <f>IFERROR(INDEX('Input - Target'!H$2:H$200,MATCH('Calculations - Target'!$D193,'Input - Target'!$B$2:$B$200,0)),"")</f>
        <v>0</v>
      </c>
      <c r="K193" s="21">
        <f>IFERROR(INDEX('Input - Target'!I$2:I$200,MATCH('Calculations - Target'!$D193,'Input - Target'!$B$2:$B$200,0)),"")</f>
        <v>0</v>
      </c>
      <c r="L193" s="21">
        <f>IFERROR(INDEX('Input - Target'!J$2:J$200,MATCH('Calculations - Target'!$D193,'Input - Target'!$B$2:$B$200,0)),"")</f>
        <v>0</v>
      </c>
      <c r="M193" s="20">
        <f>IFERROR(INDEX('Input - Target'!K$2:K$200,MATCH('Calculations - Target'!$D193,'Input - Target'!$B$2:$B$200,0)),"")</f>
        <v>0</v>
      </c>
      <c r="N193" s="20">
        <f>IFERROR(INDEX('Input - Target'!L$2:L$200,MATCH('Calculations - Target'!$D193,'Input - Target'!$B$2:$B$200,0)),"")</f>
        <v>0</v>
      </c>
      <c r="O193" s="21" t="str">
        <f t="shared" si="139"/>
        <v/>
      </c>
      <c r="P193" s="21" t="str">
        <f t="shared" si="123"/>
        <v/>
      </c>
      <c r="Q193" s="21">
        <f t="shared" si="140"/>
        <v>0</v>
      </c>
      <c r="R193" s="9">
        <f t="shared" si="158"/>
        <v>0</v>
      </c>
      <c r="S193" s="9">
        <f t="shared" si="159"/>
        <v>0</v>
      </c>
      <c r="T193" s="22" t="str">
        <f>IFERROR(INDEX(Target!$S$11:$S$167,MATCH('Calculations - Target'!$D193,Target!$N$11:$N$167,0)),"")</f>
        <v/>
      </c>
      <c r="U193" s="22" t="str">
        <f>IFERROR(INDEX(Target!$T$11:$T$167,MATCH('Calculations - Target'!$D193,Target!$N$11:$N$167,0)),"")</f>
        <v/>
      </c>
      <c r="V193" s="16" t="e">
        <f t="shared" si="124"/>
        <v>#VALUE!</v>
      </c>
      <c r="W193" s="16" t="e">
        <f t="shared" si="141"/>
        <v>#VALUE!</v>
      </c>
      <c r="X193" s="16" t="e">
        <f t="shared" si="142"/>
        <v>#VALUE!</v>
      </c>
      <c r="Y193" s="10" t="str">
        <f t="shared" si="125"/>
        <v>-</v>
      </c>
      <c r="Z193" s="10" t="str">
        <f t="shared" si="126"/>
        <v>-</v>
      </c>
      <c r="AA193" s="13" t="str">
        <f t="shared" si="143"/>
        <v>-</v>
      </c>
      <c r="AB193" s="9" t="str">
        <f t="shared" si="127"/>
        <v>-</v>
      </c>
      <c r="AC193" s="16" t="str">
        <f t="shared" si="144"/>
        <v>-</v>
      </c>
      <c r="AD193" s="16" t="str">
        <f t="shared" si="128"/>
        <v>-</v>
      </c>
      <c r="AE193" s="16" t="str">
        <f t="shared" si="129"/>
        <v>-</v>
      </c>
      <c r="AF193" s="16" t="str">
        <f t="shared" si="145"/>
        <v>-</v>
      </c>
      <c r="AG193" s="16"/>
      <c r="AH193" s="32" t="str">
        <f>IFERROR(INDEX(Target!$R$11:$R$167,MATCH('Calculations - Target'!D193,Target!$N$11:$N$167,0)),"")</f>
        <v/>
      </c>
      <c r="AI193" s="23" t="str">
        <f t="shared" si="146"/>
        <v/>
      </c>
      <c r="AJ193" s="23" t="str">
        <f t="shared" si="147"/>
        <v/>
      </c>
      <c r="AK193" s="9" t="str">
        <f t="shared" si="130"/>
        <v/>
      </c>
      <c r="AL193" s="4" t="str">
        <f t="shared" si="131"/>
        <v/>
      </c>
      <c r="AM193" s="4"/>
      <c r="AN193" s="4"/>
      <c r="AO193" s="4"/>
      <c r="AP193" s="4"/>
      <c r="AQ193" s="4"/>
      <c r="AR193" s="20" t="str">
        <f t="shared" si="132"/>
        <v>-</v>
      </c>
      <c r="AS193" s="13" t="str">
        <f t="shared" si="148"/>
        <v>-</v>
      </c>
      <c r="AT193" s="13" t="str">
        <f t="shared" si="149"/>
        <v>-</v>
      </c>
      <c r="AU193" s="13" t="str">
        <f t="shared" si="133"/>
        <v>-</v>
      </c>
      <c r="AV193" s="16" t="str">
        <f t="shared" si="150"/>
        <v>-</v>
      </c>
      <c r="AW193" s="16" t="str">
        <f t="shared" si="134"/>
        <v>-</v>
      </c>
      <c r="AX193" s="16" t="str">
        <f t="shared" si="135"/>
        <v>-</v>
      </c>
      <c r="AY193" s="16" t="str">
        <f t="shared" si="151"/>
        <v>-</v>
      </c>
      <c r="AZ193" s="13" t="str">
        <f t="shared" si="152"/>
        <v>-</v>
      </c>
      <c r="BA193" s="10" t="str">
        <f t="shared" si="153"/>
        <v>-</v>
      </c>
      <c r="BB193" s="9" t="str">
        <f t="shared" si="154"/>
        <v>-</v>
      </c>
      <c r="BC193" s="13" t="str">
        <f t="shared" si="155"/>
        <v>-</v>
      </c>
      <c r="BD193" s="10" t="str">
        <f t="shared" si="156"/>
        <v>-</v>
      </c>
      <c r="BE193" s="13" t="str">
        <f t="shared" si="157"/>
        <v>-</v>
      </c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</row>
    <row r="194" spans="2:70" x14ac:dyDescent="0.3">
      <c r="B194" s="96" t="str">
        <f t="shared" si="136"/>
        <v/>
      </c>
      <c r="C194" s="96" t="str">
        <f t="shared" si="137"/>
        <v/>
      </c>
      <c r="D194" s="96" t="str">
        <f t="shared" si="138"/>
        <v/>
      </c>
      <c r="E194" s="3"/>
      <c r="F194" s="3"/>
      <c r="G194" s="3"/>
      <c r="H194" s="3"/>
      <c r="I194" s="20">
        <f>IFERROR(INDEX('Input - Target'!G$2:G$200,MATCH('Calculations - Target'!$D194,'Input - Target'!$B$2:$B$200,0)),"")</f>
        <v>0</v>
      </c>
      <c r="J194" s="20">
        <f>IFERROR(INDEX('Input - Target'!H$2:H$200,MATCH('Calculations - Target'!$D194,'Input - Target'!$B$2:$B$200,0)),"")</f>
        <v>0</v>
      </c>
      <c r="K194" s="21">
        <f>IFERROR(INDEX('Input - Target'!I$2:I$200,MATCH('Calculations - Target'!$D194,'Input - Target'!$B$2:$B$200,0)),"")</f>
        <v>0</v>
      </c>
      <c r="L194" s="21">
        <f>IFERROR(INDEX('Input - Target'!J$2:J$200,MATCH('Calculations - Target'!$D194,'Input - Target'!$B$2:$B$200,0)),"")</f>
        <v>0</v>
      </c>
      <c r="M194" s="20">
        <f>IFERROR(INDEX('Input - Target'!K$2:K$200,MATCH('Calculations - Target'!$D194,'Input - Target'!$B$2:$B$200,0)),"")</f>
        <v>0</v>
      </c>
      <c r="N194" s="20">
        <f>IFERROR(INDEX('Input - Target'!L$2:L$200,MATCH('Calculations - Target'!$D194,'Input - Target'!$B$2:$B$200,0)),"")</f>
        <v>0</v>
      </c>
      <c r="O194" s="21" t="str">
        <f t="shared" si="139"/>
        <v/>
      </c>
      <c r="P194" s="21" t="str">
        <f t="shared" si="123"/>
        <v/>
      </c>
      <c r="Q194" s="21">
        <f t="shared" si="140"/>
        <v>0</v>
      </c>
      <c r="R194" s="9">
        <f t="shared" si="158"/>
        <v>0</v>
      </c>
      <c r="S194" s="9">
        <f t="shared" si="159"/>
        <v>0</v>
      </c>
      <c r="T194" s="22" t="str">
        <f>IFERROR(INDEX(Target!$S$11:$S$167,MATCH('Calculations - Target'!$D194,Target!$N$11:$N$167,0)),"")</f>
        <v/>
      </c>
      <c r="U194" s="22" t="str">
        <f>IFERROR(INDEX(Target!$T$11:$T$167,MATCH('Calculations - Target'!$D194,Target!$N$11:$N$167,0)),"")</f>
        <v/>
      </c>
      <c r="V194" s="16" t="e">
        <f t="shared" si="124"/>
        <v>#VALUE!</v>
      </c>
      <c r="W194" s="16" t="e">
        <f t="shared" si="141"/>
        <v>#VALUE!</v>
      </c>
      <c r="X194" s="16" t="e">
        <f t="shared" si="142"/>
        <v>#VALUE!</v>
      </c>
      <c r="Y194" s="10" t="str">
        <f t="shared" si="125"/>
        <v>-</v>
      </c>
      <c r="Z194" s="10" t="str">
        <f t="shared" si="126"/>
        <v>-</v>
      </c>
      <c r="AA194" s="13" t="str">
        <f t="shared" si="143"/>
        <v>-</v>
      </c>
      <c r="AB194" s="9" t="str">
        <f t="shared" si="127"/>
        <v>-</v>
      </c>
      <c r="AC194" s="16" t="str">
        <f t="shared" si="144"/>
        <v>-</v>
      </c>
      <c r="AD194" s="16" t="str">
        <f t="shared" si="128"/>
        <v>-</v>
      </c>
      <c r="AE194" s="16" t="str">
        <f t="shared" si="129"/>
        <v>-</v>
      </c>
      <c r="AF194" s="16" t="str">
        <f t="shared" si="145"/>
        <v>-</v>
      </c>
      <c r="AG194" s="16"/>
      <c r="AH194" s="32" t="str">
        <f>IFERROR(INDEX(Target!$R$11:$R$167,MATCH('Calculations - Target'!D194,Target!$N$11:$N$167,0)),"")</f>
        <v/>
      </c>
      <c r="AI194" s="23" t="str">
        <f t="shared" si="146"/>
        <v/>
      </c>
      <c r="AJ194" s="23" t="str">
        <f t="shared" si="147"/>
        <v/>
      </c>
      <c r="AK194" s="9" t="str">
        <f t="shared" si="130"/>
        <v/>
      </c>
      <c r="AL194" s="4" t="str">
        <f t="shared" si="131"/>
        <v/>
      </c>
      <c r="AM194" s="4"/>
      <c r="AN194" s="4"/>
      <c r="AO194" s="4"/>
      <c r="AP194" s="4"/>
      <c r="AQ194" s="4"/>
      <c r="AR194" s="20" t="str">
        <f t="shared" si="132"/>
        <v>-</v>
      </c>
      <c r="AS194" s="13" t="str">
        <f t="shared" si="148"/>
        <v>-</v>
      </c>
      <c r="AT194" s="13" t="str">
        <f t="shared" si="149"/>
        <v>-</v>
      </c>
      <c r="AU194" s="13" t="str">
        <f t="shared" si="133"/>
        <v>-</v>
      </c>
      <c r="AV194" s="16" t="str">
        <f t="shared" si="150"/>
        <v>-</v>
      </c>
      <c r="AW194" s="16" t="str">
        <f t="shared" si="134"/>
        <v>-</v>
      </c>
      <c r="AX194" s="16" t="str">
        <f t="shared" si="135"/>
        <v>-</v>
      </c>
      <c r="AY194" s="16" t="str">
        <f t="shared" si="151"/>
        <v>-</v>
      </c>
      <c r="AZ194" s="13" t="str">
        <f t="shared" si="152"/>
        <v>-</v>
      </c>
      <c r="BA194" s="10" t="str">
        <f t="shared" si="153"/>
        <v>-</v>
      </c>
      <c r="BB194" s="9" t="str">
        <f t="shared" si="154"/>
        <v>-</v>
      </c>
      <c r="BC194" s="13" t="str">
        <f t="shared" si="155"/>
        <v>-</v>
      </c>
      <c r="BD194" s="10" t="str">
        <f t="shared" si="156"/>
        <v>-</v>
      </c>
      <c r="BE194" s="13" t="str">
        <f t="shared" si="157"/>
        <v>-</v>
      </c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</row>
    <row r="195" spans="2:70" x14ac:dyDescent="0.3">
      <c r="B195" s="96" t="str">
        <f t="shared" si="136"/>
        <v/>
      </c>
      <c r="C195" s="96" t="str">
        <f t="shared" si="137"/>
        <v/>
      </c>
      <c r="D195" s="96" t="str">
        <f t="shared" si="138"/>
        <v/>
      </c>
      <c r="E195" s="3"/>
      <c r="F195" s="3"/>
      <c r="G195" s="3"/>
      <c r="H195" s="3"/>
      <c r="I195" s="20">
        <f>IFERROR(INDEX('Input - Target'!G$2:G$200,MATCH('Calculations - Target'!$D195,'Input - Target'!$B$2:$B$200,0)),"")</f>
        <v>0</v>
      </c>
      <c r="J195" s="20">
        <f>IFERROR(INDEX('Input - Target'!H$2:H$200,MATCH('Calculations - Target'!$D195,'Input - Target'!$B$2:$B$200,0)),"")</f>
        <v>0</v>
      </c>
      <c r="K195" s="21">
        <f>IFERROR(INDEX('Input - Target'!I$2:I$200,MATCH('Calculations - Target'!$D195,'Input - Target'!$B$2:$B$200,0)),"")</f>
        <v>0</v>
      </c>
      <c r="L195" s="21">
        <f>IFERROR(INDEX('Input - Target'!J$2:J$200,MATCH('Calculations - Target'!$D195,'Input - Target'!$B$2:$B$200,0)),"")</f>
        <v>0</v>
      </c>
      <c r="M195" s="20">
        <f>IFERROR(INDEX('Input - Target'!K$2:K$200,MATCH('Calculations - Target'!$D195,'Input - Target'!$B$2:$B$200,0)),"")</f>
        <v>0</v>
      </c>
      <c r="N195" s="20">
        <f>IFERROR(INDEX('Input - Target'!L$2:L$200,MATCH('Calculations - Target'!$D195,'Input - Target'!$B$2:$B$200,0)),"")</f>
        <v>0</v>
      </c>
      <c r="O195" s="21" t="str">
        <f t="shared" si="139"/>
        <v/>
      </c>
      <c r="P195" s="21" t="str">
        <f t="shared" si="123"/>
        <v/>
      </c>
      <c r="Q195" s="21">
        <f t="shared" si="140"/>
        <v>0</v>
      </c>
      <c r="R195" s="9">
        <f t="shared" si="158"/>
        <v>0</v>
      </c>
      <c r="S195" s="9">
        <f t="shared" si="159"/>
        <v>0</v>
      </c>
      <c r="T195" s="22" t="str">
        <f>IFERROR(INDEX(Target!$S$11:$S$167,MATCH('Calculations - Target'!$D195,Target!$N$11:$N$167,0)),"")</f>
        <v/>
      </c>
      <c r="U195" s="22" t="str">
        <f>IFERROR(INDEX(Target!$T$11:$T$167,MATCH('Calculations - Target'!$D195,Target!$N$11:$N$167,0)),"")</f>
        <v/>
      </c>
      <c r="V195" s="16" t="e">
        <f t="shared" si="124"/>
        <v>#VALUE!</v>
      </c>
      <c r="W195" s="16" t="e">
        <f t="shared" si="141"/>
        <v>#VALUE!</v>
      </c>
      <c r="X195" s="16" t="e">
        <f t="shared" si="142"/>
        <v>#VALUE!</v>
      </c>
      <c r="Y195" s="10" t="str">
        <f t="shared" si="125"/>
        <v>-</v>
      </c>
      <c r="Z195" s="10" t="str">
        <f t="shared" si="126"/>
        <v>-</v>
      </c>
      <c r="AA195" s="13" t="str">
        <f t="shared" si="143"/>
        <v>-</v>
      </c>
      <c r="AB195" s="9" t="str">
        <f t="shared" si="127"/>
        <v>-</v>
      </c>
      <c r="AC195" s="16" t="str">
        <f t="shared" si="144"/>
        <v>-</v>
      </c>
      <c r="AD195" s="16" t="str">
        <f t="shared" si="128"/>
        <v>-</v>
      </c>
      <c r="AE195" s="16" t="str">
        <f t="shared" si="129"/>
        <v>-</v>
      </c>
      <c r="AF195" s="16" t="str">
        <f t="shared" si="145"/>
        <v>-</v>
      </c>
      <c r="AG195" s="16"/>
      <c r="AH195" s="32" t="str">
        <f>IFERROR(INDEX(Target!$R$11:$R$167,MATCH('Calculations - Target'!D195,Target!$N$11:$N$167,0)),"")</f>
        <v/>
      </c>
      <c r="AI195" s="23" t="str">
        <f t="shared" si="146"/>
        <v/>
      </c>
      <c r="AJ195" s="23" t="str">
        <f t="shared" si="147"/>
        <v/>
      </c>
      <c r="AK195" s="9" t="str">
        <f t="shared" si="130"/>
        <v/>
      </c>
      <c r="AL195" s="4" t="str">
        <f t="shared" si="131"/>
        <v/>
      </c>
      <c r="AM195" s="4"/>
      <c r="AN195" s="4"/>
      <c r="AO195" s="4"/>
      <c r="AP195" s="4"/>
      <c r="AQ195" s="4"/>
      <c r="AR195" s="20" t="str">
        <f t="shared" si="132"/>
        <v>-</v>
      </c>
      <c r="AS195" s="13" t="str">
        <f t="shared" si="148"/>
        <v>-</v>
      </c>
      <c r="AT195" s="13" t="str">
        <f t="shared" si="149"/>
        <v>-</v>
      </c>
      <c r="AU195" s="13" t="str">
        <f t="shared" si="133"/>
        <v>-</v>
      </c>
      <c r="AV195" s="16" t="str">
        <f t="shared" si="150"/>
        <v>-</v>
      </c>
      <c r="AW195" s="16" t="str">
        <f t="shared" si="134"/>
        <v>-</v>
      </c>
      <c r="AX195" s="16" t="str">
        <f t="shared" si="135"/>
        <v>-</v>
      </c>
      <c r="AY195" s="16" t="str">
        <f t="shared" si="151"/>
        <v>-</v>
      </c>
      <c r="AZ195" s="13" t="str">
        <f t="shared" si="152"/>
        <v>-</v>
      </c>
      <c r="BA195" s="10" t="str">
        <f t="shared" si="153"/>
        <v>-</v>
      </c>
      <c r="BB195" s="9" t="str">
        <f t="shared" si="154"/>
        <v>-</v>
      </c>
      <c r="BC195" s="13" t="str">
        <f t="shared" si="155"/>
        <v>-</v>
      </c>
      <c r="BD195" s="10" t="str">
        <f t="shared" si="156"/>
        <v>-</v>
      </c>
      <c r="BE195" s="13" t="str">
        <f t="shared" si="157"/>
        <v>-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</row>
    <row r="196" spans="2:70" x14ac:dyDescent="0.3">
      <c r="B196" s="96" t="str">
        <f t="shared" si="136"/>
        <v/>
      </c>
      <c r="C196" s="96" t="str">
        <f t="shared" si="137"/>
        <v/>
      </c>
      <c r="D196" s="96" t="str">
        <f t="shared" si="138"/>
        <v/>
      </c>
      <c r="E196" s="3"/>
      <c r="F196" s="3"/>
      <c r="G196" s="3"/>
      <c r="H196" s="3"/>
      <c r="I196" s="20">
        <f>IFERROR(INDEX('Input - Target'!G$2:G$200,MATCH('Calculations - Target'!$D196,'Input - Target'!$B$2:$B$200,0)),"")</f>
        <v>0</v>
      </c>
      <c r="J196" s="20">
        <f>IFERROR(INDEX('Input - Target'!H$2:H$200,MATCH('Calculations - Target'!$D196,'Input - Target'!$B$2:$B$200,0)),"")</f>
        <v>0</v>
      </c>
      <c r="K196" s="21">
        <f>IFERROR(INDEX('Input - Target'!I$2:I$200,MATCH('Calculations - Target'!$D196,'Input - Target'!$B$2:$B$200,0)),"")</f>
        <v>0</v>
      </c>
      <c r="L196" s="21">
        <f>IFERROR(INDEX('Input - Target'!J$2:J$200,MATCH('Calculations - Target'!$D196,'Input - Target'!$B$2:$B$200,0)),"")</f>
        <v>0</v>
      </c>
      <c r="M196" s="20">
        <f>IFERROR(INDEX('Input - Target'!K$2:K$200,MATCH('Calculations - Target'!$D196,'Input - Target'!$B$2:$B$200,0)),"")</f>
        <v>0</v>
      </c>
      <c r="N196" s="20">
        <f>IFERROR(INDEX('Input - Target'!L$2:L$200,MATCH('Calculations - Target'!$D196,'Input - Target'!$B$2:$B$200,0)),"")</f>
        <v>0</v>
      </c>
      <c r="O196" s="21" t="str">
        <f t="shared" si="139"/>
        <v/>
      </c>
      <c r="P196" s="21" t="str">
        <f t="shared" si="123"/>
        <v/>
      </c>
      <c r="Q196" s="21">
        <f t="shared" si="140"/>
        <v>0</v>
      </c>
      <c r="R196" s="9">
        <f t="shared" si="158"/>
        <v>0</v>
      </c>
      <c r="S196" s="9">
        <f t="shared" si="159"/>
        <v>0</v>
      </c>
      <c r="T196" s="22" t="str">
        <f>IFERROR(INDEX(Target!$S$11:$S$167,MATCH('Calculations - Target'!$D196,Target!$N$11:$N$167,0)),"")</f>
        <v/>
      </c>
      <c r="U196" s="22" t="str">
        <f>IFERROR(INDEX(Target!$T$11:$T$167,MATCH('Calculations - Target'!$D196,Target!$N$11:$N$167,0)),"")</f>
        <v/>
      </c>
      <c r="V196" s="16" t="e">
        <f t="shared" si="124"/>
        <v>#VALUE!</v>
      </c>
      <c r="W196" s="16" t="e">
        <f t="shared" si="141"/>
        <v>#VALUE!</v>
      </c>
      <c r="X196" s="16" t="e">
        <f t="shared" si="142"/>
        <v>#VALUE!</v>
      </c>
      <c r="Y196" s="10" t="str">
        <f t="shared" si="125"/>
        <v>-</v>
      </c>
      <c r="Z196" s="10" t="str">
        <f t="shared" si="126"/>
        <v>-</v>
      </c>
      <c r="AA196" s="13" t="str">
        <f t="shared" si="143"/>
        <v>-</v>
      </c>
      <c r="AB196" s="9" t="str">
        <f t="shared" si="127"/>
        <v>-</v>
      </c>
      <c r="AC196" s="16" t="str">
        <f t="shared" si="144"/>
        <v>-</v>
      </c>
      <c r="AD196" s="16" t="str">
        <f t="shared" si="128"/>
        <v>-</v>
      </c>
      <c r="AE196" s="16" t="str">
        <f t="shared" si="129"/>
        <v>-</v>
      </c>
      <c r="AF196" s="16" t="str">
        <f t="shared" si="145"/>
        <v>-</v>
      </c>
      <c r="AG196" s="16"/>
      <c r="AH196" s="32" t="str">
        <f>IFERROR(INDEX(Target!$R$11:$R$167,MATCH('Calculations - Target'!D196,Target!$N$11:$N$167,0)),"")</f>
        <v/>
      </c>
      <c r="AI196" s="23" t="str">
        <f t="shared" si="146"/>
        <v/>
      </c>
      <c r="AJ196" s="23" t="str">
        <f t="shared" si="147"/>
        <v/>
      </c>
      <c r="AK196" s="9" t="str">
        <f t="shared" si="130"/>
        <v/>
      </c>
      <c r="AL196" s="4" t="str">
        <f t="shared" si="131"/>
        <v/>
      </c>
      <c r="AM196" s="4"/>
      <c r="AN196" s="4"/>
      <c r="AO196" s="4"/>
      <c r="AP196" s="4"/>
      <c r="AQ196" s="4"/>
      <c r="AR196" s="20" t="str">
        <f t="shared" si="132"/>
        <v>-</v>
      </c>
      <c r="AS196" s="13" t="str">
        <f t="shared" si="148"/>
        <v>-</v>
      </c>
      <c r="AT196" s="13" t="str">
        <f t="shared" si="149"/>
        <v>-</v>
      </c>
      <c r="AU196" s="13" t="str">
        <f t="shared" si="133"/>
        <v>-</v>
      </c>
      <c r="AV196" s="16" t="str">
        <f t="shared" si="150"/>
        <v>-</v>
      </c>
      <c r="AW196" s="16" t="str">
        <f t="shared" si="134"/>
        <v>-</v>
      </c>
      <c r="AX196" s="16" t="str">
        <f t="shared" si="135"/>
        <v>-</v>
      </c>
      <c r="AY196" s="16" t="str">
        <f t="shared" si="151"/>
        <v>-</v>
      </c>
      <c r="AZ196" s="13" t="str">
        <f t="shared" si="152"/>
        <v>-</v>
      </c>
      <c r="BA196" s="10" t="str">
        <f t="shared" si="153"/>
        <v>-</v>
      </c>
      <c r="BB196" s="9" t="str">
        <f t="shared" si="154"/>
        <v>-</v>
      </c>
      <c r="BC196" s="13" t="str">
        <f t="shared" si="155"/>
        <v>-</v>
      </c>
      <c r="BD196" s="10" t="str">
        <f t="shared" si="156"/>
        <v>-</v>
      </c>
      <c r="BE196" s="13" t="str">
        <f t="shared" si="157"/>
        <v>-</v>
      </c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</row>
    <row r="197" spans="2:70" x14ac:dyDescent="0.3">
      <c r="B197" s="96" t="str">
        <f t="shared" si="136"/>
        <v/>
      </c>
      <c r="C197" s="96" t="str">
        <f t="shared" si="137"/>
        <v/>
      </c>
      <c r="D197" s="96" t="str">
        <f t="shared" si="138"/>
        <v/>
      </c>
      <c r="E197" s="3"/>
      <c r="F197" s="3"/>
      <c r="G197" s="3"/>
      <c r="H197" s="3"/>
      <c r="I197" s="20">
        <f>IFERROR(INDEX('Input - Target'!G$2:G$200,MATCH('Calculations - Target'!$D197,'Input - Target'!$B$2:$B$200,0)),"")</f>
        <v>0</v>
      </c>
      <c r="J197" s="20">
        <f>IFERROR(INDEX('Input - Target'!H$2:H$200,MATCH('Calculations - Target'!$D197,'Input - Target'!$B$2:$B$200,0)),"")</f>
        <v>0</v>
      </c>
      <c r="K197" s="21">
        <f>IFERROR(INDEX('Input - Target'!I$2:I$200,MATCH('Calculations - Target'!$D197,'Input - Target'!$B$2:$B$200,0)),"")</f>
        <v>0</v>
      </c>
      <c r="L197" s="21">
        <f>IFERROR(INDEX('Input - Target'!J$2:J$200,MATCH('Calculations - Target'!$D197,'Input - Target'!$B$2:$B$200,0)),"")</f>
        <v>0</v>
      </c>
      <c r="M197" s="20">
        <f>IFERROR(INDEX('Input - Target'!K$2:K$200,MATCH('Calculations - Target'!$D197,'Input - Target'!$B$2:$B$200,0)),"")</f>
        <v>0</v>
      </c>
      <c r="N197" s="20">
        <f>IFERROR(INDEX('Input - Target'!L$2:L$200,MATCH('Calculations - Target'!$D197,'Input - Target'!$B$2:$B$200,0)),"")</f>
        <v>0</v>
      </c>
      <c r="O197" s="21" t="str">
        <f t="shared" si="139"/>
        <v/>
      </c>
      <c r="P197" s="21" t="str">
        <f t="shared" si="123"/>
        <v/>
      </c>
      <c r="Q197" s="21">
        <f t="shared" si="140"/>
        <v>0</v>
      </c>
      <c r="R197" s="9">
        <f t="shared" si="158"/>
        <v>0</v>
      </c>
      <c r="S197" s="9">
        <f t="shared" si="159"/>
        <v>0</v>
      </c>
      <c r="T197" s="22" t="str">
        <f>IFERROR(INDEX(Target!$S$11:$S$167,MATCH('Calculations - Target'!$D197,Target!$N$11:$N$167,0)),"")</f>
        <v/>
      </c>
      <c r="U197" s="22" t="str">
        <f>IFERROR(INDEX(Target!$T$11:$T$167,MATCH('Calculations - Target'!$D197,Target!$N$11:$N$167,0)),"")</f>
        <v/>
      </c>
      <c r="V197" s="16" t="e">
        <f t="shared" si="124"/>
        <v>#VALUE!</v>
      </c>
      <c r="W197" s="16" t="e">
        <f t="shared" si="141"/>
        <v>#VALUE!</v>
      </c>
      <c r="X197" s="16" t="e">
        <f t="shared" si="142"/>
        <v>#VALUE!</v>
      </c>
      <c r="Y197" s="10" t="str">
        <f t="shared" si="125"/>
        <v>-</v>
      </c>
      <c r="Z197" s="10" t="str">
        <f t="shared" si="126"/>
        <v>-</v>
      </c>
      <c r="AA197" s="13" t="str">
        <f t="shared" si="143"/>
        <v>-</v>
      </c>
      <c r="AB197" s="9" t="str">
        <f t="shared" si="127"/>
        <v>-</v>
      </c>
      <c r="AC197" s="16" t="str">
        <f t="shared" si="144"/>
        <v>-</v>
      </c>
      <c r="AD197" s="16" t="str">
        <f t="shared" si="128"/>
        <v>-</v>
      </c>
      <c r="AE197" s="16" t="str">
        <f t="shared" si="129"/>
        <v>-</v>
      </c>
      <c r="AF197" s="16" t="str">
        <f t="shared" si="145"/>
        <v>-</v>
      </c>
      <c r="AG197" s="16"/>
      <c r="AH197" s="32" t="str">
        <f>IFERROR(INDEX(Target!$R$11:$R$167,MATCH('Calculations - Target'!D197,Target!$N$11:$N$167,0)),"")</f>
        <v/>
      </c>
      <c r="AI197" s="23" t="str">
        <f t="shared" si="146"/>
        <v/>
      </c>
      <c r="AJ197" s="23" t="str">
        <f t="shared" si="147"/>
        <v/>
      </c>
      <c r="AK197" s="9" t="str">
        <f t="shared" si="130"/>
        <v/>
      </c>
      <c r="AL197" s="4" t="str">
        <f t="shared" si="131"/>
        <v/>
      </c>
      <c r="AM197" s="4"/>
      <c r="AN197" s="4"/>
      <c r="AO197" s="4"/>
      <c r="AP197" s="4"/>
      <c r="AQ197" s="4"/>
      <c r="AR197" s="20" t="str">
        <f t="shared" si="132"/>
        <v>-</v>
      </c>
      <c r="AS197" s="13" t="str">
        <f t="shared" si="148"/>
        <v>-</v>
      </c>
      <c r="AT197" s="13" t="str">
        <f t="shared" si="149"/>
        <v>-</v>
      </c>
      <c r="AU197" s="13" t="str">
        <f t="shared" si="133"/>
        <v>-</v>
      </c>
      <c r="AV197" s="16" t="str">
        <f t="shared" si="150"/>
        <v>-</v>
      </c>
      <c r="AW197" s="16" t="str">
        <f t="shared" si="134"/>
        <v>-</v>
      </c>
      <c r="AX197" s="16" t="str">
        <f t="shared" si="135"/>
        <v>-</v>
      </c>
      <c r="AY197" s="16" t="str">
        <f t="shared" si="151"/>
        <v>-</v>
      </c>
      <c r="AZ197" s="13" t="str">
        <f t="shared" si="152"/>
        <v>-</v>
      </c>
      <c r="BA197" s="10" t="str">
        <f t="shared" si="153"/>
        <v>-</v>
      </c>
      <c r="BB197" s="9" t="str">
        <f t="shared" si="154"/>
        <v>-</v>
      </c>
      <c r="BC197" s="13" t="str">
        <f t="shared" si="155"/>
        <v>-</v>
      </c>
      <c r="BD197" s="10" t="str">
        <f t="shared" si="156"/>
        <v>-</v>
      </c>
      <c r="BE197" s="13" t="str">
        <f t="shared" si="157"/>
        <v>-</v>
      </c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</row>
    <row r="198" spans="2:70" x14ac:dyDescent="0.3">
      <c r="B198" s="96" t="str">
        <f t="shared" si="136"/>
        <v/>
      </c>
      <c r="C198" s="96" t="str">
        <f t="shared" si="137"/>
        <v/>
      </c>
      <c r="D198" s="96" t="str">
        <f t="shared" si="138"/>
        <v/>
      </c>
      <c r="E198" s="3"/>
      <c r="F198" s="3"/>
      <c r="G198" s="3"/>
      <c r="H198" s="3"/>
      <c r="I198" s="20">
        <f>IFERROR(INDEX('Input - Target'!G$2:G$200,MATCH('Calculations - Target'!$D198,'Input - Target'!$B$2:$B$200,0)),"")</f>
        <v>0</v>
      </c>
      <c r="J198" s="20">
        <f>IFERROR(INDEX('Input - Target'!H$2:H$200,MATCH('Calculations - Target'!$D198,'Input - Target'!$B$2:$B$200,0)),"")</f>
        <v>0</v>
      </c>
      <c r="K198" s="21">
        <f>IFERROR(INDEX('Input - Target'!I$2:I$200,MATCH('Calculations - Target'!$D198,'Input - Target'!$B$2:$B$200,0)),"")</f>
        <v>0</v>
      </c>
      <c r="L198" s="21">
        <f>IFERROR(INDEX('Input - Target'!J$2:J$200,MATCH('Calculations - Target'!$D198,'Input - Target'!$B$2:$B$200,0)),"")</f>
        <v>0</v>
      </c>
      <c r="M198" s="20">
        <f>IFERROR(INDEX('Input - Target'!K$2:K$200,MATCH('Calculations - Target'!$D198,'Input - Target'!$B$2:$B$200,0)),"")</f>
        <v>0</v>
      </c>
      <c r="N198" s="20">
        <f>IFERROR(INDEX('Input - Target'!L$2:L$200,MATCH('Calculations - Target'!$D198,'Input - Target'!$B$2:$B$200,0)),"")</f>
        <v>0</v>
      </c>
      <c r="O198" s="21" t="str">
        <f t="shared" si="139"/>
        <v/>
      </c>
      <c r="P198" s="21" t="str">
        <f t="shared" si="123"/>
        <v/>
      </c>
      <c r="Q198" s="21">
        <f t="shared" si="140"/>
        <v>0</v>
      </c>
      <c r="R198" s="9">
        <f t="shared" si="158"/>
        <v>0</v>
      </c>
      <c r="S198" s="9">
        <f t="shared" si="159"/>
        <v>0</v>
      </c>
      <c r="T198" s="22" t="str">
        <f>IFERROR(INDEX(Target!$S$11:$S$167,MATCH('Calculations - Target'!$D198,Target!$N$11:$N$167,0)),"")</f>
        <v/>
      </c>
      <c r="U198" s="22" t="str">
        <f>IFERROR(INDEX(Target!$T$11:$T$167,MATCH('Calculations - Target'!$D198,Target!$N$11:$N$167,0)),"")</f>
        <v/>
      </c>
      <c r="V198" s="16" t="e">
        <f t="shared" si="124"/>
        <v>#VALUE!</v>
      </c>
      <c r="W198" s="16" t="e">
        <f t="shared" si="141"/>
        <v>#VALUE!</v>
      </c>
      <c r="X198" s="16" t="e">
        <f t="shared" si="142"/>
        <v>#VALUE!</v>
      </c>
      <c r="Y198" s="10" t="str">
        <f t="shared" si="125"/>
        <v>-</v>
      </c>
      <c r="Z198" s="10" t="str">
        <f t="shared" si="126"/>
        <v>-</v>
      </c>
      <c r="AA198" s="13" t="str">
        <f t="shared" si="143"/>
        <v>-</v>
      </c>
      <c r="AB198" s="9" t="str">
        <f t="shared" si="127"/>
        <v>-</v>
      </c>
      <c r="AC198" s="16" t="str">
        <f t="shared" si="144"/>
        <v>-</v>
      </c>
      <c r="AD198" s="16" t="str">
        <f t="shared" si="128"/>
        <v>-</v>
      </c>
      <c r="AE198" s="16" t="str">
        <f t="shared" si="129"/>
        <v>-</v>
      </c>
      <c r="AF198" s="16" t="str">
        <f t="shared" si="145"/>
        <v>-</v>
      </c>
      <c r="AG198" s="16"/>
      <c r="AH198" s="32" t="str">
        <f>IFERROR(INDEX(Target!$R$11:$R$167,MATCH('Calculations - Target'!D198,Target!$N$11:$N$167,0)),"")</f>
        <v/>
      </c>
      <c r="AI198" s="23" t="str">
        <f t="shared" si="146"/>
        <v/>
      </c>
      <c r="AJ198" s="23" t="str">
        <f t="shared" si="147"/>
        <v/>
      </c>
      <c r="AK198" s="9" t="str">
        <f t="shared" si="130"/>
        <v/>
      </c>
      <c r="AL198" s="4" t="str">
        <f t="shared" si="131"/>
        <v/>
      </c>
      <c r="AM198" s="4"/>
      <c r="AN198" s="4"/>
      <c r="AO198" s="4"/>
      <c r="AP198" s="4"/>
      <c r="AQ198" s="4"/>
      <c r="AR198" s="20" t="str">
        <f t="shared" si="132"/>
        <v>-</v>
      </c>
      <c r="AS198" s="13" t="str">
        <f t="shared" si="148"/>
        <v>-</v>
      </c>
      <c r="AT198" s="13" t="str">
        <f t="shared" si="149"/>
        <v>-</v>
      </c>
      <c r="AU198" s="13" t="str">
        <f t="shared" si="133"/>
        <v>-</v>
      </c>
      <c r="AV198" s="16" t="str">
        <f t="shared" si="150"/>
        <v>-</v>
      </c>
      <c r="AW198" s="16" t="str">
        <f t="shared" si="134"/>
        <v>-</v>
      </c>
      <c r="AX198" s="16" t="str">
        <f t="shared" si="135"/>
        <v>-</v>
      </c>
      <c r="AY198" s="16" t="str">
        <f t="shared" si="151"/>
        <v>-</v>
      </c>
      <c r="AZ198" s="13" t="str">
        <f t="shared" si="152"/>
        <v>-</v>
      </c>
      <c r="BA198" s="10" t="str">
        <f t="shared" si="153"/>
        <v>-</v>
      </c>
      <c r="BB198" s="9" t="str">
        <f t="shared" si="154"/>
        <v>-</v>
      </c>
      <c r="BC198" s="13" t="str">
        <f t="shared" si="155"/>
        <v>-</v>
      </c>
      <c r="BD198" s="10" t="str">
        <f t="shared" si="156"/>
        <v>-</v>
      </c>
      <c r="BE198" s="13" t="str">
        <f t="shared" si="157"/>
        <v>-</v>
      </c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</row>
    <row r="199" spans="2:70" x14ac:dyDescent="0.3">
      <c r="B199" s="96" t="str">
        <f t="shared" si="136"/>
        <v/>
      </c>
      <c r="C199" s="96" t="str">
        <f t="shared" si="137"/>
        <v/>
      </c>
      <c r="D199" s="96" t="str">
        <f t="shared" si="138"/>
        <v/>
      </c>
      <c r="E199" s="3"/>
      <c r="F199" s="3"/>
      <c r="G199" s="3"/>
      <c r="H199" s="3"/>
      <c r="I199" s="20">
        <f>IFERROR(INDEX('Input - Target'!G$2:G$200,MATCH('Calculations - Target'!$D199,'Input - Target'!$B$2:$B$200,0)),"")</f>
        <v>0</v>
      </c>
      <c r="J199" s="20">
        <f>IFERROR(INDEX('Input - Target'!H$2:H$200,MATCH('Calculations - Target'!$D199,'Input - Target'!$B$2:$B$200,0)),"")</f>
        <v>0</v>
      </c>
      <c r="K199" s="21">
        <f>IFERROR(INDEX('Input - Target'!I$2:I$200,MATCH('Calculations - Target'!$D199,'Input - Target'!$B$2:$B$200,0)),"")</f>
        <v>0</v>
      </c>
      <c r="L199" s="21">
        <f>IFERROR(INDEX('Input - Target'!J$2:J$200,MATCH('Calculations - Target'!$D199,'Input - Target'!$B$2:$B$200,0)),"")</f>
        <v>0</v>
      </c>
      <c r="M199" s="20">
        <f>IFERROR(INDEX('Input - Target'!K$2:K$200,MATCH('Calculations - Target'!$D199,'Input - Target'!$B$2:$B$200,0)),"")</f>
        <v>0</v>
      </c>
      <c r="N199" s="20">
        <f>IFERROR(INDEX('Input - Target'!L$2:L$200,MATCH('Calculations - Target'!$D199,'Input - Target'!$B$2:$B$200,0)),"")</f>
        <v>0</v>
      </c>
      <c r="O199" s="21" t="str">
        <f t="shared" si="139"/>
        <v/>
      </c>
      <c r="P199" s="21" t="str">
        <f t="shared" si="123"/>
        <v/>
      </c>
      <c r="Q199" s="21">
        <f t="shared" si="140"/>
        <v>0</v>
      </c>
      <c r="R199" s="9">
        <f t="shared" si="158"/>
        <v>0</v>
      </c>
      <c r="S199" s="9">
        <f t="shared" si="159"/>
        <v>0</v>
      </c>
      <c r="T199" s="22" t="str">
        <f>IFERROR(INDEX(Target!$S$11:$S$167,MATCH('Calculations - Target'!$D199,Target!$N$11:$N$167,0)),"")</f>
        <v/>
      </c>
      <c r="U199" s="22" t="str">
        <f>IFERROR(INDEX(Target!$T$11:$T$167,MATCH('Calculations - Target'!$D199,Target!$N$11:$N$167,0)),"")</f>
        <v/>
      </c>
      <c r="V199" s="16" t="e">
        <f t="shared" si="124"/>
        <v>#VALUE!</v>
      </c>
      <c r="W199" s="16" t="e">
        <f t="shared" si="141"/>
        <v>#VALUE!</v>
      </c>
      <c r="X199" s="16" t="e">
        <f t="shared" si="142"/>
        <v>#VALUE!</v>
      </c>
      <c r="Y199" s="10" t="str">
        <f t="shared" si="125"/>
        <v>-</v>
      </c>
      <c r="Z199" s="10" t="str">
        <f t="shared" si="126"/>
        <v>-</v>
      </c>
      <c r="AA199" s="13" t="str">
        <f t="shared" si="143"/>
        <v>-</v>
      </c>
      <c r="AB199" s="9" t="str">
        <f t="shared" si="127"/>
        <v>-</v>
      </c>
      <c r="AC199" s="16" t="str">
        <f t="shared" si="144"/>
        <v>-</v>
      </c>
      <c r="AD199" s="16" t="str">
        <f t="shared" si="128"/>
        <v>-</v>
      </c>
      <c r="AE199" s="16" t="str">
        <f t="shared" si="129"/>
        <v>-</v>
      </c>
      <c r="AF199" s="16" t="str">
        <f t="shared" si="145"/>
        <v>-</v>
      </c>
      <c r="AG199" s="16"/>
      <c r="AH199" s="32" t="str">
        <f>IFERROR(INDEX(Target!$R$11:$R$167,MATCH('Calculations - Target'!D199,Target!$N$11:$N$167,0)),"")</f>
        <v/>
      </c>
      <c r="AI199" s="23" t="str">
        <f t="shared" si="146"/>
        <v/>
      </c>
      <c r="AJ199" s="23" t="str">
        <f t="shared" si="147"/>
        <v/>
      </c>
      <c r="AK199" s="9" t="str">
        <f t="shared" si="130"/>
        <v/>
      </c>
      <c r="AL199" s="4" t="str">
        <f t="shared" si="131"/>
        <v/>
      </c>
      <c r="AM199" s="4"/>
      <c r="AN199" s="4"/>
      <c r="AO199" s="4"/>
      <c r="AP199" s="4"/>
      <c r="AQ199" s="4"/>
      <c r="AR199" s="20" t="str">
        <f t="shared" si="132"/>
        <v>-</v>
      </c>
      <c r="AS199" s="13" t="str">
        <f t="shared" si="148"/>
        <v>-</v>
      </c>
      <c r="AT199" s="13" t="str">
        <f t="shared" si="149"/>
        <v>-</v>
      </c>
      <c r="AU199" s="13" t="str">
        <f t="shared" si="133"/>
        <v>-</v>
      </c>
      <c r="AV199" s="16" t="str">
        <f t="shared" si="150"/>
        <v>-</v>
      </c>
      <c r="AW199" s="16" t="str">
        <f t="shared" si="134"/>
        <v>-</v>
      </c>
      <c r="AX199" s="16" t="str">
        <f t="shared" si="135"/>
        <v>-</v>
      </c>
      <c r="AY199" s="16" t="str">
        <f t="shared" si="151"/>
        <v>-</v>
      </c>
      <c r="AZ199" s="13" t="str">
        <f t="shared" si="152"/>
        <v>-</v>
      </c>
      <c r="BA199" s="10" t="str">
        <f t="shared" si="153"/>
        <v>-</v>
      </c>
      <c r="BB199" s="9" t="str">
        <f t="shared" si="154"/>
        <v>-</v>
      </c>
      <c r="BC199" s="13" t="str">
        <f t="shared" si="155"/>
        <v>-</v>
      </c>
      <c r="BD199" s="10" t="str">
        <f t="shared" si="156"/>
        <v>-</v>
      </c>
      <c r="BE199" s="13" t="str">
        <f t="shared" si="157"/>
        <v>-</v>
      </c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</row>
    <row r="200" spans="2:70" x14ac:dyDescent="0.3">
      <c r="B200" s="96" t="str">
        <f t="shared" si="136"/>
        <v/>
      </c>
      <c r="C200" s="96" t="str">
        <f t="shared" si="137"/>
        <v/>
      </c>
      <c r="D200" s="96" t="str">
        <f t="shared" si="138"/>
        <v/>
      </c>
      <c r="E200" s="3"/>
      <c r="F200" s="3"/>
      <c r="G200" s="3"/>
      <c r="H200" s="3"/>
      <c r="I200" s="20">
        <f>IFERROR(INDEX('Input - Target'!G$2:G$200,MATCH('Calculations - Target'!$D200,'Input - Target'!$B$2:$B$200,0)),"")</f>
        <v>0</v>
      </c>
      <c r="J200" s="20">
        <f>IFERROR(INDEX('Input - Target'!H$2:H$200,MATCH('Calculations - Target'!$D200,'Input - Target'!$B$2:$B$200,0)),"")</f>
        <v>0</v>
      </c>
      <c r="K200" s="21">
        <f>IFERROR(INDEX('Input - Target'!I$2:I$200,MATCH('Calculations - Target'!$D200,'Input - Target'!$B$2:$B$200,0)),"")</f>
        <v>0</v>
      </c>
      <c r="L200" s="21">
        <f>IFERROR(INDEX('Input - Target'!J$2:J$200,MATCH('Calculations - Target'!$D200,'Input - Target'!$B$2:$B$200,0)),"")</f>
        <v>0</v>
      </c>
      <c r="M200" s="20">
        <f>IFERROR(INDEX('Input - Target'!K$2:K$200,MATCH('Calculations - Target'!$D200,'Input - Target'!$B$2:$B$200,0)),"")</f>
        <v>0</v>
      </c>
      <c r="N200" s="20">
        <f>IFERROR(INDEX('Input - Target'!L$2:L$200,MATCH('Calculations - Target'!$D200,'Input - Target'!$B$2:$B$200,0)),"")</f>
        <v>0</v>
      </c>
      <c r="O200" s="21" t="str">
        <f t="shared" si="139"/>
        <v/>
      </c>
      <c r="P200" s="21" t="str">
        <f t="shared" si="123"/>
        <v/>
      </c>
      <c r="Q200" s="21">
        <f t="shared" si="140"/>
        <v>0</v>
      </c>
      <c r="R200" s="9">
        <f t="shared" si="158"/>
        <v>0</v>
      </c>
      <c r="S200" s="9">
        <f t="shared" si="159"/>
        <v>0</v>
      </c>
      <c r="T200" s="22" t="str">
        <f>IFERROR(INDEX(Target!$S$11:$S$167,MATCH('Calculations - Target'!$D200,Target!$N$11:$N$167,0)),"")</f>
        <v/>
      </c>
      <c r="U200" s="22" t="str">
        <f>IFERROR(INDEX(Target!$T$11:$T$167,MATCH('Calculations - Target'!$D200,Target!$N$11:$N$167,0)),"")</f>
        <v/>
      </c>
      <c r="V200" s="16" t="e">
        <f t="shared" si="124"/>
        <v>#VALUE!</v>
      </c>
      <c r="W200" s="16" t="e">
        <f t="shared" si="141"/>
        <v>#VALUE!</v>
      </c>
      <c r="X200" s="16" t="e">
        <f t="shared" si="142"/>
        <v>#VALUE!</v>
      </c>
      <c r="Y200" s="10" t="str">
        <f t="shared" si="125"/>
        <v>-</v>
      </c>
      <c r="Z200" s="10" t="str">
        <f t="shared" si="126"/>
        <v>-</v>
      </c>
      <c r="AA200" s="13" t="str">
        <f t="shared" si="143"/>
        <v>-</v>
      </c>
      <c r="AB200" s="9" t="str">
        <f t="shared" si="127"/>
        <v>-</v>
      </c>
      <c r="AC200" s="16" t="str">
        <f t="shared" si="144"/>
        <v>-</v>
      </c>
      <c r="AD200" s="16" t="str">
        <f t="shared" si="128"/>
        <v>-</v>
      </c>
      <c r="AE200" s="16" t="str">
        <f t="shared" si="129"/>
        <v>-</v>
      </c>
      <c r="AF200" s="16" t="str">
        <f t="shared" si="145"/>
        <v>-</v>
      </c>
      <c r="AG200" s="16"/>
      <c r="AH200" s="32" t="str">
        <f>IFERROR(INDEX(Target!$R$11:$R$167,MATCH('Calculations - Target'!D200,Target!$N$11:$N$167,0)),"")</f>
        <v/>
      </c>
      <c r="AI200" s="23" t="str">
        <f t="shared" si="146"/>
        <v/>
      </c>
      <c r="AJ200" s="23" t="str">
        <f t="shared" si="147"/>
        <v/>
      </c>
      <c r="AK200" s="9" t="str">
        <f t="shared" si="130"/>
        <v/>
      </c>
      <c r="AL200" s="4" t="str">
        <f t="shared" si="131"/>
        <v/>
      </c>
      <c r="AM200" s="4"/>
      <c r="AN200" s="4"/>
      <c r="AO200" s="4"/>
      <c r="AP200" s="4"/>
      <c r="AQ200" s="4"/>
      <c r="AR200" s="20" t="str">
        <f t="shared" si="132"/>
        <v>-</v>
      </c>
      <c r="AS200" s="13" t="str">
        <f t="shared" si="148"/>
        <v>-</v>
      </c>
      <c r="AT200" s="13" t="str">
        <f t="shared" si="149"/>
        <v>-</v>
      </c>
      <c r="AU200" s="13" t="str">
        <f t="shared" si="133"/>
        <v>-</v>
      </c>
      <c r="AV200" s="16" t="str">
        <f t="shared" si="150"/>
        <v>-</v>
      </c>
      <c r="AW200" s="16" t="str">
        <f t="shared" si="134"/>
        <v>-</v>
      </c>
      <c r="AX200" s="16" t="str">
        <f t="shared" si="135"/>
        <v>-</v>
      </c>
      <c r="AY200" s="16" t="str">
        <f t="shared" si="151"/>
        <v>-</v>
      </c>
      <c r="AZ200" s="13" t="str">
        <f t="shared" si="152"/>
        <v>-</v>
      </c>
      <c r="BA200" s="10" t="str">
        <f t="shared" si="153"/>
        <v>-</v>
      </c>
      <c r="BB200" s="9" t="str">
        <f t="shared" si="154"/>
        <v>-</v>
      </c>
      <c r="BC200" s="13" t="str">
        <f t="shared" si="155"/>
        <v>-</v>
      </c>
      <c r="BD200" s="10" t="str">
        <f t="shared" si="156"/>
        <v>-</v>
      </c>
      <c r="BE200" s="13" t="str">
        <f t="shared" si="157"/>
        <v>-</v>
      </c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</row>
    <row r="201" spans="2:70" x14ac:dyDescent="0.3">
      <c r="B201" s="96" t="str">
        <f t="shared" si="136"/>
        <v/>
      </c>
      <c r="C201" s="96" t="str">
        <f t="shared" si="137"/>
        <v/>
      </c>
      <c r="D201" s="96" t="str">
        <f t="shared" si="138"/>
        <v/>
      </c>
      <c r="E201" s="3"/>
      <c r="F201" s="3"/>
      <c r="G201" s="3"/>
      <c r="H201" s="3"/>
      <c r="I201" s="20">
        <f>IFERROR(INDEX('Input - Target'!G$2:G$200,MATCH('Calculations - Target'!$D201,'Input - Target'!$B$2:$B$200,0)),"")</f>
        <v>0</v>
      </c>
      <c r="J201" s="20">
        <f>IFERROR(INDEX('Input - Target'!H$2:H$200,MATCH('Calculations - Target'!$D201,'Input - Target'!$B$2:$B$200,0)),"")</f>
        <v>0</v>
      </c>
      <c r="K201" s="21">
        <f>IFERROR(INDEX('Input - Target'!I$2:I$200,MATCH('Calculations - Target'!$D201,'Input - Target'!$B$2:$B$200,0)),"")</f>
        <v>0</v>
      </c>
      <c r="L201" s="21">
        <f>IFERROR(INDEX('Input - Target'!J$2:J$200,MATCH('Calculations - Target'!$D201,'Input - Target'!$B$2:$B$200,0)),"")</f>
        <v>0</v>
      </c>
      <c r="M201" s="20">
        <f>IFERROR(INDEX('Input - Target'!K$2:K$200,MATCH('Calculations - Target'!$D201,'Input - Target'!$B$2:$B$200,0)),"")</f>
        <v>0</v>
      </c>
      <c r="N201" s="20">
        <f>IFERROR(INDEX('Input - Target'!L$2:L$200,MATCH('Calculations - Target'!$D201,'Input - Target'!$B$2:$B$200,0)),"")</f>
        <v>0</v>
      </c>
      <c r="O201" s="21" t="str">
        <f t="shared" si="139"/>
        <v/>
      </c>
      <c r="P201" s="21" t="str">
        <f t="shared" si="123"/>
        <v/>
      </c>
      <c r="Q201" s="21">
        <f t="shared" si="140"/>
        <v>0</v>
      </c>
      <c r="R201" s="9">
        <f t="shared" si="158"/>
        <v>0</v>
      </c>
      <c r="S201" s="9">
        <f t="shared" si="159"/>
        <v>0</v>
      </c>
      <c r="T201" s="22" t="str">
        <f>IFERROR(INDEX(Target!$S$11:$S$167,MATCH('Calculations - Target'!$D201,Target!$N$11:$N$167,0)),"")</f>
        <v/>
      </c>
      <c r="U201" s="22" t="str">
        <f>IFERROR(INDEX(Target!$T$11:$T$167,MATCH('Calculations - Target'!$D201,Target!$N$11:$N$167,0)),"")</f>
        <v/>
      </c>
      <c r="V201" s="16" t="e">
        <f t="shared" si="124"/>
        <v>#VALUE!</v>
      </c>
      <c r="W201" s="16" t="e">
        <f t="shared" si="141"/>
        <v>#VALUE!</v>
      </c>
      <c r="X201" s="16" t="e">
        <f t="shared" si="142"/>
        <v>#VALUE!</v>
      </c>
      <c r="Y201" s="10" t="str">
        <f t="shared" si="125"/>
        <v>-</v>
      </c>
      <c r="Z201" s="10" t="str">
        <f t="shared" si="126"/>
        <v>-</v>
      </c>
      <c r="AA201" s="13" t="str">
        <f t="shared" si="143"/>
        <v>-</v>
      </c>
      <c r="AB201" s="9" t="str">
        <f t="shared" si="127"/>
        <v>-</v>
      </c>
      <c r="AC201" s="16" t="str">
        <f t="shared" si="144"/>
        <v>-</v>
      </c>
      <c r="AD201" s="16" t="str">
        <f t="shared" si="128"/>
        <v>-</v>
      </c>
      <c r="AE201" s="16" t="str">
        <f t="shared" si="129"/>
        <v>-</v>
      </c>
      <c r="AF201" s="16" t="str">
        <f t="shared" si="145"/>
        <v>-</v>
      </c>
      <c r="AG201" s="16"/>
      <c r="AH201" s="32" t="str">
        <f>IFERROR(INDEX(Target!$R$11:$R$167,MATCH('Calculations - Target'!D201,Target!$N$11:$N$167,0)),"")</f>
        <v/>
      </c>
      <c r="AI201" s="23" t="str">
        <f t="shared" si="146"/>
        <v/>
      </c>
      <c r="AJ201" s="23" t="str">
        <f t="shared" si="147"/>
        <v/>
      </c>
      <c r="AK201" s="9" t="str">
        <f t="shared" si="130"/>
        <v/>
      </c>
      <c r="AL201" s="4" t="str">
        <f t="shared" si="131"/>
        <v/>
      </c>
      <c r="AM201" s="4"/>
      <c r="AN201" s="4"/>
      <c r="AO201" s="4"/>
      <c r="AP201" s="4"/>
      <c r="AQ201" s="4"/>
      <c r="AR201" s="20" t="str">
        <f t="shared" si="132"/>
        <v>-</v>
      </c>
      <c r="AS201" s="13" t="str">
        <f t="shared" si="148"/>
        <v>-</v>
      </c>
      <c r="AT201" s="13" t="str">
        <f t="shared" si="149"/>
        <v>-</v>
      </c>
      <c r="AU201" s="13" t="str">
        <f t="shared" si="133"/>
        <v>-</v>
      </c>
      <c r="AV201" s="16" t="str">
        <f t="shared" si="150"/>
        <v>-</v>
      </c>
      <c r="AW201" s="16" t="str">
        <f t="shared" si="134"/>
        <v>-</v>
      </c>
      <c r="AX201" s="16" t="str">
        <f t="shared" si="135"/>
        <v>-</v>
      </c>
      <c r="AY201" s="16" t="str">
        <f t="shared" si="151"/>
        <v>-</v>
      </c>
      <c r="AZ201" s="13" t="str">
        <f t="shared" si="152"/>
        <v>-</v>
      </c>
      <c r="BA201" s="10" t="str">
        <f t="shared" si="153"/>
        <v>-</v>
      </c>
      <c r="BB201" s="9" t="str">
        <f t="shared" si="154"/>
        <v>-</v>
      </c>
      <c r="BC201" s="13" t="str">
        <f t="shared" si="155"/>
        <v>-</v>
      </c>
      <c r="BD201" s="10" t="str">
        <f t="shared" si="156"/>
        <v>-</v>
      </c>
      <c r="BE201" s="13" t="str">
        <f t="shared" si="157"/>
        <v>-</v>
      </c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</row>
    <row r="202" spans="2:70" x14ac:dyDescent="0.3">
      <c r="B202" s="96" t="str">
        <f t="shared" si="136"/>
        <v/>
      </c>
      <c r="C202" s="96" t="str">
        <f t="shared" si="137"/>
        <v/>
      </c>
      <c r="D202" s="96" t="str">
        <f t="shared" si="138"/>
        <v/>
      </c>
      <c r="E202" s="3"/>
      <c r="F202" s="3"/>
      <c r="G202" s="3"/>
      <c r="H202" s="3"/>
      <c r="I202" s="20">
        <f>IFERROR(INDEX('Input - Target'!G$2:G$200,MATCH('Calculations - Target'!$D202,'Input - Target'!$B$2:$B$200,0)),"")</f>
        <v>0</v>
      </c>
      <c r="J202" s="20">
        <f>IFERROR(INDEX('Input - Target'!H$2:H$200,MATCH('Calculations - Target'!$D202,'Input - Target'!$B$2:$B$200,0)),"")</f>
        <v>0</v>
      </c>
      <c r="K202" s="21">
        <f>IFERROR(INDEX('Input - Target'!I$2:I$200,MATCH('Calculations - Target'!$D202,'Input - Target'!$B$2:$B$200,0)),"")</f>
        <v>0</v>
      </c>
      <c r="L202" s="21">
        <f>IFERROR(INDEX('Input - Target'!J$2:J$200,MATCH('Calculations - Target'!$D202,'Input - Target'!$B$2:$B$200,0)),"")</f>
        <v>0</v>
      </c>
      <c r="M202" s="20">
        <f>IFERROR(INDEX('Input - Target'!K$2:K$200,MATCH('Calculations - Target'!$D202,'Input - Target'!$B$2:$B$200,0)),"")</f>
        <v>0</v>
      </c>
      <c r="N202" s="20">
        <f>IFERROR(INDEX('Input - Target'!L$2:L$200,MATCH('Calculations - Target'!$D202,'Input - Target'!$B$2:$B$200,0)),"")</f>
        <v>0</v>
      </c>
      <c r="O202" s="21" t="str">
        <f t="shared" si="139"/>
        <v/>
      </c>
      <c r="P202" s="21" t="str">
        <f t="shared" si="123"/>
        <v/>
      </c>
      <c r="Q202" s="21">
        <f t="shared" si="140"/>
        <v>0</v>
      </c>
      <c r="R202" s="9">
        <f t="shared" si="158"/>
        <v>0</v>
      </c>
      <c r="S202" s="9">
        <f t="shared" si="159"/>
        <v>0</v>
      </c>
      <c r="T202" s="22" t="str">
        <f>IFERROR(INDEX(Target!$S$11:$S$167,MATCH('Calculations - Target'!$D202,Target!$N$11:$N$167,0)),"")</f>
        <v/>
      </c>
      <c r="U202" s="22" t="str">
        <f>IFERROR(INDEX(Target!$T$11:$T$167,MATCH('Calculations - Target'!$D202,Target!$N$11:$N$167,0)),"")</f>
        <v/>
      </c>
      <c r="V202" s="16" t="e">
        <f t="shared" si="124"/>
        <v>#VALUE!</v>
      </c>
      <c r="W202" s="16" t="e">
        <f t="shared" si="141"/>
        <v>#VALUE!</v>
      </c>
      <c r="X202" s="16" t="e">
        <f t="shared" si="142"/>
        <v>#VALUE!</v>
      </c>
      <c r="Y202" s="10" t="str">
        <f t="shared" si="125"/>
        <v>-</v>
      </c>
      <c r="Z202" s="10" t="str">
        <f t="shared" si="126"/>
        <v>-</v>
      </c>
      <c r="AA202" s="13" t="str">
        <f t="shared" si="143"/>
        <v>-</v>
      </c>
      <c r="AB202" s="9" t="str">
        <f t="shared" si="127"/>
        <v>-</v>
      </c>
      <c r="AC202" s="16" t="str">
        <f t="shared" si="144"/>
        <v>-</v>
      </c>
      <c r="AD202" s="16" t="str">
        <f t="shared" si="128"/>
        <v>-</v>
      </c>
      <c r="AE202" s="16" t="str">
        <f t="shared" si="129"/>
        <v>-</v>
      </c>
      <c r="AF202" s="16" t="str">
        <f t="shared" si="145"/>
        <v>-</v>
      </c>
      <c r="AG202" s="16"/>
      <c r="AH202" s="32" t="str">
        <f>IFERROR(INDEX(Target!$R$11:$R$167,MATCH('Calculations - Target'!D202,Target!$N$11:$N$167,0)),"")</f>
        <v/>
      </c>
      <c r="AI202" s="23" t="str">
        <f t="shared" si="146"/>
        <v/>
      </c>
      <c r="AJ202" s="23" t="str">
        <f t="shared" si="147"/>
        <v/>
      </c>
      <c r="AK202" s="9" t="str">
        <f t="shared" si="130"/>
        <v/>
      </c>
      <c r="AL202" s="4" t="str">
        <f t="shared" si="131"/>
        <v/>
      </c>
      <c r="AM202" s="4"/>
      <c r="AN202" s="4"/>
      <c r="AO202" s="4"/>
      <c r="AP202" s="4"/>
      <c r="AQ202" s="4"/>
      <c r="AR202" s="20" t="str">
        <f t="shared" si="132"/>
        <v>-</v>
      </c>
      <c r="AS202" s="13" t="str">
        <f t="shared" si="148"/>
        <v>-</v>
      </c>
      <c r="AT202" s="13" t="str">
        <f t="shared" si="149"/>
        <v>-</v>
      </c>
      <c r="AU202" s="13" t="str">
        <f t="shared" si="133"/>
        <v>-</v>
      </c>
      <c r="AV202" s="16" t="str">
        <f t="shared" si="150"/>
        <v>-</v>
      </c>
      <c r="AW202" s="16" t="str">
        <f t="shared" si="134"/>
        <v>-</v>
      </c>
      <c r="AX202" s="16" t="str">
        <f t="shared" si="135"/>
        <v>-</v>
      </c>
      <c r="AY202" s="16" t="str">
        <f t="shared" si="151"/>
        <v>-</v>
      </c>
      <c r="AZ202" s="13" t="str">
        <f t="shared" si="152"/>
        <v>-</v>
      </c>
      <c r="BA202" s="10" t="str">
        <f t="shared" si="153"/>
        <v>-</v>
      </c>
      <c r="BB202" s="9" t="str">
        <f t="shared" si="154"/>
        <v>-</v>
      </c>
      <c r="BC202" s="13" t="str">
        <f t="shared" si="155"/>
        <v>-</v>
      </c>
      <c r="BD202" s="10" t="str">
        <f t="shared" si="156"/>
        <v>-</v>
      </c>
      <c r="BE202" s="13" t="str">
        <f t="shared" si="157"/>
        <v>-</v>
      </c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</row>
    <row r="203" spans="2:70" x14ac:dyDescent="0.3">
      <c r="B203" s="96" t="str">
        <f t="shared" si="136"/>
        <v/>
      </c>
      <c r="C203" s="96" t="str">
        <f t="shared" si="137"/>
        <v/>
      </c>
      <c r="D203" s="96" t="str">
        <f t="shared" si="138"/>
        <v/>
      </c>
      <c r="E203" s="3"/>
      <c r="F203" s="3"/>
      <c r="G203" s="3"/>
      <c r="H203" s="3"/>
      <c r="I203" s="20">
        <f>IFERROR(INDEX('Input - Target'!G$2:G$200,MATCH('Calculations - Target'!$D203,'Input - Target'!$B$2:$B$200,0)),"")</f>
        <v>0</v>
      </c>
      <c r="J203" s="20">
        <f>IFERROR(INDEX('Input - Target'!H$2:H$200,MATCH('Calculations - Target'!$D203,'Input - Target'!$B$2:$B$200,0)),"")</f>
        <v>0</v>
      </c>
      <c r="K203" s="21">
        <f>IFERROR(INDEX('Input - Target'!I$2:I$200,MATCH('Calculations - Target'!$D203,'Input - Target'!$B$2:$B$200,0)),"")</f>
        <v>0</v>
      </c>
      <c r="L203" s="21">
        <f>IFERROR(INDEX('Input - Target'!J$2:J$200,MATCH('Calculations - Target'!$D203,'Input - Target'!$B$2:$B$200,0)),"")</f>
        <v>0</v>
      </c>
      <c r="M203" s="20">
        <f>IFERROR(INDEX('Input - Target'!K$2:K$200,MATCH('Calculations - Target'!$D203,'Input - Target'!$B$2:$B$200,0)),"")</f>
        <v>0</v>
      </c>
      <c r="N203" s="20">
        <f>IFERROR(INDEX('Input - Target'!L$2:L$200,MATCH('Calculations - Target'!$D203,'Input - Target'!$B$2:$B$200,0)),"")</f>
        <v>0</v>
      </c>
      <c r="O203" s="21" t="str">
        <f t="shared" si="139"/>
        <v/>
      </c>
      <c r="P203" s="21" t="str">
        <f t="shared" si="123"/>
        <v/>
      </c>
      <c r="Q203" s="21">
        <f t="shared" si="140"/>
        <v>0</v>
      </c>
      <c r="R203" s="9">
        <f t="shared" si="158"/>
        <v>0</v>
      </c>
      <c r="S203" s="9">
        <f t="shared" si="159"/>
        <v>0</v>
      </c>
      <c r="T203" s="22" t="str">
        <f>IFERROR(INDEX(Target!$S$11:$S$167,MATCH('Calculations - Target'!$D203,Target!$N$11:$N$167,0)),"")</f>
        <v/>
      </c>
      <c r="U203" s="22" t="str">
        <f>IFERROR(INDEX(Target!$T$11:$T$167,MATCH('Calculations - Target'!$D203,Target!$N$11:$N$167,0)),"")</f>
        <v/>
      </c>
      <c r="V203" s="16" t="e">
        <f t="shared" si="124"/>
        <v>#VALUE!</v>
      </c>
      <c r="W203" s="16" t="e">
        <f t="shared" si="141"/>
        <v>#VALUE!</v>
      </c>
      <c r="X203" s="16" t="e">
        <f t="shared" si="142"/>
        <v>#VALUE!</v>
      </c>
      <c r="Y203" s="10" t="str">
        <f t="shared" si="125"/>
        <v>-</v>
      </c>
      <c r="Z203" s="10" t="str">
        <f t="shared" si="126"/>
        <v>-</v>
      </c>
      <c r="AA203" s="13" t="str">
        <f t="shared" si="143"/>
        <v>-</v>
      </c>
      <c r="AB203" s="9" t="str">
        <f t="shared" si="127"/>
        <v>-</v>
      </c>
      <c r="AC203" s="16" t="str">
        <f t="shared" si="144"/>
        <v>-</v>
      </c>
      <c r="AD203" s="16" t="str">
        <f t="shared" si="128"/>
        <v>-</v>
      </c>
      <c r="AE203" s="16" t="str">
        <f t="shared" si="129"/>
        <v>-</v>
      </c>
      <c r="AF203" s="16" t="str">
        <f t="shared" si="145"/>
        <v>-</v>
      </c>
      <c r="AG203" s="16"/>
      <c r="AH203" s="32" t="str">
        <f>IFERROR(INDEX(Target!$R$11:$R$167,MATCH('Calculations - Target'!D203,Target!$N$11:$N$167,0)),"")</f>
        <v/>
      </c>
      <c r="AI203" s="23" t="str">
        <f t="shared" si="146"/>
        <v/>
      </c>
      <c r="AJ203" s="23" t="str">
        <f t="shared" si="147"/>
        <v/>
      </c>
      <c r="AK203" s="9" t="str">
        <f t="shared" si="130"/>
        <v/>
      </c>
      <c r="AL203" s="4" t="str">
        <f t="shared" si="131"/>
        <v/>
      </c>
      <c r="AM203" s="4"/>
      <c r="AN203" s="4"/>
      <c r="AO203" s="4"/>
      <c r="AP203" s="4"/>
      <c r="AQ203" s="4"/>
      <c r="AR203" s="20" t="str">
        <f t="shared" si="132"/>
        <v>-</v>
      </c>
      <c r="AS203" s="13" t="str">
        <f t="shared" si="148"/>
        <v>-</v>
      </c>
      <c r="AT203" s="13" t="str">
        <f t="shared" si="149"/>
        <v>-</v>
      </c>
      <c r="AU203" s="13" t="str">
        <f t="shared" si="133"/>
        <v>-</v>
      </c>
      <c r="AV203" s="16" t="str">
        <f t="shared" si="150"/>
        <v>-</v>
      </c>
      <c r="AW203" s="16" t="str">
        <f t="shared" si="134"/>
        <v>-</v>
      </c>
      <c r="AX203" s="16" t="str">
        <f t="shared" si="135"/>
        <v>-</v>
      </c>
      <c r="AY203" s="16" t="str">
        <f t="shared" si="151"/>
        <v>-</v>
      </c>
      <c r="AZ203" s="13" t="str">
        <f t="shared" si="152"/>
        <v>-</v>
      </c>
      <c r="BA203" s="10" t="str">
        <f t="shared" si="153"/>
        <v>-</v>
      </c>
      <c r="BB203" s="9" t="str">
        <f t="shared" si="154"/>
        <v>-</v>
      </c>
      <c r="BC203" s="13" t="str">
        <f t="shared" si="155"/>
        <v>-</v>
      </c>
      <c r="BD203" s="10" t="str">
        <f t="shared" si="156"/>
        <v>-</v>
      </c>
      <c r="BE203" s="13" t="str">
        <f t="shared" si="157"/>
        <v>-</v>
      </c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</row>
    <row r="204" spans="2:70" x14ac:dyDescent="0.3">
      <c r="B204" s="96" t="str">
        <f t="shared" si="136"/>
        <v/>
      </c>
      <c r="C204" s="96" t="str">
        <f t="shared" si="137"/>
        <v/>
      </c>
      <c r="D204" s="96" t="str">
        <f t="shared" si="138"/>
        <v/>
      </c>
      <c r="E204" s="3"/>
      <c r="F204" s="3"/>
      <c r="G204" s="3"/>
      <c r="H204" s="3"/>
      <c r="I204" s="20">
        <f>IFERROR(INDEX('Input - Target'!G$2:G$200,MATCH('Calculations - Target'!$D204,'Input - Target'!$B$2:$B$200,0)),"")</f>
        <v>0</v>
      </c>
      <c r="J204" s="20">
        <f>IFERROR(INDEX('Input - Target'!H$2:H$200,MATCH('Calculations - Target'!$D204,'Input - Target'!$B$2:$B$200,0)),"")</f>
        <v>0</v>
      </c>
      <c r="K204" s="21">
        <f>IFERROR(INDEX('Input - Target'!I$2:I$200,MATCH('Calculations - Target'!$D204,'Input - Target'!$B$2:$B$200,0)),"")</f>
        <v>0</v>
      </c>
      <c r="L204" s="21">
        <f>IFERROR(INDEX('Input - Target'!J$2:J$200,MATCH('Calculations - Target'!$D204,'Input - Target'!$B$2:$B$200,0)),"")</f>
        <v>0</v>
      </c>
      <c r="M204" s="20">
        <f>IFERROR(INDEX('Input - Target'!K$2:K$200,MATCH('Calculations - Target'!$D204,'Input - Target'!$B$2:$B$200,0)),"")</f>
        <v>0</v>
      </c>
      <c r="N204" s="20">
        <f>IFERROR(INDEX('Input - Target'!L$2:L$200,MATCH('Calculations - Target'!$D204,'Input - Target'!$B$2:$B$200,0)),"")</f>
        <v>0</v>
      </c>
      <c r="O204" s="21" t="str">
        <f t="shared" si="139"/>
        <v/>
      </c>
      <c r="P204" s="21" t="str">
        <f t="shared" si="123"/>
        <v/>
      </c>
      <c r="Q204" s="21">
        <f t="shared" si="140"/>
        <v>0</v>
      </c>
      <c r="R204" s="9">
        <f t="shared" si="158"/>
        <v>0</v>
      </c>
      <c r="S204" s="9">
        <f t="shared" si="159"/>
        <v>0</v>
      </c>
      <c r="T204" s="22" t="str">
        <f>IFERROR(INDEX(Target!$S$11:$S$167,MATCH('Calculations - Target'!$D204,Target!$N$11:$N$167,0)),"")</f>
        <v/>
      </c>
      <c r="U204" s="22" t="str">
        <f>IFERROR(INDEX(Target!$T$11:$T$167,MATCH('Calculations - Target'!$D204,Target!$N$11:$N$167,0)),"")</f>
        <v/>
      </c>
      <c r="V204" s="16" t="e">
        <f t="shared" si="124"/>
        <v>#VALUE!</v>
      </c>
      <c r="W204" s="16" t="e">
        <f t="shared" si="141"/>
        <v>#VALUE!</v>
      </c>
      <c r="X204" s="16" t="e">
        <f t="shared" si="142"/>
        <v>#VALUE!</v>
      </c>
      <c r="Y204" s="10" t="str">
        <f t="shared" si="125"/>
        <v>-</v>
      </c>
      <c r="Z204" s="10" t="str">
        <f t="shared" si="126"/>
        <v>-</v>
      </c>
      <c r="AA204" s="13" t="str">
        <f t="shared" si="143"/>
        <v>-</v>
      </c>
      <c r="AB204" s="9" t="str">
        <f t="shared" si="127"/>
        <v>-</v>
      </c>
      <c r="AC204" s="16" t="str">
        <f t="shared" si="144"/>
        <v>-</v>
      </c>
      <c r="AD204" s="16" t="str">
        <f t="shared" si="128"/>
        <v>-</v>
      </c>
      <c r="AE204" s="16" t="str">
        <f t="shared" si="129"/>
        <v>-</v>
      </c>
      <c r="AF204" s="16" t="str">
        <f t="shared" si="145"/>
        <v>-</v>
      </c>
      <c r="AG204" s="16"/>
      <c r="AH204" s="32" t="str">
        <f>IFERROR(INDEX(Target!$R$11:$R$167,MATCH('Calculations - Target'!D204,Target!$N$11:$N$167,0)),"")</f>
        <v/>
      </c>
      <c r="AI204" s="23" t="str">
        <f t="shared" si="146"/>
        <v/>
      </c>
      <c r="AJ204" s="23" t="str">
        <f t="shared" si="147"/>
        <v/>
      </c>
      <c r="AK204" s="9" t="str">
        <f t="shared" si="130"/>
        <v/>
      </c>
      <c r="AL204" s="4" t="str">
        <f t="shared" si="131"/>
        <v/>
      </c>
      <c r="AM204" s="4"/>
      <c r="AN204" s="4"/>
      <c r="AO204" s="4"/>
      <c r="AP204" s="4"/>
      <c r="AQ204" s="4"/>
      <c r="AR204" s="20" t="str">
        <f t="shared" si="132"/>
        <v>-</v>
      </c>
      <c r="AS204" s="13" t="str">
        <f t="shared" si="148"/>
        <v>-</v>
      </c>
      <c r="AT204" s="13" t="str">
        <f t="shared" si="149"/>
        <v>-</v>
      </c>
      <c r="AU204" s="13" t="str">
        <f t="shared" si="133"/>
        <v>-</v>
      </c>
      <c r="AV204" s="16" t="str">
        <f t="shared" si="150"/>
        <v>-</v>
      </c>
      <c r="AW204" s="16" t="str">
        <f t="shared" si="134"/>
        <v>-</v>
      </c>
      <c r="AX204" s="16" t="str">
        <f t="shared" si="135"/>
        <v>-</v>
      </c>
      <c r="AY204" s="16" t="str">
        <f t="shared" si="151"/>
        <v>-</v>
      </c>
      <c r="AZ204" s="13" t="str">
        <f t="shared" si="152"/>
        <v>-</v>
      </c>
      <c r="BA204" s="10" t="str">
        <f t="shared" si="153"/>
        <v>-</v>
      </c>
      <c r="BB204" s="9" t="str">
        <f t="shared" si="154"/>
        <v>-</v>
      </c>
      <c r="BC204" s="13" t="str">
        <f t="shared" si="155"/>
        <v>-</v>
      </c>
      <c r="BD204" s="10" t="str">
        <f t="shared" si="156"/>
        <v>-</v>
      </c>
      <c r="BE204" s="13" t="str">
        <f t="shared" si="157"/>
        <v>-</v>
      </c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</row>
    <row r="205" spans="2:70" x14ac:dyDescent="0.3">
      <c r="B205" s="96" t="str">
        <f t="shared" si="136"/>
        <v/>
      </c>
      <c r="C205" s="96" t="str">
        <f t="shared" si="137"/>
        <v/>
      </c>
      <c r="D205" s="96" t="str">
        <f t="shared" si="138"/>
        <v/>
      </c>
      <c r="E205" s="3"/>
      <c r="F205" s="3"/>
      <c r="G205" s="3"/>
      <c r="H205" s="3"/>
      <c r="I205" s="20">
        <f>IFERROR(INDEX('Input - Target'!G$2:G$200,MATCH('Calculations - Target'!$D205,'Input - Target'!$B$2:$B$200,0)),"")</f>
        <v>0</v>
      </c>
      <c r="J205" s="20">
        <f>IFERROR(INDEX('Input - Target'!H$2:H$200,MATCH('Calculations - Target'!$D205,'Input - Target'!$B$2:$B$200,0)),"")</f>
        <v>0</v>
      </c>
      <c r="K205" s="21">
        <f>IFERROR(INDEX('Input - Target'!I$2:I$200,MATCH('Calculations - Target'!$D205,'Input - Target'!$B$2:$B$200,0)),"")</f>
        <v>0</v>
      </c>
      <c r="L205" s="21">
        <f>IFERROR(INDEX('Input - Target'!J$2:J$200,MATCH('Calculations - Target'!$D205,'Input - Target'!$B$2:$B$200,0)),"")</f>
        <v>0</v>
      </c>
      <c r="M205" s="20">
        <f>IFERROR(INDEX('Input - Target'!K$2:K$200,MATCH('Calculations - Target'!$D205,'Input - Target'!$B$2:$B$200,0)),"")</f>
        <v>0</v>
      </c>
      <c r="N205" s="20">
        <f>IFERROR(INDEX('Input - Target'!L$2:L$200,MATCH('Calculations - Target'!$D205,'Input - Target'!$B$2:$B$200,0)),"")</f>
        <v>0</v>
      </c>
      <c r="O205" s="21" t="str">
        <f t="shared" si="139"/>
        <v/>
      </c>
      <c r="P205" s="21" t="str">
        <f t="shared" si="123"/>
        <v/>
      </c>
      <c r="Q205" s="21">
        <f t="shared" si="140"/>
        <v>0</v>
      </c>
      <c r="R205" s="9">
        <f t="shared" si="158"/>
        <v>0</v>
      </c>
      <c r="S205" s="9">
        <f t="shared" si="159"/>
        <v>0</v>
      </c>
      <c r="T205" s="22" t="str">
        <f>IFERROR(INDEX(Target!$S$11:$S$167,MATCH('Calculations - Target'!$D205,Target!$N$11:$N$167,0)),"")</f>
        <v/>
      </c>
      <c r="U205" s="22" t="str">
        <f>IFERROR(INDEX(Target!$T$11:$T$167,MATCH('Calculations - Target'!$D205,Target!$N$11:$N$167,0)),"")</f>
        <v/>
      </c>
      <c r="V205" s="16" t="e">
        <f t="shared" si="124"/>
        <v>#VALUE!</v>
      </c>
      <c r="W205" s="16" t="e">
        <f t="shared" si="141"/>
        <v>#VALUE!</v>
      </c>
      <c r="X205" s="16" t="e">
        <f t="shared" si="142"/>
        <v>#VALUE!</v>
      </c>
      <c r="Y205" s="10" t="str">
        <f t="shared" si="125"/>
        <v>-</v>
      </c>
      <c r="Z205" s="10" t="str">
        <f t="shared" si="126"/>
        <v>-</v>
      </c>
      <c r="AA205" s="13" t="str">
        <f t="shared" si="143"/>
        <v>-</v>
      </c>
      <c r="AB205" s="9" t="str">
        <f t="shared" si="127"/>
        <v>-</v>
      </c>
      <c r="AC205" s="16" t="str">
        <f t="shared" si="144"/>
        <v>-</v>
      </c>
      <c r="AD205" s="16" t="str">
        <f t="shared" si="128"/>
        <v>-</v>
      </c>
      <c r="AE205" s="16" t="str">
        <f t="shared" si="129"/>
        <v>-</v>
      </c>
      <c r="AF205" s="16" t="str">
        <f t="shared" si="145"/>
        <v>-</v>
      </c>
      <c r="AG205" s="16"/>
      <c r="AH205" s="32" t="str">
        <f>IFERROR(INDEX(Target!$R$11:$R$167,MATCH('Calculations - Target'!D205,Target!$N$11:$N$167,0)),"")</f>
        <v/>
      </c>
      <c r="AI205" s="23" t="str">
        <f t="shared" si="146"/>
        <v/>
      </c>
      <c r="AJ205" s="23" t="str">
        <f t="shared" si="147"/>
        <v/>
      </c>
      <c r="AK205" s="9" t="str">
        <f t="shared" si="130"/>
        <v/>
      </c>
      <c r="AL205" s="4" t="str">
        <f t="shared" si="131"/>
        <v/>
      </c>
      <c r="AM205" s="4"/>
      <c r="AN205" s="4"/>
      <c r="AO205" s="4"/>
      <c r="AP205" s="4"/>
      <c r="AQ205" s="4"/>
      <c r="AR205" s="20" t="str">
        <f t="shared" si="132"/>
        <v>-</v>
      </c>
      <c r="AS205" s="13" t="str">
        <f t="shared" si="148"/>
        <v>-</v>
      </c>
      <c r="AT205" s="13" t="str">
        <f t="shared" si="149"/>
        <v>-</v>
      </c>
      <c r="AU205" s="13" t="str">
        <f t="shared" si="133"/>
        <v>-</v>
      </c>
      <c r="AV205" s="16" t="str">
        <f t="shared" si="150"/>
        <v>-</v>
      </c>
      <c r="AW205" s="16" t="str">
        <f t="shared" si="134"/>
        <v>-</v>
      </c>
      <c r="AX205" s="16" t="str">
        <f t="shared" si="135"/>
        <v>-</v>
      </c>
      <c r="AY205" s="16" t="str">
        <f t="shared" si="151"/>
        <v>-</v>
      </c>
      <c r="AZ205" s="13" t="str">
        <f t="shared" si="152"/>
        <v>-</v>
      </c>
      <c r="BA205" s="10" t="str">
        <f t="shared" si="153"/>
        <v>-</v>
      </c>
      <c r="BB205" s="9" t="str">
        <f t="shared" si="154"/>
        <v>-</v>
      </c>
      <c r="BC205" s="13" t="str">
        <f t="shared" si="155"/>
        <v>-</v>
      </c>
      <c r="BD205" s="10" t="str">
        <f t="shared" si="156"/>
        <v>-</v>
      </c>
      <c r="BE205" s="13" t="str">
        <f t="shared" si="157"/>
        <v>-</v>
      </c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</row>
    <row r="206" spans="2:70" x14ac:dyDescent="0.3">
      <c r="B206" s="96" t="str">
        <f t="shared" si="136"/>
        <v/>
      </c>
      <c r="C206" s="96" t="str">
        <f t="shared" si="137"/>
        <v/>
      </c>
      <c r="D206" s="96" t="str">
        <f t="shared" si="138"/>
        <v/>
      </c>
      <c r="E206" s="3"/>
      <c r="F206" s="3"/>
      <c r="G206" s="3"/>
      <c r="H206" s="3"/>
      <c r="I206" s="20">
        <f>IFERROR(INDEX('Input - Target'!G$2:G$200,MATCH('Calculations - Target'!$D206,'Input - Target'!$B$2:$B$200,0)),"")</f>
        <v>0</v>
      </c>
      <c r="J206" s="20">
        <f>IFERROR(INDEX('Input - Target'!H$2:H$200,MATCH('Calculations - Target'!$D206,'Input - Target'!$B$2:$B$200,0)),"")</f>
        <v>0</v>
      </c>
      <c r="K206" s="21">
        <f>IFERROR(INDEX('Input - Target'!I$2:I$200,MATCH('Calculations - Target'!$D206,'Input - Target'!$B$2:$B$200,0)),"")</f>
        <v>0</v>
      </c>
      <c r="L206" s="21">
        <f>IFERROR(INDEX('Input - Target'!J$2:J$200,MATCH('Calculations - Target'!$D206,'Input - Target'!$B$2:$B$200,0)),"")</f>
        <v>0</v>
      </c>
      <c r="M206" s="20">
        <f>IFERROR(INDEX('Input - Target'!K$2:K$200,MATCH('Calculations - Target'!$D206,'Input - Target'!$B$2:$B$200,0)),"")</f>
        <v>0</v>
      </c>
      <c r="N206" s="20">
        <f>IFERROR(INDEX('Input - Target'!L$2:L$200,MATCH('Calculations - Target'!$D206,'Input - Target'!$B$2:$B$200,0)),"")</f>
        <v>0</v>
      </c>
      <c r="O206" s="21" t="str">
        <f t="shared" si="139"/>
        <v/>
      </c>
      <c r="P206" s="21" t="str">
        <f t="shared" si="123"/>
        <v/>
      </c>
      <c r="Q206" s="21">
        <f t="shared" si="140"/>
        <v>0</v>
      </c>
      <c r="R206" s="9">
        <f t="shared" si="158"/>
        <v>0</v>
      </c>
      <c r="S206" s="9">
        <f t="shared" si="159"/>
        <v>0</v>
      </c>
      <c r="T206" s="22" t="str">
        <f>IFERROR(INDEX(Target!$S$11:$S$167,MATCH('Calculations - Target'!$D206,Target!$N$11:$N$167,0)),"")</f>
        <v/>
      </c>
      <c r="U206" s="22" t="str">
        <f>IFERROR(INDEX(Target!$T$11:$T$167,MATCH('Calculations - Target'!$D206,Target!$N$11:$N$167,0)),"")</f>
        <v/>
      </c>
      <c r="V206" s="16" t="e">
        <f t="shared" si="124"/>
        <v>#VALUE!</v>
      </c>
      <c r="W206" s="16" t="e">
        <f t="shared" si="141"/>
        <v>#VALUE!</v>
      </c>
      <c r="X206" s="16" t="e">
        <f t="shared" si="142"/>
        <v>#VALUE!</v>
      </c>
      <c r="Y206" s="10" t="str">
        <f t="shared" si="125"/>
        <v>-</v>
      </c>
      <c r="Z206" s="10" t="str">
        <f t="shared" si="126"/>
        <v>-</v>
      </c>
      <c r="AA206" s="13" t="str">
        <f t="shared" si="143"/>
        <v>-</v>
      </c>
      <c r="AB206" s="9" t="str">
        <f t="shared" si="127"/>
        <v>-</v>
      </c>
      <c r="AC206" s="16" t="str">
        <f t="shared" si="144"/>
        <v>-</v>
      </c>
      <c r="AD206" s="16" t="str">
        <f t="shared" si="128"/>
        <v>-</v>
      </c>
      <c r="AE206" s="16" t="str">
        <f t="shared" si="129"/>
        <v>-</v>
      </c>
      <c r="AF206" s="16" t="str">
        <f t="shared" si="145"/>
        <v>-</v>
      </c>
      <c r="AG206" s="16"/>
      <c r="AH206" s="32" t="str">
        <f>IFERROR(INDEX(Target!$R$11:$R$167,MATCH('Calculations - Target'!D206,Target!$N$11:$N$167,0)),"")</f>
        <v/>
      </c>
      <c r="AI206" s="23" t="str">
        <f t="shared" si="146"/>
        <v/>
      </c>
      <c r="AJ206" s="23" t="str">
        <f t="shared" si="147"/>
        <v/>
      </c>
      <c r="AK206" s="9" t="str">
        <f t="shared" si="130"/>
        <v/>
      </c>
      <c r="AL206" s="4" t="str">
        <f t="shared" si="131"/>
        <v/>
      </c>
      <c r="AM206" s="4"/>
      <c r="AN206" s="4"/>
      <c r="AO206" s="4"/>
      <c r="AP206" s="4"/>
      <c r="AQ206" s="4"/>
      <c r="AR206" s="20" t="str">
        <f t="shared" si="132"/>
        <v>-</v>
      </c>
      <c r="AS206" s="13" t="str">
        <f t="shared" si="148"/>
        <v>-</v>
      </c>
      <c r="AT206" s="13" t="str">
        <f t="shared" si="149"/>
        <v>-</v>
      </c>
      <c r="AU206" s="13" t="str">
        <f t="shared" si="133"/>
        <v>-</v>
      </c>
      <c r="AV206" s="16" t="str">
        <f t="shared" si="150"/>
        <v>-</v>
      </c>
      <c r="AW206" s="16" t="str">
        <f t="shared" si="134"/>
        <v>-</v>
      </c>
      <c r="AX206" s="16" t="str">
        <f t="shared" si="135"/>
        <v>-</v>
      </c>
      <c r="AY206" s="16" t="str">
        <f t="shared" si="151"/>
        <v>-</v>
      </c>
      <c r="AZ206" s="13" t="str">
        <f t="shared" si="152"/>
        <v>-</v>
      </c>
      <c r="BA206" s="10" t="str">
        <f t="shared" si="153"/>
        <v>-</v>
      </c>
      <c r="BB206" s="9" t="str">
        <f t="shared" si="154"/>
        <v>-</v>
      </c>
      <c r="BC206" s="13" t="str">
        <f t="shared" si="155"/>
        <v>-</v>
      </c>
      <c r="BD206" s="10" t="str">
        <f t="shared" si="156"/>
        <v>-</v>
      </c>
      <c r="BE206" s="13" t="str">
        <f t="shared" si="157"/>
        <v>-</v>
      </c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</row>
    <row r="207" spans="2:70" x14ac:dyDescent="0.3">
      <c r="B207" s="96" t="str">
        <f t="shared" si="136"/>
        <v/>
      </c>
      <c r="C207" s="96" t="str">
        <f t="shared" si="137"/>
        <v/>
      </c>
      <c r="D207" s="96" t="str">
        <f t="shared" si="138"/>
        <v/>
      </c>
      <c r="E207" s="3"/>
      <c r="F207" s="3"/>
      <c r="G207" s="3"/>
      <c r="H207" s="3"/>
      <c r="I207" s="20">
        <f>IFERROR(INDEX('Input - Target'!G$2:G$200,MATCH('Calculations - Target'!$D207,'Input - Target'!$B$2:$B$200,0)),"")</f>
        <v>0</v>
      </c>
      <c r="J207" s="20">
        <f>IFERROR(INDEX('Input - Target'!H$2:H$200,MATCH('Calculations - Target'!$D207,'Input - Target'!$B$2:$B$200,0)),"")</f>
        <v>0</v>
      </c>
      <c r="K207" s="21">
        <f>IFERROR(INDEX('Input - Target'!I$2:I$200,MATCH('Calculations - Target'!$D207,'Input - Target'!$B$2:$B$200,0)),"")</f>
        <v>0</v>
      </c>
      <c r="L207" s="21">
        <f>IFERROR(INDEX('Input - Target'!J$2:J$200,MATCH('Calculations - Target'!$D207,'Input - Target'!$B$2:$B$200,0)),"")</f>
        <v>0</v>
      </c>
      <c r="M207" s="20">
        <f>IFERROR(INDEX('Input - Target'!K$2:K$200,MATCH('Calculations - Target'!$D207,'Input - Target'!$B$2:$B$200,0)),"")</f>
        <v>0</v>
      </c>
      <c r="N207" s="20">
        <f>IFERROR(INDEX('Input - Target'!L$2:L$200,MATCH('Calculations - Target'!$D207,'Input - Target'!$B$2:$B$200,0)),"")</f>
        <v>0</v>
      </c>
      <c r="O207" s="21" t="str">
        <f t="shared" si="139"/>
        <v/>
      </c>
      <c r="P207" s="21" t="str">
        <f t="shared" si="123"/>
        <v/>
      </c>
      <c r="Q207" s="21">
        <f t="shared" si="140"/>
        <v>0</v>
      </c>
      <c r="R207" s="9">
        <f t="shared" si="158"/>
        <v>0</v>
      </c>
      <c r="S207" s="9">
        <f t="shared" si="159"/>
        <v>0</v>
      </c>
      <c r="T207" s="22" t="str">
        <f>IFERROR(INDEX(Target!$S$11:$S$167,MATCH('Calculations - Target'!$D207,Target!$N$11:$N$167,0)),"")</f>
        <v/>
      </c>
      <c r="U207" s="22" t="str">
        <f>IFERROR(INDEX(Target!$T$11:$T$167,MATCH('Calculations - Target'!$D207,Target!$N$11:$N$167,0)),"")</f>
        <v/>
      </c>
      <c r="V207" s="16" t="e">
        <f t="shared" si="124"/>
        <v>#VALUE!</v>
      </c>
      <c r="W207" s="16" t="e">
        <f t="shared" si="141"/>
        <v>#VALUE!</v>
      </c>
      <c r="X207" s="16" t="e">
        <f t="shared" si="142"/>
        <v>#VALUE!</v>
      </c>
      <c r="Y207" s="10" t="str">
        <f t="shared" si="125"/>
        <v>-</v>
      </c>
      <c r="Z207" s="10" t="str">
        <f t="shared" si="126"/>
        <v>-</v>
      </c>
      <c r="AA207" s="13" t="str">
        <f t="shared" si="143"/>
        <v>-</v>
      </c>
      <c r="AB207" s="9" t="str">
        <f t="shared" si="127"/>
        <v>-</v>
      </c>
      <c r="AC207" s="16" t="str">
        <f t="shared" si="144"/>
        <v>-</v>
      </c>
      <c r="AD207" s="16" t="str">
        <f t="shared" si="128"/>
        <v>-</v>
      </c>
      <c r="AE207" s="16" t="str">
        <f t="shared" si="129"/>
        <v>-</v>
      </c>
      <c r="AF207" s="16" t="str">
        <f t="shared" si="145"/>
        <v>-</v>
      </c>
      <c r="AG207" s="16"/>
      <c r="AH207" s="32" t="str">
        <f>IFERROR(INDEX(Target!$R$11:$R$167,MATCH('Calculations - Target'!D207,Target!$N$11:$N$167,0)),"")</f>
        <v/>
      </c>
      <c r="AI207" s="23" t="str">
        <f t="shared" si="146"/>
        <v/>
      </c>
      <c r="AJ207" s="23" t="str">
        <f t="shared" si="147"/>
        <v/>
      </c>
      <c r="AK207" s="9" t="str">
        <f t="shared" si="130"/>
        <v/>
      </c>
      <c r="AL207" s="4" t="str">
        <f t="shared" si="131"/>
        <v/>
      </c>
      <c r="AM207" s="4"/>
      <c r="AN207" s="4"/>
      <c r="AO207" s="4"/>
      <c r="AP207" s="4"/>
      <c r="AQ207" s="4"/>
      <c r="AR207" s="20" t="str">
        <f t="shared" si="132"/>
        <v>-</v>
      </c>
      <c r="AS207" s="13" t="str">
        <f t="shared" si="148"/>
        <v>-</v>
      </c>
      <c r="AT207" s="13" t="str">
        <f t="shared" si="149"/>
        <v>-</v>
      </c>
      <c r="AU207" s="13" t="str">
        <f t="shared" si="133"/>
        <v>-</v>
      </c>
      <c r="AV207" s="16" t="str">
        <f t="shared" si="150"/>
        <v>-</v>
      </c>
      <c r="AW207" s="16" t="str">
        <f t="shared" si="134"/>
        <v>-</v>
      </c>
      <c r="AX207" s="16" t="str">
        <f t="shared" si="135"/>
        <v>-</v>
      </c>
      <c r="AY207" s="16" t="str">
        <f t="shared" si="151"/>
        <v>-</v>
      </c>
      <c r="AZ207" s="13" t="str">
        <f t="shared" si="152"/>
        <v>-</v>
      </c>
      <c r="BA207" s="10" t="str">
        <f t="shared" si="153"/>
        <v>-</v>
      </c>
      <c r="BB207" s="9" t="str">
        <f t="shared" si="154"/>
        <v>-</v>
      </c>
      <c r="BC207" s="13" t="str">
        <f t="shared" si="155"/>
        <v>-</v>
      </c>
      <c r="BD207" s="10" t="str">
        <f t="shared" si="156"/>
        <v>-</v>
      </c>
      <c r="BE207" s="13" t="str">
        <f t="shared" si="157"/>
        <v>-</v>
      </c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</row>
    <row r="208" spans="2:70" x14ac:dyDescent="0.3">
      <c r="B208" s="96" t="str">
        <f t="shared" si="136"/>
        <v/>
      </c>
      <c r="C208" s="96" t="str">
        <f t="shared" si="137"/>
        <v/>
      </c>
      <c r="D208" s="96" t="str">
        <f t="shared" si="138"/>
        <v/>
      </c>
      <c r="E208" s="3"/>
      <c r="F208" s="3"/>
      <c r="G208" s="3"/>
      <c r="H208" s="3"/>
      <c r="I208" s="20">
        <f>IFERROR(INDEX('Input - Target'!G$2:G$200,MATCH('Calculations - Target'!$D208,'Input - Target'!$B$2:$B$200,0)),"")</f>
        <v>0</v>
      </c>
      <c r="J208" s="20">
        <f>IFERROR(INDEX('Input - Target'!H$2:H$200,MATCH('Calculations - Target'!$D208,'Input - Target'!$B$2:$B$200,0)),"")</f>
        <v>0</v>
      </c>
      <c r="K208" s="21">
        <f>IFERROR(INDEX('Input - Target'!I$2:I$200,MATCH('Calculations - Target'!$D208,'Input - Target'!$B$2:$B$200,0)),"")</f>
        <v>0</v>
      </c>
      <c r="L208" s="21">
        <f>IFERROR(INDEX('Input - Target'!J$2:J$200,MATCH('Calculations - Target'!$D208,'Input - Target'!$B$2:$B$200,0)),"")</f>
        <v>0</v>
      </c>
      <c r="M208" s="20">
        <f>IFERROR(INDEX('Input - Target'!K$2:K$200,MATCH('Calculations - Target'!$D208,'Input - Target'!$B$2:$B$200,0)),"")</f>
        <v>0</v>
      </c>
      <c r="N208" s="20">
        <f>IFERROR(INDEX('Input - Target'!L$2:L$200,MATCH('Calculations - Target'!$D208,'Input - Target'!$B$2:$B$200,0)),"")</f>
        <v>0</v>
      </c>
      <c r="O208" s="21" t="str">
        <f t="shared" si="139"/>
        <v/>
      </c>
      <c r="P208" s="21" t="str">
        <f t="shared" si="123"/>
        <v/>
      </c>
      <c r="Q208" s="21">
        <f t="shared" si="140"/>
        <v>0</v>
      </c>
      <c r="R208" s="9">
        <f t="shared" si="158"/>
        <v>0</v>
      </c>
      <c r="S208" s="9">
        <f t="shared" si="159"/>
        <v>0</v>
      </c>
      <c r="T208" s="22" t="str">
        <f>IFERROR(INDEX(Target!$S$11:$S$167,MATCH('Calculations - Target'!$D208,Target!$N$11:$N$167,0)),"")</f>
        <v/>
      </c>
      <c r="U208" s="22" t="str">
        <f>IFERROR(INDEX(Target!$T$11:$T$167,MATCH('Calculations - Target'!$D208,Target!$N$11:$N$167,0)),"")</f>
        <v/>
      </c>
      <c r="V208" s="16" t="e">
        <f t="shared" si="124"/>
        <v>#VALUE!</v>
      </c>
      <c r="W208" s="16" t="e">
        <f t="shared" si="141"/>
        <v>#VALUE!</v>
      </c>
      <c r="X208" s="16" t="e">
        <f t="shared" si="142"/>
        <v>#VALUE!</v>
      </c>
      <c r="Y208" s="10" t="str">
        <f t="shared" si="125"/>
        <v>-</v>
      </c>
      <c r="Z208" s="10" t="str">
        <f t="shared" si="126"/>
        <v>-</v>
      </c>
      <c r="AA208" s="13" t="str">
        <f t="shared" si="143"/>
        <v>-</v>
      </c>
      <c r="AB208" s="9" t="str">
        <f t="shared" si="127"/>
        <v>-</v>
      </c>
      <c r="AC208" s="16" t="str">
        <f t="shared" si="144"/>
        <v>-</v>
      </c>
      <c r="AD208" s="16" t="str">
        <f t="shared" si="128"/>
        <v>-</v>
      </c>
      <c r="AE208" s="16" t="str">
        <f t="shared" si="129"/>
        <v>-</v>
      </c>
      <c r="AF208" s="16" t="str">
        <f t="shared" si="145"/>
        <v>-</v>
      </c>
      <c r="AG208" s="16"/>
      <c r="AH208" s="32" t="str">
        <f>IFERROR(INDEX(Target!$R$11:$R$167,MATCH('Calculations - Target'!D208,Target!$N$11:$N$167,0)),"")</f>
        <v/>
      </c>
      <c r="AI208" s="23" t="str">
        <f t="shared" si="146"/>
        <v/>
      </c>
      <c r="AJ208" s="23" t="str">
        <f t="shared" si="147"/>
        <v/>
      </c>
      <c r="AK208" s="9" t="str">
        <f t="shared" si="130"/>
        <v/>
      </c>
      <c r="AL208" s="4" t="str">
        <f t="shared" si="131"/>
        <v/>
      </c>
      <c r="AM208" s="4"/>
      <c r="AN208" s="4"/>
      <c r="AO208" s="4"/>
      <c r="AP208" s="4"/>
      <c r="AQ208" s="4"/>
      <c r="AR208" s="20" t="str">
        <f t="shared" si="132"/>
        <v>-</v>
      </c>
      <c r="AS208" s="13" t="str">
        <f t="shared" si="148"/>
        <v>-</v>
      </c>
      <c r="AT208" s="13" t="str">
        <f t="shared" si="149"/>
        <v>-</v>
      </c>
      <c r="AU208" s="13" t="str">
        <f t="shared" si="133"/>
        <v>-</v>
      </c>
      <c r="AV208" s="16" t="str">
        <f t="shared" si="150"/>
        <v>-</v>
      </c>
      <c r="AW208" s="16" t="str">
        <f t="shared" si="134"/>
        <v>-</v>
      </c>
      <c r="AX208" s="16" t="str">
        <f t="shared" si="135"/>
        <v>-</v>
      </c>
      <c r="AY208" s="16" t="str">
        <f t="shared" si="151"/>
        <v>-</v>
      </c>
      <c r="AZ208" s="13" t="str">
        <f t="shared" si="152"/>
        <v>-</v>
      </c>
      <c r="BA208" s="10" t="str">
        <f t="shared" si="153"/>
        <v>-</v>
      </c>
      <c r="BB208" s="9" t="str">
        <f t="shared" si="154"/>
        <v>-</v>
      </c>
      <c r="BC208" s="13" t="str">
        <f t="shared" si="155"/>
        <v>-</v>
      </c>
      <c r="BD208" s="10" t="str">
        <f t="shared" si="156"/>
        <v>-</v>
      </c>
      <c r="BE208" s="13" t="str">
        <f t="shared" si="157"/>
        <v>-</v>
      </c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</row>
    <row r="209" spans="2:70" x14ac:dyDescent="0.3">
      <c r="B209" s="96" t="str">
        <f t="shared" si="136"/>
        <v/>
      </c>
      <c r="C209" s="96" t="str">
        <f t="shared" si="137"/>
        <v/>
      </c>
      <c r="D209" s="96" t="str">
        <f t="shared" si="138"/>
        <v/>
      </c>
      <c r="E209" s="3"/>
      <c r="F209" s="3"/>
      <c r="G209" s="3"/>
      <c r="H209" s="3"/>
      <c r="I209" s="20">
        <f>IFERROR(INDEX('Input - Target'!G$2:G$200,MATCH('Calculations - Target'!$D209,'Input - Target'!$B$2:$B$200,0)),"")</f>
        <v>0</v>
      </c>
      <c r="J209" s="20">
        <f>IFERROR(INDEX('Input - Target'!H$2:H$200,MATCH('Calculations - Target'!$D209,'Input - Target'!$B$2:$B$200,0)),"")</f>
        <v>0</v>
      </c>
      <c r="K209" s="21">
        <f>IFERROR(INDEX('Input - Target'!I$2:I$200,MATCH('Calculations - Target'!$D209,'Input - Target'!$B$2:$B$200,0)),"")</f>
        <v>0</v>
      </c>
      <c r="L209" s="21">
        <f>IFERROR(INDEX('Input - Target'!J$2:J$200,MATCH('Calculations - Target'!$D209,'Input - Target'!$B$2:$B$200,0)),"")</f>
        <v>0</v>
      </c>
      <c r="M209" s="20">
        <f>IFERROR(INDEX('Input - Target'!K$2:K$200,MATCH('Calculations - Target'!$D209,'Input - Target'!$B$2:$B$200,0)),"")</f>
        <v>0</v>
      </c>
      <c r="N209" s="20">
        <f>IFERROR(INDEX('Input - Target'!L$2:L$200,MATCH('Calculations - Target'!$D209,'Input - Target'!$B$2:$B$200,0)),"")</f>
        <v>0</v>
      </c>
      <c r="O209" s="21" t="str">
        <f t="shared" si="139"/>
        <v/>
      </c>
      <c r="P209" s="21" t="str">
        <f t="shared" si="123"/>
        <v/>
      </c>
      <c r="Q209" s="21">
        <f t="shared" si="140"/>
        <v>0</v>
      </c>
      <c r="R209" s="9">
        <f t="shared" si="158"/>
        <v>0</v>
      </c>
      <c r="S209" s="9">
        <f t="shared" si="159"/>
        <v>0</v>
      </c>
      <c r="T209" s="22" t="str">
        <f>IFERROR(INDEX(Target!$S$11:$S$167,MATCH('Calculations - Target'!$D209,Target!$N$11:$N$167,0)),"")</f>
        <v/>
      </c>
      <c r="U209" s="22" t="str">
        <f>IFERROR(INDEX(Target!$T$11:$T$167,MATCH('Calculations - Target'!$D209,Target!$N$11:$N$167,0)),"")</f>
        <v/>
      </c>
      <c r="V209" s="16" t="e">
        <f t="shared" si="124"/>
        <v>#VALUE!</v>
      </c>
      <c r="W209" s="16" t="e">
        <f t="shared" si="141"/>
        <v>#VALUE!</v>
      </c>
      <c r="X209" s="16" t="e">
        <f t="shared" si="142"/>
        <v>#VALUE!</v>
      </c>
      <c r="Y209" s="10" t="str">
        <f t="shared" si="125"/>
        <v>-</v>
      </c>
      <c r="Z209" s="10" t="str">
        <f t="shared" si="126"/>
        <v>-</v>
      </c>
      <c r="AA209" s="13" t="str">
        <f t="shared" si="143"/>
        <v>-</v>
      </c>
      <c r="AB209" s="9" t="str">
        <f t="shared" si="127"/>
        <v>-</v>
      </c>
      <c r="AC209" s="16" t="str">
        <f t="shared" si="144"/>
        <v>-</v>
      </c>
      <c r="AD209" s="16" t="str">
        <f t="shared" si="128"/>
        <v>-</v>
      </c>
      <c r="AE209" s="16" t="str">
        <f t="shared" si="129"/>
        <v>-</v>
      </c>
      <c r="AF209" s="16" t="str">
        <f t="shared" si="145"/>
        <v>-</v>
      </c>
      <c r="AG209" s="16"/>
      <c r="AH209" s="32" t="str">
        <f>IFERROR(INDEX(Target!$R$11:$R$167,MATCH('Calculations - Target'!D209,Target!$N$11:$N$167,0)),"")</f>
        <v/>
      </c>
      <c r="AI209" s="23" t="str">
        <f t="shared" si="146"/>
        <v/>
      </c>
      <c r="AJ209" s="23" t="str">
        <f t="shared" si="147"/>
        <v/>
      </c>
      <c r="AK209" s="9" t="str">
        <f t="shared" si="130"/>
        <v/>
      </c>
      <c r="AL209" s="4" t="str">
        <f t="shared" si="131"/>
        <v/>
      </c>
      <c r="AM209" s="4"/>
      <c r="AN209" s="4"/>
      <c r="AO209" s="4"/>
      <c r="AP209" s="4"/>
      <c r="AQ209" s="4"/>
      <c r="AR209" s="20" t="str">
        <f t="shared" si="132"/>
        <v>-</v>
      </c>
      <c r="AS209" s="13" t="str">
        <f t="shared" si="148"/>
        <v>-</v>
      </c>
      <c r="AT209" s="13" t="str">
        <f t="shared" si="149"/>
        <v>-</v>
      </c>
      <c r="AU209" s="13" t="str">
        <f t="shared" si="133"/>
        <v>-</v>
      </c>
      <c r="AV209" s="16" t="str">
        <f t="shared" si="150"/>
        <v>-</v>
      </c>
      <c r="AW209" s="16" t="str">
        <f t="shared" si="134"/>
        <v>-</v>
      </c>
      <c r="AX209" s="16" t="str">
        <f t="shared" si="135"/>
        <v>-</v>
      </c>
      <c r="AY209" s="16" t="str">
        <f t="shared" si="151"/>
        <v>-</v>
      </c>
      <c r="AZ209" s="13" t="str">
        <f t="shared" si="152"/>
        <v>-</v>
      </c>
      <c r="BA209" s="10" t="str">
        <f t="shared" si="153"/>
        <v>-</v>
      </c>
      <c r="BB209" s="9" t="str">
        <f t="shared" si="154"/>
        <v>-</v>
      </c>
      <c r="BC209" s="13" t="str">
        <f t="shared" si="155"/>
        <v>-</v>
      </c>
      <c r="BD209" s="10" t="str">
        <f t="shared" si="156"/>
        <v>-</v>
      </c>
      <c r="BE209" s="13" t="str">
        <f t="shared" si="157"/>
        <v>-</v>
      </c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</row>
    <row r="210" spans="2:70" x14ac:dyDescent="0.3">
      <c r="B210" s="96" t="str">
        <f t="shared" si="136"/>
        <v/>
      </c>
      <c r="C210" s="96" t="str">
        <f t="shared" si="137"/>
        <v/>
      </c>
      <c r="D210" s="96" t="str">
        <f t="shared" si="138"/>
        <v/>
      </c>
      <c r="E210" s="3"/>
      <c r="F210" s="3"/>
      <c r="G210" s="3"/>
      <c r="H210" s="3"/>
      <c r="I210" s="20">
        <f>IFERROR(INDEX('Input - Target'!G$2:G$200,MATCH('Calculations - Target'!$D210,'Input - Target'!$B$2:$B$200,0)),"")</f>
        <v>0</v>
      </c>
      <c r="J210" s="20">
        <f>IFERROR(INDEX('Input - Target'!H$2:H$200,MATCH('Calculations - Target'!$D210,'Input - Target'!$B$2:$B$200,0)),"")</f>
        <v>0</v>
      </c>
      <c r="K210" s="21">
        <f>IFERROR(INDEX('Input - Target'!I$2:I$200,MATCH('Calculations - Target'!$D210,'Input - Target'!$B$2:$B$200,0)),"")</f>
        <v>0</v>
      </c>
      <c r="L210" s="21">
        <f>IFERROR(INDEX('Input - Target'!J$2:J$200,MATCH('Calculations - Target'!$D210,'Input - Target'!$B$2:$B$200,0)),"")</f>
        <v>0</v>
      </c>
      <c r="M210" s="20">
        <f>IFERROR(INDEX('Input - Target'!K$2:K$200,MATCH('Calculations - Target'!$D210,'Input - Target'!$B$2:$B$200,0)),"")</f>
        <v>0</v>
      </c>
      <c r="N210" s="20">
        <f>IFERROR(INDEX('Input - Target'!L$2:L$200,MATCH('Calculations - Target'!$D210,'Input - Target'!$B$2:$B$200,0)),"")</f>
        <v>0</v>
      </c>
      <c r="O210" s="21" t="str">
        <f t="shared" si="139"/>
        <v/>
      </c>
      <c r="P210" s="21" t="str">
        <f t="shared" si="123"/>
        <v/>
      </c>
      <c r="Q210" s="21">
        <f t="shared" si="140"/>
        <v>0</v>
      </c>
      <c r="R210" s="9">
        <f t="shared" si="158"/>
        <v>0</v>
      </c>
      <c r="S210" s="9">
        <f t="shared" si="159"/>
        <v>0</v>
      </c>
      <c r="T210" s="22" t="str">
        <f>IFERROR(INDEX(Target!$S$11:$S$167,MATCH('Calculations - Target'!$D210,Target!$N$11:$N$167,0)),"")</f>
        <v/>
      </c>
      <c r="U210" s="22" t="str">
        <f>IFERROR(INDEX(Target!$T$11:$T$167,MATCH('Calculations - Target'!$D210,Target!$N$11:$N$167,0)),"")</f>
        <v/>
      </c>
      <c r="V210" s="16" t="e">
        <f t="shared" si="124"/>
        <v>#VALUE!</v>
      </c>
      <c r="W210" s="16" t="e">
        <f t="shared" si="141"/>
        <v>#VALUE!</v>
      </c>
      <c r="X210" s="16" t="e">
        <f t="shared" si="142"/>
        <v>#VALUE!</v>
      </c>
      <c r="Y210" s="10" t="str">
        <f t="shared" si="125"/>
        <v>-</v>
      </c>
      <c r="Z210" s="10" t="str">
        <f t="shared" si="126"/>
        <v>-</v>
      </c>
      <c r="AA210" s="13" t="str">
        <f t="shared" si="143"/>
        <v>-</v>
      </c>
      <c r="AB210" s="9" t="str">
        <f t="shared" si="127"/>
        <v>-</v>
      </c>
      <c r="AC210" s="16" t="str">
        <f t="shared" si="144"/>
        <v>-</v>
      </c>
      <c r="AD210" s="16" t="str">
        <f t="shared" si="128"/>
        <v>-</v>
      </c>
      <c r="AE210" s="16" t="str">
        <f t="shared" si="129"/>
        <v>-</v>
      </c>
      <c r="AF210" s="16" t="str">
        <f t="shared" si="145"/>
        <v>-</v>
      </c>
      <c r="AG210" s="16"/>
      <c r="AH210" s="32" t="str">
        <f>IFERROR(INDEX(Target!$R$11:$R$167,MATCH('Calculations - Target'!D210,Target!$N$11:$N$167,0)),"")</f>
        <v/>
      </c>
      <c r="AI210" s="23" t="str">
        <f t="shared" si="146"/>
        <v/>
      </c>
      <c r="AJ210" s="23" t="str">
        <f t="shared" si="147"/>
        <v/>
      </c>
      <c r="AK210" s="9" t="str">
        <f t="shared" si="130"/>
        <v/>
      </c>
      <c r="AL210" s="4" t="str">
        <f t="shared" si="131"/>
        <v/>
      </c>
      <c r="AM210" s="4"/>
      <c r="AN210" s="4"/>
      <c r="AO210" s="4"/>
      <c r="AP210" s="4"/>
      <c r="AQ210" s="4"/>
      <c r="AR210" s="20" t="str">
        <f t="shared" si="132"/>
        <v>-</v>
      </c>
      <c r="AS210" s="13" t="str">
        <f t="shared" si="148"/>
        <v>-</v>
      </c>
      <c r="AT210" s="13" t="str">
        <f t="shared" si="149"/>
        <v>-</v>
      </c>
      <c r="AU210" s="13" t="str">
        <f t="shared" si="133"/>
        <v>-</v>
      </c>
      <c r="AV210" s="16" t="str">
        <f t="shared" si="150"/>
        <v>-</v>
      </c>
      <c r="AW210" s="16" t="str">
        <f t="shared" si="134"/>
        <v>-</v>
      </c>
      <c r="AX210" s="16" t="str">
        <f t="shared" si="135"/>
        <v>-</v>
      </c>
      <c r="AY210" s="16" t="str">
        <f t="shared" si="151"/>
        <v>-</v>
      </c>
      <c r="AZ210" s="13" t="str">
        <f t="shared" si="152"/>
        <v>-</v>
      </c>
      <c r="BA210" s="10" t="str">
        <f t="shared" si="153"/>
        <v>-</v>
      </c>
      <c r="BB210" s="9" t="str">
        <f t="shared" si="154"/>
        <v>-</v>
      </c>
      <c r="BC210" s="13" t="str">
        <f t="shared" si="155"/>
        <v>-</v>
      </c>
      <c r="BD210" s="10" t="str">
        <f t="shared" si="156"/>
        <v>-</v>
      </c>
      <c r="BE210" s="13" t="str">
        <f t="shared" si="157"/>
        <v>-</v>
      </c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</row>
    <row r="211" spans="2:70" x14ac:dyDescent="0.3">
      <c r="B211" s="96" t="str">
        <f t="shared" si="136"/>
        <v/>
      </c>
      <c r="C211" s="96" t="str">
        <f t="shared" si="137"/>
        <v/>
      </c>
      <c r="D211" s="96" t="str">
        <f t="shared" si="138"/>
        <v/>
      </c>
      <c r="E211" s="3"/>
      <c r="F211" s="3"/>
      <c r="G211" s="3"/>
      <c r="H211" s="3"/>
      <c r="I211" s="20">
        <f>IFERROR(INDEX('Input - Target'!G$2:G$200,MATCH('Calculations - Target'!$D211,'Input - Target'!$B$2:$B$200,0)),"")</f>
        <v>0</v>
      </c>
      <c r="J211" s="20">
        <f>IFERROR(INDEX('Input - Target'!H$2:H$200,MATCH('Calculations - Target'!$D211,'Input - Target'!$B$2:$B$200,0)),"")</f>
        <v>0</v>
      </c>
      <c r="K211" s="21">
        <f>IFERROR(INDEX('Input - Target'!I$2:I$200,MATCH('Calculations - Target'!$D211,'Input - Target'!$B$2:$B$200,0)),"")</f>
        <v>0</v>
      </c>
      <c r="L211" s="21">
        <f>IFERROR(INDEX('Input - Target'!J$2:J$200,MATCH('Calculations - Target'!$D211,'Input - Target'!$B$2:$B$200,0)),"")</f>
        <v>0</v>
      </c>
      <c r="M211" s="20">
        <f>IFERROR(INDEX('Input - Target'!K$2:K$200,MATCH('Calculations - Target'!$D211,'Input - Target'!$B$2:$B$200,0)),"")</f>
        <v>0</v>
      </c>
      <c r="N211" s="20">
        <f>IFERROR(INDEX('Input - Target'!L$2:L$200,MATCH('Calculations - Target'!$D211,'Input - Target'!$B$2:$B$200,0)),"")</f>
        <v>0</v>
      </c>
      <c r="O211" s="21" t="str">
        <f t="shared" si="139"/>
        <v/>
      </c>
      <c r="P211" s="21" t="str">
        <f t="shared" si="123"/>
        <v/>
      </c>
      <c r="Q211" s="21">
        <f t="shared" si="140"/>
        <v>0</v>
      </c>
      <c r="R211" s="9">
        <f t="shared" si="158"/>
        <v>0</v>
      </c>
      <c r="S211" s="9">
        <f t="shared" si="159"/>
        <v>0</v>
      </c>
      <c r="T211" s="22" t="str">
        <f>IFERROR(INDEX(Target!$S$11:$S$167,MATCH('Calculations - Target'!$D211,Target!$N$11:$N$167,0)),"")</f>
        <v/>
      </c>
      <c r="U211" s="22" t="str">
        <f>IFERROR(INDEX(Target!$T$11:$T$167,MATCH('Calculations - Target'!$D211,Target!$N$11:$N$167,0)),"")</f>
        <v/>
      </c>
      <c r="V211" s="16" t="e">
        <f t="shared" si="124"/>
        <v>#VALUE!</v>
      </c>
      <c r="W211" s="16" t="e">
        <f t="shared" si="141"/>
        <v>#VALUE!</v>
      </c>
      <c r="X211" s="16" t="e">
        <f t="shared" si="142"/>
        <v>#VALUE!</v>
      </c>
      <c r="Y211" s="10" t="str">
        <f t="shared" si="125"/>
        <v>-</v>
      </c>
      <c r="Z211" s="10" t="str">
        <f t="shared" si="126"/>
        <v>-</v>
      </c>
      <c r="AA211" s="13" t="str">
        <f t="shared" si="143"/>
        <v>-</v>
      </c>
      <c r="AB211" s="9" t="str">
        <f t="shared" si="127"/>
        <v>-</v>
      </c>
      <c r="AC211" s="16" t="str">
        <f t="shared" si="144"/>
        <v>-</v>
      </c>
      <c r="AD211" s="16" t="str">
        <f t="shared" si="128"/>
        <v>-</v>
      </c>
      <c r="AE211" s="16" t="str">
        <f t="shared" si="129"/>
        <v>-</v>
      </c>
      <c r="AF211" s="16" t="str">
        <f t="shared" si="145"/>
        <v>-</v>
      </c>
      <c r="AG211" s="16"/>
      <c r="AH211" s="32" t="str">
        <f>IFERROR(INDEX(Target!$R$11:$R$167,MATCH('Calculations - Target'!D211,Target!$N$11:$N$167,0)),"")</f>
        <v/>
      </c>
      <c r="AI211" s="23" t="str">
        <f t="shared" si="146"/>
        <v/>
      </c>
      <c r="AJ211" s="23" t="str">
        <f t="shared" si="147"/>
        <v/>
      </c>
      <c r="AK211" s="9" t="str">
        <f t="shared" si="130"/>
        <v/>
      </c>
      <c r="AL211" s="4" t="str">
        <f t="shared" si="131"/>
        <v/>
      </c>
      <c r="AM211" s="4"/>
      <c r="AN211" s="4"/>
      <c r="AO211" s="4"/>
      <c r="AP211" s="4"/>
      <c r="AQ211" s="4"/>
      <c r="AR211" s="20" t="str">
        <f t="shared" si="132"/>
        <v>-</v>
      </c>
      <c r="AS211" s="13" t="str">
        <f t="shared" si="148"/>
        <v>-</v>
      </c>
      <c r="AT211" s="13" t="str">
        <f t="shared" si="149"/>
        <v>-</v>
      </c>
      <c r="AU211" s="13" t="str">
        <f t="shared" si="133"/>
        <v>-</v>
      </c>
      <c r="AV211" s="16" t="str">
        <f t="shared" si="150"/>
        <v>-</v>
      </c>
      <c r="AW211" s="16" t="str">
        <f t="shared" si="134"/>
        <v>-</v>
      </c>
      <c r="AX211" s="16" t="str">
        <f t="shared" si="135"/>
        <v>-</v>
      </c>
      <c r="AY211" s="16" t="str">
        <f t="shared" si="151"/>
        <v>-</v>
      </c>
      <c r="AZ211" s="13" t="str">
        <f t="shared" si="152"/>
        <v>-</v>
      </c>
      <c r="BA211" s="10" t="str">
        <f t="shared" si="153"/>
        <v>-</v>
      </c>
      <c r="BB211" s="9" t="str">
        <f t="shared" si="154"/>
        <v>-</v>
      </c>
      <c r="BC211" s="13" t="str">
        <f t="shared" si="155"/>
        <v>-</v>
      </c>
      <c r="BD211" s="10" t="str">
        <f t="shared" si="156"/>
        <v>-</v>
      </c>
      <c r="BE211" s="13" t="str">
        <f t="shared" si="157"/>
        <v>-</v>
      </c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</row>
    <row r="212" spans="2:70" x14ac:dyDescent="0.3">
      <c r="B212" s="96" t="str">
        <f t="shared" si="136"/>
        <v/>
      </c>
      <c r="C212" s="96" t="str">
        <f t="shared" si="137"/>
        <v/>
      </c>
      <c r="D212" s="96" t="str">
        <f t="shared" si="138"/>
        <v/>
      </c>
      <c r="E212" s="3"/>
      <c r="F212" s="3"/>
      <c r="G212" s="3"/>
      <c r="H212" s="3"/>
      <c r="I212" s="20">
        <f>IFERROR(INDEX('Input - Target'!G$2:G$200,MATCH('Calculations - Target'!$D212,'Input - Target'!$B$2:$B$200,0)),"")</f>
        <v>0</v>
      </c>
      <c r="J212" s="20">
        <f>IFERROR(INDEX('Input - Target'!H$2:H$200,MATCH('Calculations - Target'!$D212,'Input - Target'!$B$2:$B$200,0)),"")</f>
        <v>0</v>
      </c>
      <c r="K212" s="21">
        <f>IFERROR(INDEX('Input - Target'!I$2:I$200,MATCH('Calculations - Target'!$D212,'Input - Target'!$B$2:$B$200,0)),"")</f>
        <v>0</v>
      </c>
      <c r="L212" s="21">
        <f>IFERROR(INDEX('Input - Target'!J$2:J$200,MATCH('Calculations - Target'!$D212,'Input - Target'!$B$2:$B$200,0)),"")</f>
        <v>0</v>
      </c>
      <c r="M212" s="20">
        <f>IFERROR(INDEX('Input - Target'!K$2:K$200,MATCH('Calculations - Target'!$D212,'Input - Target'!$B$2:$B$200,0)),"")</f>
        <v>0</v>
      </c>
      <c r="N212" s="20">
        <f>IFERROR(INDEX('Input - Target'!L$2:L$200,MATCH('Calculations - Target'!$D212,'Input - Target'!$B$2:$B$200,0)),"")</f>
        <v>0</v>
      </c>
      <c r="O212" s="21" t="str">
        <f t="shared" si="139"/>
        <v/>
      </c>
      <c r="P212" s="21" t="str">
        <f t="shared" si="123"/>
        <v/>
      </c>
      <c r="Q212" s="21">
        <f t="shared" si="140"/>
        <v>0</v>
      </c>
      <c r="R212" s="9">
        <f t="shared" si="158"/>
        <v>0</v>
      </c>
      <c r="S212" s="9">
        <f t="shared" si="159"/>
        <v>0</v>
      </c>
      <c r="T212" s="22" t="str">
        <f>IFERROR(INDEX(Target!$S$11:$S$167,MATCH('Calculations - Target'!$D212,Target!$N$11:$N$167,0)),"")</f>
        <v/>
      </c>
      <c r="U212" s="22" t="str">
        <f>IFERROR(INDEX(Target!$T$11:$T$167,MATCH('Calculations - Target'!$D212,Target!$N$11:$N$167,0)),"")</f>
        <v/>
      </c>
      <c r="V212" s="16" t="e">
        <f t="shared" si="124"/>
        <v>#VALUE!</v>
      </c>
      <c r="W212" s="16" t="e">
        <f t="shared" si="141"/>
        <v>#VALUE!</v>
      </c>
      <c r="X212" s="16" t="e">
        <f t="shared" si="142"/>
        <v>#VALUE!</v>
      </c>
      <c r="Y212" s="10" t="str">
        <f t="shared" si="125"/>
        <v>-</v>
      </c>
      <c r="Z212" s="10" t="str">
        <f t="shared" si="126"/>
        <v>-</v>
      </c>
      <c r="AA212" s="13" t="str">
        <f t="shared" si="143"/>
        <v>-</v>
      </c>
      <c r="AB212" s="9" t="str">
        <f t="shared" si="127"/>
        <v>-</v>
      </c>
      <c r="AC212" s="16" t="str">
        <f t="shared" si="144"/>
        <v>-</v>
      </c>
      <c r="AD212" s="16" t="str">
        <f t="shared" si="128"/>
        <v>-</v>
      </c>
      <c r="AE212" s="16" t="str">
        <f t="shared" si="129"/>
        <v>-</v>
      </c>
      <c r="AF212" s="16" t="str">
        <f t="shared" si="145"/>
        <v>-</v>
      </c>
      <c r="AG212" s="16"/>
      <c r="AH212" s="32" t="str">
        <f>IFERROR(INDEX(Target!$R$11:$R$167,MATCH('Calculations - Target'!D212,Target!$N$11:$N$167,0)),"")</f>
        <v/>
      </c>
      <c r="AI212" s="23" t="str">
        <f t="shared" si="146"/>
        <v/>
      </c>
      <c r="AJ212" s="23" t="str">
        <f t="shared" si="147"/>
        <v/>
      </c>
      <c r="AK212" s="9" t="str">
        <f t="shared" si="130"/>
        <v/>
      </c>
      <c r="AL212" s="4" t="str">
        <f t="shared" si="131"/>
        <v/>
      </c>
      <c r="AM212" s="4"/>
      <c r="AN212" s="4"/>
      <c r="AO212" s="4"/>
      <c r="AP212" s="4"/>
      <c r="AQ212" s="4"/>
      <c r="AR212" s="20" t="str">
        <f t="shared" si="132"/>
        <v>-</v>
      </c>
      <c r="AS212" s="13" t="str">
        <f t="shared" si="148"/>
        <v>-</v>
      </c>
      <c r="AT212" s="13" t="str">
        <f t="shared" si="149"/>
        <v>-</v>
      </c>
      <c r="AU212" s="13" t="str">
        <f t="shared" si="133"/>
        <v>-</v>
      </c>
      <c r="AV212" s="16" t="str">
        <f t="shared" si="150"/>
        <v>-</v>
      </c>
      <c r="AW212" s="16" t="str">
        <f t="shared" si="134"/>
        <v>-</v>
      </c>
      <c r="AX212" s="16" t="str">
        <f t="shared" si="135"/>
        <v>-</v>
      </c>
      <c r="AY212" s="16" t="str">
        <f t="shared" si="151"/>
        <v>-</v>
      </c>
      <c r="AZ212" s="13" t="str">
        <f t="shared" si="152"/>
        <v>-</v>
      </c>
      <c r="BA212" s="10" t="str">
        <f t="shared" si="153"/>
        <v>-</v>
      </c>
      <c r="BB212" s="9" t="str">
        <f t="shared" si="154"/>
        <v>-</v>
      </c>
      <c r="BC212" s="13" t="str">
        <f t="shared" si="155"/>
        <v>-</v>
      </c>
      <c r="BD212" s="10" t="str">
        <f t="shared" si="156"/>
        <v>-</v>
      </c>
      <c r="BE212" s="13" t="str">
        <f t="shared" si="157"/>
        <v>-</v>
      </c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</row>
    <row r="213" spans="2:70" x14ac:dyDescent="0.3">
      <c r="B213" s="96" t="str">
        <f t="shared" si="136"/>
        <v/>
      </c>
      <c r="C213" s="96" t="str">
        <f t="shared" si="137"/>
        <v/>
      </c>
      <c r="D213" s="96" t="str">
        <f t="shared" si="138"/>
        <v/>
      </c>
      <c r="E213" s="3"/>
      <c r="F213" s="3"/>
      <c r="G213" s="3"/>
      <c r="H213" s="3"/>
      <c r="I213" s="20">
        <f>IFERROR(INDEX('Input - Target'!G$2:G$200,MATCH('Calculations - Target'!$D213,'Input - Target'!$B$2:$B$200,0)),"")</f>
        <v>0</v>
      </c>
      <c r="J213" s="20">
        <f>IFERROR(INDEX('Input - Target'!H$2:H$200,MATCH('Calculations - Target'!$D213,'Input - Target'!$B$2:$B$200,0)),"")</f>
        <v>0</v>
      </c>
      <c r="K213" s="21">
        <f>IFERROR(INDEX('Input - Target'!I$2:I$200,MATCH('Calculations - Target'!$D213,'Input - Target'!$B$2:$B$200,0)),"")</f>
        <v>0</v>
      </c>
      <c r="L213" s="21">
        <f>IFERROR(INDEX('Input - Target'!J$2:J$200,MATCH('Calculations - Target'!$D213,'Input - Target'!$B$2:$B$200,0)),"")</f>
        <v>0</v>
      </c>
      <c r="M213" s="20">
        <f>IFERROR(INDEX('Input - Target'!K$2:K$200,MATCH('Calculations - Target'!$D213,'Input - Target'!$B$2:$B$200,0)),"")</f>
        <v>0</v>
      </c>
      <c r="N213" s="20">
        <f>IFERROR(INDEX('Input - Target'!L$2:L$200,MATCH('Calculations - Target'!$D213,'Input - Target'!$B$2:$B$200,0)),"")</f>
        <v>0</v>
      </c>
      <c r="O213" s="21" t="str">
        <f t="shared" si="139"/>
        <v/>
      </c>
      <c r="P213" s="21" t="str">
        <f t="shared" si="123"/>
        <v/>
      </c>
      <c r="Q213" s="21">
        <f t="shared" si="140"/>
        <v>0</v>
      </c>
      <c r="R213" s="9">
        <f t="shared" si="158"/>
        <v>0</v>
      </c>
      <c r="S213" s="9">
        <f t="shared" si="159"/>
        <v>0</v>
      </c>
      <c r="T213" s="22" t="str">
        <f>IFERROR(INDEX(Target!$S$11:$S$167,MATCH('Calculations - Target'!$D213,Target!$N$11:$N$167,0)),"")</f>
        <v/>
      </c>
      <c r="U213" s="22" t="str">
        <f>IFERROR(INDEX(Target!$T$11:$T$167,MATCH('Calculations - Target'!$D213,Target!$N$11:$N$167,0)),"")</f>
        <v/>
      </c>
      <c r="V213" s="16" t="e">
        <f t="shared" si="124"/>
        <v>#VALUE!</v>
      </c>
      <c r="W213" s="16" t="e">
        <f t="shared" si="141"/>
        <v>#VALUE!</v>
      </c>
      <c r="X213" s="16" t="e">
        <f t="shared" si="142"/>
        <v>#VALUE!</v>
      </c>
      <c r="Y213" s="10" t="str">
        <f t="shared" si="125"/>
        <v>-</v>
      </c>
      <c r="Z213" s="10" t="str">
        <f t="shared" si="126"/>
        <v>-</v>
      </c>
      <c r="AA213" s="13" t="str">
        <f t="shared" si="143"/>
        <v>-</v>
      </c>
      <c r="AB213" s="9" t="str">
        <f t="shared" si="127"/>
        <v>-</v>
      </c>
      <c r="AC213" s="16" t="str">
        <f t="shared" si="144"/>
        <v>-</v>
      </c>
      <c r="AD213" s="16" t="str">
        <f t="shared" si="128"/>
        <v>-</v>
      </c>
      <c r="AE213" s="16" t="str">
        <f t="shared" si="129"/>
        <v>-</v>
      </c>
      <c r="AF213" s="16" t="str">
        <f t="shared" si="145"/>
        <v>-</v>
      </c>
      <c r="AG213" s="16"/>
      <c r="AH213" s="32" t="str">
        <f>IFERROR(INDEX(Target!$R$11:$R$167,MATCH('Calculations - Target'!D213,Target!$N$11:$N$167,0)),"")</f>
        <v/>
      </c>
      <c r="AI213" s="23" t="str">
        <f t="shared" si="146"/>
        <v/>
      </c>
      <c r="AJ213" s="23" t="str">
        <f t="shared" si="147"/>
        <v/>
      </c>
      <c r="AK213" s="9" t="str">
        <f t="shared" si="130"/>
        <v/>
      </c>
      <c r="AL213" s="4" t="str">
        <f t="shared" si="131"/>
        <v/>
      </c>
      <c r="AM213" s="4"/>
      <c r="AN213" s="4"/>
      <c r="AO213" s="4"/>
      <c r="AP213" s="4"/>
      <c r="AQ213" s="4"/>
      <c r="AR213" s="20" t="str">
        <f t="shared" si="132"/>
        <v>-</v>
      </c>
      <c r="AS213" s="13" t="str">
        <f t="shared" si="148"/>
        <v>-</v>
      </c>
      <c r="AT213" s="13" t="str">
        <f t="shared" si="149"/>
        <v>-</v>
      </c>
      <c r="AU213" s="13" t="str">
        <f t="shared" si="133"/>
        <v>-</v>
      </c>
      <c r="AV213" s="16" t="str">
        <f t="shared" si="150"/>
        <v>-</v>
      </c>
      <c r="AW213" s="16" t="str">
        <f t="shared" si="134"/>
        <v>-</v>
      </c>
      <c r="AX213" s="16" t="str">
        <f t="shared" si="135"/>
        <v>-</v>
      </c>
      <c r="AY213" s="16" t="str">
        <f t="shared" si="151"/>
        <v>-</v>
      </c>
      <c r="AZ213" s="13" t="str">
        <f t="shared" si="152"/>
        <v>-</v>
      </c>
      <c r="BA213" s="10" t="str">
        <f t="shared" si="153"/>
        <v>-</v>
      </c>
      <c r="BB213" s="9" t="str">
        <f t="shared" si="154"/>
        <v>-</v>
      </c>
      <c r="BC213" s="13" t="str">
        <f t="shared" si="155"/>
        <v>-</v>
      </c>
      <c r="BD213" s="10" t="str">
        <f t="shared" si="156"/>
        <v>-</v>
      </c>
      <c r="BE213" s="13" t="str">
        <f t="shared" si="157"/>
        <v>-</v>
      </c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</row>
    <row r="214" spans="2:70" x14ac:dyDescent="0.3">
      <c r="B214" s="96" t="str">
        <f t="shared" si="136"/>
        <v/>
      </c>
      <c r="C214" s="96" t="str">
        <f t="shared" si="137"/>
        <v/>
      </c>
      <c r="D214" s="96" t="str">
        <f t="shared" si="138"/>
        <v/>
      </c>
      <c r="E214" s="3"/>
      <c r="F214" s="3"/>
      <c r="G214" s="3"/>
      <c r="H214" s="3"/>
      <c r="I214" s="20">
        <f>IFERROR(INDEX('Input - Target'!G$2:G$200,MATCH('Calculations - Target'!$D214,'Input - Target'!$B$2:$B$200,0)),"")</f>
        <v>0</v>
      </c>
      <c r="J214" s="20">
        <f>IFERROR(INDEX('Input - Target'!H$2:H$200,MATCH('Calculations - Target'!$D214,'Input - Target'!$B$2:$B$200,0)),"")</f>
        <v>0</v>
      </c>
      <c r="K214" s="21">
        <f>IFERROR(INDEX('Input - Target'!I$2:I$200,MATCH('Calculations - Target'!$D214,'Input - Target'!$B$2:$B$200,0)),"")</f>
        <v>0</v>
      </c>
      <c r="L214" s="21">
        <f>IFERROR(INDEX('Input - Target'!J$2:J$200,MATCH('Calculations - Target'!$D214,'Input - Target'!$B$2:$B$200,0)),"")</f>
        <v>0</v>
      </c>
      <c r="M214" s="20">
        <f>IFERROR(INDEX('Input - Target'!K$2:K$200,MATCH('Calculations - Target'!$D214,'Input - Target'!$B$2:$B$200,0)),"")</f>
        <v>0</v>
      </c>
      <c r="N214" s="20">
        <f>IFERROR(INDEX('Input - Target'!L$2:L$200,MATCH('Calculations - Target'!$D214,'Input - Target'!$B$2:$B$200,0)),"")</f>
        <v>0</v>
      </c>
      <c r="O214" s="21" t="str">
        <f t="shared" si="139"/>
        <v/>
      </c>
      <c r="P214" s="21" t="str">
        <f t="shared" si="123"/>
        <v/>
      </c>
      <c r="Q214" s="21">
        <f t="shared" si="140"/>
        <v>0</v>
      </c>
      <c r="R214" s="9">
        <f t="shared" si="158"/>
        <v>0</v>
      </c>
      <c r="S214" s="9">
        <f t="shared" si="159"/>
        <v>0</v>
      </c>
      <c r="T214" s="22" t="str">
        <f>IFERROR(INDEX(Target!$S$11:$S$167,MATCH('Calculations - Target'!$D214,Target!$N$11:$N$167,0)),"")</f>
        <v/>
      </c>
      <c r="U214" s="22" t="str">
        <f>IFERROR(INDEX(Target!$T$11:$T$167,MATCH('Calculations - Target'!$D214,Target!$N$11:$N$167,0)),"")</f>
        <v/>
      </c>
      <c r="V214" s="16" t="e">
        <f t="shared" si="124"/>
        <v>#VALUE!</v>
      </c>
      <c r="W214" s="16" t="e">
        <f t="shared" si="141"/>
        <v>#VALUE!</v>
      </c>
      <c r="X214" s="16" t="e">
        <f t="shared" si="142"/>
        <v>#VALUE!</v>
      </c>
      <c r="Y214" s="10" t="str">
        <f t="shared" si="125"/>
        <v>-</v>
      </c>
      <c r="Z214" s="10" t="str">
        <f t="shared" si="126"/>
        <v>-</v>
      </c>
      <c r="AA214" s="13" t="str">
        <f t="shared" si="143"/>
        <v>-</v>
      </c>
      <c r="AB214" s="9" t="str">
        <f t="shared" si="127"/>
        <v>-</v>
      </c>
      <c r="AC214" s="16" t="str">
        <f t="shared" si="144"/>
        <v>-</v>
      </c>
      <c r="AD214" s="16" t="str">
        <f t="shared" si="128"/>
        <v>-</v>
      </c>
      <c r="AE214" s="16" t="str">
        <f t="shared" si="129"/>
        <v>-</v>
      </c>
      <c r="AF214" s="16" t="str">
        <f t="shared" si="145"/>
        <v>-</v>
      </c>
      <c r="AG214" s="16"/>
      <c r="AH214" s="32" t="str">
        <f>IFERROR(INDEX(Target!$R$11:$R$167,MATCH('Calculations - Target'!D214,Target!$N$11:$N$167,0)),"")</f>
        <v/>
      </c>
      <c r="AI214" s="23" t="str">
        <f t="shared" si="146"/>
        <v/>
      </c>
      <c r="AJ214" s="23" t="str">
        <f t="shared" si="147"/>
        <v/>
      </c>
      <c r="AK214" s="9" t="str">
        <f t="shared" si="130"/>
        <v/>
      </c>
      <c r="AL214" s="4" t="str">
        <f t="shared" si="131"/>
        <v/>
      </c>
      <c r="AM214" s="4"/>
      <c r="AN214" s="4"/>
      <c r="AO214" s="4"/>
      <c r="AP214" s="4"/>
      <c r="AQ214" s="4"/>
      <c r="AR214" s="20" t="str">
        <f t="shared" si="132"/>
        <v>-</v>
      </c>
      <c r="AS214" s="13" t="str">
        <f t="shared" si="148"/>
        <v>-</v>
      </c>
      <c r="AT214" s="13" t="str">
        <f t="shared" si="149"/>
        <v>-</v>
      </c>
      <c r="AU214" s="13" t="str">
        <f t="shared" si="133"/>
        <v>-</v>
      </c>
      <c r="AV214" s="16" t="str">
        <f t="shared" si="150"/>
        <v>-</v>
      </c>
      <c r="AW214" s="16" t="str">
        <f t="shared" si="134"/>
        <v>-</v>
      </c>
      <c r="AX214" s="16" t="str">
        <f t="shared" si="135"/>
        <v>-</v>
      </c>
      <c r="AY214" s="16" t="str">
        <f t="shared" si="151"/>
        <v>-</v>
      </c>
      <c r="AZ214" s="13" t="str">
        <f t="shared" si="152"/>
        <v>-</v>
      </c>
      <c r="BA214" s="10" t="str">
        <f t="shared" si="153"/>
        <v>-</v>
      </c>
      <c r="BB214" s="9" t="str">
        <f t="shared" si="154"/>
        <v>-</v>
      </c>
      <c r="BC214" s="13" t="str">
        <f t="shared" si="155"/>
        <v>-</v>
      </c>
      <c r="BD214" s="10" t="str">
        <f t="shared" si="156"/>
        <v>-</v>
      </c>
      <c r="BE214" s="13" t="str">
        <f t="shared" si="157"/>
        <v>-</v>
      </c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</row>
    <row r="215" spans="2:70" x14ac:dyDescent="0.3">
      <c r="B215" s="96" t="str">
        <f t="shared" si="136"/>
        <v/>
      </c>
      <c r="C215" s="96" t="str">
        <f t="shared" si="137"/>
        <v/>
      </c>
      <c r="D215" s="96" t="str">
        <f t="shared" si="138"/>
        <v/>
      </c>
      <c r="E215" s="3"/>
      <c r="F215" s="3"/>
      <c r="G215" s="3"/>
      <c r="H215" s="3"/>
      <c r="I215" s="20">
        <f>IFERROR(INDEX('Input - Target'!G$2:G$200,MATCH('Calculations - Target'!$D215,'Input - Target'!$B$2:$B$200,0)),"")</f>
        <v>0</v>
      </c>
      <c r="J215" s="20">
        <f>IFERROR(INDEX('Input - Target'!H$2:H$200,MATCH('Calculations - Target'!$D215,'Input - Target'!$B$2:$B$200,0)),"")</f>
        <v>0</v>
      </c>
      <c r="K215" s="21">
        <f>IFERROR(INDEX('Input - Target'!I$2:I$200,MATCH('Calculations - Target'!$D215,'Input - Target'!$B$2:$B$200,0)),"")</f>
        <v>0</v>
      </c>
      <c r="L215" s="21">
        <f>IFERROR(INDEX('Input - Target'!J$2:J$200,MATCH('Calculations - Target'!$D215,'Input - Target'!$B$2:$B$200,0)),"")</f>
        <v>0</v>
      </c>
      <c r="M215" s="20">
        <f>IFERROR(INDEX('Input - Target'!K$2:K$200,MATCH('Calculations - Target'!$D215,'Input - Target'!$B$2:$B$200,0)),"")</f>
        <v>0</v>
      </c>
      <c r="N215" s="20">
        <f>IFERROR(INDEX('Input - Target'!L$2:L$200,MATCH('Calculations - Target'!$D215,'Input - Target'!$B$2:$B$200,0)),"")</f>
        <v>0</v>
      </c>
      <c r="O215" s="21" t="str">
        <f t="shared" si="139"/>
        <v/>
      </c>
      <c r="P215" s="21" t="str">
        <f t="shared" si="123"/>
        <v/>
      </c>
      <c r="Q215" s="21">
        <f t="shared" si="140"/>
        <v>0</v>
      </c>
      <c r="R215" s="9">
        <f t="shared" si="158"/>
        <v>0</v>
      </c>
      <c r="S215" s="9">
        <f t="shared" si="159"/>
        <v>0</v>
      </c>
      <c r="T215" s="22" t="str">
        <f>IFERROR(INDEX(Target!$S$11:$S$167,MATCH('Calculations - Target'!$D215,Target!$N$11:$N$167,0)),"")</f>
        <v/>
      </c>
      <c r="U215" s="22" t="str">
        <f>IFERROR(INDEX(Target!$T$11:$T$167,MATCH('Calculations - Target'!$D215,Target!$N$11:$N$167,0)),"")</f>
        <v/>
      </c>
      <c r="V215" s="16" t="e">
        <f t="shared" si="124"/>
        <v>#VALUE!</v>
      </c>
      <c r="W215" s="16" t="e">
        <f t="shared" si="141"/>
        <v>#VALUE!</v>
      </c>
      <c r="X215" s="16" t="e">
        <f t="shared" si="142"/>
        <v>#VALUE!</v>
      </c>
      <c r="Y215" s="10" t="str">
        <f t="shared" si="125"/>
        <v>-</v>
      </c>
      <c r="Z215" s="10" t="str">
        <f t="shared" si="126"/>
        <v>-</v>
      </c>
      <c r="AA215" s="13" t="str">
        <f t="shared" si="143"/>
        <v>-</v>
      </c>
      <c r="AB215" s="9" t="str">
        <f t="shared" si="127"/>
        <v>-</v>
      </c>
      <c r="AC215" s="16" t="str">
        <f t="shared" si="144"/>
        <v>-</v>
      </c>
      <c r="AD215" s="16" t="str">
        <f t="shared" si="128"/>
        <v>-</v>
      </c>
      <c r="AE215" s="16" t="str">
        <f t="shared" si="129"/>
        <v>-</v>
      </c>
      <c r="AF215" s="16" t="str">
        <f t="shared" si="145"/>
        <v>-</v>
      </c>
      <c r="AG215" s="16"/>
      <c r="AH215" s="32" t="str">
        <f>IFERROR(INDEX(Target!$R$11:$R$167,MATCH('Calculations - Target'!D215,Target!$N$11:$N$167,0)),"")</f>
        <v/>
      </c>
      <c r="AI215" s="23" t="str">
        <f t="shared" si="146"/>
        <v/>
      </c>
      <c r="AJ215" s="23" t="str">
        <f t="shared" si="147"/>
        <v/>
      </c>
      <c r="AK215" s="9" t="str">
        <f t="shared" si="130"/>
        <v/>
      </c>
      <c r="AL215" s="4" t="str">
        <f t="shared" si="131"/>
        <v/>
      </c>
      <c r="AM215" s="4"/>
      <c r="AN215" s="4"/>
      <c r="AO215" s="4"/>
      <c r="AP215" s="4"/>
      <c r="AQ215" s="4"/>
      <c r="AR215" s="20" t="str">
        <f t="shared" si="132"/>
        <v>-</v>
      </c>
      <c r="AS215" s="13" t="str">
        <f t="shared" si="148"/>
        <v>-</v>
      </c>
      <c r="AT215" s="13" t="str">
        <f t="shared" si="149"/>
        <v>-</v>
      </c>
      <c r="AU215" s="13" t="str">
        <f t="shared" si="133"/>
        <v>-</v>
      </c>
      <c r="AV215" s="16" t="str">
        <f t="shared" si="150"/>
        <v>-</v>
      </c>
      <c r="AW215" s="16" t="str">
        <f t="shared" si="134"/>
        <v>-</v>
      </c>
      <c r="AX215" s="16" t="str">
        <f t="shared" si="135"/>
        <v>-</v>
      </c>
      <c r="AY215" s="16" t="str">
        <f t="shared" si="151"/>
        <v>-</v>
      </c>
      <c r="AZ215" s="13" t="str">
        <f t="shared" si="152"/>
        <v>-</v>
      </c>
      <c r="BA215" s="10" t="str">
        <f t="shared" si="153"/>
        <v>-</v>
      </c>
      <c r="BB215" s="9" t="str">
        <f t="shared" si="154"/>
        <v>-</v>
      </c>
      <c r="BC215" s="13" t="str">
        <f t="shared" si="155"/>
        <v>-</v>
      </c>
      <c r="BD215" s="10" t="str">
        <f t="shared" si="156"/>
        <v>-</v>
      </c>
      <c r="BE215" s="13" t="str">
        <f t="shared" si="157"/>
        <v>-</v>
      </c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</row>
    <row r="216" spans="2:70" x14ac:dyDescent="0.3">
      <c r="B216" s="96" t="str">
        <f t="shared" si="136"/>
        <v/>
      </c>
      <c r="C216" s="96" t="str">
        <f t="shared" si="137"/>
        <v/>
      </c>
      <c r="D216" s="96" t="str">
        <f t="shared" si="138"/>
        <v/>
      </c>
      <c r="E216" s="3"/>
      <c r="F216" s="3"/>
      <c r="G216" s="3"/>
      <c r="H216" s="3"/>
      <c r="I216" s="20">
        <f>IFERROR(INDEX('Input - Target'!G$2:G$200,MATCH('Calculations - Target'!$D216,'Input - Target'!$B$2:$B$200,0)),"")</f>
        <v>0</v>
      </c>
      <c r="J216" s="20">
        <f>IFERROR(INDEX('Input - Target'!H$2:H$200,MATCH('Calculations - Target'!$D216,'Input - Target'!$B$2:$B$200,0)),"")</f>
        <v>0</v>
      </c>
      <c r="K216" s="21">
        <f>IFERROR(INDEX('Input - Target'!I$2:I$200,MATCH('Calculations - Target'!$D216,'Input - Target'!$B$2:$B$200,0)),"")</f>
        <v>0</v>
      </c>
      <c r="L216" s="21">
        <f>IFERROR(INDEX('Input - Target'!J$2:J$200,MATCH('Calculations - Target'!$D216,'Input - Target'!$B$2:$B$200,0)),"")</f>
        <v>0</v>
      </c>
      <c r="M216" s="20">
        <f>IFERROR(INDEX('Input - Target'!K$2:K$200,MATCH('Calculations - Target'!$D216,'Input - Target'!$B$2:$B$200,0)),"")</f>
        <v>0</v>
      </c>
      <c r="N216" s="20">
        <f>IFERROR(INDEX('Input - Target'!L$2:L$200,MATCH('Calculations - Target'!$D216,'Input - Target'!$B$2:$B$200,0)),"")</f>
        <v>0</v>
      </c>
      <c r="O216" s="21" t="str">
        <f t="shared" si="139"/>
        <v/>
      </c>
      <c r="P216" s="21" t="str">
        <f t="shared" si="123"/>
        <v/>
      </c>
      <c r="Q216" s="21">
        <f t="shared" si="140"/>
        <v>0</v>
      </c>
      <c r="R216" s="9">
        <f t="shared" si="158"/>
        <v>0</v>
      </c>
      <c r="S216" s="9">
        <f t="shared" si="159"/>
        <v>0</v>
      </c>
      <c r="T216" s="22" t="str">
        <f>IFERROR(INDEX(Target!$S$11:$S$167,MATCH('Calculations - Target'!$D216,Target!$N$11:$N$167,0)),"")</f>
        <v/>
      </c>
      <c r="U216" s="22" t="str">
        <f>IFERROR(INDEX(Target!$T$11:$T$167,MATCH('Calculations - Target'!$D216,Target!$N$11:$N$167,0)),"")</f>
        <v/>
      </c>
      <c r="V216" s="16" t="e">
        <f t="shared" si="124"/>
        <v>#VALUE!</v>
      </c>
      <c r="W216" s="16" t="e">
        <f t="shared" si="141"/>
        <v>#VALUE!</v>
      </c>
      <c r="X216" s="16" t="e">
        <f t="shared" si="142"/>
        <v>#VALUE!</v>
      </c>
      <c r="Y216" s="10" t="str">
        <f t="shared" si="125"/>
        <v>-</v>
      </c>
      <c r="Z216" s="10" t="str">
        <f t="shared" si="126"/>
        <v>-</v>
      </c>
      <c r="AA216" s="13" t="str">
        <f t="shared" si="143"/>
        <v>-</v>
      </c>
      <c r="AB216" s="9" t="str">
        <f t="shared" si="127"/>
        <v>-</v>
      </c>
      <c r="AC216" s="16" t="str">
        <f t="shared" si="144"/>
        <v>-</v>
      </c>
      <c r="AD216" s="16" t="str">
        <f t="shared" si="128"/>
        <v>-</v>
      </c>
      <c r="AE216" s="16" t="str">
        <f t="shared" si="129"/>
        <v>-</v>
      </c>
      <c r="AF216" s="16" t="str">
        <f t="shared" si="145"/>
        <v>-</v>
      </c>
      <c r="AG216" s="16"/>
      <c r="AH216" s="32" t="str">
        <f>IFERROR(INDEX(Target!$R$11:$R$167,MATCH('Calculations - Target'!D216,Target!$N$11:$N$167,0)),"")</f>
        <v/>
      </c>
      <c r="AI216" s="23" t="str">
        <f t="shared" si="146"/>
        <v/>
      </c>
      <c r="AJ216" s="23" t="str">
        <f t="shared" si="147"/>
        <v/>
      </c>
      <c r="AK216" s="9" t="str">
        <f t="shared" si="130"/>
        <v/>
      </c>
      <c r="AL216" s="4" t="str">
        <f t="shared" si="131"/>
        <v/>
      </c>
      <c r="AM216" s="4"/>
      <c r="AN216" s="4"/>
      <c r="AO216" s="4"/>
      <c r="AP216" s="4"/>
      <c r="AQ216" s="4"/>
      <c r="AR216" s="20" t="str">
        <f t="shared" si="132"/>
        <v>-</v>
      </c>
      <c r="AS216" s="13" t="str">
        <f t="shared" si="148"/>
        <v>-</v>
      </c>
      <c r="AT216" s="13" t="str">
        <f t="shared" si="149"/>
        <v>-</v>
      </c>
      <c r="AU216" s="13" t="str">
        <f t="shared" si="133"/>
        <v>-</v>
      </c>
      <c r="AV216" s="16" t="str">
        <f t="shared" si="150"/>
        <v>-</v>
      </c>
      <c r="AW216" s="16" t="str">
        <f t="shared" si="134"/>
        <v>-</v>
      </c>
      <c r="AX216" s="16" t="str">
        <f t="shared" si="135"/>
        <v>-</v>
      </c>
      <c r="AY216" s="16" t="str">
        <f t="shared" si="151"/>
        <v>-</v>
      </c>
      <c r="AZ216" s="13" t="str">
        <f t="shared" si="152"/>
        <v>-</v>
      </c>
      <c r="BA216" s="10" t="str">
        <f t="shared" si="153"/>
        <v>-</v>
      </c>
      <c r="BB216" s="9" t="str">
        <f t="shared" si="154"/>
        <v>-</v>
      </c>
      <c r="BC216" s="13" t="str">
        <f t="shared" si="155"/>
        <v>-</v>
      </c>
      <c r="BD216" s="10" t="str">
        <f t="shared" si="156"/>
        <v>-</v>
      </c>
      <c r="BE216" s="13" t="str">
        <f t="shared" si="157"/>
        <v>-</v>
      </c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</row>
    <row r="217" spans="2:70" x14ac:dyDescent="0.3">
      <c r="B217" s="96" t="str">
        <f t="shared" si="136"/>
        <v/>
      </c>
      <c r="C217" s="96" t="str">
        <f t="shared" si="137"/>
        <v/>
      </c>
      <c r="D217" s="96" t="str">
        <f t="shared" si="138"/>
        <v/>
      </c>
      <c r="E217" s="3"/>
      <c r="F217" s="3"/>
      <c r="G217" s="3"/>
      <c r="H217" s="3"/>
      <c r="I217" s="20">
        <f>IFERROR(INDEX('Input - Target'!G$2:G$200,MATCH('Calculations - Target'!$D217,'Input - Target'!$B$2:$B$200,0)),"")</f>
        <v>0</v>
      </c>
      <c r="J217" s="20">
        <f>IFERROR(INDEX('Input - Target'!H$2:H$200,MATCH('Calculations - Target'!$D217,'Input - Target'!$B$2:$B$200,0)),"")</f>
        <v>0</v>
      </c>
      <c r="K217" s="21">
        <f>IFERROR(INDEX('Input - Target'!I$2:I$200,MATCH('Calculations - Target'!$D217,'Input - Target'!$B$2:$B$200,0)),"")</f>
        <v>0</v>
      </c>
      <c r="L217" s="21">
        <f>IFERROR(INDEX('Input - Target'!J$2:J$200,MATCH('Calculations - Target'!$D217,'Input - Target'!$B$2:$B$200,0)),"")</f>
        <v>0</v>
      </c>
      <c r="M217" s="20">
        <f>IFERROR(INDEX('Input - Target'!K$2:K$200,MATCH('Calculations - Target'!$D217,'Input - Target'!$B$2:$B$200,0)),"")</f>
        <v>0</v>
      </c>
      <c r="N217" s="20">
        <f>IFERROR(INDEX('Input - Target'!L$2:L$200,MATCH('Calculations - Target'!$D217,'Input - Target'!$B$2:$B$200,0)),"")</f>
        <v>0</v>
      </c>
      <c r="O217" s="21" t="str">
        <f t="shared" si="139"/>
        <v/>
      </c>
      <c r="P217" s="21" t="str">
        <f t="shared" si="123"/>
        <v/>
      </c>
      <c r="Q217" s="21">
        <f t="shared" si="140"/>
        <v>0</v>
      </c>
      <c r="R217" s="9">
        <f t="shared" si="158"/>
        <v>0</v>
      </c>
      <c r="S217" s="9">
        <f t="shared" si="159"/>
        <v>0</v>
      </c>
      <c r="T217" s="22" t="str">
        <f>IFERROR(INDEX(Target!$S$11:$S$167,MATCH('Calculations - Target'!$D217,Target!$N$11:$N$167,0)),"")</f>
        <v/>
      </c>
      <c r="U217" s="22" t="str">
        <f>IFERROR(INDEX(Target!$T$11:$T$167,MATCH('Calculations - Target'!$D217,Target!$N$11:$N$167,0)),"")</f>
        <v/>
      </c>
      <c r="V217" s="16" t="e">
        <f t="shared" si="124"/>
        <v>#VALUE!</v>
      </c>
      <c r="W217" s="16" t="e">
        <f t="shared" si="141"/>
        <v>#VALUE!</v>
      </c>
      <c r="X217" s="16" t="e">
        <f t="shared" si="142"/>
        <v>#VALUE!</v>
      </c>
      <c r="Y217" s="10" t="str">
        <f t="shared" si="125"/>
        <v>-</v>
      </c>
      <c r="Z217" s="10" t="str">
        <f t="shared" si="126"/>
        <v>-</v>
      </c>
      <c r="AA217" s="13" t="str">
        <f t="shared" si="143"/>
        <v>-</v>
      </c>
      <c r="AB217" s="9" t="str">
        <f t="shared" si="127"/>
        <v>-</v>
      </c>
      <c r="AC217" s="16" t="str">
        <f t="shared" si="144"/>
        <v>-</v>
      </c>
      <c r="AD217" s="16" t="str">
        <f t="shared" si="128"/>
        <v>-</v>
      </c>
      <c r="AE217" s="16" t="str">
        <f t="shared" si="129"/>
        <v>-</v>
      </c>
      <c r="AF217" s="16" t="str">
        <f t="shared" si="145"/>
        <v>-</v>
      </c>
      <c r="AG217" s="16"/>
      <c r="AH217" s="32" t="str">
        <f>IFERROR(INDEX(Target!$R$11:$R$167,MATCH('Calculations - Target'!D217,Target!$N$11:$N$167,0)),"")</f>
        <v/>
      </c>
      <c r="AI217" s="23" t="str">
        <f t="shared" si="146"/>
        <v/>
      </c>
      <c r="AJ217" s="23" t="str">
        <f t="shared" si="147"/>
        <v/>
      </c>
      <c r="AK217" s="9" t="str">
        <f t="shared" si="130"/>
        <v/>
      </c>
      <c r="AL217" s="4" t="str">
        <f t="shared" si="131"/>
        <v/>
      </c>
      <c r="AM217" s="4"/>
      <c r="AN217" s="4"/>
      <c r="AO217" s="4"/>
      <c r="AP217" s="4"/>
      <c r="AQ217" s="4"/>
      <c r="AR217" s="20" t="str">
        <f t="shared" si="132"/>
        <v>-</v>
      </c>
      <c r="AS217" s="13" t="str">
        <f t="shared" si="148"/>
        <v>-</v>
      </c>
      <c r="AT217" s="13" t="str">
        <f t="shared" si="149"/>
        <v>-</v>
      </c>
      <c r="AU217" s="13" t="str">
        <f t="shared" si="133"/>
        <v>-</v>
      </c>
      <c r="AV217" s="16" t="str">
        <f t="shared" si="150"/>
        <v>-</v>
      </c>
      <c r="AW217" s="16" t="str">
        <f t="shared" si="134"/>
        <v>-</v>
      </c>
      <c r="AX217" s="16" t="str">
        <f t="shared" si="135"/>
        <v>-</v>
      </c>
      <c r="AY217" s="16" t="str">
        <f t="shared" si="151"/>
        <v>-</v>
      </c>
      <c r="AZ217" s="13" t="str">
        <f t="shared" si="152"/>
        <v>-</v>
      </c>
      <c r="BA217" s="10" t="str">
        <f t="shared" si="153"/>
        <v>-</v>
      </c>
      <c r="BB217" s="9" t="str">
        <f t="shared" si="154"/>
        <v>-</v>
      </c>
      <c r="BC217" s="13" t="str">
        <f t="shared" si="155"/>
        <v>-</v>
      </c>
      <c r="BD217" s="10" t="str">
        <f t="shared" si="156"/>
        <v>-</v>
      </c>
      <c r="BE217" s="13" t="str">
        <f t="shared" si="157"/>
        <v>-</v>
      </c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</row>
    <row r="218" spans="2:70" x14ac:dyDescent="0.3">
      <c r="B218" s="96" t="str">
        <f t="shared" si="136"/>
        <v/>
      </c>
      <c r="C218" s="96" t="str">
        <f t="shared" si="137"/>
        <v/>
      </c>
      <c r="D218" s="96" t="str">
        <f t="shared" si="138"/>
        <v/>
      </c>
      <c r="E218" s="3"/>
      <c r="F218" s="3"/>
      <c r="G218" s="3"/>
      <c r="H218" s="3"/>
      <c r="I218" s="20">
        <f>IFERROR(INDEX('Input - Target'!G$2:G$200,MATCH('Calculations - Target'!$D218,'Input - Target'!$B$2:$B$200,0)),"")</f>
        <v>0</v>
      </c>
      <c r="J218" s="20">
        <f>IFERROR(INDEX('Input - Target'!H$2:H$200,MATCH('Calculations - Target'!$D218,'Input - Target'!$B$2:$B$200,0)),"")</f>
        <v>0</v>
      </c>
      <c r="K218" s="21">
        <f>IFERROR(INDEX('Input - Target'!I$2:I$200,MATCH('Calculations - Target'!$D218,'Input - Target'!$B$2:$B$200,0)),"")</f>
        <v>0</v>
      </c>
      <c r="L218" s="21">
        <f>IFERROR(INDEX('Input - Target'!J$2:J$200,MATCH('Calculations - Target'!$D218,'Input - Target'!$B$2:$B$200,0)),"")</f>
        <v>0</v>
      </c>
      <c r="M218" s="20">
        <f>IFERROR(INDEX('Input - Target'!K$2:K$200,MATCH('Calculations - Target'!$D218,'Input - Target'!$B$2:$B$200,0)),"")</f>
        <v>0</v>
      </c>
      <c r="N218" s="20">
        <f>IFERROR(INDEX('Input - Target'!L$2:L$200,MATCH('Calculations - Target'!$D218,'Input - Target'!$B$2:$B$200,0)),"")</f>
        <v>0</v>
      </c>
      <c r="O218" s="21" t="str">
        <f t="shared" si="139"/>
        <v/>
      </c>
      <c r="P218" s="21" t="str">
        <f t="shared" si="123"/>
        <v/>
      </c>
      <c r="Q218" s="21">
        <f t="shared" si="140"/>
        <v>0</v>
      </c>
      <c r="R218" s="9">
        <f t="shared" si="158"/>
        <v>0</v>
      </c>
      <c r="S218" s="9">
        <f t="shared" si="159"/>
        <v>0</v>
      </c>
      <c r="T218" s="22" t="str">
        <f>IFERROR(INDEX(Target!$S$11:$S$167,MATCH('Calculations - Target'!$D218,Target!$N$11:$N$167,0)),"")</f>
        <v/>
      </c>
      <c r="U218" s="22" t="str">
        <f>IFERROR(INDEX(Target!$T$11:$T$167,MATCH('Calculations - Target'!$D218,Target!$N$11:$N$167,0)),"")</f>
        <v/>
      </c>
      <c r="V218" s="16" t="e">
        <f t="shared" si="124"/>
        <v>#VALUE!</v>
      </c>
      <c r="W218" s="16" t="e">
        <f t="shared" si="141"/>
        <v>#VALUE!</v>
      </c>
      <c r="X218" s="16" t="e">
        <f t="shared" si="142"/>
        <v>#VALUE!</v>
      </c>
      <c r="Y218" s="10" t="str">
        <f t="shared" si="125"/>
        <v>-</v>
      </c>
      <c r="Z218" s="10" t="str">
        <f t="shared" si="126"/>
        <v>-</v>
      </c>
      <c r="AA218" s="13" t="str">
        <f t="shared" si="143"/>
        <v>-</v>
      </c>
      <c r="AB218" s="9" t="str">
        <f t="shared" si="127"/>
        <v>-</v>
      </c>
      <c r="AC218" s="16" t="str">
        <f t="shared" si="144"/>
        <v>-</v>
      </c>
      <c r="AD218" s="16" t="str">
        <f t="shared" si="128"/>
        <v>-</v>
      </c>
      <c r="AE218" s="16" t="str">
        <f t="shared" si="129"/>
        <v>-</v>
      </c>
      <c r="AF218" s="16" t="str">
        <f t="shared" si="145"/>
        <v>-</v>
      </c>
      <c r="AG218" s="16"/>
      <c r="AH218" s="32" t="str">
        <f>IFERROR(INDEX(Target!$R$11:$R$167,MATCH('Calculations - Target'!D218,Target!$N$11:$N$167,0)),"")</f>
        <v/>
      </c>
      <c r="AI218" s="23" t="str">
        <f t="shared" si="146"/>
        <v/>
      </c>
      <c r="AJ218" s="23" t="str">
        <f t="shared" si="147"/>
        <v/>
      </c>
      <c r="AK218" s="9" t="str">
        <f t="shared" si="130"/>
        <v/>
      </c>
      <c r="AL218" s="4" t="str">
        <f t="shared" si="131"/>
        <v/>
      </c>
      <c r="AM218" s="4"/>
      <c r="AN218" s="4"/>
      <c r="AO218" s="4"/>
      <c r="AP218" s="4"/>
      <c r="AQ218" s="4"/>
      <c r="AR218" s="20" t="str">
        <f t="shared" si="132"/>
        <v>-</v>
      </c>
      <c r="AS218" s="13" t="str">
        <f t="shared" si="148"/>
        <v>-</v>
      </c>
      <c r="AT218" s="13" t="str">
        <f t="shared" si="149"/>
        <v>-</v>
      </c>
      <c r="AU218" s="13" t="str">
        <f t="shared" si="133"/>
        <v>-</v>
      </c>
      <c r="AV218" s="16" t="str">
        <f t="shared" si="150"/>
        <v>-</v>
      </c>
      <c r="AW218" s="16" t="str">
        <f t="shared" si="134"/>
        <v>-</v>
      </c>
      <c r="AX218" s="16" t="str">
        <f t="shared" si="135"/>
        <v>-</v>
      </c>
      <c r="AY218" s="16" t="str">
        <f t="shared" si="151"/>
        <v>-</v>
      </c>
      <c r="AZ218" s="13" t="str">
        <f t="shared" si="152"/>
        <v>-</v>
      </c>
      <c r="BA218" s="10" t="str">
        <f t="shared" si="153"/>
        <v>-</v>
      </c>
      <c r="BB218" s="9" t="str">
        <f t="shared" si="154"/>
        <v>-</v>
      </c>
      <c r="BC218" s="13" t="str">
        <f t="shared" si="155"/>
        <v>-</v>
      </c>
      <c r="BD218" s="10" t="str">
        <f t="shared" si="156"/>
        <v>-</v>
      </c>
      <c r="BE218" s="13" t="str">
        <f t="shared" si="157"/>
        <v>-</v>
      </c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</row>
    <row r="219" spans="2:70" x14ac:dyDescent="0.3">
      <c r="B219" s="96" t="str">
        <f t="shared" si="136"/>
        <v/>
      </c>
      <c r="C219" s="96" t="str">
        <f t="shared" si="137"/>
        <v/>
      </c>
      <c r="D219" s="96" t="str">
        <f t="shared" si="138"/>
        <v/>
      </c>
      <c r="E219" s="3"/>
      <c r="F219" s="3"/>
      <c r="G219" s="3"/>
      <c r="H219" s="3"/>
      <c r="I219" s="20">
        <f>IFERROR(INDEX('Input - Target'!G$2:G$200,MATCH('Calculations - Target'!$D219,'Input - Target'!$B$2:$B$200,0)),"")</f>
        <v>0</v>
      </c>
      <c r="J219" s="20">
        <f>IFERROR(INDEX('Input - Target'!H$2:H$200,MATCH('Calculations - Target'!$D219,'Input - Target'!$B$2:$B$200,0)),"")</f>
        <v>0</v>
      </c>
      <c r="K219" s="21">
        <f>IFERROR(INDEX('Input - Target'!I$2:I$200,MATCH('Calculations - Target'!$D219,'Input - Target'!$B$2:$B$200,0)),"")</f>
        <v>0</v>
      </c>
      <c r="L219" s="21">
        <f>IFERROR(INDEX('Input - Target'!J$2:J$200,MATCH('Calculations - Target'!$D219,'Input - Target'!$B$2:$B$200,0)),"")</f>
        <v>0</v>
      </c>
      <c r="M219" s="20">
        <f>IFERROR(INDEX('Input - Target'!K$2:K$200,MATCH('Calculations - Target'!$D219,'Input - Target'!$B$2:$B$200,0)),"")</f>
        <v>0</v>
      </c>
      <c r="N219" s="20">
        <f>IFERROR(INDEX('Input - Target'!L$2:L$200,MATCH('Calculations - Target'!$D219,'Input - Target'!$B$2:$B$200,0)),"")</f>
        <v>0</v>
      </c>
      <c r="O219" s="21" t="str">
        <f t="shared" si="139"/>
        <v/>
      </c>
      <c r="P219" s="21" t="str">
        <f t="shared" si="123"/>
        <v/>
      </c>
      <c r="Q219" s="21">
        <f t="shared" si="140"/>
        <v>0</v>
      </c>
      <c r="R219" s="9">
        <f t="shared" si="158"/>
        <v>0</v>
      </c>
      <c r="S219" s="9">
        <f t="shared" si="159"/>
        <v>0</v>
      </c>
      <c r="T219" s="22" t="str">
        <f>IFERROR(INDEX(Target!$S$11:$S$167,MATCH('Calculations - Target'!$D219,Target!$N$11:$N$167,0)),"")</f>
        <v/>
      </c>
      <c r="U219" s="22" t="str">
        <f>IFERROR(INDEX(Target!$T$11:$T$167,MATCH('Calculations - Target'!$D219,Target!$N$11:$N$167,0)),"")</f>
        <v/>
      </c>
      <c r="V219" s="16" t="e">
        <f t="shared" si="124"/>
        <v>#VALUE!</v>
      </c>
      <c r="W219" s="16" t="e">
        <f t="shared" si="141"/>
        <v>#VALUE!</v>
      </c>
      <c r="X219" s="16" t="e">
        <f t="shared" si="142"/>
        <v>#VALUE!</v>
      </c>
      <c r="Y219" s="10" t="str">
        <f t="shared" si="125"/>
        <v>-</v>
      </c>
      <c r="Z219" s="10" t="str">
        <f t="shared" si="126"/>
        <v>-</v>
      </c>
      <c r="AA219" s="13" t="str">
        <f t="shared" si="143"/>
        <v>-</v>
      </c>
      <c r="AB219" s="9" t="str">
        <f t="shared" si="127"/>
        <v>-</v>
      </c>
      <c r="AC219" s="16" t="str">
        <f t="shared" si="144"/>
        <v>-</v>
      </c>
      <c r="AD219" s="16" t="str">
        <f t="shared" si="128"/>
        <v>-</v>
      </c>
      <c r="AE219" s="16" t="str">
        <f t="shared" si="129"/>
        <v>-</v>
      </c>
      <c r="AF219" s="16" t="str">
        <f t="shared" si="145"/>
        <v>-</v>
      </c>
      <c r="AG219" s="16"/>
      <c r="AH219" s="32" t="str">
        <f>IFERROR(INDEX(Target!$R$11:$R$167,MATCH('Calculations - Target'!D219,Target!$N$11:$N$167,0)),"")</f>
        <v/>
      </c>
      <c r="AI219" s="23" t="str">
        <f t="shared" si="146"/>
        <v/>
      </c>
      <c r="AJ219" s="23" t="str">
        <f t="shared" si="147"/>
        <v/>
      </c>
      <c r="AK219" s="9" t="str">
        <f t="shared" si="130"/>
        <v/>
      </c>
      <c r="AL219" s="4" t="str">
        <f t="shared" si="131"/>
        <v/>
      </c>
      <c r="AM219" s="4"/>
      <c r="AN219" s="4"/>
      <c r="AO219" s="4"/>
      <c r="AP219" s="4"/>
      <c r="AQ219" s="4"/>
      <c r="AR219" s="20" t="str">
        <f t="shared" si="132"/>
        <v>-</v>
      </c>
      <c r="AS219" s="13" t="str">
        <f t="shared" si="148"/>
        <v>-</v>
      </c>
      <c r="AT219" s="13" t="str">
        <f t="shared" si="149"/>
        <v>-</v>
      </c>
      <c r="AU219" s="13" t="str">
        <f t="shared" si="133"/>
        <v>-</v>
      </c>
      <c r="AV219" s="16" t="str">
        <f t="shared" si="150"/>
        <v>-</v>
      </c>
      <c r="AW219" s="16" t="str">
        <f t="shared" si="134"/>
        <v>-</v>
      </c>
      <c r="AX219" s="16" t="str">
        <f t="shared" si="135"/>
        <v>-</v>
      </c>
      <c r="AY219" s="16" t="str">
        <f t="shared" si="151"/>
        <v>-</v>
      </c>
      <c r="AZ219" s="13" t="str">
        <f t="shared" si="152"/>
        <v>-</v>
      </c>
      <c r="BA219" s="10" t="str">
        <f t="shared" si="153"/>
        <v>-</v>
      </c>
      <c r="BB219" s="9" t="str">
        <f t="shared" si="154"/>
        <v>-</v>
      </c>
      <c r="BC219" s="13" t="str">
        <f t="shared" si="155"/>
        <v>-</v>
      </c>
      <c r="BD219" s="10" t="str">
        <f t="shared" si="156"/>
        <v>-</v>
      </c>
      <c r="BE219" s="13" t="str">
        <f t="shared" si="157"/>
        <v>-</v>
      </c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</row>
    <row r="220" spans="2:70" x14ac:dyDescent="0.3">
      <c r="B220" s="96" t="str">
        <f t="shared" si="136"/>
        <v/>
      </c>
      <c r="C220" s="96" t="str">
        <f t="shared" si="137"/>
        <v/>
      </c>
      <c r="D220" s="96" t="str">
        <f t="shared" si="138"/>
        <v/>
      </c>
      <c r="E220" s="3"/>
      <c r="F220" s="3"/>
      <c r="G220" s="3"/>
      <c r="H220" s="3"/>
      <c r="I220" s="20">
        <f>IFERROR(INDEX('Input - Target'!G$2:G$200,MATCH('Calculations - Target'!$D220,'Input - Target'!$B$2:$B$200,0)),"")</f>
        <v>0</v>
      </c>
      <c r="J220" s="20">
        <f>IFERROR(INDEX('Input - Target'!H$2:H$200,MATCH('Calculations - Target'!$D220,'Input - Target'!$B$2:$B$200,0)),"")</f>
        <v>0</v>
      </c>
      <c r="K220" s="21">
        <f>IFERROR(INDEX('Input - Target'!I$2:I$200,MATCH('Calculations - Target'!$D220,'Input - Target'!$B$2:$B$200,0)),"")</f>
        <v>0</v>
      </c>
      <c r="L220" s="21">
        <f>IFERROR(INDEX('Input - Target'!J$2:J$200,MATCH('Calculations - Target'!$D220,'Input - Target'!$B$2:$B$200,0)),"")</f>
        <v>0</v>
      </c>
      <c r="M220" s="20">
        <f>IFERROR(INDEX('Input - Target'!K$2:K$200,MATCH('Calculations - Target'!$D220,'Input - Target'!$B$2:$B$200,0)),"")</f>
        <v>0</v>
      </c>
      <c r="N220" s="20">
        <f>IFERROR(INDEX('Input - Target'!L$2:L$200,MATCH('Calculations - Target'!$D220,'Input - Target'!$B$2:$B$200,0)),"")</f>
        <v>0</v>
      </c>
      <c r="O220" s="21" t="str">
        <f t="shared" si="139"/>
        <v/>
      </c>
      <c r="P220" s="21" t="str">
        <f t="shared" si="123"/>
        <v/>
      </c>
      <c r="Q220" s="21">
        <f t="shared" si="140"/>
        <v>0</v>
      </c>
      <c r="R220" s="9">
        <f t="shared" si="158"/>
        <v>0</v>
      </c>
      <c r="S220" s="9">
        <f t="shared" si="159"/>
        <v>0</v>
      </c>
      <c r="T220" s="22" t="str">
        <f>IFERROR(INDEX(Target!$S$11:$S$167,MATCH('Calculations - Target'!$D220,Target!$N$11:$N$167,0)),"")</f>
        <v/>
      </c>
      <c r="U220" s="22" t="str">
        <f>IFERROR(INDEX(Target!$T$11:$T$167,MATCH('Calculations - Target'!$D220,Target!$N$11:$N$167,0)),"")</f>
        <v/>
      </c>
      <c r="V220" s="16" t="e">
        <f t="shared" si="124"/>
        <v>#VALUE!</v>
      </c>
      <c r="W220" s="16" t="e">
        <f t="shared" si="141"/>
        <v>#VALUE!</v>
      </c>
      <c r="X220" s="16" t="e">
        <f t="shared" si="142"/>
        <v>#VALUE!</v>
      </c>
      <c r="Y220" s="10" t="str">
        <f t="shared" si="125"/>
        <v>-</v>
      </c>
      <c r="Z220" s="10" t="str">
        <f t="shared" si="126"/>
        <v>-</v>
      </c>
      <c r="AA220" s="13" t="str">
        <f t="shared" si="143"/>
        <v>-</v>
      </c>
      <c r="AB220" s="9" t="str">
        <f t="shared" si="127"/>
        <v>-</v>
      </c>
      <c r="AC220" s="16" t="str">
        <f t="shared" si="144"/>
        <v>-</v>
      </c>
      <c r="AD220" s="16" t="str">
        <f t="shared" si="128"/>
        <v>-</v>
      </c>
      <c r="AE220" s="16" t="str">
        <f t="shared" si="129"/>
        <v>-</v>
      </c>
      <c r="AF220" s="16" t="str">
        <f t="shared" si="145"/>
        <v>-</v>
      </c>
      <c r="AG220" s="16"/>
      <c r="AH220" s="32" t="str">
        <f>IFERROR(INDEX(Target!$R$11:$R$167,MATCH('Calculations - Target'!D220,Target!$N$11:$N$167,0)),"")</f>
        <v/>
      </c>
      <c r="AI220" s="23" t="str">
        <f t="shared" si="146"/>
        <v/>
      </c>
      <c r="AJ220" s="23" t="str">
        <f t="shared" si="147"/>
        <v/>
      </c>
      <c r="AK220" s="9" t="str">
        <f t="shared" si="130"/>
        <v/>
      </c>
      <c r="AL220" s="4" t="str">
        <f t="shared" si="131"/>
        <v/>
      </c>
      <c r="AM220" s="4"/>
      <c r="AN220" s="4"/>
      <c r="AO220" s="4"/>
      <c r="AP220" s="4"/>
      <c r="AQ220" s="4"/>
      <c r="AR220" s="20" t="str">
        <f t="shared" si="132"/>
        <v>-</v>
      </c>
      <c r="AS220" s="13" t="str">
        <f t="shared" si="148"/>
        <v>-</v>
      </c>
      <c r="AT220" s="13" t="str">
        <f t="shared" si="149"/>
        <v>-</v>
      </c>
      <c r="AU220" s="13" t="str">
        <f t="shared" si="133"/>
        <v>-</v>
      </c>
      <c r="AV220" s="16" t="str">
        <f t="shared" si="150"/>
        <v>-</v>
      </c>
      <c r="AW220" s="16" t="str">
        <f t="shared" si="134"/>
        <v>-</v>
      </c>
      <c r="AX220" s="16" t="str">
        <f t="shared" si="135"/>
        <v>-</v>
      </c>
      <c r="AY220" s="16" t="str">
        <f t="shared" si="151"/>
        <v>-</v>
      </c>
      <c r="AZ220" s="13" t="str">
        <f t="shared" si="152"/>
        <v>-</v>
      </c>
      <c r="BA220" s="10" t="str">
        <f t="shared" si="153"/>
        <v>-</v>
      </c>
      <c r="BB220" s="9" t="str">
        <f t="shared" si="154"/>
        <v>-</v>
      </c>
      <c r="BC220" s="13" t="str">
        <f t="shared" si="155"/>
        <v>-</v>
      </c>
      <c r="BD220" s="10" t="str">
        <f t="shared" si="156"/>
        <v>-</v>
      </c>
      <c r="BE220" s="13" t="str">
        <f t="shared" si="157"/>
        <v>-</v>
      </c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</row>
    <row r="221" spans="2:70" x14ac:dyDescent="0.3">
      <c r="B221" s="96" t="str">
        <f t="shared" si="136"/>
        <v/>
      </c>
      <c r="C221" s="96" t="str">
        <f t="shared" si="137"/>
        <v/>
      </c>
      <c r="D221" s="96" t="str">
        <f t="shared" si="138"/>
        <v/>
      </c>
      <c r="E221" s="3"/>
      <c r="F221" s="3"/>
      <c r="G221" s="3"/>
      <c r="H221" s="3"/>
      <c r="I221" s="20">
        <f>IFERROR(INDEX('Input - Target'!G$2:G$200,MATCH('Calculations - Target'!$D221,'Input - Target'!$B$2:$B$200,0)),"")</f>
        <v>0</v>
      </c>
      <c r="J221" s="20">
        <f>IFERROR(INDEX('Input - Target'!H$2:H$200,MATCH('Calculations - Target'!$D221,'Input - Target'!$B$2:$B$200,0)),"")</f>
        <v>0</v>
      </c>
      <c r="K221" s="21">
        <f>IFERROR(INDEX('Input - Target'!I$2:I$200,MATCH('Calculations - Target'!$D221,'Input - Target'!$B$2:$B$200,0)),"")</f>
        <v>0</v>
      </c>
      <c r="L221" s="21">
        <f>IFERROR(INDEX('Input - Target'!J$2:J$200,MATCH('Calculations - Target'!$D221,'Input - Target'!$B$2:$B$200,0)),"")</f>
        <v>0</v>
      </c>
      <c r="M221" s="20">
        <f>IFERROR(INDEX('Input - Target'!K$2:K$200,MATCH('Calculations - Target'!$D221,'Input - Target'!$B$2:$B$200,0)),"")</f>
        <v>0</v>
      </c>
      <c r="N221" s="20">
        <f>IFERROR(INDEX('Input - Target'!L$2:L$200,MATCH('Calculations - Target'!$D221,'Input - Target'!$B$2:$B$200,0)),"")</f>
        <v>0</v>
      </c>
      <c r="O221" s="21" t="str">
        <f t="shared" si="139"/>
        <v/>
      </c>
      <c r="P221" s="21" t="str">
        <f t="shared" si="123"/>
        <v/>
      </c>
      <c r="Q221" s="21">
        <f t="shared" si="140"/>
        <v>0</v>
      </c>
      <c r="R221" s="9">
        <f t="shared" si="158"/>
        <v>0</v>
      </c>
      <c r="S221" s="9">
        <f t="shared" si="159"/>
        <v>0</v>
      </c>
      <c r="T221" s="22" t="str">
        <f>IFERROR(INDEX(Target!$S$11:$S$167,MATCH('Calculations - Target'!$D221,Target!$N$11:$N$167,0)),"")</f>
        <v/>
      </c>
      <c r="U221" s="22" t="str">
        <f>IFERROR(INDEX(Target!$T$11:$T$167,MATCH('Calculations - Target'!$D221,Target!$N$11:$N$167,0)),"")</f>
        <v/>
      </c>
      <c r="V221" s="16" t="e">
        <f t="shared" si="124"/>
        <v>#VALUE!</v>
      </c>
      <c r="W221" s="16" t="e">
        <f t="shared" si="141"/>
        <v>#VALUE!</v>
      </c>
      <c r="X221" s="16" t="e">
        <f t="shared" si="142"/>
        <v>#VALUE!</v>
      </c>
      <c r="Y221" s="10" t="str">
        <f t="shared" si="125"/>
        <v>-</v>
      </c>
      <c r="Z221" s="10" t="str">
        <f t="shared" si="126"/>
        <v>-</v>
      </c>
      <c r="AA221" s="13" t="str">
        <f t="shared" si="143"/>
        <v>-</v>
      </c>
      <c r="AB221" s="9" t="str">
        <f t="shared" si="127"/>
        <v>-</v>
      </c>
      <c r="AC221" s="16" t="str">
        <f t="shared" si="144"/>
        <v>-</v>
      </c>
      <c r="AD221" s="16" t="str">
        <f t="shared" si="128"/>
        <v>-</v>
      </c>
      <c r="AE221" s="16" t="str">
        <f t="shared" si="129"/>
        <v>-</v>
      </c>
      <c r="AF221" s="16" t="str">
        <f t="shared" si="145"/>
        <v>-</v>
      </c>
      <c r="AG221" s="16"/>
      <c r="AH221" s="32" t="str">
        <f>IFERROR(INDEX(Target!$R$11:$R$167,MATCH('Calculations - Target'!D221,Target!$N$11:$N$167,0)),"")</f>
        <v/>
      </c>
      <c r="AI221" s="23" t="str">
        <f t="shared" si="146"/>
        <v/>
      </c>
      <c r="AJ221" s="23" t="str">
        <f t="shared" si="147"/>
        <v/>
      </c>
      <c r="AK221" s="9" t="str">
        <f t="shared" si="130"/>
        <v/>
      </c>
      <c r="AL221" s="4" t="str">
        <f t="shared" si="131"/>
        <v/>
      </c>
      <c r="AM221" s="4"/>
      <c r="AN221" s="4"/>
      <c r="AO221" s="4"/>
      <c r="AP221" s="4"/>
      <c r="AQ221" s="4"/>
      <c r="AR221" s="20" t="str">
        <f t="shared" si="132"/>
        <v>-</v>
      </c>
      <c r="AS221" s="13" t="str">
        <f t="shared" si="148"/>
        <v>-</v>
      </c>
      <c r="AT221" s="13" t="str">
        <f t="shared" si="149"/>
        <v>-</v>
      </c>
      <c r="AU221" s="13" t="str">
        <f t="shared" si="133"/>
        <v>-</v>
      </c>
      <c r="AV221" s="16" t="str">
        <f t="shared" si="150"/>
        <v>-</v>
      </c>
      <c r="AW221" s="16" t="str">
        <f t="shared" si="134"/>
        <v>-</v>
      </c>
      <c r="AX221" s="16" t="str">
        <f t="shared" si="135"/>
        <v>-</v>
      </c>
      <c r="AY221" s="16" t="str">
        <f t="shared" si="151"/>
        <v>-</v>
      </c>
      <c r="AZ221" s="13" t="str">
        <f t="shared" si="152"/>
        <v>-</v>
      </c>
      <c r="BA221" s="10" t="str">
        <f t="shared" si="153"/>
        <v>-</v>
      </c>
      <c r="BB221" s="9" t="str">
        <f t="shared" si="154"/>
        <v>-</v>
      </c>
      <c r="BC221" s="13" t="str">
        <f t="shared" si="155"/>
        <v>-</v>
      </c>
      <c r="BD221" s="10" t="str">
        <f t="shared" si="156"/>
        <v>-</v>
      </c>
      <c r="BE221" s="13" t="str">
        <f t="shared" si="157"/>
        <v>-</v>
      </c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</row>
    <row r="222" spans="2:70" x14ac:dyDescent="0.3">
      <c r="B222" s="96" t="str">
        <f t="shared" si="136"/>
        <v/>
      </c>
      <c r="C222" s="96" t="str">
        <f t="shared" si="137"/>
        <v/>
      </c>
      <c r="D222" s="96" t="str">
        <f t="shared" si="138"/>
        <v/>
      </c>
      <c r="E222" s="3"/>
      <c r="F222" s="3"/>
      <c r="G222" s="3"/>
      <c r="H222" s="3"/>
      <c r="I222" s="20">
        <f>IFERROR(INDEX('Input - Target'!G$2:G$200,MATCH('Calculations - Target'!$D222,'Input - Target'!$B$2:$B$200,0)),"")</f>
        <v>0</v>
      </c>
      <c r="J222" s="20">
        <f>IFERROR(INDEX('Input - Target'!H$2:H$200,MATCH('Calculations - Target'!$D222,'Input - Target'!$B$2:$B$200,0)),"")</f>
        <v>0</v>
      </c>
      <c r="K222" s="21">
        <f>IFERROR(INDEX('Input - Target'!I$2:I$200,MATCH('Calculations - Target'!$D222,'Input - Target'!$B$2:$B$200,0)),"")</f>
        <v>0</v>
      </c>
      <c r="L222" s="21">
        <f>IFERROR(INDEX('Input - Target'!J$2:J$200,MATCH('Calculations - Target'!$D222,'Input - Target'!$B$2:$B$200,0)),"")</f>
        <v>0</v>
      </c>
      <c r="M222" s="20">
        <f>IFERROR(INDEX('Input - Target'!K$2:K$200,MATCH('Calculations - Target'!$D222,'Input - Target'!$B$2:$B$200,0)),"")</f>
        <v>0</v>
      </c>
      <c r="N222" s="20">
        <f>IFERROR(INDEX('Input - Target'!L$2:L$200,MATCH('Calculations - Target'!$D222,'Input - Target'!$B$2:$B$200,0)),"")</f>
        <v>0</v>
      </c>
      <c r="O222" s="21" t="str">
        <f t="shared" si="139"/>
        <v/>
      </c>
      <c r="P222" s="21" t="str">
        <f t="shared" si="123"/>
        <v/>
      </c>
      <c r="Q222" s="21">
        <f t="shared" si="140"/>
        <v>0</v>
      </c>
      <c r="R222" s="9">
        <f t="shared" si="158"/>
        <v>0</v>
      </c>
      <c r="S222" s="9">
        <f t="shared" si="159"/>
        <v>0</v>
      </c>
      <c r="T222" s="22" t="str">
        <f>IFERROR(INDEX(Target!$S$11:$S$167,MATCH('Calculations - Target'!$D222,Target!$N$11:$N$167,0)),"")</f>
        <v/>
      </c>
      <c r="U222" s="22" t="str">
        <f>IFERROR(INDEX(Target!$T$11:$T$167,MATCH('Calculations - Target'!$D222,Target!$N$11:$N$167,0)),"")</f>
        <v/>
      </c>
      <c r="V222" s="16" t="e">
        <f t="shared" si="124"/>
        <v>#VALUE!</v>
      </c>
      <c r="W222" s="16" t="e">
        <f t="shared" si="141"/>
        <v>#VALUE!</v>
      </c>
      <c r="X222" s="16" t="e">
        <f t="shared" si="142"/>
        <v>#VALUE!</v>
      </c>
      <c r="Y222" s="10" t="str">
        <f t="shared" si="125"/>
        <v>-</v>
      </c>
      <c r="Z222" s="10" t="str">
        <f t="shared" si="126"/>
        <v>-</v>
      </c>
      <c r="AA222" s="13" t="str">
        <f t="shared" si="143"/>
        <v>-</v>
      </c>
      <c r="AB222" s="9" t="str">
        <f t="shared" si="127"/>
        <v>-</v>
      </c>
      <c r="AC222" s="16" t="str">
        <f t="shared" si="144"/>
        <v>-</v>
      </c>
      <c r="AD222" s="16" t="str">
        <f t="shared" si="128"/>
        <v>-</v>
      </c>
      <c r="AE222" s="16" t="str">
        <f t="shared" si="129"/>
        <v>-</v>
      </c>
      <c r="AF222" s="16" t="str">
        <f t="shared" si="145"/>
        <v>-</v>
      </c>
      <c r="AG222" s="16"/>
      <c r="AH222" s="32" t="str">
        <f>IFERROR(INDEX(Target!$R$11:$R$167,MATCH('Calculations - Target'!D222,Target!$N$11:$N$167,0)),"")</f>
        <v/>
      </c>
      <c r="AI222" s="23" t="str">
        <f t="shared" si="146"/>
        <v/>
      </c>
      <c r="AJ222" s="23" t="str">
        <f t="shared" si="147"/>
        <v/>
      </c>
      <c r="AK222" s="9" t="str">
        <f t="shared" si="130"/>
        <v/>
      </c>
      <c r="AL222" s="4" t="str">
        <f t="shared" si="131"/>
        <v/>
      </c>
      <c r="AM222" s="4"/>
      <c r="AN222" s="4"/>
      <c r="AO222" s="4"/>
      <c r="AP222" s="4"/>
      <c r="AQ222" s="4"/>
      <c r="AR222" s="20" t="str">
        <f t="shared" si="132"/>
        <v>-</v>
      </c>
      <c r="AS222" s="13" t="str">
        <f t="shared" si="148"/>
        <v>-</v>
      </c>
      <c r="AT222" s="13" t="str">
        <f t="shared" si="149"/>
        <v>-</v>
      </c>
      <c r="AU222" s="13" t="str">
        <f t="shared" si="133"/>
        <v>-</v>
      </c>
      <c r="AV222" s="16" t="str">
        <f t="shared" si="150"/>
        <v>-</v>
      </c>
      <c r="AW222" s="16" t="str">
        <f t="shared" si="134"/>
        <v>-</v>
      </c>
      <c r="AX222" s="16" t="str">
        <f t="shared" si="135"/>
        <v>-</v>
      </c>
      <c r="AY222" s="16" t="str">
        <f t="shared" si="151"/>
        <v>-</v>
      </c>
      <c r="AZ222" s="13" t="str">
        <f t="shared" si="152"/>
        <v>-</v>
      </c>
      <c r="BA222" s="10" t="str">
        <f t="shared" si="153"/>
        <v>-</v>
      </c>
      <c r="BB222" s="9" t="str">
        <f t="shared" si="154"/>
        <v>-</v>
      </c>
      <c r="BC222" s="13" t="str">
        <f t="shared" si="155"/>
        <v>-</v>
      </c>
      <c r="BD222" s="10" t="str">
        <f t="shared" si="156"/>
        <v>-</v>
      </c>
      <c r="BE222" s="13" t="str">
        <f t="shared" si="157"/>
        <v>-</v>
      </c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</row>
    <row r="223" spans="2:70" x14ac:dyDescent="0.3">
      <c r="B223" s="96" t="str">
        <f t="shared" si="136"/>
        <v/>
      </c>
      <c r="C223" s="96" t="str">
        <f t="shared" si="137"/>
        <v/>
      </c>
      <c r="D223" s="96" t="str">
        <f t="shared" si="138"/>
        <v/>
      </c>
      <c r="E223" s="3"/>
      <c r="F223" s="3"/>
      <c r="G223" s="3"/>
      <c r="H223" s="3"/>
      <c r="I223" s="20">
        <f>IFERROR(INDEX('Input - Target'!G$2:G$200,MATCH('Calculations - Target'!$D223,'Input - Target'!$B$2:$B$200,0)),"")</f>
        <v>0</v>
      </c>
      <c r="J223" s="20">
        <f>IFERROR(INDEX('Input - Target'!H$2:H$200,MATCH('Calculations - Target'!$D223,'Input - Target'!$B$2:$B$200,0)),"")</f>
        <v>0</v>
      </c>
      <c r="K223" s="21">
        <f>IFERROR(INDEX('Input - Target'!I$2:I$200,MATCH('Calculations - Target'!$D223,'Input - Target'!$B$2:$B$200,0)),"")</f>
        <v>0</v>
      </c>
      <c r="L223" s="21">
        <f>IFERROR(INDEX('Input - Target'!J$2:J$200,MATCH('Calculations - Target'!$D223,'Input - Target'!$B$2:$B$200,0)),"")</f>
        <v>0</v>
      </c>
      <c r="M223" s="20">
        <f>IFERROR(INDEX('Input - Target'!K$2:K$200,MATCH('Calculations - Target'!$D223,'Input - Target'!$B$2:$B$200,0)),"")</f>
        <v>0</v>
      </c>
      <c r="N223" s="20">
        <f>IFERROR(INDEX('Input - Target'!L$2:L$200,MATCH('Calculations - Target'!$D223,'Input - Target'!$B$2:$B$200,0)),"")</f>
        <v>0</v>
      </c>
      <c r="O223" s="21" t="str">
        <f t="shared" si="139"/>
        <v/>
      </c>
      <c r="P223" s="21" t="str">
        <f t="shared" si="123"/>
        <v/>
      </c>
      <c r="Q223" s="21">
        <f t="shared" si="140"/>
        <v>0</v>
      </c>
      <c r="R223" s="9">
        <f t="shared" si="158"/>
        <v>0</v>
      </c>
      <c r="S223" s="9">
        <f t="shared" si="159"/>
        <v>0</v>
      </c>
      <c r="T223" s="22" t="str">
        <f>IFERROR(INDEX(Target!$S$11:$S$167,MATCH('Calculations - Target'!$D223,Target!$N$11:$N$167,0)),"")</f>
        <v/>
      </c>
      <c r="U223" s="22" t="str">
        <f>IFERROR(INDEX(Target!$T$11:$T$167,MATCH('Calculations - Target'!$D223,Target!$N$11:$N$167,0)),"")</f>
        <v/>
      </c>
      <c r="V223" s="16" t="e">
        <f t="shared" si="124"/>
        <v>#VALUE!</v>
      </c>
      <c r="W223" s="16" t="e">
        <f t="shared" si="141"/>
        <v>#VALUE!</v>
      </c>
      <c r="X223" s="16" t="e">
        <f t="shared" si="142"/>
        <v>#VALUE!</v>
      </c>
      <c r="Y223" s="10" t="str">
        <f t="shared" si="125"/>
        <v>-</v>
      </c>
      <c r="Z223" s="10" t="str">
        <f t="shared" si="126"/>
        <v>-</v>
      </c>
      <c r="AA223" s="13" t="str">
        <f t="shared" si="143"/>
        <v>-</v>
      </c>
      <c r="AB223" s="9" t="str">
        <f t="shared" si="127"/>
        <v>-</v>
      </c>
      <c r="AC223" s="16" t="str">
        <f t="shared" si="144"/>
        <v>-</v>
      </c>
      <c r="AD223" s="16" t="str">
        <f t="shared" si="128"/>
        <v>-</v>
      </c>
      <c r="AE223" s="16" t="str">
        <f t="shared" si="129"/>
        <v>-</v>
      </c>
      <c r="AF223" s="16" t="str">
        <f t="shared" si="145"/>
        <v>-</v>
      </c>
      <c r="AG223" s="16"/>
      <c r="AH223" s="32" t="str">
        <f>IFERROR(INDEX(Target!$R$11:$R$167,MATCH('Calculations - Target'!D223,Target!$N$11:$N$167,0)),"")</f>
        <v/>
      </c>
      <c r="AI223" s="23" t="str">
        <f t="shared" si="146"/>
        <v/>
      </c>
      <c r="AJ223" s="23" t="str">
        <f t="shared" si="147"/>
        <v/>
      </c>
      <c r="AK223" s="9" t="str">
        <f t="shared" si="130"/>
        <v/>
      </c>
      <c r="AL223" s="4" t="str">
        <f t="shared" si="131"/>
        <v/>
      </c>
      <c r="AM223" s="4"/>
      <c r="AN223" s="4"/>
      <c r="AO223" s="4"/>
      <c r="AP223" s="4"/>
      <c r="AQ223" s="4"/>
      <c r="AR223" s="20" t="str">
        <f t="shared" si="132"/>
        <v>-</v>
      </c>
      <c r="AS223" s="13" t="str">
        <f t="shared" si="148"/>
        <v>-</v>
      </c>
      <c r="AT223" s="13" t="str">
        <f t="shared" si="149"/>
        <v>-</v>
      </c>
      <c r="AU223" s="13" t="str">
        <f t="shared" si="133"/>
        <v>-</v>
      </c>
      <c r="AV223" s="16" t="str">
        <f t="shared" si="150"/>
        <v>-</v>
      </c>
      <c r="AW223" s="16" t="str">
        <f t="shared" si="134"/>
        <v>-</v>
      </c>
      <c r="AX223" s="16" t="str">
        <f t="shared" si="135"/>
        <v>-</v>
      </c>
      <c r="AY223" s="16" t="str">
        <f t="shared" si="151"/>
        <v>-</v>
      </c>
      <c r="AZ223" s="13" t="str">
        <f t="shared" si="152"/>
        <v>-</v>
      </c>
      <c r="BA223" s="10" t="str">
        <f t="shared" si="153"/>
        <v>-</v>
      </c>
      <c r="BB223" s="9" t="str">
        <f t="shared" si="154"/>
        <v>-</v>
      </c>
      <c r="BC223" s="13" t="str">
        <f t="shared" si="155"/>
        <v>-</v>
      </c>
      <c r="BD223" s="10" t="str">
        <f t="shared" si="156"/>
        <v>-</v>
      </c>
      <c r="BE223" s="13" t="str">
        <f t="shared" si="157"/>
        <v>-</v>
      </c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</row>
    <row r="224" spans="2:70" x14ac:dyDescent="0.3">
      <c r="B224" s="96" t="str">
        <f t="shared" si="136"/>
        <v/>
      </c>
      <c r="C224" s="96" t="str">
        <f t="shared" si="137"/>
        <v/>
      </c>
      <c r="D224" s="96" t="str">
        <f t="shared" si="138"/>
        <v/>
      </c>
      <c r="E224" s="3"/>
      <c r="F224" s="3"/>
      <c r="G224" s="3"/>
      <c r="H224" s="3"/>
      <c r="I224" s="20">
        <f>IFERROR(INDEX('Input - Target'!G$2:G$200,MATCH('Calculations - Target'!$D224,'Input - Target'!$B$2:$B$200,0)),"")</f>
        <v>0</v>
      </c>
      <c r="J224" s="20">
        <f>IFERROR(INDEX('Input - Target'!H$2:H$200,MATCH('Calculations - Target'!$D224,'Input - Target'!$B$2:$B$200,0)),"")</f>
        <v>0</v>
      </c>
      <c r="K224" s="21">
        <f>IFERROR(INDEX('Input - Target'!I$2:I$200,MATCH('Calculations - Target'!$D224,'Input - Target'!$B$2:$B$200,0)),"")</f>
        <v>0</v>
      </c>
      <c r="L224" s="21">
        <f>IFERROR(INDEX('Input - Target'!J$2:J$200,MATCH('Calculations - Target'!$D224,'Input - Target'!$B$2:$B$200,0)),"")</f>
        <v>0</v>
      </c>
      <c r="M224" s="20">
        <f>IFERROR(INDEX('Input - Target'!K$2:K$200,MATCH('Calculations - Target'!$D224,'Input - Target'!$B$2:$B$200,0)),"")</f>
        <v>0</v>
      </c>
      <c r="N224" s="20">
        <f>IFERROR(INDEX('Input - Target'!L$2:L$200,MATCH('Calculations - Target'!$D224,'Input - Target'!$B$2:$B$200,0)),"")</f>
        <v>0</v>
      </c>
      <c r="O224" s="21" t="str">
        <f t="shared" si="139"/>
        <v/>
      </c>
      <c r="P224" s="21" t="str">
        <f t="shared" ref="P224:P229" si="160">IFERROR(M224/N224,"")</f>
        <v/>
      </c>
      <c r="Q224" s="21">
        <f t="shared" si="140"/>
        <v>0</v>
      </c>
      <c r="R224" s="9">
        <f t="shared" si="158"/>
        <v>0</v>
      </c>
      <c r="S224" s="9">
        <f t="shared" si="159"/>
        <v>0</v>
      </c>
      <c r="T224" s="22" t="str">
        <f>IFERROR(INDEX(Target!$S$11:$S$167,MATCH('Calculations - Target'!$D224,Target!$N$11:$N$167,0)),"")</f>
        <v/>
      </c>
      <c r="U224" s="22" t="str">
        <f>IFERROR(INDEX(Target!$T$11:$T$167,MATCH('Calculations - Target'!$D224,Target!$N$11:$N$167,0)),"")</f>
        <v/>
      </c>
      <c r="V224" s="16" t="e">
        <f t="shared" ref="V224:V229" si="161">T224*I224</f>
        <v>#VALUE!</v>
      </c>
      <c r="W224" s="16" t="e">
        <f t="shared" si="141"/>
        <v>#VALUE!</v>
      </c>
      <c r="X224" s="16" t="e">
        <f t="shared" si="142"/>
        <v>#VALUE!</v>
      </c>
      <c r="Y224" s="10" t="str">
        <f t="shared" ref="Y224:Y229" si="162">IFERROR(X224/J224,"-")</f>
        <v>-</v>
      </c>
      <c r="Z224" s="10" t="str">
        <f t="shared" ref="Z224:Z229" si="163">IFERROR((L224+O224)*J224*0.5,"-")</f>
        <v>-</v>
      </c>
      <c r="AA224" s="13" t="str">
        <f t="shared" si="143"/>
        <v>-</v>
      </c>
      <c r="AB224" s="9" t="str">
        <f t="shared" ref="AB224:AB229" si="164">IFERROR(AA224-R224,"-")</f>
        <v>-</v>
      </c>
      <c r="AC224" s="16" t="str">
        <f t="shared" si="144"/>
        <v>-</v>
      </c>
      <c r="AD224" s="16" t="str">
        <f t="shared" ref="AD224:AD229" si="165">IFERROR(AC224/O224,"-")</f>
        <v>-</v>
      </c>
      <c r="AE224" s="16" t="str">
        <f t="shared" ref="AE224:AE229" si="166">IFERROR(T224*AC224,"-")</f>
        <v>-</v>
      </c>
      <c r="AF224" s="16" t="str">
        <f t="shared" si="145"/>
        <v>-</v>
      </c>
      <c r="AG224" s="16"/>
      <c r="AH224" s="32" t="str">
        <f>IFERROR(INDEX(Target!$R$11:$R$167,MATCH('Calculations - Target'!D224,Target!$N$11:$N$167,0)),"")</f>
        <v/>
      </c>
      <c r="AI224" s="23" t="str">
        <f t="shared" si="146"/>
        <v/>
      </c>
      <c r="AJ224" s="23" t="str">
        <f t="shared" si="147"/>
        <v/>
      </c>
      <c r="AK224" s="9" t="str">
        <f t="shared" ref="AK224:AK229" si="167">IFERROR((AH224-O224)/O224,"")</f>
        <v/>
      </c>
      <c r="AL224" s="4" t="str">
        <f t="shared" ref="AL224:AL229" si="168">IFERROR(MAX((1+AK224*Q224/5)*J224,0),"")</f>
        <v/>
      </c>
      <c r="AM224" s="4"/>
      <c r="AN224" s="4"/>
      <c r="AO224" s="4"/>
      <c r="AP224" s="4"/>
      <c r="AQ224" s="4"/>
      <c r="AR224" s="20" t="str">
        <f t="shared" ref="AR224:AR229" si="169">IFERROR(0.5*(L224+AH224)*AL224,"-")</f>
        <v>-</v>
      </c>
      <c r="AS224" s="13" t="str">
        <f t="shared" si="148"/>
        <v>-</v>
      </c>
      <c r="AT224" s="13" t="str">
        <f t="shared" si="149"/>
        <v>-</v>
      </c>
      <c r="AU224" s="13" t="str">
        <f t="shared" ref="AU224:AU229" si="170">IFERROR(AT224-R224,"-")</f>
        <v>-</v>
      </c>
      <c r="AV224" s="16" t="str">
        <f t="shared" si="150"/>
        <v>-</v>
      </c>
      <c r="AW224" s="16" t="str">
        <f t="shared" ref="AW224:AW229" si="171">IFERROR(AV224/AH224,"-")</f>
        <v>-</v>
      </c>
      <c r="AX224" s="16" t="str">
        <f t="shared" ref="AX224:AX229" si="172">IFERROR(AI224*AV224,"-")</f>
        <v>-</v>
      </c>
      <c r="AY224" s="16" t="str">
        <f t="shared" si="151"/>
        <v>-</v>
      </c>
      <c r="AZ224" s="13" t="str">
        <f t="shared" si="152"/>
        <v>-</v>
      </c>
      <c r="BA224" s="10" t="str">
        <f t="shared" si="153"/>
        <v>-</v>
      </c>
      <c r="BB224" s="9" t="str">
        <f t="shared" si="154"/>
        <v>-</v>
      </c>
      <c r="BC224" s="13" t="str">
        <f t="shared" si="155"/>
        <v>-</v>
      </c>
      <c r="BD224" s="10" t="str">
        <f t="shared" si="156"/>
        <v>-</v>
      </c>
      <c r="BE224" s="13" t="str">
        <f t="shared" si="157"/>
        <v>-</v>
      </c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</row>
    <row r="225" spans="2:70" x14ac:dyDescent="0.3">
      <c r="B225" s="96" t="str">
        <f t="shared" ref="B225:B229" si="173">IFERROR(E225&amp;F225,"")</f>
        <v/>
      </c>
      <c r="C225" s="96" t="str">
        <f t="shared" ref="C225:C229" si="174">E225&amp;F225&amp;G225</f>
        <v/>
      </c>
      <c r="D225" s="96" t="str">
        <f t="shared" ref="D225:D229" si="175">IFERROR(E225&amp;F225&amp;G225&amp;H225,"")</f>
        <v/>
      </c>
      <c r="E225" s="3"/>
      <c r="F225" s="3"/>
      <c r="G225" s="3"/>
      <c r="H225" s="3"/>
      <c r="I225" s="20">
        <f>IFERROR(INDEX('Input - Target'!G$2:G$200,MATCH('Calculations - Target'!$D225,'Input - Target'!$B$2:$B$200,0)),"")</f>
        <v>0</v>
      </c>
      <c r="J225" s="20">
        <f>IFERROR(INDEX('Input - Target'!H$2:H$200,MATCH('Calculations - Target'!$D225,'Input - Target'!$B$2:$B$200,0)),"")</f>
        <v>0</v>
      </c>
      <c r="K225" s="21">
        <f>IFERROR(INDEX('Input - Target'!I$2:I$200,MATCH('Calculations - Target'!$D225,'Input - Target'!$B$2:$B$200,0)),"")</f>
        <v>0</v>
      </c>
      <c r="L225" s="21">
        <f>IFERROR(INDEX('Input - Target'!J$2:J$200,MATCH('Calculations - Target'!$D225,'Input - Target'!$B$2:$B$200,0)),"")</f>
        <v>0</v>
      </c>
      <c r="M225" s="20">
        <f>IFERROR(INDEX('Input - Target'!K$2:K$200,MATCH('Calculations - Target'!$D225,'Input - Target'!$B$2:$B$200,0)),"")</f>
        <v>0</v>
      </c>
      <c r="N225" s="20">
        <f>IFERROR(INDEX('Input - Target'!L$2:L$200,MATCH('Calculations - Target'!$D225,'Input - Target'!$B$2:$B$200,0)),"")</f>
        <v>0</v>
      </c>
      <c r="O225" s="21" t="str">
        <f t="shared" ref="O225:O229" si="176">IFERROR(I225/J225,"")</f>
        <v/>
      </c>
      <c r="P225" s="21" t="str">
        <f t="shared" si="160"/>
        <v/>
      </c>
      <c r="Q225" s="21">
        <f t="shared" ref="Q225:Q229" si="177">IFERROR((O225/(O225-L225)*5),0)</f>
        <v>0</v>
      </c>
      <c r="R225" s="9">
        <f t="shared" si="158"/>
        <v>0</v>
      </c>
      <c r="S225" s="9">
        <f t="shared" si="159"/>
        <v>0</v>
      </c>
      <c r="T225" s="22" t="str">
        <f>IFERROR(INDEX(Target!$S$11:$S$167,MATCH('Calculations - Target'!$D225,Target!$N$11:$N$167,0)),"")</f>
        <v/>
      </c>
      <c r="U225" s="22" t="str">
        <f>IFERROR(INDEX(Target!$T$11:$T$167,MATCH('Calculations - Target'!$D225,Target!$N$11:$N$167,0)),"")</f>
        <v/>
      </c>
      <c r="V225" s="16" t="e">
        <f t="shared" si="161"/>
        <v>#VALUE!</v>
      </c>
      <c r="W225" s="16" t="e">
        <f t="shared" ref="W225:W229" si="178">U225*V225</f>
        <v>#VALUE!</v>
      </c>
      <c r="X225" s="16" t="e">
        <f t="shared" ref="X225:X229" si="179">V225-W225</f>
        <v>#VALUE!</v>
      </c>
      <c r="Y225" s="10" t="str">
        <f t="shared" si="162"/>
        <v>-</v>
      </c>
      <c r="Z225" s="10" t="str">
        <f t="shared" si="163"/>
        <v>-</v>
      </c>
      <c r="AA225" s="13" t="str">
        <f t="shared" ref="AA225:AA229" si="180">IFERROR(Z225/$Z$30,"-")</f>
        <v>-</v>
      </c>
      <c r="AB225" s="9" t="str">
        <f t="shared" si="164"/>
        <v>-</v>
      </c>
      <c r="AC225" s="16" t="str">
        <f t="shared" ref="AC225:AC229" si="181">IFERROR(AA225*$I$30,"-")</f>
        <v>-</v>
      </c>
      <c r="AD225" s="16" t="str">
        <f t="shared" si="165"/>
        <v>-</v>
      </c>
      <c r="AE225" s="16" t="str">
        <f t="shared" si="166"/>
        <v>-</v>
      </c>
      <c r="AF225" s="16" t="str">
        <f t="shared" ref="AF225:AF229" si="182">IFERROR(AE225-(Y225)*AD225,"-")</f>
        <v>-</v>
      </c>
      <c r="AG225" s="16"/>
      <c r="AH225" s="32" t="str">
        <f>IFERROR(INDEX(Target!$R$11:$R$167,MATCH('Calculations - Target'!D225,Target!$N$11:$N$167,0)),"")</f>
        <v/>
      </c>
      <c r="AI225" s="23" t="str">
        <f t="shared" ref="AI225:AI229" si="183">T225</f>
        <v/>
      </c>
      <c r="AJ225" s="23" t="str">
        <f t="shared" ref="AJ225:AJ229" si="184">U225</f>
        <v/>
      </c>
      <c r="AK225" s="9" t="str">
        <f t="shared" si="167"/>
        <v/>
      </c>
      <c r="AL225" s="4" t="str">
        <f t="shared" si="168"/>
        <v/>
      </c>
      <c r="AM225" s="4"/>
      <c r="AN225" s="4"/>
      <c r="AO225" s="4"/>
      <c r="AP225" s="4"/>
      <c r="AQ225" s="4"/>
      <c r="AR225" s="20" t="str">
        <f t="shared" si="169"/>
        <v>-</v>
      </c>
      <c r="AS225" s="13" t="str">
        <f t="shared" ref="AS225:AS229" si="185">IFERROR(AR225/AR$30,"-")</f>
        <v>-</v>
      </c>
      <c r="AT225" s="13" t="str">
        <f t="shared" ref="AT225:AT229" si="186">IFERROR(AS225*$R$30,"-")</f>
        <v>-</v>
      </c>
      <c r="AU225" s="13" t="str">
        <f t="shared" si="170"/>
        <v>-</v>
      </c>
      <c r="AV225" s="16" t="str">
        <f t="shared" ref="AV225:AV229" si="187">IFERROR(AT225*AQ$32,"-")</f>
        <v>-</v>
      </c>
      <c r="AW225" s="16" t="str">
        <f t="shared" si="171"/>
        <v>-</v>
      </c>
      <c r="AX225" s="16" t="str">
        <f t="shared" si="172"/>
        <v>-</v>
      </c>
      <c r="AY225" s="16" t="str">
        <f t="shared" ref="AY225:AY229" si="188">IFERROR(AX225-(Y225*AW225),"-")</f>
        <v>-</v>
      </c>
      <c r="AZ225" s="13" t="str">
        <f t="shared" ref="AZ225:AZ229" si="189">IFERROR(AW225/SUMIFS($AW$32:$AW$229,$B$32:$B$229,B225),"-")</f>
        <v>-</v>
      </c>
      <c r="BA225" s="10" t="str">
        <f t="shared" ref="BA225:BA229" si="190">IFERROR(AZ225*INDEX($AU$4:$AU$24,MATCH($B225,$D$4:$D$24,0)),"-")</f>
        <v>-</v>
      </c>
      <c r="BB225" s="9" t="str">
        <f t="shared" ref="BB225:BB229" si="191">IFERROR(BA225/SUM($BA$32:$BA$229),"-")</f>
        <v>-</v>
      </c>
      <c r="BC225" s="13" t="str">
        <f t="shared" ref="BC225:BC229" si="192">IFERROR(AV225/SUMIFS($AV$32:$AV$229,$B$32:$B$229,B225),"-")</f>
        <v>-</v>
      </c>
      <c r="BD225" s="10" t="str">
        <f t="shared" ref="BD225:BD229" si="193">IFERROR(BC225*INDEX($AT$4:$AT$24,MATCH($B225,$D$4:$D$24,0)),"-")</f>
        <v>-</v>
      </c>
      <c r="BE225" s="13" t="str">
        <f t="shared" ref="BE225:BE229" si="194">IFERROR(BD225/SUM($BD$32:$BD$229),"-")</f>
        <v>-</v>
      </c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</row>
    <row r="226" spans="2:70" x14ac:dyDescent="0.3">
      <c r="B226" s="96" t="str">
        <f t="shared" si="173"/>
        <v/>
      </c>
      <c r="C226" s="96" t="str">
        <f t="shared" si="174"/>
        <v/>
      </c>
      <c r="D226" s="96" t="str">
        <f t="shared" si="175"/>
        <v/>
      </c>
      <c r="E226" s="3"/>
      <c r="F226" s="3"/>
      <c r="G226" s="3"/>
      <c r="H226" s="3"/>
      <c r="I226" s="20">
        <f>IFERROR(INDEX('Input - Target'!G$2:G$200,MATCH('Calculations - Target'!$D226,'Input - Target'!$B$2:$B$200,0)),"")</f>
        <v>0</v>
      </c>
      <c r="J226" s="20">
        <f>IFERROR(INDEX('Input - Target'!H$2:H$200,MATCH('Calculations - Target'!$D226,'Input - Target'!$B$2:$B$200,0)),"")</f>
        <v>0</v>
      </c>
      <c r="K226" s="21">
        <f>IFERROR(INDEX('Input - Target'!I$2:I$200,MATCH('Calculations - Target'!$D226,'Input - Target'!$B$2:$B$200,0)),"")</f>
        <v>0</v>
      </c>
      <c r="L226" s="21">
        <f>IFERROR(INDEX('Input - Target'!J$2:J$200,MATCH('Calculations - Target'!$D226,'Input - Target'!$B$2:$B$200,0)),"")</f>
        <v>0</v>
      </c>
      <c r="M226" s="20">
        <f>IFERROR(INDEX('Input - Target'!K$2:K$200,MATCH('Calculations - Target'!$D226,'Input - Target'!$B$2:$B$200,0)),"")</f>
        <v>0</v>
      </c>
      <c r="N226" s="20">
        <f>IFERROR(INDEX('Input - Target'!L$2:L$200,MATCH('Calculations - Target'!$D226,'Input - Target'!$B$2:$B$200,0)),"")</f>
        <v>0</v>
      </c>
      <c r="O226" s="21" t="str">
        <f t="shared" si="176"/>
        <v/>
      </c>
      <c r="P226" s="21" t="str">
        <f t="shared" si="160"/>
        <v/>
      </c>
      <c r="Q226" s="21">
        <f t="shared" si="177"/>
        <v>0</v>
      </c>
      <c r="R226" s="9">
        <f t="shared" si="158"/>
        <v>0</v>
      </c>
      <c r="S226" s="9">
        <f t="shared" si="159"/>
        <v>0</v>
      </c>
      <c r="T226" s="22" t="str">
        <f>IFERROR(INDEX(Target!$S$11:$S$167,MATCH('Calculations - Target'!$D226,Target!$N$11:$N$167,0)),"")</f>
        <v/>
      </c>
      <c r="U226" s="22" t="str">
        <f>IFERROR(INDEX(Target!$T$11:$T$167,MATCH('Calculations - Target'!$D226,Target!$N$11:$N$167,0)),"")</f>
        <v/>
      </c>
      <c r="V226" s="16" t="e">
        <f t="shared" si="161"/>
        <v>#VALUE!</v>
      </c>
      <c r="W226" s="16" t="e">
        <f t="shared" si="178"/>
        <v>#VALUE!</v>
      </c>
      <c r="X226" s="16" t="e">
        <f t="shared" si="179"/>
        <v>#VALUE!</v>
      </c>
      <c r="Y226" s="10" t="str">
        <f t="shared" si="162"/>
        <v>-</v>
      </c>
      <c r="Z226" s="10" t="str">
        <f t="shared" si="163"/>
        <v>-</v>
      </c>
      <c r="AA226" s="13" t="str">
        <f t="shared" si="180"/>
        <v>-</v>
      </c>
      <c r="AB226" s="9" t="str">
        <f t="shared" si="164"/>
        <v>-</v>
      </c>
      <c r="AC226" s="16" t="str">
        <f t="shared" si="181"/>
        <v>-</v>
      </c>
      <c r="AD226" s="16" t="str">
        <f t="shared" si="165"/>
        <v>-</v>
      </c>
      <c r="AE226" s="16" t="str">
        <f t="shared" si="166"/>
        <v>-</v>
      </c>
      <c r="AF226" s="16" t="str">
        <f t="shared" si="182"/>
        <v>-</v>
      </c>
      <c r="AG226" s="16"/>
      <c r="AH226" s="32" t="str">
        <f>IFERROR(INDEX(Target!$R$11:$R$167,MATCH('Calculations - Target'!D226,Target!$N$11:$N$167,0)),"")</f>
        <v/>
      </c>
      <c r="AI226" s="23" t="str">
        <f t="shared" si="183"/>
        <v/>
      </c>
      <c r="AJ226" s="23" t="str">
        <f t="shared" si="184"/>
        <v/>
      </c>
      <c r="AK226" s="9" t="str">
        <f t="shared" si="167"/>
        <v/>
      </c>
      <c r="AL226" s="4" t="str">
        <f t="shared" si="168"/>
        <v/>
      </c>
      <c r="AM226" s="4"/>
      <c r="AN226" s="4"/>
      <c r="AO226" s="4"/>
      <c r="AP226" s="4"/>
      <c r="AQ226" s="4"/>
      <c r="AR226" s="20" t="str">
        <f t="shared" si="169"/>
        <v>-</v>
      </c>
      <c r="AS226" s="13" t="str">
        <f t="shared" si="185"/>
        <v>-</v>
      </c>
      <c r="AT226" s="13" t="str">
        <f t="shared" si="186"/>
        <v>-</v>
      </c>
      <c r="AU226" s="13" t="str">
        <f t="shared" si="170"/>
        <v>-</v>
      </c>
      <c r="AV226" s="16" t="str">
        <f t="shared" si="187"/>
        <v>-</v>
      </c>
      <c r="AW226" s="16" t="str">
        <f t="shared" si="171"/>
        <v>-</v>
      </c>
      <c r="AX226" s="16" t="str">
        <f t="shared" si="172"/>
        <v>-</v>
      </c>
      <c r="AY226" s="16" t="str">
        <f t="shared" si="188"/>
        <v>-</v>
      </c>
      <c r="AZ226" s="13" t="str">
        <f t="shared" si="189"/>
        <v>-</v>
      </c>
      <c r="BA226" s="10" t="str">
        <f t="shared" si="190"/>
        <v>-</v>
      </c>
      <c r="BB226" s="9" t="str">
        <f t="shared" si="191"/>
        <v>-</v>
      </c>
      <c r="BC226" s="13" t="str">
        <f t="shared" si="192"/>
        <v>-</v>
      </c>
      <c r="BD226" s="10" t="str">
        <f t="shared" si="193"/>
        <v>-</v>
      </c>
      <c r="BE226" s="13" t="str">
        <f t="shared" si="194"/>
        <v>-</v>
      </c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</row>
    <row r="227" spans="2:70" x14ac:dyDescent="0.3">
      <c r="B227" s="96" t="str">
        <f t="shared" si="173"/>
        <v/>
      </c>
      <c r="C227" s="96" t="str">
        <f t="shared" si="174"/>
        <v/>
      </c>
      <c r="D227" s="96" t="str">
        <f t="shared" si="175"/>
        <v/>
      </c>
      <c r="E227" s="3"/>
      <c r="F227" s="3"/>
      <c r="G227" s="3"/>
      <c r="H227" s="3"/>
      <c r="I227" s="20">
        <f>IFERROR(INDEX('Input - Target'!G$2:G$200,MATCH('Calculations - Target'!$D227,'Input - Target'!$B$2:$B$200,0)),"")</f>
        <v>0</v>
      </c>
      <c r="J227" s="20">
        <f>IFERROR(INDEX('Input - Target'!H$2:H$200,MATCH('Calculations - Target'!$D227,'Input - Target'!$B$2:$B$200,0)),"")</f>
        <v>0</v>
      </c>
      <c r="K227" s="21">
        <f>IFERROR(INDEX('Input - Target'!I$2:I$200,MATCH('Calculations - Target'!$D227,'Input - Target'!$B$2:$B$200,0)),"")</f>
        <v>0</v>
      </c>
      <c r="L227" s="21">
        <f>IFERROR(INDEX('Input - Target'!J$2:J$200,MATCH('Calculations - Target'!$D227,'Input - Target'!$B$2:$B$200,0)),"")</f>
        <v>0</v>
      </c>
      <c r="M227" s="20">
        <f>IFERROR(INDEX('Input - Target'!K$2:K$200,MATCH('Calculations - Target'!$D227,'Input - Target'!$B$2:$B$200,0)),"")</f>
        <v>0</v>
      </c>
      <c r="N227" s="20">
        <f>IFERROR(INDEX('Input - Target'!L$2:L$200,MATCH('Calculations - Target'!$D227,'Input - Target'!$B$2:$B$200,0)),"")</f>
        <v>0</v>
      </c>
      <c r="O227" s="21" t="str">
        <f t="shared" si="176"/>
        <v/>
      </c>
      <c r="P227" s="21" t="str">
        <f t="shared" si="160"/>
        <v/>
      </c>
      <c r="Q227" s="21">
        <f t="shared" si="177"/>
        <v>0</v>
      </c>
      <c r="R227" s="9">
        <f t="shared" si="158"/>
        <v>0</v>
      </c>
      <c r="S227" s="9">
        <f t="shared" si="159"/>
        <v>0</v>
      </c>
      <c r="T227" s="22" t="str">
        <f>IFERROR(INDEX(Target!$S$11:$S$167,MATCH('Calculations - Target'!$D227,Target!$N$11:$N$167,0)),"")</f>
        <v/>
      </c>
      <c r="U227" s="22" t="str">
        <f>IFERROR(INDEX(Target!$T$11:$T$167,MATCH('Calculations - Target'!$D227,Target!$N$11:$N$167,0)),"")</f>
        <v/>
      </c>
      <c r="V227" s="16" t="e">
        <f t="shared" si="161"/>
        <v>#VALUE!</v>
      </c>
      <c r="W227" s="16" t="e">
        <f t="shared" si="178"/>
        <v>#VALUE!</v>
      </c>
      <c r="X227" s="16" t="e">
        <f t="shared" si="179"/>
        <v>#VALUE!</v>
      </c>
      <c r="Y227" s="10" t="str">
        <f t="shared" si="162"/>
        <v>-</v>
      </c>
      <c r="Z227" s="10" t="str">
        <f t="shared" si="163"/>
        <v>-</v>
      </c>
      <c r="AA227" s="13" t="str">
        <f t="shared" si="180"/>
        <v>-</v>
      </c>
      <c r="AB227" s="9" t="str">
        <f t="shared" si="164"/>
        <v>-</v>
      </c>
      <c r="AC227" s="16" t="str">
        <f t="shared" si="181"/>
        <v>-</v>
      </c>
      <c r="AD227" s="16" t="str">
        <f t="shared" si="165"/>
        <v>-</v>
      </c>
      <c r="AE227" s="16" t="str">
        <f t="shared" si="166"/>
        <v>-</v>
      </c>
      <c r="AF227" s="16" t="str">
        <f t="shared" si="182"/>
        <v>-</v>
      </c>
      <c r="AG227" s="16"/>
      <c r="AH227" s="32" t="str">
        <f>IFERROR(INDEX(Target!$R$11:$R$167,MATCH('Calculations - Target'!D227,Target!$N$11:$N$167,0)),"")</f>
        <v/>
      </c>
      <c r="AI227" s="23" t="str">
        <f t="shared" si="183"/>
        <v/>
      </c>
      <c r="AJ227" s="23" t="str">
        <f t="shared" si="184"/>
        <v/>
      </c>
      <c r="AK227" s="9" t="str">
        <f t="shared" si="167"/>
        <v/>
      </c>
      <c r="AL227" s="4" t="str">
        <f t="shared" si="168"/>
        <v/>
      </c>
      <c r="AM227" s="4"/>
      <c r="AN227" s="4"/>
      <c r="AO227" s="4"/>
      <c r="AP227" s="4"/>
      <c r="AQ227" s="4"/>
      <c r="AR227" s="20" t="str">
        <f t="shared" si="169"/>
        <v>-</v>
      </c>
      <c r="AS227" s="13" t="str">
        <f t="shared" si="185"/>
        <v>-</v>
      </c>
      <c r="AT227" s="13" t="str">
        <f t="shared" si="186"/>
        <v>-</v>
      </c>
      <c r="AU227" s="13" t="str">
        <f t="shared" si="170"/>
        <v>-</v>
      </c>
      <c r="AV227" s="16" t="str">
        <f t="shared" si="187"/>
        <v>-</v>
      </c>
      <c r="AW227" s="16" t="str">
        <f t="shared" si="171"/>
        <v>-</v>
      </c>
      <c r="AX227" s="16" t="str">
        <f t="shared" si="172"/>
        <v>-</v>
      </c>
      <c r="AY227" s="16" t="str">
        <f t="shared" si="188"/>
        <v>-</v>
      </c>
      <c r="AZ227" s="13" t="str">
        <f t="shared" si="189"/>
        <v>-</v>
      </c>
      <c r="BA227" s="10" t="str">
        <f t="shared" si="190"/>
        <v>-</v>
      </c>
      <c r="BB227" s="9" t="str">
        <f t="shared" si="191"/>
        <v>-</v>
      </c>
      <c r="BC227" s="13" t="str">
        <f t="shared" si="192"/>
        <v>-</v>
      </c>
      <c r="BD227" s="10" t="str">
        <f t="shared" si="193"/>
        <v>-</v>
      </c>
      <c r="BE227" s="13" t="str">
        <f t="shared" si="194"/>
        <v>-</v>
      </c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</row>
    <row r="228" spans="2:70" x14ac:dyDescent="0.3">
      <c r="B228" s="96" t="str">
        <f t="shared" si="173"/>
        <v/>
      </c>
      <c r="C228" s="96" t="str">
        <f t="shared" si="174"/>
        <v/>
      </c>
      <c r="D228" s="96" t="str">
        <f t="shared" si="175"/>
        <v/>
      </c>
      <c r="E228" s="3"/>
      <c r="F228" s="3"/>
      <c r="G228" s="3"/>
      <c r="H228" s="3"/>
      <c r="I228" s="20">
        <f>IFERROR(INDEX('Input - Target'!G$2:G$200,MATCH('Calculations - Target'!$D228,'Input - Target'!$B$2:$B$200,0)),"")</f>
        <v>0</v>
      </c>
      <c r="J228" s="20">
        <f>IFERROR(INDEX('Input - Target'!H$2:H$200,MATCH('Calculations - Target'!$D228,'Input - Target'!$B$2:$B$200,0)),"")</f>
        <v>0</v>
      </c>
      <c r="K228" s="21">
        <f>IFERROR(INDEX('Input - Target'!I$2:I$200,MATCH('Calculations - Target'!$D228,'Input - Target'!$B$2:$B$200,0)),"")</f>
        <v>0</v>
      </c>
      <c r="L228" s="21">
        <f>IFERROR(INDEX('Input - Target'!J$2:J$200,MATCH('Calculations - Target'!$D228,'Input - Target'!$B$2:$B$200,0)),"")</f>
        <v>0</v>
      </c>
      <c r="M228" s="20">
        <f>IFERROR(INDEX('Input - Target'!K$2:K$200,MATCH('Calculations - Target'!$D228,'Input - Target'!$B$2:$B$200,0)),"")</f>
        <v>0</v>
      </c>
      <c r="N228" s="20">
        <f>IFERROR(INDEX('Input - Target'!L$2:L$200,MATCH('Calculations - Target'!$D228,'Input - Target'!$B$2:$B$200,0)),"")</f>
        <v>0</v>
      </c>
      <c r="O228" s="21" t="str">
        <f t="shared" si="176"/>
        <v/>
      </c>
      <c r="P228" s="21" t="str">
        <f t="shared" si="160"/>
        <v/>
      </c>
      <c r="Q228" s="21">
        <f t="shared" si="177"/>
        <v>0</v>
      </c>
      <c r="R228" s="9">
        <f t="shared" si="158"/>
        <v>0</v>
      </c>
      <c r="S228" s="9">
        <f t="shared" si="159"/>
        <v>0</v>
      </c>
      <c r="T228" s="22" t="str">
        <f>IFERROR(INDEX(Target!$S$11:$S$167,MATCH('Calculations - Target'!$D228,Target!$N$11:$N$167,0)),"")</f>
        <v/>
      </c>
      <c r="U228" s="22" t="str">
        <f>IFERROR(INDEX(Target!$T$11:$T$167,MATCH('Calculations - Target'!$D228,Target!$N$11:$N$167,0)),"")</f>
        <v/>
      </c>
      <c r="V228" s="16" t="e">
        <f t="shared" si="161"/>
        <v>#VALUE!</v>
      </c>
      <c r="W228" s="16" t="e">
        <f t="shared" si="178"/>
        <v>#VALUE!</v>
      </c>
      <c r="X228" s="16" t="e">
        <f t="shared" si="179"/>
        <v>#VALUE!</v>
      </c>
      <c r="Y228" s="10" t="str">
        <f t="shared" si="162"/>
        <v>-</v>
      </c>
      <c r="Z228" s="10" t="str">
        <f t="shared" si="163"/>
        <v>-</v>
      </c>
      <c r="AA228" s="13" t="str">
        <f t="shared" si="180"/>
        <v>-</v>
      </c>
      <c r="AB228" s="9" t="str">
        <f t="shared" si="164"/>
        <v>-</v>
      </c>
      <c r="AC228" s="16" t="str">
        <f t="shared" si="181"/>
        <v>-</v>
      </c>
      <c r="AD228" s="16" t="str">
        <f t="shared" si="165"/>
        <v>-</v>
      </c>
      <c r="AE228" s="16" t="str">
        <f t="shared" si="166"/>
        <v>-</v>
      </c>
      <c r="AF228" s="16" t="str">
        <f t="shared" si="182"/>
        <v>-</v>
      </c>
      <c r="AG228" s="16"/>
      <c r="AH228" s="32" t="str">
        <f>IFERROR(INDEX(Target!$R$11:$R$167,MATCH('Calculations - Target'!D228,Target!$N$11:$N$167,0)),"")</f>
        <v/>
      </c>
      <c r="AI228" s="23" t="str">
        <f t="shared" si="183"/>
        <v/>
      </c>
      <c r="AJ228" s="23" t="str">
        <f t="shared" si="184"/>
        <v/>
      </c>
      <c r="AK228" s="9" t="str">
        <f t="shared" si="167"/>
        <v/>
      </c>
      <c r="AL228" s="4" t="str">
        <f t="shared" si="168"/>
        <v/>
      </c>
      <c r="AM228" s="4"/>
      <c r="AN228" s="4"/>
      <c r="AO228" s="4"/>
      <c r="AP228" s="4"/>
      <c r="AQ228" s="4"/>
      <c r="AR228" s="20" t="str">
        <f t="shared" si="169"/>
        <v>-</v>
      </c>
      <c r="AS228" s="13" t="str">
        <f t="shared" si="185"/>
        <v>-</v>
      </c>
      <c r="AT228" s="13" t="str">
        <f t="shared" si="186"/>
        <v>-</v>
      </c>
      <c r="AU228" s="13" t="str">
        <f t="shared" si="170"/>
        <v>-</v>
      </c>
      <c r="AV228" s="16" t="str">
        <f t="shared" si="187"/>
        <v>-</v>
      </c>
      <c r="AW228" s="16" t="str">
        <f t="shared" si="171"/>
        <v>-</v>
      </c>
      <c r="AX228" s="16" t="str">
        <f t="shared" si="172"/>
        <v>-</v>
      </c>
      <c r="AY228" s="16" t="str">
        <f t="shared" si="188"/>
        <v>-</v>
      </c>
      <c r="AZ228" s="13" t="str">
        <f t="shared" si="189"/>
        <v>-</v>
      </c>
      <c r="BA228" s="10" t="str">
        <f t="shared" si="190"/>
        <v>-</v>
      </c>
      <c r="BB228" s="9" t="str">
        <f t="shared" si="191"/>
        <v>-</v>
      </c>
      <c r="BC228" s="13" t="str">
        <f t="shared" si="192"/>
        <v>-</v>
      </c>
      <c r="BD228" s="10" t="str">
        <f t="shared" si="193"/>
        <v>-</v>
      </c>
      <c r="BE228" s="13" t="str">
        <f t="shared" si="194"/>
        <v>-</v>
      </c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</row>
    <row r="229" spans="2:70" x14ac:dyDescent="0.3">
      <c r="B229" s="96" t="str">
        <f t="shared" si="173"/>
        <v/>
      </c>
      <c r="C229" s="96" t="str">
        <f t="shared" si="174"/>
        <v/>
      </c>
      <c r="D229" s="96" t="str">
        <f t="shared" si="175"/>
        <v/>
      </c>
      <c r="E229" s="3"/>
      <c r="F229" s="3"/>
      <c r="G229" s="3"/>
      <c r="H229" s="3"/>
      <c r="I229" s="20">
        <f>IFERROR(INDEX('Input - Target'!G$2:G$200,MATCH('Calculations - Target'!$D229,'Input - Target'!$B$2:$B$200,0)),"")</f>
        <v>0</v>
      </c>
      <c r="J229" s="20">
        <f>IFERROR(INDEX('Input - Target'!H$2:H$200,MATCH('Calculations - Target'!$D229,'Input - Target'!$B$2:$B$200,0)),"")</f>
        <v>0</v>
      </c>
      <c r="K229" s="21">
        <f>IFERROR(INDEX('Input - Target'!I$2:I$200,MATCH('Calculations - Target'!$D229,'Input - Target'!$B$2:$B$200,0)),"")</f>
        <v>0</v>
      </c>
      <c r="L229" s="21">
        <f>IFERROR(INDEX('Input - Target'!J$2:J$200,MATCH('Calculations - Target'!$D229,'Input - Target'!$B$2:$B$200,0)),"")</f>
        <v>0</v>
      </c>
      <c r="M229" s="20">
        <f>IFERROR(INDEX('Input - Target'!K$2:K$200,MATCH('Calculations - Target'!$D229,'Input - Target'!$B$2:$B$200,0)),"")</f>
        <v>0</v>
      </c>
      <c r="N229" s="20">
        <f>IFERROR(INDEX('Input - Target'!L$2:L$200,MATCH('Calculations - Target'!$D229,'Input - Target'!$B$2:$B$200,0)),"")</f>
        <v>0</v>
      </c>
      <c r="O229" s="21" t="str">
        <f t="shared" si="176"/>
        <v/>
      </c>
      <c r="P229" s="21" t="str">
        <f t="shared" si="160"/>
        <v/>
      </c>
      <c r="Q229" s="21">
        <f t="shared" si="177"/>
        <v>0</v>
      </c>
      <c r="R229" s="9">
        <f t="shared" si="158"/>
        <v>0</v>
      </c>
      <c r="S229" s="9">
        <f t="shared" si="159"/>
        <v>0</v>
      </c>
      <c r="T229" s="22" t="str">
        <f>IFERROR(INDEX(Target!$S$11:$S$167,MATCH('Calculations - Target'!$D229,Target!$N$11:$N$167,0)),"")</f>
        <v/>
      </c>
      <c r="U229" s="22" t="str">
        <f>IFERROR(INDEX(Target!$T$11:$T$167,MATCH('Calculations - Target'!$D229,Target!$N$11:$N$167,0)),"")</f>
        <v/>
      </c>
      <c r="V229" s="16" t="e">
        <f t="shared" si="161"/>
        <v>#VALUE!</v>
      </c>
      <c r="W229" s="16" t="e">
        <f t="shared" si="178"/>
        <v>#VALUE!</v>
      </c>
      <c r="X229" s="16" t="e">
        <f t="shared" si="179"/>
        <v>#VALUE!</v>
      </c>
      <c r="Y229" s="10" t="str">
        <f t="shared" si="162"/>
        <v>-</v>
      </c>
      <c r="Z229" s="10" t="str">
        <f t="shared" si="163"/>
        <v>-</v>
      </c>
      <c r="AA229" s="13" t="str">
        <f t="shared" si="180"/>
        <v>-</v>
      </c>
      <c r="AB229" s="9" t="str">
        <f t="shared" si="164"/>
        <v>-</v>
      </c>
      <c r="AC229" s="16" t="str">
        <f t="shared" si="181"/>
        <v>-</v>
      </c>
      <c r="AD229" s="16" t="str">
        <f t="shared" si="165"/>
        <v>-</v>
      </c>
      <c r="AE229" s="16" t="str">
        <f t="shared" si="166"/>
        <v>-</v>
      </c>
      <c r="AF229" s="16" t="str">
        <f t="shared" si="182"/>
        <v>-</v>
      </c>
      <c r="AG229" s="16"/>
      <c r="AH229" s="32" t="str">
        <f>IFERROR(INDEX(Target!$R$11:$R$167,MATCH('Calculations - Target'!D229,Target!$N$11:$N$167,0)),"")</f>
        <v/>
      </c>
      <c r="AI229" s="23" t="str">
        <f t="shared" si="183"/>
        <v/>
      </c>
      <c r="AJ229" s="23" t="str">
        <f t="shared" si="184"/>
        <v/>
      </c>
      <c r="AK229" s="9" t="str">
        <f t="shared" si="167"/>
        <v/>
      </c>
      <c r="AL229" s="4" t="str">
        <f t="shared" si="168"/>
        <v/>
      </c>
      <c r="AM229" s="4"/>
      <c r="AN229" s="4"/>
      <c r="AO229" s="4"/>
      <c r="AP229" s="4"/>
      <c r="AQ229" s="4"/>
      <c r="AR229" s="20" t="str">
        <f t="shared" si="169"/>
        <v>-</v>
      </c>
      <c r="AS229" s="13" t="str">
        <f t="shared" si="185"/>
        <v>-</v>
      </c>
      <c r="AT229" s="13" t="str">
        <f t="shared" si="186"/>
        <v>-</v>
      </c>
      <c r="AU229" s="13" t="str">
        <f t="shared" si="170"/>
        <v>-</v>
      </c>
      <c r="AV229" s="16" t="str">
        <f t="shared" si="187"/>
        <v>-</v>
      </c>
      <c r="AW229" s="16" t="str">
        <f t="shared" si="171"/>
        <v>-</v>
      </c>
      <c r="AX229" s="16" t="str">
        <f t="shared" si="172"/>
        <v>-</v>
      </c>
      <c r="AY229" s="16" t="str">
        <f t="shared" si="188"/>
        <v>-</v>
      </c>
      <c r="AZ229" s="13" t="str">
        <f t="shared" si="189"/>
        <v>-</v>
      </c>
      <c r="BA229" s="10" t="str">
        <f t="shared" si="190"/>
        <v>-</v>
      </c>
      <c r="BB229" s="9" t="str">
        <f t="shared" si="191"/>
        <v>-</v>
      </c>
      <c r="BC229" s="13" t="str">
        <f t="shared" si="192"/>
        <v>-</v>
      </c>
      <c r="BD229" s="10" t="str">
        <f t="shared" si="193"/>
        <v>-</v>
      </c>
      <c r="BE229" s="13" t="str">
        <f t="shared" si="194"/>
        <v>-</v>
      </c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529DD-3ABF-4292-AD42-CD4A504616AB}">
  <sheetPr codeName="Sheet6">
    <tabColor theme="9" tint="0.79998168889431442"/>
  </sheetPr>
  <dimension ref="A1:AH121"/>
  <sheetViews>
    <sheetView showGridLines="0" topLeftCell="I1" zoomScale="55" zoomScaleNormal="55" workbookViewId="0">
      <selection activeCell="P8" sqref="P8:W8"/>
    </sheetView>
  </sheetViews>
  <sheetFormatPr defaultColWidth="15.77734375" defaultRowHeight="14.4" x14ac:dyDescent="0.3"/>
  <cols>
    <col min="1" max="1" width="8.88671875" style="92" customWidth="1"/>
    <col min="2" max="2" width="43.88671875" style="92" bestFit="1" customWidth="1"/>
    <col min="3" max="4" width="32.109375" style="92" bestFit="1" customWidth="1"/>
    <col min="5" max="5" width="34.88671875" style="92" bestFit="1" customWidth="1"/>
    <col min="6" max="6" width="23.5546875" style="92" bestFit="1" customWidth="1"/>
    <col min="7" max="7" width="29.33203125" style="92" bestFit="1" customWidth="1"/>
    <col min="8" max="8" width="25.77734375" style="92" customWidth="1"/>
    <col min="9" max="9" width="29.33203125" style="92" bestFit="1" customWidth="1"/>
    <col min="10" max="10" width="25.77734375" style="92" customWidth="1"/>
    <col min="11" max="11" width="29.33203125" style="92" bestFit="1" customWidth="1"/>
    <col min="12" max="12" width="25.77734375" style="92" customWidth="1"/>
    <col min="13" max="13" width="27.88671875" style="92" customWidth="1"/>
    <col min="14" max="15" width="23.5546875" style="92" hidden="1" customWidth="1"/>
    <col min="16" max="16" width="33.44140625" style="92" bestFit="1" customWidth="1"/>
    <col min="17" max="17" width="31.6640625" style="92" customWidth="1"/>
    <col min="18" max="18" width="35.21875" style="92" customWidth="1"/>
    <col min="19" max="19" width="26.88671875" style="92" customWidth="1"/>
    <col min="20" max="20" width="34.6640625" style="92" customWidth="1"/>
    <col min="21" max="21" width="30.77734375" style="92" customWidth="1"/>
    <col min="22" max="23" width="30.77734375" style="127" customWidth="1"/>
    <col min="24" max="24" width="30.77734375" style="92" customWidth="1"/>
    <col min="25" max="25" width="45.77734375" style="92" customWidth="1"/>
    <col min="26" max="29" width="29.33203125" style="92" bestFit="1" customWidth="1"/>
    <col min="30" max="30" width="34.88671875" style="92" bestFit="1" customWidth="1"/>
    <col min="31" max="31" width="25.77734375" style="92" customWidth="1"/>
    <col min="32" max="16384" width="15.77734375" style="92"/>
  </cols>
  <sheetData>
    <row r="1" spans="1:32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</row>
    <row r="2" spans="1:32" x14ac:dyDescent="0.3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</row>
    <row r="3" spans="1:32" x14ac:dyDescent="0.3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</row>
    <row r="4" spans="1:32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</row>
    <row r="5" spans="1:32" x14ac:dyDescent="0.3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</row>
    <row r="6" spans="1:32" ht="25.05" customHeight="1" x14ac:dyDescent="0.3">
      <c r="A6"/>
      <c r="B6" s="209" t="s">
        <v>136</v>
      </c>
      <c r="C6" s="209"/>
      <c r="D6"/>
      <c r="E6"/>
      <c r="F6"/>
      <c r="G6"/>
      <c r="H6"/>
      <c r="I6"/>
      <c r="J6"/>
      <c r="K6"/>
      <c r="L6"/>
      <c r="M6"/>
      <c r="N6"/>
      <c r="O6"/>
      <c r="P6" s="55" t="s">
        <v>64</v>
      </c>
      <c r="Q6" s="109" t="s">
        <v>134</v>
      </c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</row>
    <row r="7" spans="1:32" ht="25.05" customHeight="1" x14ac:dyDescent="0.3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</row>
    <row r="8" spans="1:32" ht="25.8" x14ac:dyDescent="0.5">
      <c r="A8"/>
      <c r="B8" s="200" t="s">
        <v>49</v>
      </c>
      <c r="C8" s="200"/>
      <c r="D8" s="200"/>
      <c r="E8" s="200"/>
      <c r="F8" s="200"/>
      <c r="G8" s="200"/>
      <c r="H8" s="200"/>
      <c r="I8" s="200"/>
      <c r="J8" s="200"/>
      <c r="K8" s="200"/>
      <c r="L8" s="200"/>
      <c r="M8" s="35"/>
      <c r="N8"/>
      <c r="O8"/>
      <c r="P8" s="200" t="s">
        <v>50</v>
      </c>
      <c r="Q8" s="200"/>
      <c r="R8" s="200"/>
      <c r="S8" s="200"/>
      <c r="T8" s="200"/>
      <c r="U8" s="200"/>
      <c r="V8" s="200"/>
      <c r="W8" s="200"/>
      <c r="X8"/>
      <c r="Y8" s="200" t="s">
        <v>65</v>
      </c>
      <c r="Z8" s="200"/>
      <c r="AA8" s="200"/>
      <c r="AB8" s="200"/>
      <c r="AC8" s="200"/>
      <c r="AD8" s="200"/>
      <c r="AE8" s="200"/>
      <c r="AF8"/>
    </row>
    <row r="9" spans="1:32" ht="60" customHeight="1" x14ac:dyDescent="0.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 s="111" t="s">
        <v>127</v>
      </c>
      <c r="W9" s="111" t="s">
        <v>127</v>
      </c>
      <c r="X9"/>
      <c r="Y9"/>
      <c r="Z9"/>
      <c r="AA9"/>
      <c r="AB9"/>
      <c r="AC9"/>
      <c r="AD9"/>
      <c r="AE9"/>
      <c r="AF9"/>
    </row>
    <row r="10" spans="1:32" ht="30" customHeight="1" x14ac:dyDescent="0.3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 s="41"/>
      <c r="Q10" s="33" t="s">
        <v>10</v>
      </c>
      <c r="R10" s="33" t="s">
        <v>51</v>
      </c>
      <c r="S10" s="33" t="s">
        <v>52</v>
      </c>
      <c r="T10" s="33" t="s">
        <v>53</v>
      </c>
      <c r="U10" s="33" t="s">
        <v>54</v>
      </c>
      <c r="V10" s="33" t="s">
        <v>19</v>
      </c>
      <c r="W10" s="33" t="s">
        <v>156</v>
      </c>
      <c r="X10"/>
      <c r="Y10"/>
      <c r="Z10"/>
      <c r="AA10"/>
      <c r="AB10"/>
      <c r="AC10"/>
      <c r="AD10"/>
      <c r="AE10"/>
      <c r="AF10"/>
    </row>
    <row r="11" spans="1:32" ht="25.05" customHeight="1" x14ac:dyDescent="0.4">
      <c r="A11"/>
      <c r="B11"/>
      <c r="C11"/>
      <c r="D11"/>
      <c r="E11"/>
      <c r="F11"/>
      <c r="G11"/>
      <c r="H11"/>
      <c r="I11"/>
      <c r="J11"/>
      <c r="K11"/>
      <c r="L11"/>
      <c r="M11"/>
      <c r="N11" s="46" t="s">
        <v>9</v>
      </c>
      <c r="O11" s="46"/>
      <c r="P11" s="41"/>
      <c r="Q11" s="213" t="str">
        <f>'Calculations - Target'!F4</f>
        <v>KRAFT</v>
      </c>
      <c r="R11" s="213"/>
      <c r="S11" s="41"/>
      <c r="T11" s="41"/>
      <c r="U11" s="155">
        <f>R12/Q12-1</f>
        <v>1.9984014443252818E-15</v>
      </c>
      <c r="V11" s="135">
        <f>V13+V17</f>
        <v>0.11283819999652275</v>
      </c>
      <c r="W11" s="135">
        <f>W13+W17</f>
        <v>0.10501400224943849</v>
      </c>
      <c r="X11"/>
      <c r="Y11"/>
      <c r="Z11"/>
      <c r="AA11"/>
      <c r="AB11"/>
      <c r="AC11"/>
      <c r="AD11"/>
      <c r="AE11"/>
      <c r="AF11"/>
    </row>
    <row r="12" spans="1:32" ht="25.05" customHeight="1" x14ac:dyDescent="0.3">
      <c r="A12"/>
      <c r="B12"/>
      <c r="C12"/>
      <c r="D12"/>
      <c r="E12"/>
      <c r="F12"/>
      <c r="G12"/>
      <c r="H12"/>
      <c r="I12"/>
      <c r="J12"/>
      <c r="K12"/>
      <c r="L12"/>
      <c r="M12"/>
      <c r="N12" t="str">
        <f>$Q$6&amp;Q11&amp;P12</f>
        <v>TARGETKRAFT</v>
      </c>
      <c r="O12"/>
      <c r="P12" s="41"/>
      <c r="Q12" s="139">
        <f>INDEX('Calculations - Target'!$M$3:$M$24,MATCH(N12,'Calculations - Target'!$D$3:$D$24,0))</f>
        <v>3.7598694530187453</v>
      </c>
      <c r="R12" s="140">
        <f>INDEX('Calculations - Target'!$AF$3:$AF$24,MATCH(N12,'Calculations - Target'!$D$3:$D$24,0))</f>
        <v>3.7598694530187529</v>
      </c>
      <c r="S12" s="51">
        <f>INDEX('Calculations - Target'!$R$3:$R$24,MATCH(Target!$Q$6&amp;Target!$Q11,'Calculations - Target'!$D$3:$D$24,0))</f>
        <v>0.79999999999999982</v>
      </c>
      <c r="T12" s="51">
        <f>INDEX('Calculations - Target'!$S$3:$S$24,MATCH(Target!$Q$6&amp;Target!$Q11,'Calculations - Target'!$D$3:$D$24,0))</f>
        <v>0.3</v>
      </c>
      <c r="U12" s="125"/>
      <c r="V12" s="125"/>
      <c r="W12" s="125"/>
      <c r="X12"/>
      <c r="Y12"/>
      <c r="Z12"/>
      <c r="AA12"/>
      <c r="AB12"/>
      <c r="AC12"/>
      <c r="AD12"/>
      <c r="AE12"/>
      <c r="AF12"/>
    </row>
    <row r="13" spans="1:32" ht="25.05" customHeight="1" x14ac:dyDescent="0.3">
      <c r="A13"/>
      <c r="B13"/>
      <c r="C13"/>
      <c r="D13"/>
      <c r="E13"/>
      <c r="F13"/>
      <c r="G13"/>
      <c r="H13"/>
      <c r="I13"/>
      <c r="J13"/>
      <c r="K13"/>
      <c r="L13"/>
      <c r="M13"/>
      <c r="N13" t="str">
        <f>$Q$6&amp;Q11&amp;P13</f>
        <v>TARGETKRAFTMayo</v>
      </c>
      <c r="O13" s="106" t="s">
        <v>102</v>
      </c>
      <c r="P13" s="107" t="s">
        <v>122</v>
      </c>
      <c r="Q13" s="139" cm="1">
        <f t="array" ref="Q13">SUM(_xlfn._xlws.FILTER('Calculations - Target'!$O$32:$O$229*'Calculations - Target'!$J$32:$J$229,'Calculations - Target'!$C$32:$C$229=$N13))/SUM(_xlfn._xlws.FILTER('Calculations - Target'!$J$32:$J$229,'Calculations - Target'!$C$32:$C$229=$N13))</f>
        <v>3.1319850872250985</v>
      </c>
      <c r="R13" s="140" cm="1">
        <f t="array" ref="R13">SUM(_xlfn._xlws.FILTER('Calculations - Target'!$AH$32:$AH$229*'Calculations - Target'!$AL$32:$AL$229,'Calculations - Target'!$C$32:$C$229=$N13))/SUM(_xlfn._xlws.FILTER('Calculations - Target'!$AL$32:$AL$229,'Calculations - Target'!$C$32:$C$229=$N13))</f>
        <v>3.1319850872250985</v>
      </c>
      <c r="S13" s="108"/>
      <c r="T13" s="108"/>
      <c r="U13" s="128">
        <f>IFERROR(R13/Q13-1,0)</f>
        <v>0</v>
      </c>
      <c r="V13" s="128">
        <f>SUM(V14:V16)</f>
        <v>8.3708445605867182E-2</v>
      </c>
      <c r="W13" s="128">
        <f>SUM(W14:W16)</f>
        <v>6.4649863752139436E-2</v>
      </c>
      <c r="X13"/>
      <c r="Y13"/>
      <c r="Z13"/>
      <c r="AA13"/>
      <c r="AB13"/>
      <c r="AC13"/>
      <c r="AD13"/>
      <c r="AE13"/>
      <c r="AF13"/>
    </row>
    <row r="14" spans="1:32" ht="25.05" customHeight="1" x14ac:dyDescent="0.3">
      <c r="A14"/>
      <c r="B14"/>
      <c r="C14"/>
      <c r="D14"/>
      <c r="E14"/>
      <c r="F14"/>
      <c r="G14"/>
      <c r="H14"/>
      <c r="I14"/>
      <c r="J14"/>
      <c r="K14"/>
      <c r="L14"/>
      <c r="M14"/>
      <c r="N14" t="str">
        <f>$Q$6&amp;Q11&amp;O14&amp;P14</f>
        <v>TARGETKRAFTMayoJAR 30OZ</v>
      </c>
      <c r="O14" s="106" t="s">
        <v>122</v>
      </c>
      <c r="P14" s="34" t="s">
        <v>118</v>
      </c>
      <c r="Q14" s="141">
        <f>IFERROR(INDEX('Calculations - Target'!$O$32:$O$229,MATCH($N14,'Calculations - Target'!$D$32:$D$229,0)),0)</f>
        <v>2.6165387362146459</v>
      </c>
      <c r="R14" s="142">
        <f>Q14</f>
        <v>2.6165387362146459</v>
      </c>
      <c r="S14" s="52">
        <v>0.8</v>
      </c>
      <c r="T14" s="52">
        <v>0.3</v>
      </c>
      <c r="U14" s="155">
        <f t="shared" ref="U14:U16" si="0">IFERROR(R14/Q14-1,0)</f>
        <v>0</v>
      </c>
      <c r="V14" s="124">
        <f>IFERROR(INDEX('Calculations - Target'!$BB$32:$BB$229,MATCH(Target!$N14,'Calculations - Target'!$D$32:$D$229,0)),"-")</f>
        <v>5.9591869711223822E-2</v>
      </c>
      <c r="W14" s="124">
        <f>IFERROR(INDEX('Calculations - Target'!$BE$32:$BE$229,MATCH(Target!$N14,'Calculations - Target'!$D$32:$D$229,0)),"-")</f>
        <v>3.8343694677186589E-2</v>
      </c>
      <c r="X14"/>
      <c r="Y14"/>
      <c r="Z14"/>
      <c r="AA14"/>
      <c r="AB14"/>
      <c r="AC14"/>
      <c r="AD14"/>
      <c r="AE14"/>
      <c r="AF14"/>
    </row>
    <row r="15" spans="1:32" ht="25.05" customHeight="1" x14ac:dyDescent="0.3">
      <c r="A15"/>
      <c r="B15"/>
      <c r="C15"/>
      <c r="D15"/>
      <c r="E15"/>
      <c r="F15"/>
      <c r="G15"/>
      <c r="H15"/>
      <c r="I15"/>
      <c r="J15"/>
      <c r="K15"/>
      <c r="L15"/>
      <c r="M15"/>
      <c r="N15" t="str">
        <f>$Q$6&amp;Q11&amp;O15&amp;P15</f>
        <v>TARGETKRAFTMayoSQUEEZY 12OZ</v>
      </c>
      <c r="O15" s="106" t="s">
        <v>122</v>
      </c>
      <c r="P15" s="34" t="s">
        <v>117</v>
      </c>
      <c r="Q15" s="141">
        <f>IFERROR(INDEX('Calculations - Target'!$O$32:$O$229,MATCH($N15,'Calculations - Target'!$D$32:$D$229,0)),0)</f>
        <v>5.379571048741389</v>
      </c>
      <c r="R15" s="142">
        <f>Q15</f>
        <v>5.379571048741389</v>
      </c>
      <c r="S15" s="52">
        <v>0.8</v>
      </c>
      <c r="T15" s="52">
        <v>0.3</v>
      </c>
      <c r="U15" s="155">
        <f t="shared" si="0"/>
        <v>0</v>
      </c>
      <c r="V15" s="124">
        <f>IFERROR(INDEX('Calculations - Target'!$BB$32:$BB$229,MATCH(Target!$N15,'Calculations - Target'!$D$32:$D$229,0)),"-")</f>
        <v>1.1440623353600621E-2</v>
      </c>
      <c r="W15" s="124">
        <f>IFERROR(INDEX('Calculations - Target'!$BE$32:$BE$229,MATCH(Target!$N15,'Calculations - Target'!$D$32:$D$229,0)),"-")</f>
        <v>1.5134814877130934E-2</v>
      </c>
      <c r="X15"/>
      <c r="Y15"/>
      <c r="Z15"/>
      <c r="AA15"/>
      <c r="AB15"/>
      <c r="AC15"/>
      <c r="AD15"/>
      <c r="AE15"/>
      <c r="AF15"/>
    </row>
    <row r="16" spans="1:32" ht="25.05" customHeight="1" x14ac:dyDescent="0.3">
      <c r="A16"/>
      <c r="B16"/>
      <c r="C16"/>
      <c r="D16"/>
      <c r="E16"/>
      <c r="F16"/>
      <c r="G16"/>
      <c r="H16"/>
      <c r="I16"/>
      <c r="J16"/>
      <c r="K16"/>
      <c r="L16"/>
      <c r="M16"/>
      <c r="N16" t="str">
        <f>$Q$6&amp;Q11&amp;O16&amp;P16</f>
        <v>TARGETKRAFTMayoSQUEEZY 18 TO 22OZ</v>
      </c>
      <c r="O16" s="106" t="s">
        <v>122</v>
      </c>
      <c r="P16" s="34" t="s">
        <v>120</v>
      </c>
      <c r="Q16" s="141">
        <f>IFERROR(INDEX('Calculations - Target'!$O$32:$O$229,MATCH($N16,'Calculations - Target'!$D$32:$D$229,0)),0)</f>
        <v>3.5838138188866338</v>
      </c>
      <c r="R16" s="142">
        <f>Q16</f>
        <v>3.5838138188866338</v>
      </c>
      <c r="S16" s="52">
        <v>0.8</v>
      </c>
      <c r="T16" s="52">
        <v>0.3</v>
      </c>
      <c r="U16" s="155">
        <f t="shared" si="0"/>
        <v>0</v>
      </c>
      <c r="V16" s="124">
        <f>IFERROR(INDEX('Calculations - Target'!$BB$32:$BB$229,MATCH(Target!$N16,'Calculations - Target'!$D$32:$D$229,0)),"-")</f>
        <v>1.2675952541042736E-2</v>
      </c>
      <c r="W16" s="124">
        <f>IFERROR(INDEX('Calculations - Target'!$BE$32:$BE$229,MATCH(Target!$N16,'Calculations - Target'!$D$32:$D$229,0)),"-")</f>
        <v>1.1171354197821918E-2</v>
      </c>
      <c r="X16"/>
      <c r="Y16"/>
      <c r="Z16"/>
      <c r="AA16"/>
      <c r="AB16"/>
      <c r="AC16"/>
      <c r="AD16"/>
      <c r="AE16"/>
      <c r="AF16"/>
    </row>
    <row r="17" spans="1:34" ht="25.05" customHeight="1" x14ac:dyDescent="0.3">
      <c r="A17"/>
      <c r="B17"/>
      <c r="C17"/>
      <c r="D17"/>
      <c r="E17"/>
      <c r="F17"/>
      <c r="G17"/>
      <c r="H17"/>
      <c r="I17"/>
      <c r="J17"/>
      <c r="K17"/>
      <c r="L17"/>
      <c r="M17"/>
      <c r="N17" t="str">
        <f>$Q$6&amp;Q11&amp;P17</f>
        <v>TARGETKRAFTAioli</v>
      </c>
      <c r="O17" s="106" t="s">
        <v>123</v>
      </c>
      <c r="P17" s="107" t="s">
        <v>124</v>
      </c>
      <c r="Q17" s="139" cm="1">
        <f t="array" ref="Q17">SUM(_xlfn._xlws.FILTER('Calculations - Target'!$O$32:$O$229*'Calculations - Target'!$J$32:$J$229,'Calculations - Target'!$C$32:$C$229=$N17))/SUM(_xlfn._xlws.FILTER('Calculations - Target'!$J$32:$J$229,'Calculations - Target'!$C$32:$C$229=$N17))</f>
        <v>5.7602128105549086</v>
      </c>
      <c r="R17" s="140" cm="1">
        <f t="array" ref="R17">SUM(_xlfn._xlws.FILTER('Calculations - Target'!$AH$32:$AH$229*'Calculations - Target'!$AL$32:$AL$229,'Calculations - Target'!$C$32:$C$229=$N17))/SUM(_xlfn._xlws.FILTER('Calculations - Target'!$AL$32:$AL$229,'Calculations - Target'!$C$32:$C$229=$N17))</f>
        <v>5.7602128105549086</v>
      </c>
      <c r="S17" s="105"/>
      <c r="T17" s="105"/>
      <c r="U17" s="128">
        <f>IFERROR(R17/Q17-1,0)</f>
        <v>0</v>
      </c>
      <c r="V17" s="128">
        <f>SUM(V18:V20)</f>
        <v>2.9129754390655568E-2</v>
      </c>
      <c r="W17" s="128">
        <f>SUM(W18:W20)</f>
        <v>4.0364138497299057E-2</v>
      </c>
      <c r="X17"/>
      <c r="Y17"/>
      <c r="Z17"/>
      <c r="AA17"/>
      <c r="AB17"/>
      <c r="AC17"/>
      <c r="AD17"/>
      <c r="AE17"/>
      <c r="AF17"/>
    </row>
    <row r="18" spans="1:34" ht="25.05" customHeight="1" x14ac:dyDescent="0.3">
      <c r="A18"/>
      <c r="B18"/>
      <c r="C18"/>
      <c r="D18"/>
      <c r="E18"/>
      <c r="F18"/>
      <c r="G18"/>
      <c r="H18"/>
      <c r="I18"/>
      <c r="J18"/>
      <c r="K18"/>
      <c r="L18"/>
      <c r="M18"/>
      <c r="N18" t="str">
        <f>$Q$6&amp;Q11&amp;O18&amp;P18</f>
        <v>TARGETKRAFTAioliJAR 30OZ</v>
      </c>
      <c r="O18" s="106" t="s">
        <v>124</v>
      </c>
      <c r="P18" s="34" t="s">
        <v>118</v>
      </c>
      <c r="Q18" s="141">
        <f>IFERROR(INDEX('Calculations - Target'!$O$32:$O$229,MATCH($N18,'Calculations - Target'!$D$32:$D$229,0)),0)</f>
        <v>2.1055796435466174</v>
      </c>
      <c r="R18" s="142">
        <f>Q18</f>
        <v>2.1055796435466174</v>
      </c>
      <c r="S18" s="52">
        <v>0.8</v>
      </c>
      <c r="T18" s="52">
        <v>0.3</v>
      </c>
      <c r="U18" s="155">
        <f t="shared" ref="U18:U20" si="1">IFERROR(R18/Q18-1,0)</f>
        <v>0</v>
      </c>
      <c r="V18" s="124">
        <f>IFERROR(INDEX('Calculations - Target'!$BB$32:$BB$229,MATCH(Target!$N18,'Calculations - Target'!$D$32:$D$229,0)),"-")</f>
        <v>7.5198949209266284E-4</v>
      </c>
      <c r="W18" s="124">
        <f>IFERROR(INDEX('Calculations - Target'!$BE$32:$BE$229,MATCH(Target!$N18,'Calculations - Target'!$D$32:$D$229,0)),"-")</f>
        <v>3.8937065951474842E-4</v>
      </c>
      <c r="X18"/>
      <c r="Y18"/>
      <c r="Z18"/>
      <c r="AA18"/>
      <c r="AB18"/>
      <c r="AC18"/>
      <c r="AD18"/>
      <c r="AE18"/>
      <c r="AF18"/>
    </row>
    <row r="19" spans="1:34" ht="25.05" customHeight="1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N19" t="str">
        <f>$Q$6&amp;Q11&amp;O19&amp;P19</f>
        <v>TARGETKRAFTAioliSQUEEZY 12OZ</v>
      </c>
      <c r="O19" s="106" t="s">
        <v>124</v>
      </c>
      <c r="P19" s="34" t="s">
        <v>117</v>
      </c>
      <c r="Q19" s="141">
        <f>IFERROR(INDEX('Calculations - Target'!$O$32:$O$229,MATCH($N19,'Calculations - Target'!$D$32:$D$229,0)),0)</f>
        <v>5.9877773328153063</v>
      </c>
      <c r="R19" s="142">
        <f>Q19</f>
        <v>5.9877773328153063</v>
      </c>
      <c r="S19" s="52">
        <v>0.8</v>
      </c>
      <c r="T19" s="52">
        <v>0.3</v>
      </c>
      <c r="U19" s="155">
        <f t="shared" si="1"/>
        <v>0</v>
      </c>
      <c r="V19" s="124">
        <f>IFERROR(INDEX('Calculations - Target'!$BB$32:$BB$229,MATCH(Target!$N19,'Calculations - Target'!$D$32:$D$229,0)),"-")</f>
        <v>2.5746620035857811E-2</v>
      </c>
      <c r="W19" s="124">
        <f>IFERROR(INDEX('Calculations - Target'!$BE$32:$BE$229,MATCH(Target!$N19,'Calculations - Target'!$D$32:$D$229,0)),"-")</f>
        <v>3.7911035176298777E-2</v>
      </c>
      <c r="X19"/>
      <c r="Y19"/>
      <c r="Z19"/>
      <c r="AA19"/>
      <c r="AB19"/>
      <c r="AC19"/>
      <c r="AD19"/>
      <c r="AE19"/>
      <c r="AF19"/>
    </row>
    <row r="20" spans="1:34" ht="25.05" customHeight="1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 t="str">
        <f>$Q$6&amp;Q11&amp;O20&amp;P20</f>
        <v>TARGETKRAFTAioliOTHER</v>
      </c>
      <c r="O20" s="106" t="s">
        <v>124</v>
      </c>
      <c r="P20" s="34" t="s">
        <v>115</v>
      </c>
      <c r="Q20" s="141">
        <f>IFERROR(INDEX('Calculations - Target'!$O$32:$O$229,MATCH($N20,'Calculations - Target'!$D$32:$D$229,0)),0)</f>
        <v>3.1895462235630494</v>
      </c>
      <c r="R20" s="142">
        <f>Q20</f>
        <v>3.1895462235630494</v>
      </c>
      <c r="S20" s="52">
        <v>0.8</v>
      </c>
      <c r="T20" s="52">
        <v>0.3</v>
      </c>
      <c r="U20" s="155">
        <f t="shared" si="1"/>
        <v>0</v>
      </c>
      <c r="V20" s="124">
        <f>IFERROR(INDEX('Calculations - Target'!$BB$32:$BB$229,MATCH(Target!$N20,'Calculations - Target'!$D$32:$D$229,0)),"-")</f>
        <v>2.6311448627050933E-3</v>
      </c>
      <c r="W20" s="124">
        <f>IFERROR(INDEX('Calculations - Target'!$BE$32:$BE$229,MATCH(Target!$N20,'Calculations - Target'!$D$32:$D$229,0)),"-")</f>
        <v>2.0637326614855339E-3</v>
      </c>
      <c r="X20"/>
      <c r="Y20"/>
      <c r="Z20"/>
      <c r="AA20"/>
      <c r="AB20"/>
      <c r="AC20"/>
      <c r="AD20"/>
      <c r="AE20"/>
      <c r="AF20"/>
    </row>
    <row r="21" spans="1:34" ht="25.05" customHeight="1" x14ac:dyDescent="0.4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 s="49"/>
      <c r="R21" s="49"/>
      <c r="S21" s="49"/>
      <c r="T21" s="49"/>
      <c r="U21" s="126"/>
      <c r="V21" s="126"/>
      <c r="W21" s="126"/>
      <c r="X21"/>
      <c r="Y21"/>
      <c r="Z21"/>
      <c r="AA21"/>
      <c r="AB21"/>
      <c r="AC21"/>
      <c r="AD21"/>
      <c r="AE21"/>
      <c r="AF21"/>
    </row>
    <row r="22" spans="1:34" ht="25.05" customHeight="1" x14ac:dyDescent="0.4">
      <c r="A22"/>
      <c r="B22"/>
      <c r="C22"/>
      <c r="D22"/>
      <c r="E22"/>
      <c r="F22"/>
      <c r="G22"/>
      <c r="H22"/>
      <c r="I22"/>
      <c r="J22"/>
      <c r="K22"/>
      <c r="L22"/>
      <c r="M22"/>
      <c r="N22" s="46" t="s">
        <v>9</v>
      </c>
      <c r="O22" s="46"/>
      <c r="P22" s="41"/>
      <c r="Q22" s="212" t="str">
        <f>'Calculations - Target'!F5</f>
        <v>MIRACLE WHIP</v>
      </c>
      <c r="R22" s="212"/>
      <c r="S22" s="41"/>
      <c r="T22" s="41"/>
      <c r="U22" s="155">
        <f>R23/Q23-1</f>
        <v>0</v>
      </c>
      <c r="V22" s="134">
        <f>V24</f>
        <v>7.0095346809947667E-2</v>
      </c>
      <c r="W22" s="134">
        <f>W24</f>
        <v>6.5100208949918373E-2</v>
      </c>
      <c r="X22"/>
      <c r="Y22"/>
      <c r="Z22"/>
      <c r="AA22"/>
      <c r="AB22"/>
      <c r="AC22"/>
      <c r="AD22"/>
      <c r="AE22"/>
      <c r="AF22"/>
    </row>
    <row r="23" spans="1:34" ht="25.05" customHeight="1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 t="str">
        <f>$Q$6&amp;Q22&amp;P23</f>
        <v>TARGETMIRACLE WHIP</v>
      </c>
      <c r="O23"/>
      <c r="P23" s="41"/>
      <c r="Q23" s="139">
        <f>INDEX('Calculations - Target'!$M$3:$M$24,MATCH(N23,'Calculations - Target'!$D$3:$D$24,0))</f>
        <v>3.7521042704290903</v>
      </c>
      <c r="R23" s="143">
        <f>INDEX('Calculations - Target'!$AF$3:$AF$24,MATCH(N23,'Calculations - Target'!$D$3:$D$24,0))</f>
        <v>3.7521042704290912</v>
      </c>
      <c r="S23" s="51">
        <f>INDEX('Calculations - Target'!$R$3:$R$24,MATCH(Target!$Q$6&amp;Target!$Q22,'Calculations - Target'!$D$3:$D$24,0))</f>
        <v>0.80000000000000016</v>
      </c>
      <c r="T23" s="51">
        <f>INDEX('Calculations - Target'!$S$3:$S$24,MATCH(Target!$Q$6&amp;Target!$Q22,'Calculations - Target'!$D$3:$D$24,0))</f>
        <v>0.3</v>
      </c>
      <c r="U23" s="125"/>
      <c r="V23" s="125"/>
      <c r="W23" s="125"/>
      <c r="X23"/>
      <c r="Y23"/>
      <c r="Z23"/>
      <c r="AA23"/>
      <c r="AB23"/>
      <c r="AC23"/>
      <c r="AD23"/>
      <c r="AE23"/>
      <c r="AF23"/>
    </row>
    <row r="24" spans="1:34" ht="25.05" customHeight="1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 t="str">
        <f>$Q$6&amp;Q22&amp;P24</f>
        <v>TARGETMIRACLE WHIPWhipped Dressing</v>
      </c>
      <c r="O24" s="106" t="s">
        <v>102</v>
      </c>
      <c r="P24" s="107" t="s">
        <v>125</v>
      </c>
      <c r="Q24" s="139" cm="1">
        <f t="array" ref="Q24">SUM(_xlfn._xlws.FILTER('Calculations - Target'!$O$32:$O$229*'Calculations - Target'!$J$32:$J$229,'Calculations - Target'!$C$32:$C$229=$N24))/SUM(_xlfn._xlws.FILTER('Calculations - Target'!$J$32:$J$229,'Calculations - Target'!$C$32:$C$229=$N24))</f>
        <v>3.7521042704290912</v>
      </c>
      <c r="R24" s="143" cm="1">
        <f t="array" ref="R24">SUM(_xlfn._xlws.FILTER('Calculations - Target'!$AH$32:$AH$229*'Calculations - Target'!$AL$32:$AL$229,'Calculations - Target'!$C$32:$C$229=$N24))/SUM(_xlfn._xlws.FILTER('Calculations - Target'!$AL$32:$AL$229,'Calculations - Target'!$C$32:$C$229=$N24))</f>
        <v>3.7521042704290912</v>
      </c>
      <c r="S24" s="104"/>
      <c r="T24" s="104"/>
      <c r="U24" s="128">
        <f>IFERROR(R24/Q24-1,0)</f>
        <v>0</v>
      </c>
      <c r="V24" s="128">
        <f>SUM(V25:V28)</f>
        <v>7.0095346809947667E-2</v>
      </c>
      <c r="W24" s="128">
        <f>SUM(W25:W28)</f>
        <v>6.5100208949918373E-2</v>
      </c>
      <c r="X24"/>
      <c r="Y24"/>
      <c r="Z24"/>
      <c r="AA24"/>
      <c r="AB24"/>
      <c r="AC24"/>
      <c r="AD24"/>
      <c r="AE24"/>
      <c r="AF24"/>
    </row>
    <row r="25" spans="1:34" ht="25.05" customHeight="1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 t="str">
        <f>$Q$6&amp;Q22&amp;O25&amp;P25</f>
        <v>TARGETMIRACLE WHIPWhipped DressingJAR 15OZ</v>
      </c>
      <c r="O25" s="106" t="s">
        <v>125</v>
      </c>
      <c r="P25" s="34" t="s">
        <v>116</v>
      </c>
      <c r="Q25" s="141">
        <f>IFERROR(INDEX('Calculations - Target'!$O$32:$O$229,MATCH($N25,'Calculations - Target'!$D$32:$D$229,0)),0)</f>
        <v>5.2530973311292133</v>
      </c>
      <c r="R25" s="144">
        <f>Q25</f>
        <v>5.2530973311292133</v>
      </c>
      <c r="S25" s="52">
        <v>0.8</v>
      </c>
      <c r="T25" s="52">
        <v>0.3</v>
      </c>
      <c r="U25" s="155">
        <f>IFERROR(R25/Q25-1,0)</f>
        <v>0</v>
      </c>
      <c r="V25" s="124">
        <f>IFERROR(INDEX('Calculations - Target'!$BB$32:$BB$229,MATCH(Target!$N25,'Calculations - Target'!$D$32:$D$229,0)),"-")</f>
        <v>5.685344518902599E-3</v>
      </c>
      <c r="W25" s="124">
        <f>IFERROR(INDEX('Calculations - Target'!$BE$32:$BE$229,MATCH(Target!$N25,'Calculations - Target'!$D$32:$D$229,0)),"-")</f>
        <v>7.3660829906116478E-3</v>
      </c>
      <c r="X25"/>
      <c r="Y25"/>
      <c r="Z25"/>
      <c r="AA25"/>
      <c r="AB25"/>
      <c r="AC25"/>
      <c r="AD25"/>
      <c r="AE25"/>
      <c r="AF25"/>
    </row>
    <row r="26" spans="1:34" ht="25.05" customHeight="1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 t="str">
        <f>$Q$6&amp;Q22&amp;O26&amp;P26</f>
        <v>TARGETMIRACLE WHIPWhipped DressingJAR 30OZ</v>
      </c>
      <c r="O26" s="106" t="s">
        <v>125</v>
      </c>
      <c r="P26" s="34" t="s">
        <v>118</v>
      </c>
      <c r="Q26" s="141">
        <f>IFERROR(INDEX('Calculations - Target'!$O$32:$O$229,MATCH($N26,'Calculations - Target'!$D$32:$D$229,0)),0)</f>
        <v>2.9317600031151514</v>
      </c>
      <c r="R26" s="144">
        <f>Q26</f>
        <v>2.9317600031151514</v>
      </c>
      <c r="S26" s="52">
        <v>0.8</v>
      </c>
      <c r="T26" s="52">
        <v>0.3</v>
      </c>
      <c r="U26" s="155">
        <f t="shared" ref="U26:U28" si="2">IFERROR(R26/Q26-1,0)</f>
        <v>0</v>
      </c>
      <c r="V26" s="124">
        <f>IFERROR(INDEX('Calculations - Target'!$BB$32:$BB$229,MATCH(Target!$N26,'Calculations - Target'!$D$32:$D$229,0)),"-")</f>
        <v>4.9888612697281613E-2</v>
      </c>
      <c r="W26" s="124">
        <f>IFERROR(INDEX('Calculations - Target'!$BE$32:$BE$229,MATCH(Target!$N26,'Calculations - Target'!$D$32:$D$229,0)),"-")</f>
        <v>3.6073992922184474E-2</v>
      </c>
      <c r="X26"/>
      <c r="Y26"/>
      <c r="Z26"/>
      <c r="AA26"/>
      <c r="AB26"/>
      <c r="AC26"/>
      <c r="AD26"/>
      <c r="AE26"/>
      <c r="AF26"/>
    </row>
    <row r="27" spans="1:34" ht="25.05" customHeight="1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 t="str">
        <f>$Q$6&amp;Q22&amp;O27&amp;P27</f>
        <v>TARGETMIRACLE WHIPWhipped DressingSQUEEZY 12OZ</v>
      </c>
      <c r="O27" s="106" t="s">
        <v>125</v>
      </c>
      <c r="P27" s="34" t="s">
        <v>117</v>
      </c>
      <c r="Q27" s="141">
        <f>IFERROR(INDEX('Calculations - Target'!$O$32:$O$229,MATCH($N27,'Calculations - Target'!$D$32:$D$229,0)),0)</f>
        <v>6.0477844139980368</v>
      </c>
      <c r="R27" s="144">
        <f>Q27</f>
        <v>6.0477844139980368</v>
      </c>
      <c r="S27" s="52">
        <v>0.8</v>
      </c>
      <c r="T27" s="52">
        <v>0.3</v>
      </c>
      <c r="U27" s="155">
        <f t="shared" si="2"/>
        <v>0</v>
      </c>
      <c r="V27" s="124">
        <f>IFERROR(INDEX('Calculations - Target'!$BB$32:$BB$229,MATCH(Target!$N27,'Calculations - Target'!$D$32:$D$229,0)),"-")</f>
        <v>1.452086831849495E-2</v>
      </c>
      <c r="W27" s="124">
        <f>IFERROR(INDEX('Calculations - Target'!$BE$32:$BE$229,MATCH(Target!$N27,'Calculations - Target'!$D$32:$D$229,0)),"-")</f>
        <v>2.1659741108982868E-2</v>
      </c>
      <c r="X27"/>
      <c r="Y27"/>
      <c r="Z27"/>
      <c r="AA27"/>
      <c r="AB27"/>
      <c r="AC27"/>
      <c r="AD27"/>
      <c r="AE27"/>
      <c r="AF27"/>
    </row>
    <row r="28" spans="1:34" ht="25.05" customHeight="1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 t="str">
        <f>$Q$6&amp;Q22&amp;O28&amp;P28</f>
        <v>TARGETMIRACLE WHIPWhipped DressingSQUEEZY 18 TO 22OZ</v>
      </c>
      <c r="O28" s="106" t="s">
        <v>125</v>
      </c>
      <c r="P28" s="34" t="s">
        <v>120</v>
      </c>
      <c r="Q28" s="141">
        <f>IFERROR(INDEX('Calculations - Target'!$O$32:$O$229,MATCH($N28,'Calculations - Target'!$D$32:$D$229,0)),0)</f>
        <v>3.0484210526315794</v>
      </c>
      <c r="R28" s="144">
        <f>Q28</f>
        <v>3.0484210526315794</v>
      </c>
      <c r="S28" s="52">
        <v>0.8</v>
      </c>
      <c r="T28" s="52">
        <v>0.3</v>
      </c>
      <c r="U28" s="155">
        <f t="shared" si="2"/>
        <v>0</v>
      </c>
      <c r="V28" s="124">
        <f>IFERROR(INDEX('Calculations - Target'!$BB$32:$BB$229,MATCH(Target!$N28,'Calculations - Target'!$D$32:$D$229,0)),"-")</f>
        <v>5.2127526851207023E-7</v>
      </c>
      <c r="W28" s="124">
        <f>IFERROR(INDEX('Calculations - Target'!$BE$32:$BE$229,MATCH(Target!$N28,'Calculations - Target'!$D$32:$D$229,0)),"-")</f>
        <v>3.9192813937011265E-7</v>
      </c>
      <c r="X28"/>
      <c r="Y28"/>
      <c r="Z28"/>
      <c r="AA28"/>
      <c r="AB28"/>
      <c r="AC28"/>
      <c r="AD28"/>
      <c r="AE28"/>
      <c r="AF28"/>
    </row>
    <row r="29" spans="1:34" ht="25.05" customHeight="1" x14ac:dyDescent="0.5">
      <c r="A29"/>
      <c r="B29" s="200" t="s">
        <v>77</v>
      </c>
      <c r="C29" s="200"/>
      <c r="D29" s="200"/>
      <c r="E29" s="200"/>
      <c r="F29" s="200"/>
      <c r="G29" s="200"/>
      <c r="H29" s="200"/>
      <c r="I29" s="200"/>
      <c r="J29" s="200"/>
      <c r="K29" s="200"/>
      <c r="L29" s="200"/>
      <c r="M29" s="35"/>
      <c r="N29"/>
      <c r="O29"/>
      <c r="P29" s="41"/>
      <c r="Q29" s="203"/>
      <c r="R29" s="203"/>
      <c r="S29" s="41"/>
      <c r="T29" s="41"/>
      <c r="U29" s="128"/>
      <c r="V29" s="124"/>
      <c r="W29" s="124"/>
      <c r="X29"/>
      <c r="Y29" s="208" t="s">
        <v>78</v>
      </c>
      <c r="Z29" s="208"/>
      <c r="AA29" s="208"/>
      <c r="AB29" s="208"/>
      <c r="AC29" s="208"/>
      <c r="AD29" s="208"/>
      <c r="AE29" s="208"/>
      <c r="AF29"/>
    </row>
    <row r="30" spans="1:34" ht="25.05" customHeight="1" x14ac:dyDescent="0.5">
      <c r="A30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/>
      <c r="N30" s="46" t="s">
        <v>9</v>
      </c>
      <c r="O30" s="46"/>
      <c r="P30" s="41"/>
      <c r="Q30" s="205" t="str">
        <f>'Calculations - Target'!F6</f>
        <v>HELLMANNS BEST FOODS</v>
      </c>
      <c r="R30" s="205"/>
      <c r="S30" s="41"/>
      <c r="T30" s="41"/>
      <c r="U30" s="155">
        <f>R31/Q31-1</f>
        <v>0</v>
      </c>
      <c r="V30" s="133">
        <f>V32+V39</f>
        <v>0.52599717793924694</v>
      </c>
      <c r="W30" s="133">
        <f>W32+W39</f>
        <v>0.5416397867840621</v>
      </c>
      <c r="X30"/>
      <c r="Y30" s="35"/>
      <c r="Z30" s="35"/>
      <c r="AA30" s="35"/>
      <c r="AB30" s="35"/>
      <c r="AC30" s="35"/>
      <c r="AD30" s="35"/>
      <c r="AE30" s="35"/>
      <c r="AF30" s="35"/>
      <c r="AG30" s="110"/>
      <c r="AH30" s="110"/>
    </row>
    <row r="31" spans="1:34" ht="25.05" customHeight="1" thickBot="1" x14ac:dyDescent="0.35">
      <c r="A31"/>
      <c r="B31"/>
      <c r="C31"/>
      <c r="D31"/>
      <c r="E31"/>
      <c r="F31"/>
      <c r="G31"/>
      <c r="H31"/>
      <c r="I31"/>
      <c r="J31"/>
      <c r="K31"/>
      <c r="L31"/>
      <c r="M31" s="42"/>
      <c r="N31" t="str">
        <f>$Q$6&amp;Q30&amp;P31</f>
        <v>TARGETHELLMANNS BEST FOODS</v>
      </c>
      <c r="O31"/>
      <c r="P31" s="41"/>
      <c r="Q31" s="139">
        <f>INDEX('Calculations - Target'!$M$3:$M$24,MATCH(N31,'Calculations - Target'!$D$3:$D$24,0))</f>
        <v>4.160148654529614</v>
      </c>
      <c r="R31" s="145">
        <f>INDEX('Calculations - Target'!$AF$3:$AF$24,MATCH(N31,'Calculations - Target'!$D$3:$D$24,0))</f>
        <v>4.160148654529614</v>
      </c>
      <c r="S31" s="104"/>
      <c r="T31" s="104"/>
      <c r="U31" s="125"/>
      <c r="V31" s="125"/>
      <c r="W31" s="125"/>
      <c r="X31"/>
      <c r="Y31"/>
      <c r="Z31"/>
      <c r="AA31"/>
      <c r="AB31"/>
      <c r="AC31"/>
      <c r="AD31"/>
      <c r="AE31"/>
      <c r="AF31"/>
    </row>
    <row r="32" spans="1:34" ht="25.05" customHeight="1" x14ac:dyDescent="0.3">
      <c r="A32"/>
      <c r="B32" s="210" t="s">
        <v>55</v>
      </c>
      <c r="C32" s="68" t="s">
        <v>107</v>
      </c>
      <c r="D32" s="77" t="s">
        <v>109</v>
      </c>
      <c r="E32" s="53" t="s">
        <v>133</v>
      </c>
      <c r="F32" s="50"/>
      <c r="G32" s="214" t="s">
        <v>107</v>
      </c>
      <c r="H32" s="215"/>
      <c r="I32" s="216" t="s">
        <v>109</v>
      </c>
      <c r="J32" s="217"/>
      <c r="K32" s="201" t="s">
        <v>133</v>
      </c>
      <c r="L32" s="202"/>
      <c r="M32" s="43"/>
      <c r="N32" t="str">
        <f>$Q$6&amp;Q30&amp;P32</f>
        <v>TARGETHELLMANNS BEST FOODSMayo</v>
      </c>
      <c r="O32" s="106" t="s">
        <v>102</v>
      </c>
      <c r="P32" s="107" t="s">
        <v>122</v>
      </c>
      <c r="Q32" s="139" cm="1">
        <f t="array" ref="Q32">SUM(_xlfn._xlws.FILTER('Calculations - Target'!$O$32:$O$229*'Calculations - Target'!$J$32:$J$229,'Calculations - Target'!$C$32:$C$229=$N32))/SUM(_xlfn._xlws.FILTER('Calculations - Target'!$J$32:$J$229,'Calculations - Target'!$C$32:$C$229=$N32))</f>
        <v>4.1126246749652315</v>
      </c>
      <c r="R32" s="145" cm="1">
        <f t="array" ref="R32">SUM(_xlfn._xlws.FILTER('Calculations - Target'!$AH$32:$AH$229*'Calculations - Target'!$AL$32:$AL$229,'Calculations - Target'!$C$32:$C$229=$N32))/SUM(_xlfn._xlws.FILTER('Calculations - Target'!$AL$32:$AL$229,'Calculations - Target'!$C$32:$C$229=$N32))</f>
        <v>4.1126246749652315</v>
      </c>
      <c r="S32" s="104"/>
      <c r="T32" s="104"/>
      <c r="U32" s="128">
        <f>IFERROR(R32/Q32-1,0)</f>
        <v>0</v>
      </c>
      <c r="V32" s="128">
        <f>SUM(V33:V38)</f>
        <v>0.51456317052403644</v>
      </c>
      <c r="W32" s="128">
        <f>SUM(W33:W38)</f>
        <v>0.52358332492155746</v>
      </c>
      <c r="X32"/>
      <c r="Y32" s="224" t="s">
        <v>67</v>
      </c>
      <c r="Z32" s="214" t="s">
        <v>107</v>
      </c>
      <c r="AA32" s="215"/>
      <c r="AB32" s="216" t="s">
        <v>109</v>
      </c>
      <c r="AC32" s="217"/>
      <c r="AD32" s="201" t="s">
        <v>133</v>
      </c>
      <c r="AE32" s="202"/>
      <c r="AF32"/>
    </row>
    <row r="33" spans="1:32" ht="25.05" customHeight="1" thickBot="1" x14ac:dyDescent="0.35">
      <c r="A33"/>
      <c r="B33" s="211"/>
      <c r="C33" s="63" t="s">
        <v>57</v>
      </c>
      <c r="D33" s="78" t="s">
        <v>57</v>
      </c>
      <c r="E33" s="54" t="s">
        <v>57</v>
      </c>
      <c r="F33" s="50"/>
      <c r="G33" s="62" t="s">
        <v>57</v>
      </c>
      <c r="H33" s="65" t="s">
        <v>66</v>
      </c>
      <c r="I33" s="66" t="s">
        <v>57</v>
      </c>
      <c r="J33" s="67" t="s">
        <v>66</v>
      </c>
      <c r="K33" s="138" t="s">
        <v>57</v>
      </c>
      <c r="L33" s="54" t="s">
        <v>66</v>
      </c>
      <c r="M33" s="36"/>
      <c r="N33" t="str">
        <f>$Q$6&amp;Q30&amp;O33&amp;P33</f>
        <v>TARGETHELLMANNS BEST FOODSMayoJAR 15OZ</v>
      </c>
      <c r="O33" s="106" t="s">
        <v>122</v>
      </c>
      <c r="P33" s="34" t="s">
        <v>116</v>
      </c>
      <c r="Q33" s="141">
        <f>IFERROR(INDEX('Calculations - Target'!$O$32:$O$229,MATCH($N33,'Calculations - Target'!$D$32:$D$229,0)),0)</f>
        <v>4.5083678549254875</v>
      </c>
      <c r="R33" s="146">
        <f t="shared" ref="R33:R38" si="3">Q33</f>
        <v>4.5083678549254875</v>
      </c>
      <c r="S33" s="105"/>
      <c r="T33" s="105"/>
      <c r="U33" s="155">
        <f t="shared" ref="U33:U38" si="4">IFERROR(R33/Q33-1,0)</f>
        <v>0</v>
      </c>
      <c r="V33" s="124">
        <f>IFERROR(INDEX('Calculations - Target'!$BB$32:$BB$229,MATCH(Target!$N33,'Calculations - Target'!$D$32:$D$229,0)),"-")</f>
        <v>4.7374675402352059E-2</v>
      </c>
      <c r="W33" s="124">
        <f>IFERROR(INDEX('Calculations - Target'!$BE$32:$BE$229,MATCH(Target!$N33,'Calculations - Target'!$D$32:$D$229,0)),"-")</f>
        <v>5.3039772205196567E-2</v>
      </c>
      <c r="X33"/>
      <c r="Y33" s="225"/>
      <c r="Z33" s="62" t="s">
        <v>57</v>
      </c>
      <c r="AA33" s="65" t="s">
        <v>66</v>
      </c>
      <c r="AB33" s="66" t="s">
        <v>57</v>
      </c>
      <c r="AC33" s="67" t="s">
        <v>66</v>
      </c>
      <c r="AD33" s="64" t="s">
        <v>57</v>
      </c>
      <c r="AE33" s="54" t="s">
        <v>66</v>
      </c>
      <c r="AF33"/>
    </row>
    <row r="34" spans="1:32" ht="25.05" customHeight="1" x14ac:dyDescent="0.3">
      <c r="A34"/>
      <c r="B34" s="112" t="s">
        <v>58</v>
      </c>
      <c r="C34" s="113">
        <f>INDEX('Calculations - Target'!$H$4:$H$24,MATCH(Target!C$32,'Calculations - Target'!$F$4:$F$24,0))</f>
        <v>1598076.8141437499</v>
      </c>
      <c r="D34" s="114">
        <f>INDEX('Calculations - Target'!$H$4:$H$24,MATCH(Target!D$32,'Calculations - Target'!$F$4:$F$24,0))</f>
        <v>1009998.7380395</v>
      </c>
      <c r="E34" s="115">
        <f>C34+D34</f>
        <v>2608075.55218325</v>
      </c>
      <c r="F34" s="37"/>
      <c r="G34" s="119">
        <f>INDEX('Calculations - Target'!$AB$4:$AB$24,MATCH(Target!G$32,'Calculations - Target'!$F$4:$F$24,0))</f>
        <v>1579558.8751084472</v>
      </c>
      <c r="H34" s="159">
        <f>G34/C34-1</f>
        <v>-1.1587640138077226E-2</v>
      </c>
      <c r="I34" s="119">
        <f>INDEX('Calculations - Target'!$AB$4:$AB$24,MATCH(Target!I$32,'Calculations - Target'!$F$4:$F$24,0))</f>
        <v>981225.57042623044</v>
      </c>
      <c r="J34" s="159">
        <f>I34/D34-1</f>
        <v>-2.8488320360796515E-2</v>
      </c>
      <c r="K34" s="119">
        <f>G34+I34</f>
        <v>2560784.4455346777</v>
      </c>
      <c r="L34" s="159">
        <f>K34/E34-1</f>
        <v>-1.8132567750571593E-2</v>
      </c>
      <c r="M34" s="36"/>
      <c r="N34" t="str">
        <f>$Q$6&amp;Q30&amp;O34&amp;P34</f>
        <v>TARGETHELLMANNS BEST FOODSMayoJAR 30OZ</v>
      </c>
      <c r="O34" s="106" t="s">
        <v>122</v>
      </c>
      <c r="P34" s="34" t="s">
        <v>118</v>
      </c>
      <c r="Q34" s="141">
        <f>IFERROR(INDEX('Calculations - Target'!$O$32:$O$229,MATCH($N34,'Calculations - Target'!$D$32:$D$229,0)),0)</f>
        <v>3.0557173377406559</v>
      </c>
      <c r="R34" s="146">
        <f t="shared" si="3"/>
        <v>3.0557173377406559</v>
      </c>
      <c r="S34" s="105"/>
      <c r="T34" s="105"/>
      <c r="U34" s="155">
        <f t="shared" si="4"/>
        <v>0</v>
      </c>
      <c r="V34" s="124">
        <f>IFERROR(INDEX('Calculations - Target'!$BB$32:$BB$229,MATCH(Target!$N34,'Calculations - Target'!$D$32:$D$229,0)),"-")</f>
        <v>0.25360424168087942</v>
      </c>
      <c r="W34" s="124">
        <f>IFERROR(INDEX('Calculations - Target'!$BE$32:$BE$229,MATCH(Target!$N34,'Calculations - Target'!$D$32:$D$229,0)),"-")</f>
        <v>0.1924446090616031</v>
      </c>
      <c r="X34"/>
      <c r="Y34" s="121" t="s">
        <v>58</v>
      </c>
      <c r="Z34" s="119">
        <f>INDEX('Calculations - Target'!$AU$4:$AU$24,MATCH(Target!Z$32,'Calculations - Target'!$F$4:$F$24,0))</f>
        <v>1579558.8751084418</v>
      </c>
      <c r="AA34" s="159">
        <f>Z34/C34-1</f>
        <v>-1.1587640138080557E-2</v>
      </c>
      <c r="AB34" s="119">
        <f>INDEX('Calculations - Target'!$AU$4:$AU$24,MATCH(Target!AB$32,'Calculations - Target'!$F$4:$F$24,0))</f>
        <v>981225.57042622997</v>
      </c>
      <c r="AC34" s="159">
        <f>AB34/D34-1</f>
        <v>-2.848832036079707E-2</v>
      </c>
      <c r="AD34" s="119">
        <f>Z34+AB34</f>
        <v>2560784.4455346717</v>
      </c>
      <c r="AE34" s="159">
        <f>AD34/E34-1</f>
        <v>-1.8132567750573925E-2</v>
      </c>
      <c r="AF34"/>
    </row>
    <row r="35" spans="1:32" ht="25.05" customHeight="1" x14ac:dyDescent="0.45">
      <c r="A35"/>
      <c r="B35" s="69" t="s">
        <v>3</v>
      </c>
      <c r="C35" s="71">
        <f>INDEX('Calculations - Target'!$G$4:$G$24,MATCH(Target!C$32,'Calculations - Target'!$F$4:$F$24,0))</f>
        <v>6008560.1970766</v>
      </c>
      <c r="D35" s="79">
        <f>INDEX('Calculations - Target'!$G$4:$G$24,MATCH(Target!D$32,'Calculations - Target'!$F$4:$F$24,0))</f>
        <v>3789620.5781259998</v>
      </c>
      <c r="E35" s="75">
        <f t="shared" ref="E35:E36" si="5">C35+D35</f>
        <v>9798180.7752026003</v>
      </c>
      <c r="F35" s="38"/>
      <c r="G35" s="58">
        <f>INDEX('Calculations - Target'!$AA$4:$AA$24,MATCH(Target!G$32,'Calculations - Target'!$F$4:$F$24,0))</f>
        <v>5938935.1637649015</v>
      </c>
      <c r="H35" s="160">
        <f>G35/C35-1</f>
        <v>-1.1587640138077338E-2</v>
      </c>
      <c r="I35" s="58">
        <f>INDEX('Calculations - Target'!$AA$4:$AA$24,MATCH(Target!I$32,'Calculations - Target'!$F$4:$F$24,0))</f>
        <v>3681660.6530504795</v>
      </c>
      <c r="J35" s="160">
        <f>I35/D35-1</f>
        <v>-2.8488320360796515E-2</v>
      </c>
      <c r="K35" s="58">
        <f t="shared" ref="K35:K36" si="6">G35+I35</f>
        <v>9620595.81681538</v>
      </c>
      <c r="L35" s="160">
        <f t="shared" ref="L35:L36" si="7">K35/E35-1</f>
        <v>-1.81242786249316E-2</v>
      </c>
      <c r="M35" s="36"/>
      <c r="N35" t="str">
        <f>$Q$6&amp;Q30&amp;O35&amp;P35</f>
        <v>TARGETHELLMANNS BEST FOODSMayoJAR 48OZ</v>
      </c>
      <c r="O35" s="106" t="s">
        <v>122</v>
      </c>
      <c r="P35" s="34" t="s">
        <v>121</v>
      </c>
      <c r="Q35" s="141">
        <f>IFERROR(INDEX('Calculations - Target'!$O$32:$O$229,MATCH($N35,'Calculations - Target'!$D$32:$D$229,0)),0)</f>
        <v>2.5337882439650685</v>
      </c>
      <c r="R35" s="146">
        <f t="shared" si="3"/>
        <v>2.5337882439650685</v>
      </c>
      <c r="S35" s="105"/>
      <c r="T35" s="105"/>
      <c r="U35" s="155">
        <f t="shared" si="4"/>
        <v>0</v>
      </c>
      <c r="V35" s="124">
        <f>IFERROR(INDEX('Calculations - Target'!$BB$32:$BB$229,MATCH(Target!$N35,'Calculations - Target'!$D$32:$D$229,0)),"-")</f>
        <v>6.0193950512297699E-3</v>
      </c>
      <c r="W35" s="124">
        <f>IFERROR(INDEX('Calculations - Target'!$BE$32:$BE$229,MATCH(Target!$N35,'Calculations - Target'!$D$32:$D$229,0)),"-")</f>
        <v>3.7875573892310862E-3</v>
      </c>
      <c r="X35"/>
      <c r="Y35" s="56" t="s">
        <v>3</v>
      </c>
      <c r="Z35" s="58">
        <f>INDEX('Calculations - Target'!$AT$4:$AT$24,MATCH(Target!Z$32,'Calculations - Target'!$F$4:$F$24,0))</f>
        <v>5938935.163764894</v>
      </c>
      <c r="AA35" s="160">
        <f>Z35/C35-1</f>
        <v>-1.1587640138078559E-2</v>
      </c>
      <c r="AB35" s="58">
        <f>INDEX('Calculations - Target'!$AT$4:$AT$24,MATCH(Target!AB$32,'Calculations - Target'!$F$4:$F$24,0))</f>
        <v>3681660.6530504785</v>
      </c>
      <c r="AC35" s="160">
        <f>AB35/D35-1</f>
        <v>-2.8488320360796737E-2</v>
      </c>
      <c r="AD35" s="58">
        <f t="shared" ref="AD35:AD36" si="8">Z35+AB35</f>
        <v>9620595.8168153726</v>
      </c>
      <c r="AE35" s="160">
        <f>AD35/E35-1</f>
        <v>-1.8124278624932377E-2</v>
      </c>
      <c r="AF35"/>
    </row>
    <row r="36" spans="1:32" ht="25.05" customHeight="1" x14ac:dyDescent="0.3">
      <c r="A36"/>
      <c r="B36" s="69" t="s">
        <v>59</v>
      </c>
      <c r="C36" s="71">
        <f>INDEX('Calculations - Target'!$T$4:$T$24,MATCH(Target!C$32,'Calculations - Target'!$F$4:$F$24,0))</f>
        <v>4806848.1576612787</v>
      </c>
      <c r="D36" s="79">
        <f>INDEX('Calculations - Target'!$T$4:$T$24,MATCH(Target!D$32,'Calculations - Target'!$F$4:$F$24,0))</f>
        <v>3031696.4625008004</v>
      </c>
      <c r="E36" s="75">
        <f t="shared" si="5"/>
        <v>7838544.6201620791</v>
      </c>
      <c r="F36" s="39"/>
      <c r="G36" s="58">
        <f>INDEX('Calculations - Target'!$AC$4:$AC$24,MATCH(Target!G$32,'Calculations - Target'!$F$4:$F$24,0))</f>
        <v>4751148.13101192</v>
      </c>
      <c r="H36" s="160">
        <f>G36/C36-1</f>
        <v>-1.1587640138077338E-2</v>
      </c>
      <c r="I36" s="58">
        <f>INDEX('Calculations - Target'!$AC$4:$AC$24,MATCH(Target!I$32,'Calculations - Target'!$F$4:$F$24,0))</f>
        <v>2945328.5224403841</v>
      </c>
      <c r="J36" s="160">
        <f>I36/D36-1</f>
        <v>-2.8488320360796515E-2</v>
      </c>
      <c r="K36" s="58">
        <f t="shared" si="6"/>
        <v>7696476.6534523042</v>
      </c>
      <c r="L36" s="160">
        <f t="shared" si="7"/>
        <v>-1.8124278624931489E-2</v>
      </c>
      <c r="M36" s="44"/>
      <c r="N36" t="str">
        <f>$Q$6&amp;Q30&amp;O36&amp;P36</f>
        <v>TARGETHELLMANNS BEST FOODSMayoSQUEEZY 12OZ</v>
      </c>
      <c r="O36" s="106" t="s">
        <v>122</v>
      </c>
      <c r="P36" s="34" t="s">
        <v>117</v>
      </c>
      <c r="Q36" s="141">
        <f>IFERROR(INDEX('Calculations - Target'!$O$32:$O$229,MATCH($N36,'Calculations - Target'!$D$32:$D$229,0)),0)</f>
        <v>6.3355964010020172</v>
      </c>
      <c r="R36" s="146">
        <f t="shared" si="3"/>
        <v>6.3355964010020172</v>
      </c>
      <c r="S36" s="105"/>
      <c r="T36" s="105"/>
      <c r="U36" s="155">
        <f t="shared" si="4"/>
        <v>0</v>
      </c>
      <c r="V36" s="124">
        <f>IFERROR(INDEX('Calculations - Target'!$BB$32:$BB$229,MATCH(Target!$N36,'Calculations - Target'!$D$32:$D$229,0)),"-")</f>
        <v>4.5996341617719108E-2</v>
      </c>
      <c r="W36" s="124">
        <f>IFERROR(INDEX('Calculations - Target'!$BE$32:$BE$229,MATCH(Target!$N36,'Calculations - Target'!$D$32:$D$229,0)),"-")</f>
        <v>7.2368047021031195E-2</v>
      </c>
      <c r="X36"/>
      <c r="Y36" s="56" t="s">
        <v>59</v>
      </c>
      <c r="Z36" s="58">
        <f>INDEX('Calculations - Target'!$AV$4:$AV$24,MATCH(Target!Z$32,'Calculations - Target'!$F$4:$F$24,0))</f>
        <v>4751148.1310119154</v>
      </c>
      <c r="AA36" s="160">
        <f>Z36/C36-1</f>
        <v>-1.1587640138078226E-2</v>
      </c>
      <c r="AB36" s="58">
        <f>INDEX('Calculations - Target'!$AV$4:$AV$24,MATCH(Target!AB$32,'Calculations - Target'!$F$4:$F$24,0))</f>
        <v>2945328.5224403832</v>
      </c>
      <c r="AC36" s="160">
        <f>AB36/D36-1</f>
        <v>-2.8488320360796848E-2</v>
      </c>
      <c r="AD36" s="58">
        <f t="shared" si="8"/>
        <v>7696476.6534522986</v>
      </c>
      <c r="AE36" s="160">
        <f>AD36/E36-1</f>
        <v>-1.8124278624932155E-2</v>
      </c>
      <c r="AF36"/>
    </row>
    <row r="37" spans="1:32" ht="25.05" customHeight="1" x14ac:dyDescent="0.3">
      <c r="A37"/>
      <c r="B37" s="69" t="s">
        <v>60</v>
      </c>
      <c r="C37" s="72">
        <f>C36/C34</f>
        <v>3.0078955624149954</v>
      </c>
      <c r="D37" s="80">
        <f>D36/D34</f>
        <v>3.0016834163432726</v>
      </c>
      <c r="E37" s="76" t="s">
        <v>62</v>
      </c>
      <c r="F37" s="39"/>
      <c r="G37" s="59">
        <f>G36/G34</f>
        <v>3.0078955624149954</v>
      </c>
      <c r="H37" s="160">
        <f>G37/C37-1</f>
        <v>0</v>
      </c>
      <c r="I37" s="59">
        <f>I36/I34</f>
        <v>3.0016834163432731</v>
      </c>
      <c r="J37" s="160">
        <f>I37/D37-1</f>
        <v>0</v>
      </c>
      <c r="K37" s="59" t="s">
        <v>62</v>
      </c>
      <c r="L37" s="160" t="s">
        <v>62</v>
      </c>
      <c r="M37" s="36"/>
      <c r="N37" t="str">
        <f>$Q$6&amp;Q30&amp;O37&amp;P37</f>
        <v>TARGETHELLMANNS BEST FOODSMayoSQUEEZY 18 TO 22OZ</v>
      </c>
      <c r="O37" s="106" t="s">
        <v>122</v>
      </c>
      <c r="P37" s="34" t="s">
        <v>120</v>
      </c>
      <c r="Q37" s="141">
        <f>IFERROR(INDEX('Calculations - Target'!$O$32:$O$229,MATCH($N37,'Calculations - Target'!$D$32:$D$229,0)),0)</f>
        <v>4.6121957382497945</v>
      </c>
      <c r="R37" s="146">
        <f t="shared" si="3"/>
        <v>4.6121957382497945</v>
      </c>
      <c r="S37" s="105"/>
      <c r="T37" s="105"/>
      <c r="U37" s="155">
        <f t="shared" si="4"/>
        <v>0</v>
      </c>
      <c r="V37" s="124">
        <f>IFERROR(INDEX('Calculations - Target'!$BB$32:$BB$229,MATCH(Target!$N37,'Calculations - Target'!$D$32:$D$229,0)),"-")</f>
        <v>0.14691123288380104</v>
      </c>
      <c r="W37" s="124">
        <f>IFERROR(INDEX('Calculations - Target'!$BE$32:$BE$229,MATCH(Target!$N37,'Calculations - Target'!$D$32:$D$229,0)),"-")</f>
        <v>0.16826693800288103</v>
      </c>
      <c r="X37"/>
      <c r="Y37" s="56" t="s">
        <v>60</v>
      </c>
      <c r="Z37" s="59">
        <f>Z36/Z34</f>
        <v>3.0078955624150026</v>
      </c>
      <c r="AA37" s="160">
        <f>Z37/C37-1</f>
        <v>2.4424906541753444E-15</v>
      </c>
      <c r="AB37" s="59">
        <f>AB36/AB34</f>
        <v>3.0016834163432735</v>
      </c>
      <c r="AC37" s="160">
        <f>AB37/D37-1</f>
        <v>0</v>
      </c>
      <c r="AD37" s="59" t="s">
        <v>62</v>
      </c>
      <c r="AE37" s="160" t="s">
        <v>62</v>
      </c>
      <c r="AF37"/>
    </row>
    <row r="38" spans="1:32" ht="25.05" customHeight="1" x14ac:dyDescent="0.3">
      <c r="A38"/>
      <c r="B38" s="69" t="s">
        <v>61</v>
      </c>
      <c r="C38" s="73">
        <f>INDEX('Calculations - Target'!$U$4:$U$24,MATCH(Target!C$32,'Calculations - Target'!$F$4:$F$24,0))/C36</f>
        <v>0.3</v>
      </c>
      <c r="D38" s="81">
        <f>INDEX('Calculations - Target'!$U$4:$U$24,MATCH(Target!D$32,'Calculations - Target'!$F$4:$F$24,0))/D36</f>
        <v>0.3</v>
      </c>
      <c r="E38" s="75" t="s">
        <v>62</v>
      </c>
      <c r="F38" s="39"/>
      <c r="G38" s="60">
        <f>INDEX('Calculations - Target'!$AD$4:$AD$24,MATCH(Target!G$32,'Calculations - Target'!$F$4:$F$24,0))/G36</f>
        <v>0.29999999999999988</v>
      </c>
      <c r="H38" s="161">
        <f>(G38-C38)*10000</f>
        <v>-1.1102230246251565E-12</v>
      </c>
      <c r="I38" s="60">
        <f>INDEX('Calculations - Target'!$AD$4:$AD$24,MATCH(Target!I$32,'Calculations - Target'!$F$4:$F$24,0))/I36</f>
        <v>0.3000000000000001</v>
      </c>
      <c r="J38" s="161">
        <f>(I38-D38)*10000</f>
        <v>1.1102230246251565E-12</v>
      </c>
      <c r="K38" s="60" t="s">
        <v>62</v>
      </c>
      <c r="L38" s="161" t="s">
        <v>62</v>
      </c>
      <c r="M38" s="45"/>
      <c r="N38" t="str">
        <f>$Q$6&amp;Q30&amp;O38&amp;P38</f>
        <v>TARGETHELLMANNS BEST FOODSMayoOTHER</v>
      </c>
      <c r="O38" s="106" t="s">
        <v>122</v>
      </c>
      <c r="P38" s="34" t="s">
        <v>115</v>
      </c>
      <c r="Q38" s="141">
        <f>IFERROR(INDEX('Calculations - Target'!$O$32:$O$229,MATCH($N38,'Calculations - Target'!$D$32:$D$229,0)),0)</f>
        <v>9.2520105113125517</v>
      </c>
      <c r="R38" s="146">
        <f t="shared" si="3"/>
        <v>9.2520105113125517</v>
      </c>
      <c r="S38" s="105"/>
      <c r="T38" s="105"/>
      <c r="U38" s="155">
        <f t="shared" si="4"/>
        <v>0</v>
      </c>
      <c r="V38" s="124">
        <f>IFERROR(INDEX('Calculations - Target'!$BB$32:$BB$229,MATCH(Target!$N38,'Calculations - Target'!$D$32:$D$229,0)),"-")</f>
        <v>1.4657283888054994E-2</v>
      </c>
      <c r="W38" s="124">
        <f>IFERROR(INDEX('Calculations - Target'!$BE$32:$BE$229,MATCH(Target!$N38,'Calculations - Target'!$D$32:$D$229,0)),"-")</f>
        <v>3.3676401241614431E-2</v>
      </c>
      <c r="X38"/>
      <c r="Y38" s="56" t="s">
        <v>61</v>
      </c>
      <c r="Z38" s="60">
        <f>INDEX('Calculations - Target'!$AH$4:$AH$24,MATCH(Target!Z$32,'Calculations - Target'!$F$4:$F$24,0))</f>
        <v>0.30000000000000016</v>
      </c>
      <c r="AA38" s="161">
        <f>(Z38-C38)*10000</f>
        <v>1.6653345369377348E-12</v>
      </c>
      <c r="AB38" s="60">
        <f>INDEX('Calculations - Target'!$AH$4:$AH$24,MATCH(Target!AB$32,'Calculations - Target'!$F$4:$F$24,0))</f>
        <v>0.29999999999999988</v>
      </c>
      <c r="AC38" s="161">
        <f>(AB38-D38)*10000</f>
        <v>-1.1102230246251565E-12</v>
      </c>
      <c r="AD38" s="60" t="s">
        <v>62</v>
      </c>
      <c r="AE38" s="161" t="s">
        <v>62</v>
      </c>
      <c r="AF38"/>
    </row>
    <row r="39" spans="1:32" ht="25.05" customHeight="1" x14ac:dyDescent="0.3">
      <c r="A39"/>
      <c r="B39" s="69" t="s">
        <v>79</v>
      </c>
      <c r="C39" s="74">
        <f>INDEX('Calculations - Target'!$P$4:$P$24,MATCH(Target!C$32,'Calculations - Target'!$F$4:$F$24,0))</f>
        <v>0.10624513261257547</v>
      </c>
      <c r="D39" s="82">
        <f>INDEX('Calculations - Target'!$P$4:$P$24,MATCH(Target!D$32,'Calculations - Target'!$F$4:$F$24,0))</f>
        <v>6.7009188169611156E-2</v>
      </c>
      <c r="E39" s="137">
        <f t="shared" ref="E39:E40" si="9">C39+D39</f>
        <v>0.17325432078218661</v>
      </c>
      <c r="F39" s="39"/>
      <c r="G39" s="61">
        <f>INDEX('Calculations - Target'!$Y$4:$Y$24,MATCH(Target!G$32,'Calculations - Target'!$F$4:$F$24,0))</f>
        <v>0.10501400224943863</v>
      </c>
      <c r="H39" s="161">
        <f t="shared" ref="H39:H40" si="10">(G39-C39)*10000</f>
        <v>-12.31130363136837</v>
      </c>
      <c r="I39" s="61">
        <f>INDEX('Calculations - Target'!$Y$4:$Y$24,MATCH(Target!I$32,'Calculations - Target'!$F$4:$F$24,0))</f>
        <v>6.5100208949918373E-2</v>
      </c>
      <c r="J39" s="161">
        <f>(I39-D39)*10000</f>
        <v>-19.089792196927828</v>
      </c>
      <c r="K39" s="61">
        <f t="shared" ref="K39:K40" si="11">G39+I39</f>
        <v>0.17011421119935699</v>
      </c>
      <c r="L39" s="161">
        <f>(K39-E39)*10000</f>
        <v>-31.401095828296199</v>
      </c>
      <c r="M39" s="45"/>
      <c r="N39" t="str">
        <f>$Q$6&amp;Q30&amp;P39</f>
        <v>TARGETHELLMANNS BEST FOODSAioli</v>
      </c>
      <c r="O39" s="106" t="s">
        <v>123</v>
      </c>
      <c r="P39" s="107" t="s">
        <v>124</v>
      </c>
      <c r="Q39" s="139" cm="1">
        <f t="array" ref="Q39">SUM(_xlfn._xlws.FILTER('Calculations - Target'!$O$32:$O$229*'Calculations - Target'!$J$32:$J$229,'Calculations - Target'!$C$32:$C$229=$N39))/SUM(_xlfn._xlws.FILTER('Calculations - Target'!$J$32:$J$229,'Calculations - Target'!$C$32:$C$229=$N39))</f>
        <v>6.3591362044024748</v>
      </c>
      <c r="R39" s="145" cm="1">
        <f t="array" ref="R39">SUM(_xlfn._xlws.FILTER('Calculations - Target'!$AH$32:$AH$229*'Calculations - Target'!$AL$32:$AL$229,'Calculations - Target'!$C$32:$C$229=$N39))/SUM(_xlfn._xlws.FILTER('Calculations - Target'!$AL$32:$AL$229,'Calculations - Target'!$C$32:$C$229=$N39))</f>
        <v>6.3591362044024748</v>
      </c>
      <c r="S39" s="105"/>
      <c r="T39" s="105"/>
      <c r="U39" s="128">
        <f>IFERROR(R39/Q39-1,0)</f>
        <v>0</v>
      </c>
      <c r="V39" s="128">
        <f>SUM(V40:V40)</f>
        <v>1.1434007415210456E-2</v>
      </c>
      <c r="W39" s="128">
        <f>SUM(W40:W40)</f>
        <v>1.805646186250463E-2</v>
      </c>
      <c r="X39"/>
      <c r="Y39" s="56" t="s">
        <v>79</v>
      </c>
      <c r="Z39" s="61">
        <f>INDEX('Calculations - Target'!$AR$4:$AR$24,MATCH(Target!Z$32,'Calculations - Target'!$F$4:$F$24,0))</f>
        <v>0.10501400224943851</v>
      </c>
      <c r="AA39" s="161">
        <f>(Z39-C39)*10000</f>
        <v>-12.311303631369618</v>
      </c>
      <c r="AB39" s="61">
        <f>INDEX('Calculations - Target'!$AR$4:$AR$24,MATCH(Target!AB$32,'Calculations - Target'!$F$4:$F$24,0))</f>
        <v>6.5100208949918359E-2</v>
      </c>
      <c r="AC39" s="161">
        <f>(AB39-D39)*10000</f>
        <v>-19.089792196927966</v>
      </c>
      <c r="AD39" s="61">
        <f t="shared" ref="AD39:AD40" si="12">Z39+AB39</f>
        <v>0.17011421119935688</v>
      </c>
      <c r="AE39" s="161">
        <f>(AD39-E39)*10000</f>
        <v>-31.401095828297308</v>
      </c>
      <c r="AF39"/>
    </row>
    <row r="40" spans="1:32" ht="25.05" customHeight="1" x14ac:dyDescent="0.3">
      <c r="A40"/>
      <c r="B40" s="69" t="s">
        <v>80</v>
      </c>
      <c r="C40" s="74">
        <f>INDEX('Calculations - Target'!$Q$4:$Q$24,MATCH(Target!C$32,'Calculations - Target'!$F$4:$F$24,0))</f>
        <v>0.11380335686197844</v>
      </c>
      <c r="D40" s="82">
        <f>INDEX('Calculations - Target'!$Q$4:$Q$24,MATCH(Target!D$32,'Calculations - Target'!$F$4:$F$24,0))</f>
        <v>7.1924732151778734E-2</v>
      </c>
      <c r="E40" s="137">
        <f t="shared" si="9"/>
        <v>0.18572808901375717</v>
      </c>
      <c r="F40" s="39"/>
      <c r="G40" s="61">
        <f>INDEX('Calculations - Target'!$AE$4:$AE$24,MATCH(Target!G$32,'Calculations - Target'!$F$4:$F$24,0))</f>
        <v>0.11283819999652311</v>
      </c>
      <c r="H40" s="161">
        <f t="shared" si="10"/>
        <v>-9.6515686545532713</v>
      </c>
      <c r="I40" s="61">
        <f>INDEX('Calculations - Target'!$AE$4:$AE$24,MATCH(Target!I$32,'Calculations - Target'!$F$4:$F$24,0))</f>
        <v>7.0095346809947695E-2</v>
      </c>
      <c r="J40" s="161">
        <f>(I40-D40)*10000</f>
        <v>-18.293853418310384</v>
      </c>
      <c r="K40" s="61">
        <f t="shared" si="11"/>
        <v>0.18293354680647081</v>
      </c>
      <c r="L40" s="161">
        <f>(K40-E40)*10000</f>
        <v>-27.945422072863657</v>
      </c>
      <c r="M40" s="44"/>
      <c r="N40" t="str">
        <f>$Q$6&amp;Q30&amp;O40&amp;P40</f>
        <v>TARGETHELLMANNS BEST FOODSAioliOTHER</v>
      </c>
      <c r="O40" s="106" t="s">
        <v>124</v>
      </c>
      <c r="P40" s="34" t="s">
        <v>115</v>
      </c>
      <c r="Q40" s="141">
        <f>IFERROR(INDEX('Calculations - Target'!$O$32:$O$229,MATCH($N40,'Calculations - Target'!$D$32:$D$229,0)),0)</f>
        <v>6.3591362044024748</v>
      </c>
      <c r="R40" s="146">
        <f>Q40</f>
        <v>6.3591362044024748</v>
      </c>
      <c r="S40" s="105"/>
      <c r="T40" s="105"/>
      <c r="U40" s="155">
        <f t="shared" ref="U40" si="13">IFERROR(R40/Q40-1,0)</f>
        <v>0</v>
      </c>
      <c r="V40" s="124">
        <f>IFERROR(INDEX('Calculations - Target'!$BB$32:$BB$229,MATCH(Target!$N40,'Calculations - Target'!$D$32:$D$229,0)),"-")</f>
        <v>1.1434007415210456E-2</v>
      </c>
      <c r="W40" s="124">
        <f>IFERROR(INDEX('Calculations - Target'!$BE$32:$BE$229,MATCH(Target!$N40,'Calculations - Target'!$D$32:$D$229,0)),"-")</f>
        <v>1.805646186250463E-2</v>
      </c>
      <c r="X40"/>
      <c r="Y40" s="56" t="s">
        <v>80</v>
      </c>
      <c r="Z40" s="61">
        <f>INDEX('Calculations - Target'!$AY$4:$AY$24,MATCH(Target!Z$32,'Calculations - Target'!$F$4:$F$24,0))</f>
        <v>0.11283819999652273</v>
      </c>
      <c r="AA40" s="161">
        <f>(Z40-C40)*10000</f>
        <v>-9.651568654557158</v>
      </c>
      <c r="AB40" s="61">
        <f>INDEX('Calculations - Target'!$AY$4:$AY$24,MATCH(Target!AB$32,'Calculations - Target'!$F$4:$F$24,0))</f>
        <v>7.0095346809947667E-2</v>
      </c>
      <c r="AC40" s="161">
        <f>(AB40-D40)*10000</f>
        <v>-18.293853418310661</v>
      </c>
      <c r="AD40" s="61">
        <f t="shared" si="12"/>
        <v>0.18293354680647039</v>
      </c>
      <c r="AE40" s="161">
        <f>(AD40-E40)*10000</f>
        <v>-27.945422072867821</v>
      </c>
      <c r="AF40"/>
    </row>
    <row r="41" spans="1:32" ht="25.05" customHeight="1" thickBot="1" x14ac:dyDescent="0.35">
      <c r="A41"/>
      <c r="B41" s="70" t="s">
        <v>63</v>
      </c>
      <c r="C41" s="116">
        <f>C35/C34</f>
        <v>3.7598694530187453</v>
      </c>
      <c r="D41" s="117">
        <f>D35/D34</f>
        <v>3.7521042704290903</v>
      </c>
      <c r="E41" s="118" t="s">
        <v>62</v>
      </c>
      <c r="F41" s="40"/>
      <c r="G41" s="120">
        <f>G35/G34</f>
        <v>3.7598694530187449</v>
      </c>
      <c r="H41" s="162">
        <f t="shared" ref="H41" si="14">G41/C41-1</f>
        <v>0</v>
      </c>
      <c r="I41" s="120">
        <f>I35/I34</f>
        <v>3.7521042704290903</v>
      </c>
      <c r="J41" s="162">
        <f>I41/D41-1</f>
        <v>0</v>
      </c>
      <c r="K41" s="120" t="s">
        <v>62</v>
      </c>
      <c r="L41" s="162" t="s">
        <v>62</v>
      </c>
      <c r="M41" s="36"/>
      <c r="N41"/>
      <c r="O41"/>
      <c r="P41" s="41"/>
      <c r="Q41" s="47"/>
      <c r="R41" s="47"/>
      <c r="S41"/>
      <c r="T41"/>
      <c r="U41" s="125"/>
      <c r="V41" s="125"/>
      <c r="W41" s="125"/>
      <c r="X41"/>
      <c r="Y41" s="57" t="s">
        <v>63</v>
      </c>
      <c r="Z41" s="120">
        <f>Z35/Z34</f>
        <v>3.7598694530187533</v>
      </c>
      <c r="AA41" s="162">
        <f>Z41/C41-1</f>
        <v>2.2204460492503131E-15</v>
      </c>
      <c r="AB41" s="120">
        <f>AB35/AB34</f>
        <v>3.7521042704290912</v>
      </c>
      <c r="AC41" s="162">
        <f>AB41/D41-1</f>
        <v>0</v>
      </c>
      <c r="AD41" s="120" t="s">
        <v>62</v>
      </c>
      <c r="AE41" s="162" t="s">
        <v>62</v>
      </c>
      <c r="AF41"/>
    </row>
    <row r="42" spans="1:32" ht="25.05" customHeight="1" x14ac:dyDescent="0.4">
      <c r="A42"/>
      <c r="B42"/>
      <c r="C42"/>
      <c r="D42"/>
      <c r="E42"/>
      <c r="F42"/>
      <c r="G42"/>
      <c r="H42"/>
      <c r="I42"/>
      <c r="J42"/>
      <c r="K42"/>
      <c r="L42"/>
      <c r="M42"/>
      <c r="N42" s="46" t="s">
        <v>9</v>
      </c>
      <c r="O42" s="46"/>
      <c r="P42" s="41"/>
      <c r="Q42" s="206" t="str">
        <f>'Calculations - Target'!F7</f>
        <v>DUKES</v>
      </c>
      <c r="R42" s="206"/>
      <c r="S42" s="41"/>
      <c r="T42" s="41"/>
      <c r="U42" s="155">
        <f>R43/Q43-1</f>
        <v>0</v>
      </c>
      <c r="V42" s="132">
        <f>V44</f>
        <v>3.4545507271157926E-2</v>
      </c>
      <c r="W42" s="132">
        <f>W44</f>
        <v>2.7406129076150212E-2</v>
      </c>
      <c r="X42"/>
      <c r="Y42"/>
      <c r="Z42"/>
      <c r="AA42"/>
      <c r="AB42"/>
      <c r="AC42"/>
      <c r="AD42"/>
      <c r="AE42"/>
      <c r="AF42"/>
    </row>
    <row r="43" spans="1:32" ht="25.05" customHeight="1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 t="str">
        <f>$Q$6&amp;Q42&amp;P43</f>
        <v>TARGETDUKES</v>
      </c>
      <c r="O43"/>
      <c r="P43" s="41"/>
      <c r="Q43" s="139">
        <f>INDEX('Calculations - Target'!$M$3:$M$24,MATCH(N43,'Calculations - Target'!$D$3:$D$24,0))</f>
        <v>3.2050722919805859</v>
      </c>
      <c r="R43" s="147">
        <f>INDEX('Calculations - Target'!$AF$3:$AF$24,MATCH(N43,'Calculations - Target'!$D$3:$D$24,0))</f>
        <v>3.2050722919805859</v>
      </c>
      <c r="S43" s="104"/>
      <c r="T43" s="104"/>
      <c r="U43" s="125"/>
      <c r="V43" s="125"/>
      <c r="W43" s="125"/>
      <c r="X43"/>
      <c r="Y43"/>
      <c r="Z43"/>
      <c r="AA43"/>
      <c r="AB43"/>
      <c r="AC43"/>
      <c r="AD43"/>
      <c r="AE43"/>
      <c r="AF43"/>
    </row>
    <row r="44" spans="1:32" ht="25.05" customHeight="1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 t="str">
        <f>$Q$6&amp;Q42&amp;P44</f>
        <v>TARGETDUKESMayo</v>
      </c>
      <c r="O44" s="106" t="s">
        <v>102</v>
      </c>
      <c r="P44" s="107" t="s">
        <v>122</v>
      </c>
      <c r="Q44" s="139" cm="1">
        <f t="array" ref="Q44">SUM(_xlfn._xlws.FILTER('Calculations - Target'!$O$32:$O$229*'Calculations - Target'!$J$32:$J$229,'Calculations - Target'!$C$32:$C$229=$N44))/SUM(_xlfn._xlws.FILTER('Calculations - Target'!$J$32:$J$229,'Calculations - Target'!$C$32:$C$229=$N44))</f>
        <v>3.2050722919805859</v>
      </c>
      <c r="R44" s="147" cm="1">
        <f t="array" ref="R44">SUM(_xlfn._xlws.FILTER('Calculations - Target'!$AH$32:$AH$229*'Calculations - Target'!$AL$32:$AL$229,'Calculations - Target'!$C$32:$C$229=$N44))/SUM(_xlfn._xlws.FILTER('Calculations - Target'!$AL$32:$AL$229,'Calculations - Target'!$C$32:$C$229=$N44))</f>
        <v>3.2050722919805859</v>
      </c>
      <c r="S44" s="104"/>
      <c r="T44" s="104"/>
      <c r="U44" s="128">
        <f>IFERROR(R44/Q44-1,0)</f>
        <v>0</v>
      </c>
      <c r="V44" s="128">
        <f>SUM(V45:V47)</f>
        <v>3.4545507271157926E-2</v>
      </c>
      <c r="W44" s="128">
        <f>SUM(W45:W47)</f>
        <v>2.7406129076150212E-2</v>
      </c>
      <c r="X44"/>
      <c r="Y44"/>
      <c r="Z44"/>
      <c r="AA44"/>
      <c r="AB44"/>
      <c r="AC44"/>
      <c r="AD44"/>
      <c r="AE44"/>
      <c r="AF44"/>
    </row>
    <row r="45" spans="1:32" ht="25.05" customHeight="1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 t="str">
        <f>$Q$6&amp;Q42&amp;O45&amp;P45</f>
        <v>TARGETDUKESMayoJAR 8OZ</v>
      </c>
      <c r="O45" s="106" t="s">
        <v>122</v>
      </c>
      <c r="P45" s="34" t="s">
        <v>119</v>
      </c>
      <c r="Q45" s="141">
        <f>IFERROR(INDEX('Calculations - Target'!$O$32:$O$229,MATCH($N45,'Calculations - Target'!$D$32:$D$229,0)),0)</f>
        <v>5.8662816305171104</v>
      </c>
      <c r="R45" s="148">
        <f>Q45</f>
        <v>5.8662816305171104</v>
      </c>
      <c r="S45" s="105"/>
      <c r="T45" s="105"/>
      <c r="U45" s="155">
        <f>IFERROR(R45/Q45-1,0)</f>
        <v>0</v>
      </c>
      <c r="V45" s="124">
        <f>IFERROR(INDEX('Calculations - Target'!$BB$32:$BB$229,MATCH(Target!$N45,'Calculations - Target'!$D$32:$D$229,0)),"-")</f>
        <v>2.2578140907266509E-3</v>
      </c>
      <c r="W45" s="124">
        <f>IFERROR(INDEX('Calculations - Target'!$BE$32:$BE$229,MATCH(Target!$N45,'Calculations - Target'!$D$32:$D$229,0)),"-")</f>
        <v>3.2785754426741388E-3</v>
      </c>
      <c r="X45"/>
      <c r="Y45"/>
      <c r="Z45"/>
      <c r="AA45"/>
      <c r="AB45"/>
      <c r="AC45"/>
      <c r="AD45"/>
      <c r="AE45"/>
      <c r="AF45"/>
    </row>
    <row r="46" spans="1:32" ht="25.05" customHeight="1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 t="str">
        <f>$Q$6&amp;Q42&amp;O46&amp;P46</f>
        <v>TARGETDUKESMayoJAR 30OZ</v>
      </c>
      <c r="O46" s="106" t="s">
        <v>122</v>
      </c>
      <c r="P46" s="34" t="s">
        <v>118</v>
      </c>
      <c r="Q46" s="141">
        <f>IFERROR(INDEX('Calculations - Target'!$O$32:$O$229,MATCH($N46,'Calculations - Target'!$D$32:$D$229,0)),0)</f>
        <v>2.5201415547238004</v>
      </c>
      <c r="R46" s="148">
        <f>Q46</f>
        <v>2.5201415547238004</v>
      </c>
      <c r="S46" s="105"/>
      <c r="T46" s="105"/>
      <c r="U46" s="155">
        <f t="shared" ref="U46:U47" si="15">IFERROR(R46/Q46-1,0)</f>
        <v>0</v>
      </c>
      <c r="V46" s="124">
        <f>IFERROR(INDEX('Calculations - Target'!$BB$32:$BB$229,MATCH(Target!$N46,'Calculations - Target'!$D$32:$D$229,0)),"-")</f>
        <v>2.1660191865503154E-2</v>
      </c>
      <c r="W46" s="124">
        <f>IFERROR(INDEX('Calculations - Target'!$BE$32:$BE$229,MATCH(Target!$N46,'Calculations - Target'!$D$32:$D$229,0)),"-")</f>
        <v>1.351205263662696E-2</v>
      </c>
      <c r="X46"/>
      <c r="Y46"/>
      <c r="Z46"/>
      <c r="AA46"/>
      <c r="AB46"/>
      <c r="AC46"/>
      <c r="AD46"/>
      <c r="AE46"/>
      <c r="AF46"/>
    </row>
    <row r="47" spans="1:32" ht="25.05" customHeight="1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 t="str">
        <f>$Q$6&amp;Q42&amp;O47&amp;P47</f>
        <v>TARGETDUKESMayoSQUEEZY 18 TO 22OZ</v>
      </c>
      <c r="O47" s="106" t="s">
        <v>122</v>
      </c>
      <c r="P47" s="34" t="s">
        <v>120</v>
      </c>
      <c r="Q47" s="141">
        <f>IFERROR(INDEX('Calculations - Target'!$O$32:$O$229,MATCH($N47,'Calculations - Target'!$D$32:$D$229,0)),0)</f>
        <v>4.0352944907190826</v>
      </c>
      <c r="R47" s="148">
        <f>Q47</f>
        <v>4.0352944907190826</v>
      </c>
      <c r="S47" s="105"/>
      <c r="T47" s="105"/>
      <c r="U47" s="155">
        <f t="shared" si="15"/>
        <v>0</v>
      </c>
      <c r="V47" s="124">
        <f>IFERROR(INDEX('Calculations - Target'!$BB$32:$BB$229,MATCH(Target!$N47,'Calculations - Target'!$D$32:$D$229,0)),"-")</f>
        <v>1.0627501314928121E-2</v>
      </c>
      <c r="W47" s="124">
        <f>IFERROR(INDEX('Calculations - Target'!$BE$32:$BE$229,MATCH(Target!$N47,'Calculations - Target'!$D$32:$D$229,0)),"-")</f>
        <v>1.0615500996849114E-2</v>
      </c>
      <c r="X47"/>
      <c r="Y47"/>
      <c r="Z47"/>
      <c r="AA47"/>
      <c r="AB47"/>
      <c r="AC47"/>
      <c r="AD47"/>
      <c r="AE47"/>
      <c r="AF47"/>
    </row>
    <row r="48" spans="1:32" ht="25.05" customHeight="1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34"/>
      <c r="Q48" s="48"/>
      <c r="R48" s="48"/>
      <c r="S48"/>
      <c r="T48"/>
      <c r="U48" s="128"/>
      <c r="V48" s="124"/>
      <c r="W48" s="124"/>
      <c r="X48"/>
      <c r="Y48"/>
      <c r="Z48"/>
      <c r="AA48"/>
      <c r="AB48"/>
      <c r="AC48"/>
      <c r="AD48"/>
      <c r="AE48"/>
      <c r="AF48"/>
    </row>
    <row r="49" spans="1:32" ht="25.05" customHeight="1" x14ac:dyDescent="0.4">
      <c r="A49"/>
      <c r="B49"/>
      <c r="C49"/>
      <c r="D49"/>
      <c r="E49"/>
      <c r="F49"/>
      <c r="G49"/>
      <c r="H49"/>
      <c r="I49"/>
      <c r="J49"/>
      <c r="K49"/>
      <c r="L49"/>
      <c r="M49"/>
      <c r="N49" s="46" t="s">
        <v>9</v>
      </c>
      <c r="O49" s="46"/>
      <c r="P49" s="41"/>
      <c r="Q49" s="207" t="str">
        <f>'Calculations - Target'!F8</f>
        <v>PRIVATE LABEL</v>
      </c>
      <c r="R49" s="207"/>
      <c r="S49" s="41"/>
      <c r="T49" s="41"/>
      <c r="U49" s="155">
        <f>R50/Q50-1</f>
        <v>-1.9984014443252818E-15</v>
      </c>
      <c r="V49" s="131">
        <f>V51</f>
        <v>0.1469905585902278</v>
      </c>
      <c r="W49" s="131">
        <f>W51</f>
        <v>7.9736850925510611E-2</v>
      </c>
      <c r="X49"/>
      <c r="Y49"/>
      <c r="Z49"/>
      <c r="AA49"/>
      <c r="AB49"/>
      <c r="AC49"/>
      <c r="AD49"/>
      <c r="AE49"/>
      <c r="AF49"/>
    </row>
    <row r="50" spans="1:32" ht="25.05" customHeight="1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 t="str">
        <f>$Q$6&amp;Q49&amp;P50</f>
        <v>TARGETPRIVATE LABEL</v>
      </c>
      <c r="O50"/>
      <c r="P50" s="41"/>
      <c r="Q50" s="139">
        <f>INDEX('Calculations - Target'!$M$3:$M$24,MATCH(N50,'Calculations - Target'!$D$3:$D$24,0))</f>
        <v>2.1915498048102622</v>
      </c>
      <c r="R50" s="149">
        <f>INDEX('Calculations - Target'!$AF$3:$AF$24,MATCH(N50,'Calculations - Target'!$D$3:$D$24,0))</f>
        <v>2.1915498048102577</v>
      </c>
      <c r="S50" s="104"/>
      <c r="T50" s="104"/>
      <c r="U50" s="125"/>
      <c r="V50" s="125"/>
      <c r="W50" s="125"/>
      <c r="X50"/>
      <c r="Y50"/>
      <c r="Z50"/>
      <c r="AA50"/>
      <c r="AB50"/>
      <c r="AC50"/>
      <c r="AD50"/>
      <c r="AE50"/>
      <c r="AF50"/>
    </row>
    <row r="51" spans="1:32" ht="25.05" customHeight="1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 t="str">
        <f>$Q$6&amp;Q49&amp;P51</f>
        <v>TARGETPRIVATE LABELMayo</v>
      </c>
      <c r="O51" s="106" t="s">
        <v>102</v>
      </c>
      <c r="P51" s="107" t="s">
        <v>122</v>
      </c>
      <c r="Q51" s="139" cm="1">
        <f t="array" ref="Q51">SUM(_xlfn._xlws.FILTER('Calculations - Target'!$O$32:$O$229*'Calculations - Target'!$J$32:$J$229,'Calculations - Target'!$C$32:$C$229=$N51))/SUM(_xlfn._xlws.FILTER('Calculations - Target'!$J$32:$J$229,'Calculations - Target'!$C$32:$C$229=$N51))</f>
        <v>2.1915498048102577</v>
      </c>
      <c r="R51" s="149" cm="1">
        <f t="array" ref="R51">SUM(_xlfn._xlws.FILTER('Calculations - Target'!$AH$32:$AH$229*'Calculations - Target'!$AL$32:$AL$229,'Calculations - Target'!$C$32:$C$229=$N51))/SUM(_xlfn._xlws.FILTER('Calculations - Target'!$AL$32:$AL$229,'Calculations - Target'!$C$32:$C$229=$N51))</f>
        <v>2.1915498048102577</v>
      </c>
      <c r="S51" s="104"/>
      <c r="T51" s="104"/>
      <c r="U51" s="128">
        <f>IFERROR(R51/Q51-1,0)</f>
        <v>0</v>
      </c>
      <c r="V51" s="128">
        <f>SUM(V52:V55)</f>
        <v>0.1469905585902278</v>
      </c>
      <c r="W51" s="128">
        <f>SUM(W52:W55)</f>
        <v>7.9736850925510611E-2</v>
      </c>
      <c r="X51"/>
      <c r="Y51"/>
      <c r="Z51"/>
      <c r="AA51"/>
      <c r="AB51"/>
      <c r="AC51"/>
      <c r="AD51"/>
      <c r="AE51"/>
      <c r="AF51"/>
    </row>
    <row r="52" spans="1:32" ht="25.05" customHeight="1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 t="str">
        <f>$Q$6&amp;Q49&amp;O52&amp;P52</f>
        <v>TARGETPRIVATE LABELMayoJAR 15OZ</v>
      </c>
      <c r="O52" s="106" t="s">
        <v>122</v>
      </c>
      <c r="P52" s="34" t="s">
        <v>116</v>
      </c>
      <c r="Q52" s="141">
        <f>IFERROR(INDEX('Calculations - Target'!$O$32:$O$229,MATCH($N52,'Calculations - Target'!$D$32:$D$229,0)),0)</f>
        <v>5.1107936090653476</v>
      </c>
      <c r="R52" s="150">
        <f>Q52</f>
        <v>5.1107936090653476</v>
      </c>
      <c r="S52" s="105"/>
      <c r="T52" s="105"/>
      <c r="U52" s="155">
        <f t="shared" ref="U52:U55" si="16">IFERROR(R52/Q52-1,0)</f>
        <v>0</v>
      </c>
      <c r="V52" s="124">
        <f>IFERROR(INDEX('Calculations - Target'!$BB$32:$BB$229,MATCH(Target!$N52,'Calculations - Target'!$D$32:$D$229,0)),"-")</f>
        <v>4.750374547490048E-3</v>
      </c>
      <c r="W52" s="124">
        <f>IFERROR(INDEX('Calculations - Target'!$BE$32:$BE$229,MATCH(Target!$N52,'Calculations - Target'!$D$32:$D$229,0)),"-")</f>
        <v>5.9602757957128941E-3</v>
      </c>
      <c r="X52"/>
      <c r="Y52"/>
      <c r="Z52"/>
      <c r="AA52"/>
      <c r="AB52"/>
      <c r="AC52"/>
      <c r="AD52"/>
      <c r="AE52"/>
      <c r="AF52"/>
    </row>
    <row r="53" spans="1:32" ht="25.05" customHeight="1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 t="str">
        <f>$Q$6&amp;Q49&amp;O53&amp;P53</f>
        <v>TARGETPRIVATE LABELMayoJAR 30OZ</v>
      </c>
      <c r="O53" s="106" t="s">
        <v>122</v>
      </c>
      <c r="P53" s="34" t="s">
        <v>118</v>
      </c>
      <c r="Q53" s="141">
        <f>IFERROR(INDEX('Calculations - Target'!$O$32:$O$229,MATCH($N53,'Calculations - Target'!$D$32:$D$229,0)),0)</f>
        <v>1.8311497291058718</v>
      </c>
      <c r="R53" s="150">
        <f>Q53</f>
        <v>1.8311497291058718</v>
      </c>
      <c r="S53" s="105"/>
      <c r="T53" s="105"/>
      <c r="U53" s="155">
        <f t="shared" si="16"/>
        <v>0</v>
      </c>
      <c r="V53" s="124">
        <f>IFERROR(INDEX('Calculations - Target'!$BB$32:$BB$229,MATCH(Target!$N53,'Calculations - Target'!$D$32:$D$229,0)),"-")</f>
        <v>9.0552924311792127E-2</v>
      </c>
      <c r="W53" s="124">
        <f>IFERROR(INDEX('Calculations - Target'!$BE$32:$BE$229,MATCH(Target!$N53,'Calculations - Target'!$D$32:$D$229,0)),"-")</f>
        <v>4.0707693570723465E-2</v>
      </c>
      <c r="X53"/>
      <c r="Y53"/>
      <c r="Z53"/>
      <c r="AA53"/>
      <c r="AB53"/>
      <c r="AC53"/>
      <c r="AD53"/>
      <c r="AE53"/>
      <c r="AF53"/>
    </row>
    <row r="54" spans="1:32" ht="25.05" customHeight="1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 t="str">
        <f>$Q$6&amp;Q49&amp;O54&amp;P54</f>
        <v>TARGETPRIVATE LABELMayoSQUEEZY 18 TO 22OZ</v>
      </c>
      <c r="O54" s="106" t="s">
        <v>122</v>
      </c>
      <c r="P54" s="34" t="s">
        <v>120</v>
      </c>
      <c r="Q54" s="141">
        <f>IFERROR(INDEX('Calculations - Target'!$O$32:$O$229,MATCH($N54,'Calculations - Target'!$D$32:$D$229,0)),0)</f>
        <v>2.189463045210235</v>
      </c>
      <c r="R54" s="150">
        <f>Q54</f>
        <v>2.189463045210235</v>
      </c>
      <c r="S54" s="105"/>
      <c r="T54" s="105"/>
      <c r="U54" s="155">
        <f t="shared" si="16"/>
        <v>0</v>
      </c>
      <c r="V54" s="124">
        <f>IFERROR(INDEX('Calculations - Target'!$BB$32:$BB$229,MATCH(Target!$N54,'Calculations - Target'!$D$32:$D$229,0)),"-")</f>
        <v>1.9201730050454262E-2</v>
      </c>
      <c r="W54" s="124">
        <f>IFERROR(INDEX('Calculations - Target'!$BE$32:$BE$229,MATCH(Target!$N54,'Calculations - Target'!$D$32:$D$229,0)),"-")</f>
        <v>1.0321151165274283E-2</v>
      </c>
      <c r="X54"/>
      <c r="Y54"/>
      <c r="Z54"/>
      <c r="AA54"/>
      <c r="AB54"/>
      <c r="AC54"/>
      <c r="AD54"/>
      <c r="AE54"/>
      <c r="AF54"/>
    </row>
    <row r="55" spans="1:32" ht="25.05" customHeight="1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 t="str">
        <f>$Q$6&amp;Q49&amp;O55&amp;P55</f>
        <v>TARGETPRIVATE LABELMayoOTHER</v>
      </c>
      <c r="O55" s="106" t="s">
        <v>122</v>
      </c>
      <c r="P55" s="34" t="s">
        <v>115</v>
      </c>
      <c r="Q55" s="141">
        <f>IFERROR(INDEX('Calculations - Target'!$O$32:$O$229,MATCH($N55,'Calculations - Target'!$D$32:$D$229,0)),0)</f>
        <v>2.852318116175705</v>
      </c>
      <c r="R55" s="150">
        <f>Q55</f>
        <v>2.852318116175705</v>
      </c>
      <c r="S55" s="105"/>
      <c r="T55" s="105"/>
      <c r="U55" s="155">
        <f t="shared" si="16"/>
        <v>0</v>
      </c>
      <c r="V55" s="124">
        <f>IFERROR(INDEX('Calculations - Target'!$BB$32:$BB$229,MATCH(Target!$N55,'Calculations - Target'!$D$32:$D$229,0)),"-")</f>
        <v>3.248552968049135E-2</v>
      </c>
      <c r="W55" s="124">
        <f>IFERROR(INDEX('Calculations - Target'!$BE$32:$BE$229,MATCH(Target!$N55,'Calculations - Target'!$D$32:$D$229,0)),"-")</f>
        <v>2.2747730393799969E-2</v>
      </c>
      <c r="X55"/>
      <c r="Y55"/>
      <c r="Z55"/>
      <c r="AA55"/>
      <c r="AB55"/>
      <c r="AC55"/>
      <c r="AD55"/>
      <c r="AE55"/>
      <c r="AF55"/>
    </row>
    <row r="56" spans="1:32" ht="25.05" customHeight="1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34"/>
      <c r="Q56" s="48"/>
      <c r="R56" s="48"/>
      <c r="S56"/>
      <c r="T56"/>
      <c r="U56" s="128"/>
      <c r="V56" s="124"/>
      <c r="W56" s="124"/>
      <c r="X56"/>
      <c r="Y56"/>
      <c r="Z56"/>
      <c r="AA56"/>
      <c r="AB56"/>
      <c r="AC56"/>
      <c r="AD56"/>
      <c r="AE56"/>
      <c r="AF56"/>
    </row>
    <row r="57" spans="1:32" ht="25.05" customHeight="1" x14ac:dyDescent="0.4">
      <c r="A57"/>
      <c r="B57"/>
      <c r="C57"/>
      <c r="D57"/>
      <c r="E57"/>
      <c r="F57"/>
      <c r="G57"/>
      <c r="H57"/>
      <c r="I57"/>
      <c r="J57"/>
      <c r="K57"/>
      <c r="L57"/>
      <c r="M57"/>
      <c r="N57" s="46" t="s">
        <v>9</v>
      </c>
      <c r="O57" s="46"/>
      <c r="P57" s="41"/>
      <c r="Q57" s="199" t="str">
        <f>'Calculations - Target'!F9</f>
        <v>RESTOFCATEGORY</v>
      </c>
      <c r="R57" s="199"/>
      <c r="S57" s="41"/>
      <c r="T57" s="41"/>
      <c r="U57" s="155">
        <f>R58/Q58-1</f>
        <v>0</v>
      </c>
      <c r="V57" s="158">
        <f>V59</f>
        <v>0.10953320939289724</v>
      </c>
      <c r="W57" s="158">
        <f>W59</f>
        <v>0.18110302201492021</v>
      </c>
      <c r="X57"/>
      <c r="Y57"/>
      <c r="Z57"/>
      <c r="AA57"/>
      <c r="AB57"/>
      <c r="AC57"/>
      <c r="AD57"/>
      <c r="AE57"/>
      <c r="AF57"/>
    </row>
    <row r="58" spans="1:32" ht="25.05" customHeight="1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 t="str">
        <f>$Q$6&amp;Q57&amp;P58</f>
        <v>TARGETRESTOFCATEGORY</v>
      </c>
      <c r="O58"/>
      <c r="P58" s="41"/>
      <c r="Q58" s="139">
        <f>INDEX('Calculations - Target'!$M$3:$M$24,MATCH(N58,'Calculations - Target'!$D$3:$D$24,0))</f>
        <v>6.6797712393962785</v>
      </c>
      <c r="R58" s="156">
        <f>INDEX('Calculations - Target'!$AF$3:$AF$24,MATCH(N58,'Calculations - Target'!$D$3:$D$24,0))</f>
        <v>6.6797712393962785</v>
      </c>
      <c r="S58" s="104"/>
      <c r="T58" s="104"/>
      <c r="U58" s="125"/>
      <c r="V58" s="125"/>
      <c r="W58" s="125"/>
      <c r="X58"/>
      <c r="Y58"/>
      <c r="Z58"/>
      <c r="AA58"/>
      <c r="AB58"/>
      <c r="AC58"/>
      <c r="AD58"/>
      <c r="AE58"/>
      <c r="AF58"/>
    </row>
    <row r="59" spans="1:32" ht="25.05" customHeight="1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 t="str">
        <f>$Q$6&amp;Q57&amp;P59</f>
        <v>TARGETRESTOFCATEGORYRestOfCategory</v>
      </c>
      <c r="O59" s="106" t="s">
        <v>102</v>
      </c>
      <c r="P59" s="107" t="s">
        <v>155</v>
      </c>
      <c r="Q59" s="139" cm="1">
        <f t="array" ref="Q59">SUM(_xlfn._xlws.FILTER('Calculations - Target'!$O$32:$O$229*'Calculations - Target'!$J$32:$J$229,'Calculations - Target'!$C$32:$C$229=$N59))/SUM(_xlfn._xlws.FILTER('Calculations - Target'!$J$32:$J$229,'Calculations - Target'!$C$32:$C$229=$N59))</f>
        <v>6.6797712393962785</v>
      </c>
      <c r="R59" s="156" cm="1">
        <f t="array" ref="R59">SUM(_xlfn._xlws.FILTER('Calculations - Target'!$AH$32:$AH$229*'Calculations - Target'!$AL$32:$AL$229,'Calculations - Target'!$C$32:$C$229=$N59))/SUM(_xlfn._xlws.FILTER('Calculations - Target'!$AL$32:$AL$229,'Calculations - Target'!$C$32:$C$229=$N59))</f>
        <v>6.6797712393962785</v>
      </c>
      <c r="S59" s="104"/>
      <c r="T59" s="104"/>
      <c r="U59" s="128">
        <f>IFERROR(R59/Q59-1,0)</f>
        <v>0</v>
      </c>
      <c r="V59" s="128">
        <f>SUM(V60:V63)</f>
        <v>0.10953320939289724</v>
      </c>
      <c r="W59" s="128">
        <f>SUM(W60:W63)</f>
        <v>0.18110302201492021</v>
      </c>
      <c r="X59"/>
      <c r="Y59"/>
      <c r="Z59"/>
      <c r="AA59"/>
      <c r="AB59"/>
      <c r="AC59"/>
      <c r="AD59"/>
      <c r="AE59"/>
      <c r="AF59"/>
    </row>
    <row r="60" spans="1:32" ht="25.05" customHeight="1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 t="str">
        <f>$Q$6&amp;Q57&amp;O60&amp;P60</f>
        <v>TARGETRESTOFCATEGORYRestOfCategoryJAR 15OZ</v>
      </c>
      <c r="O60" s="106" t="s">
        <v>155</v>
      </c>
      <c r="P60" s="34" t="s">
        <v>116</v>
      </c>
      <c r="Q60" s="141">
        <f>IFERROR(INDEX('Calculations - Target'!$O$32:$O$229,MATCH($N60,'Calculations - Target'!$D$32:$D$229,0)),0)</f>
        <v>12.781569318378724</v>
      </c>
      <c r="R60" s="157">
        <f>Q60</f>
        <v>12.781569318378724</v>
      </c>
      <c r="S60" s="105"/>
      <c r="T60" s="105"/>
      <c r="U60" s="155">
        <f>IFERROR(R60/Q60-1,0)</f>
        <v>0</v>
      </c>
      <c r="V60" s="124">
        <f>IFERROR(INDEX('Calculations - Target'!$BB$32:$BB$229,MATCH(Target!$N60,'Calculations - Target'!$D$32:$D$229,0)),"-")</f>
        <v>5.9911572320825888E-3</v>
      </c>
      <c r="W60" s="124">
        <f>IFERROR(INDEX('Calculations - Target'!$BE$32:$BE$229,MATCH(Target!$N60,'Calculations - Target'!$D$32:$D$229,0)),"-")</f>
        <v>2.0008781810323298E-2</v>
      </c>
      <c r="X60"/>
      <c r="Y60"/>
      <c r="Z60"/>
      <c r="AA60"/>
      <c r="AB60"/>
      <c r="AC60"/>
      <c r="AD60"/>
      <c r="AE60"/>
      <c r="AF60"/>
    </row>
    <row r="61" spans="1:32" ht="25.05" customHeight="1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 t="str">
        <f>$Q$6&amp;Q57&amp;O61&amp;P61</f>
        <v>TARGETRESTOFCATEGORYRestOfCategoryJAR 30OZ</v>
      </c>
      <c r="O61" s="106" t="s">
        <v>155</v>
      </c>
      <c r="P61" s="34" t="s">
        <v>118</v>
      </c>
      <c r="Q61" s="141">
        <f>IFERROR(INDEX('Calculations - Target'!$O$32:$O$229,MATCH($N61,'Calculations - Target'!$D$32:$D$229,0)),0)</f>
        <v>2.2997318828113196</v>
      </c>
      <c r="R61" s="157">
        <f>Q61</f>
        <v>2.2997318828113196</v>
      </c>
      <c r="S61" s="105"/>
      <c r="T61" s="105"/>
      <c r="U61" s="155">
        <f t="shared" ref="U61:U63" si="17">IFERROR(R61/Q61-1,0)</f>
        <v>0</v>
      </c>
      <c r="V61" s="124">
        <f>IFERROR(INDEX('Calculations - Target'!$BB$32:$BB$229,MATCH(Target!$N61,'Calculations - Target'!$D$32:$D$229,0)),"-")</f>
        <v>9.1620928772664966E-4</v>
      </c>
      <c r="W61" s="124">
        <f>IFERROR(INDEX('Calculations - Target'!$BE$32:$BE$229,MATCH(Target!$N61,'Calculations - Target'!$D$32:$D$229,0)),"-")</f>
        <v>5.5055111622343976E-4</v>
      </c>
      <c r="X61"/>
      <c r="Y61"/>
      <c r="Z61"/>
      <c r="AA61"/>
      <c r="AB61"/>
      <c r="AC61"/>
      <c r="AD61"/>
      <c r="AE61"/>
      <c r="AF61"/>
    </row>
    <row r="62" spans="1:32" ht="25.05" customHeight="1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 t="str">
        <f>$Q$6&amp;Q57&amp;O62&amp;P62</f>
        <v>TARGETRESTOFCATEGORYRestOfCategorySQUEEZY 18 TO 22OZ</v>
      </c>
      <c r="O62" s="106" t="s">
        <v>155</v>
      </c>
      <c r="P62" s="34" t="s">
        <v>120</v>
      </c>
      <c r="Q62" s="141">
        <f>IFERROR(INDEX('Calculations - Target'!$O$32:$O$229,MATCH($N62,'Calculations - Target'!$D$32:$D$229,0)),0)</f>
        <v>7.2927389853174285</v>
      </c>
      <c r="R62" s="157">
        <f>Q62</f>
        <v>7.2927389853174285</v>
      </c>
      <c r="S62" s="105"/>
      <c r="T62" s="105"/>
      <c r="U62" s="155">
        <f t="shared" si="17"/>
        <v>0</v>
      </c>
      <c r="V62" s="124">
        <f>IFERROR(INDEX('Calculations - Target'!$BB$32:$BB$229,MATCH(Target!$N62,'Calculations - Target'!$D$32:$D$229,0)),"-")</f>
        <v>1.0175012575338826E-2</v>
      </c>
      <c r="W62" s="124">
        <f>IFERROR(INDEX('Calculations - Target'!$BE$32:$BE$229,MATCH(Target!$N62,'Calculations - Target'!$D$32:$D$229,0)),"-")</f>
        <v>1.9388819873959386E-2</v>
      </c>
      <c r="X62"/>
      <c r="Y62"/>
      <c r="Z62"/>
      <c r="AA62"/>
      <c r="AB62"/>
      <c r="AC62"/>
      <c r="AD62"/>
      <c r="AE62"/>
      <c r="AF62"/>
    </row>
    <row r="63" spans="1:32" ht="25.05" customHeight="1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 t="str">
        <f>$Q$6&amp;Q57&amp;O63&amp;P63</f>
        <v>TARGETRESTOFCATEGORYRestOfCategoryOTHER</v>
      </c>
      <c r="O63" s="106" t="s">
        <v>155</v>
      </c>
      <c r="P63" s="34" t="s">
        <v>115</v>
      </c>
      <c r="Q63" s="141">
        <f>IFERROR(INDEX('Calculations - Target'!$O$32:$O$229,MATCH($N63,'Calculations - Target'!$D$32:$D$229,0)),0)</f>
        <v>5.8433149723615339</v>
      </c>
      <c r="R63" s="157">
        <f>Q63</f>
        <v>5.8433149723615339</v>
      </c>
      <c r="S63" s="105"/>
      <c r="T63" s="105"/>
      <c r="U63" s="155">
        <f t="shared" si="17"/>
        <v>0</v>
      </c>
      <c r="V63" s="124">
        <f>IFERROR(INDEX('Calculations - Target'!$BB$32:$BB$229,MATCH(Target!$N63,'Calculations - Target'!$D$32:$D$229,0)),"-")</f>
        <v>9.245083029774917E-2</v>
      </c>
      <c r="W63" s="124">
        <f>IFERROR(INDEX('Calculations - Target'!$BE$32:$BE$229,MATCH(Target!$N63,'Calculations - Target'!$D$32:$D$229,0)),"-")</f>
        <v>0.14115486921441409</v>
      </c>
      <c r="X63"/>
      <c r="Y63"/>
      <c r="Z63"/>
      <c r="AA63"/>
      <c r="AB63"/>
      <c r="AC63"/>
      <c r="AD63"/>
      <c r="AE63"/>
      <c r="AF63"/>
    </row>
    <row r="64" spans="1:32" ht="25.05" customHeight="1" thickBot="1" x14ac:dyDescent="0.3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 s="106"/>
      <c r="P64" s="34"/>
      <c r="Q64" s="141"/>
      <c r="R64" s="141"/>
      <c r="S64" s="105"/>
      <c r="T64" s="105"/>
      <c r="U64" s="128"/>
      <c r="V64" s="124"/>
      <c r="W64" s="124"/>
      <c r="X64"/>
      <c r="Y64"/>
      <c r="Z64"/>
      <c r="AA64"/>
      <c r="AB64"/>
      <c r="AC64"/>
      <c r="AD64"/>
      <c r="AE64"/>
      <c r="AF64"/>
    </row>
    <row r="65" spans="1:32" ht="25.05" customHeight="1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 s="126"/>
      <c r="W65" s="126"/>
      <c r="X65"/>
      <c r="Y65" s="226" t="s">
        <v>76</v>
      </c>
      <c r="Z65" s="228" t="str">
        <f>$Q$11</f>
        <v>KRAFT</v>
      </c>
      <c r="AA65" s="229"/>
      <c r="AB65" s="230" t="str">
        <f>$Q$22</f>
        <v>MIRACLE WHIP</v>
      </c>
      <c r="AC65" s="231"/>
      <c r="AD65"/>
      <c r="AE65"/>
      <c r="AF65"/>
    </row>
    <row r="66" spans="1:32" ht="25.05" customHeight="1" thickBot="1" x14ac:dyDescent="0.3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 s="126"/>
      <c r="W66" s="126"/>
      <c r="X66"/>
      <c r="Y66" s="227"/>
      <c r="Z66" s="88" t="s">
        <v>71</v>
      </c>
      <c r="AA66" s="87" t="s">
        <v>85</v>
      </c>
      <c r="AB66" s="88" t="s">
        <v>71</v>
      </c>
      <c r="AC66" s="87" t="s">
        <v>85</v>
      </c>
      <c r="AD66"/>
      <c r="AE66"/>
      <c r="AF66"/>
    </row>
    <row r="67" spans="1:32" ht="25.05" customHeight="1" x14ac:dyDescent="0.4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 s="126"/>
      <c r="W67" s="126"/>
      <c r="X67"/>
      <c r="Y67" s="93" t="str">
        <f>$Q$11</f>
        <v>KRAFT</v>
      </c>
      <c r="Z67" s="89">
        <f>INDEX('Calculations - Target'!$AZ$4:$AZ$24,MATCH(Target!$Y67,'Calculations - Target'!$F$4:$F$24,0))</f>
        <v>100</v>
      </c>
      <c r="AA67" s="86">
        <f>INDEX('Calculations - Target'!$BB$4:$BB$24,MATCH(Target!$Y67,'Calculations - Target'!$F$4:$F$24,0))</f>
        <v>100</v>
      </c>
      <c r="AB67" s="89">
        <f>INDEX('Calculations - Target'!$BA$4:$BA$24,MATCH(Target!$Y67,'Calculations - Target'!$F$4:$F$24,0))</f>
        <v>99.793472015805747</v>
      </c>
      <c r="AC67" s="86">
        <f>INDEX('Calculations - Target'!$BC$4:$BC$24,MATCH(Target!$Y67,'Calculations - Target'!$F$4:$F$24,0))</f>
        <v>99.793472015805577</v>
      </c>
      <c r="AD67"/>
      <c r="AE67"/>
      <c r="AF67"/>
    </row>
    <row r="68" spans="1:32" ht="25.05" customHeight="1" x14ac:dyDescent="0.4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 s="126"/>
      <c r="W68" s="126"/>
      <c r="X68"/>
      <c r="Y68" s="94" t="str">
        <f>$Q$22</f>
        <v>MIRACLE WHIP</v>
      </c>
      <c r="Z68" s="90">
        <f>INDEX('Calculations - Target'!$AZ$4:$AZ$24,MATCH(Target!$Y68,'Calculations - Target'!$F$4:$F$24,0))</f>
        <v>100.20695540502042</v>
      </c>
      <c r="AA68" s="84">
        <f>INDEX('Calculations - Target'!$BB$4:$BB$24,MATCH(Target!$Y68,'Calculations - Target'!$F$4:$F$24,0))</f>
        <v>100.20695540502059</v>
      </c>
      <c r="AB68" s="90">
        <f>INDEX('Calculations - Target'!$BA$4:$BA$24,MATCH(Target!$Y68,'Calculations - Target'!$F$4:$F$24,0))</f>
        <v>100</v>
      </c>
      <c r="AC68" s="84">
        <f>INDEX('Calculations - Target'!$BC$4:$BC$24,MATCH(Target!$Y68,'Calculations - Target'!$F$4:$F$24,0))</f>
        <v>100</v>
      </c>
      <c r="AD68"/>
      <c r="AE68"/>
      <c r="AF68"/>
    </row>
    <row r="69" spans="1:32" ht="25.05" customHeight="1" x14ac:dyDescent="0.4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 s="126"/>
      <c r="W69" s="126"/>
      <c r="X69"/>
      <c r="Y69" s="94" t="str">
        <f>$Q$30</f>
        <v>HELLMANNS BEST FOODS</v>
      </c>
      <c r="Z69" s="90">
        <f>INDEX('Calculations - Target'!$AZ$4:$AZ$24,MATCH(Target!$Y69,'Calculations - Target'!$F$4:$F$24,0))</f>
        <v>90.378247636054056</v>
      </c>
      <c r="AA69" s="84">
        <f>INDEX('Calculations - Target'!$BB$4:$BB$24,MATCH(Target!$Y69,'Calculations - Target'!$F$4:$F$24,0))</f>
        <v>90.378247636054226</v>
      </c>
      <c r="AB69" s="90">
        <f>INDEX('Calculations - Target'!$BA$4:$BA$24,MATCH(Target!$Y69,'Calculations - Target'!$F$4:$F$24,0))</f>
        <v>90.191591263061227</v>
      </c>
      <c r="AC69" s="84">
        <f>INDEX('Calculations - Target'!$BC$4:$BC$24,MATCH(Target!$Y69,'Calculations - Target'!$F$4:$F$24,0))</f>
        <v>90.191591263061255</v>
      </c>
      <c r="AD69"/>
      <c r="AE69"/>
      <c r="AF69"/>
    </row>
    <row r="70" spans="1:32" ht="25.05" customHeight="1" x14ac:dyDescent="0.4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 s="126"/>
      <c r="W70" s="126"/>
      <c r="X70"/>
      <c r="Y70" s="94" t="str">
        <f>$Q$42</f>
        <v>DUKES</v>
      </c>
      <c r="Z70" s="90">
        <f>INDEX('Calculations - Target'!$AZ$4:$AZ$24,MATCH(Target!$Y70,'Calculations - Target'!$F$4:$F$24,0))</f>
        <v>117.30997339518106</v>
      </c>
      <c r="AA70" s="84">
        <f>INDEX('Calculations - Target'!$BB$4:$BB$24,MATCH(Target!$Y70,'Calculations - Target'!$F$4:$F$24,0))</f>
        <v>117.3099733951813</v>
      </c>
      <c r="AB70" s="90">
        <f>INDEX('Calculations - Target'!$BA$4:$BA$24,MATCH(Target!$Y70,'Calculations - Target'!$F$4:$F$24,0))</f>
        <v>117.06769547186919</v>
      </c>
      <c r="AC70" s="84">
        <f>INDEX('Calculations - Target'!$BC$4:$BC$24,MATCH(Target!$Y70,'Calculations - Target'!$F$4:$F$24,0))</f>
        <v>117.06769547186923</v>
      </c>
      <c r="AD70"/>
      <c r="AE70"/>
      <c r="AF70"/>
    </row>
    <row r="71" spans="1:32" ht="25.05" customHeight="1" x14ac:dyDescent="0.4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 s="126"/>
      <c r="W71" s="126"/>
      <c r="X71"/>
      <c r="Y71" s="94" t="str">
        <f>$Q$49</f>
        <v>PRIVATE LABEL</v>
      </c>
      <c r="Z71" s="90">
        <f>INDEX('Calculations - Target'!$AZ$4:$AZ$24,MATCH(Target!$Y71,'Calculations - Target'!$F$4:$F$24,0))</f>
        <v>171.56212670896903</v>
      </c>
      <c r="AA71" s="84">
        <f>INDEX('Calculations - Target'!$BB$4:$BB$24,MATCH(Target!$Y71,'Calculations - Target'!$F$4:$F$24,0))</f>
        <v>171.56212670896971</v>
      </c>
      <c r="AB71" s="90">
        <f>INDEX('Calculations - Target'!$BA$4:$BA$24,MATCH(Target!$Y71,'Calculations - Target'!$F$4:$F$24,0))</f>
        <v>171.20780290703621</v>
      </c>
      <c r="AC71" s="84">
        <f>INDEX('Calculations - Target'!$BC$4:$BC$24,MATCH(Target!$Y71,'Calculations - Target'!$F$4:$F$24,0))</f>
        <v>171.20780290703661</v>
      </c>
      <c r="AD71"/>
      <c r="AE71"/>
      <c r="AF71"/>
    </row>
    <row r="72" spans="1:32" ht="25.05" customHeight="1" x14ac:dyDescent="0.4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 s="126"/>
      <c r="W72" s="126"/>
      <c r="X72"/>
      <c r="Y72" s="94" t="str">
        <f>$Q$57</f>
        <v>RESTOFCATEGORY</v>
      </c>
      <c r="Z72" s="90">
        <f>INDEX('Calculations - Target'!$AZ$4:$AZ$24,MATCH(Target!$Y72,'Calculations - Target'!$F$4:$F$24,0))</f>
        <v>56.287398449270313</v>
      </c>
      <c r="AA72" s="84">
        <f>INDEX('Calculations - Target'!$BB$4:$BB$24,MATCH(Target!$Y72,'Calculations - Target'!$F$4:$F$24,0))</f>
        <v>56.287398449270427</v>
      </c>
      <c r="AB72" s="90">
        <f>INDEX('Calculations - Target'!$BA$4:$BA$24,MATCH(Target!$Y72,'Calculations - Target'!$F$4:$F$24,0))</f>
        <v>56.17114921989765</v>
      </c>
      <c r="AC72" s="84">
        <f>INDEX('Calculations - Target'!$BC$4:$BC$24,MATCH(Target!$Y72,'Calculations - Target'!$F$4:$F$24,0))</f>
        <v>56.171149219897664</v>
      </c>
      <c r="AD72"/>
      <c r="AE72"/>
      <c r="AF72"/>
    </row>
    <row r="73" spans="1:32" ht="25.05" customHeight="1" thickBot="1" x14ac:dyDescent="0.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 s="126"/>
      <c r="W73" s="126"/>
      <c r="X73"/>
      <c r="Y73" s="95" t="s">
        <v>56</v>
      </c>
      <c r="Z73" s="91">
        <f>INDEX('Calculations - Target'!$AZ$4:$AZ$24,MATCH(Target!$Y73,'Calculations - Target'!$F$4:$F$24,0))</f>
        <v>93.35852257981314</v>
      </c>
      <c r="AA73" s="85">
        <f>INDEX('Calculations - Target'!$BB$4:$BB$24,MATCH(Target!$Y73,'Calculations - Target'!$F$4:$F$24,0))</f>
        <v>93.066002694721007</v>
      </c>
      <c r="AB73" s="91">
        <f>INDEX('Calculations - Target'!$BA$4:$BA$24,MATCH(Target!$Y73,'Calculations - Target'!$F$4:$F$24,0))</f>
        <v>93.165711105055507</v>
      </c>
      <c r="AC73" s="85">
        <f>INDEX('Calculations - Target'!$BC$4:$BC$24,MATCH(Target!$Y73,'Calculations - Target'!$F$4:$F$24,0))</f>
        <v>92.873795355385283</v>
      </c>
      <c r="AD73"/>
      <c r="AE73"/>
      <c r="AF73"/>
    </row>
    <row r="74" spans="1:32" ht="25.05" customHeight="1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 s="126"/>
      <c r="W74" s="126"/>
      <c r="X74"/>
      <c r="Y74"/>
      <c r="Z74"/>
      <c r="AA74"/>
      <c r="AB74"/>
      <c r="AC74"/>
      <c r="AD74"/>
      <c r="AE74"/>
      <c r="AF74"/>
    </row>
    <row r="75" spans="1:32" ht="25.05" customHeight="1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 s="126"/>
      <c r="W75" s="126"/>
      <c r="X75"/>
      <c r="Y75"/>
      <c r="Z75"/>
      <c r="AA75"/>
      <c r="AB75"/>
      <c r="AC75"/>
      <c r="AD75"/>
      <c r="AE75"/>
      <c r="AF75"/>
    </row>
    <row r="76" spans="1:32" ht="25.05" customHeight="1" x14ac:dyDescent="0.3"/>
    <row r="77" spans="1:32" ht="25.05" customHeight="1" x14ac:dyDescent="0.3"/>
    <row r="78" spans="1:32" ht="25.05" customHeight="1" x14ac:dyDescent="0.3"/>
    <row r="79" spans="1:32" ht="25.05" customHeight="1" x14ac:dyDescent="0.3"/>
    <row r="80" spans="1:32" ht="25.05" customHeight="1" x14ac:dyDescent="0.3"/>
    <row r="81" ht="25.05" customHeight="1" x14ac:dyDescent="0.3"/>
    <row r="82" ht="25.05" customHeight="1" x14ac:dyDescent="0.3"/>
    <row r="83" ht="25.05" customHeight="1" x14ac:dyDescent="0.3"/>
    <row r="84" ht="25.05" customHeight="1" x14ac:dyDescent="0.3"/>
    <row r="85" ht="25.05" customHeight="1" x14ac:dyDescent="0.3"/>
    <row r="86" ht="25.05" customHeight="1" x14ac:dyDescent="0.3"/>
    <row r="87" ht="25.05" customHeight="1" x14ac:dyDescent="0.3"/>
    <row r="88" ht="25.05" customHeight="1" x14ac:dyDescent="0.3"/>
    <row r="89" ht="25.05" customHeight="1" x14ac:dyDescent="0.3"/>
    <row r="90" ht="25.05" customHeight="1" x14ac:dyDescent="0.3"/>
    <row r="91" ht="25.05" customHeight="1" x14ac:dyDescent="0.3"/>
    <row r="92" ht="25.05" customHeight="1" x14ac:dyDescent="0.3"/>
    <row r="93" ht="25.05" customHeight="1" x14ac:dyDescent="0.3"/>
    <row r="94" ht="25.05" customHeight="1" x14ac:dyDescent="0.3"/>
    <row r="95" ht="25.05" customHeight="1" x14ac:dyDescent="0.3"/>
    <row r="96" ht="25.05" customHeight="1" x14ac:dyDescent="0.3"/>
    <row r="97" ht="25.05" customHeight="1" x14ac:dyDescent="0.3"/>
    <row r="98" ht="25.05" customHeight="1" x14ac:dyDescent="0.3"/>
    <row r="99" ht="25.05" customHeight="1" x14ac:dyDescent="0.3"/>
    <row r="100" ht="25.05" customHeight="1" x14ac:dyDescent="0.3"/>
    <row r="101" ht="25.05" customHeight="1" x14ac:dyDescent="0.3"/>
    <row r="102" ht="25.05" customHeight="1" x14ac:dyDescent="0.3"/>
    <row r="103" ht="25.05" customHeight="1" x14ac:dyDescent="0.3"/>
    <row r="104" ht="25.05" customHeight="1" x14ac:dyDescent="0.3"/>
    <row r="105" ht="25.05" customHeight="1" x14ac:dyDescent="0.3"/>
    <row r="106" ht="25.05" customHeight="1" x14ac:dyDescent="0.3"/>
    <row r="107" ht="25.05" customHeight="1" x14ac:dyDescent="0.3"/>
    <row r="108" ht="25.05" customHeight="1" x14ac:dyDescent="0.3"/>
    <row r="109" ht="25.05" customHeight="1" x14ac:dyDescent="0.3"/>
    <row r="110" ht="25.05" customHeight="1" x14ac:dyDescent="0.3"/>
    <row r="111" ht="25.05" customHeight="1" x14ac:dyDescent="0.3"/>
    <row r="112" ht="25.05" customHeight="1" x14ac:dyDescent="0.3"/>
    <row r="113" ht="25.05" customHeight="1" x14ac:dyDescent="0.3"/>
    <row r="114" ht="25.05" customHeight="1" x14ac:dyDescent="0.3"/>
    <row r="115" ht="25.05" customHeight="1" x14ac:dyDescent="0.3"/>
    <row r="116" ht="25.05" customHeight="1" x14ac:dyDescent="0.3"/>
    <row r="117" ht="25.05" customHeight="1" x14ac:dyDescent="0.3"/>
    <row r="118" ht="25.05" customHeight="1" x14ac:dyDescent="0.3"/>
    <row r="119" ht="25.05" customHeight="1" x14ac:dyDescent="0.3"/>
    <row r="120" ht="25.05" customHeight="1" x14ac:dyDescent="0.3"/>
    <row r="121" ht="25.05" customHeight="1" x14ac:dyDescent="0.3"/>
  </sheetData>
  <mergeCells count="24">
    <mergeCell ref="B6:C6"/>
    <mergeCell ref="B8:L8"/>
    <mergeCell ref="B29:L29"/>
    <mergeCell ref="Q29:R29"/>
    <mergeCell ref="B32:B33"/>
    <mergeCell ref="G32:H32"/>
    <mergeCell ref="I32:J32"/>
    <mergeCell ref="K32:L32"/>
    <mergeCell ref="AD32:AE32"/>
    <mergeCell ref="Q49:R49"/>
    <mergeCell ref="Q57:R57"/>
    <mergeCell ref="Y8:AE8"/>
    <mergeCell ref="Q11:R11"/>
    <mergeCell ref="Q42:R42"/>
    <mergeCell ref="Q22:R22"/>
    <mergeCell ref="Y29:AE29"/>
    <mergeCell ref="Q30:R30"/>
    <mergeCell ref="P8:W8"/>
    <mergeCell ref="Y32:Y33"/>
    <mergeCell ref="Y65:Y66"/>
    <mergeCell ref="Z65:AA65"/>
    <mergeCell ref="AB65:AC65"/>
    <mergeCell ref="Z32:AA32"/>
    <mergeCell ref="AB32:AC32"/>
  </mergeCells>
  <conditionalFormatting sqref="AA67:AA73 AC67:AC73">
    <cfRule type="cellIs" dxfId="3" priority="33" operator="lessThan">
      <formula>Z67*0.99</formula>
    </cfRule>
    <cfRule type="cellIs" dxfId="2" priority="34" operator="greaterThan">
      <formula>Z67*1.01</formula>
    </cfRule>
  </conditionalFormatting>
  <conditionalFormatting sqref="H34:H37">
    <cfRule type="colorScale" priority="18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H38:H40">
    <cfRule type="colorScale" priority="17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H41">
    <cfRule type="colorScale" priority="16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J34:J37">
    <cfRule type="colorScale" priority="15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J38:J40">
    <cfRule type="colorScale" priority="14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J41">
    <cfRule type="colorScale" priority="13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L34:L37">
    <cfRule type="colorScale" priority="12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L38:L40">
    <cfRule type="colorScale" priority="11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L41">
    <cfRule type="colorScale" priority="10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A34:AA37">
    <cfRule type="colorScale" priority="9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A38:AA40">
    <cfRule type="colorScale" priority="8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AA41">
    <cfRule type="colorScale" priority="7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C34:AC37">
    <cfRule type="colorScale" priority="6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C38:AC40">
    <cfRule type="colorScale" priority="5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AC41">
    <cfRule type="colorScale" priority="4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E34:AE37">
    <cfRule type="colorScale" priority="3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E38:AE40">
    <cfRule type="colorScale" priority="2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AE41">
    <cfRule type="colorScale" priority="1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1" id="{BE4037E2-1630-40B0-B3DC-A8F1248C429F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U11</xm:sqref>
        </x14:conditionalFormatting>
        <x14:conditionalFormatting xmlns:xm="http://schemas.microsoft.com/office/excel/2006/main">
          <x14:cfRule type="iconSet" priority="39" id="{7D4D6215-488B-46A5-B36D-FBD1AA652F91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40" id="{E2145963-F0BD-419A-9B7D-916907980F12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U48</xm:sqref>
        </x14:conditionalFormatting>
        <x14:conditionalFormatting xmlns:xm="http://schemas.microsoft.com/office/excel/2006/main">
          <x14:cfRule type="iconSet" priority="36" id="{2DA54070-3EE2-4459-87FE-9B7CD6BB96E5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U29</xm:sqref>
        </x14:conditionalFormatting>
        <x14:conditionalFormatting xmlns:xm="http://schemas.microsoft.com/office/excel/2006/main">
          <x14:cfRule type="iconSet" priority="37" id="{E4C5F74D-33D9-42D3-A634-5F509E329C74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38" id="{81146DB2-E2B0-4242-8EE2-F7D99CC88365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U56</xm:sqref>
        </x14:conditionalFormatting>
        <x14:conditionalFormatting xmlns:xm="http://schemas.microsoft.com/office/excel/2006/main">
          <x14:cfRule type="iconSet" priority="32" id="{C03194E1-AD25-4DDD-9E24-7E125018294D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U22</xm:sqref>
        </x14:conditionalFormatting>
        <x14:conditionalFormatting xmlns:xm="http://schemas.microsoft.com/office/excel/2006/main">
          <x14:cfRule type="iconSet" priority="31" id="{B632A6D4-31F6-47F3-A24D-0CDEAF277AFE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U30</xm:sqref>
        </x14:conditionalFormatting>
        <x14:conditionalFormatting xmlns:xm="http://schemas.microsoft.com/office/excel/2006/main">
          <x14:cfRule type="iconSet" priority="30" id="{A3FD2ACB-15A0-44C1-9489-F2AD9AB5B678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U42</xm:sqref>
        </x14:conditionalFormatting>
        <x14:conditionalFormatting xmlns:xm="http://schemas.microsoft.com/office/excel/2006/main">
          <x14:cfRule type="iconSet" priority="29" id="{79884C26-5562-4547-8967-2B9A55B63A08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U49</xm:sqref>
        </x14:conditionalFormatting>
        <x14:conditionalFormatting xmlns:xm="http://schemas.microsoft.com/office/excel/2006/main">
          <x14:cfRule type="iconSet" priority="28" id="{2F4905D1-66AA-4765-881F-9B7E8823D0F2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U57</xm:sqref>
        </x14:conditionalFormatting>
        <x14:conditionalFormatting xmlns:xm="http://schemas.microsoft.com/office/excel/2006/main">
          <x14:cfRule type="iconSet" priority="42" id="{4172DA2F-0FF6-4B3E-BDBC-EF03D2AB4A05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U33:U38</xm:sqref>
        </x14:conditionalFormatting>
        <x14:conditionalFormatting xmlns:xm="http://schemas.microsoft.com/office/excel/2006/main">
          <x14:cfRule type="iconSet" priority="43" id="{C97833AD-E820-4447-BF42-AF72AA76B9A4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U52:U55</xm:sqref>
        </x14:conditionalFormatting>
        <x14:conditionalFormatting xmlns:xm="http://schemas.microsoft.com/office/excel/2006/main">
          <x14:cfRule type="iconSet" priority="27" id="{C091F882-15D8-4AE0-8B30-BC8FC6A443B7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U24</xm:sqref>
        </x14:conditionalFormatting>
        <x14:conditionalFormatting xmlns:xm="http://schemas.microsoft.com/office/excel/2006/main">
          <x14:cfRule type="iconSet" priority="26" id="{E536C061-FCE1-4C9F-BA40-AE145520DD00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U32</xm:sqref>
        </x14:conditionalFormatting>
        <x14:conditionalFormatting xmlns:xm="http://schemas.microsoft.com/office/excel/2006/main">
          <x14:cfRule type="iconSet" priority="25" id="{AB7E6E2A-B3C3-4858-B61B-7A0AF54D4890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U39</xm:sqref>
        </x14:conditionalFormatting>
        <x14:conditionalFormatting xmlns:xm="http://schemas.microsoft.com/office/excel/2006/main">
          <x14:cfRule type="iconSet" priority="24" id="{E94538DA-3C73-475F-B991-EC8E3A9B1ABD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U44</xm:sqref>
        </x14:conditionalFormatting>
        <x14:conditionalFormatting xmlns:xm="http://schemas.microsoft.com/office/excel/2006/main">
          <x14:cfRule type="iconSet" priority="23" id="{3F06BD90-5093-4015-ACBA-E10DBF3A5DED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U51</xm:sqref>
        </x14:conditionalFormatting>
        <x14:conditionalFormatting xmlns:xm="http://schemas.microsoft.com/office/excel/2006/main">
          <x14:cfRule type="iconSet" priority="51" id="{47868646-8034-4DB7-950F-27B2B7464809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U14:U20</xm:sqref>
        </x14:conditionalFormatting>
        <x14:conditionalFormatting xmlns:xm="http://schemas.microsoft.com/office/excel/2006/main">
          <x14:cfRule type="iconSet" priority="52" id="{BE97081D-4872-4ED8-B825-B63F6654A6CE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U13:U20</xm:sqref>
        </x14:conditionalFormatting>
        <x14:conditionalFormatting xmlns:xm="http://schemas.microsoft.com/office/excel/2006/main">
          <x14:cfRule type="iconSet" priority="53" id="{11EF59A3-D65F-49DE-9F1A-F38799036EBF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U25:U28</xm:sqref>
        </x14:conditionalFormatting>
        <x14:conditionalFormatting xmlns:xm="http://schemas.microsoft.com/office/excel/2006/main">
          <x14:cfRule type="iconSet" priority="54" id="{F3E97B46-DAA3-4FAD-BEEE-69F25FB744E3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U26:U28</xm:sqref>
        </x14:conditionalFormatting>
        <x14:conditionalFormatting xmlns:xm="http://schemas.microsoft.com/office/excel/2006/main">
          <x14:cfRule type="iconSet" priority="55" id="{FF1B884B-CE2E-474A-A643-E27D373BF06B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U33:U38 U40</xm:sqref>
        </x14:conditionalFormatting>
        <x14:conditionalFormatting xmlns:xm="http://schemas.microsoft.com/office/excel/2006/main">
          <x14:cfRule type="iconSet" priority="56" id="{21AA60D4-53FA-4267-B41B-0699883F7FC7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U45:U47</xm:sqref>
        </x14:conditionalFormatting>
        <x14:conditionalFormatting xmlns:xm="http://schemas.microsoft.com/office/excel/2006/main">
          <x14:cfRule type="iconSet" priority="57" id="{2BBEEF2C-71BD-4092-BE14-70DEDA5D3865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U46:U47</xm:sqref>
        </x14:conditionalFormatting>
        <x14:conditionalFormatting xmlns:xm="http://schemas.microsoft.com/office/excel/2006/main">
          <x14:cfRule type="iconSet" priority="58" id="{B7F690CA-CCC4-430A-8A61-8F33D8A1DB42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U52:U55</xm:sqref>
        </x14:conditionalFormatting>
        <x14:conditionalFormatting xmlns:xm="http://schemas.microsoft.com/office/excel/2006/main">
          <x14:cfRule type="iconSet" priority="20" id="{EED46602-761D-4569-AD31-C61AEC160A26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U59</xm:sqref>
        </x14:conditionalFormatting>
        <x14:conditionalFormatting xmlns:xm="http://schemas.microsoft.com/office/excel/2006/main">
          <x14:cfRule type="iconSet" priority="59" id="{4B7459E0-5030-4501-91A5-4AAF42E7E6F5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U60:U63</xm:sqref>
        </x14:conditionalFormatting>
        <x14:conditionalFormatting xmlns:xm="http://schemas.microsoft.com/office/excel/2006/main">
          <x14:cfRule type="iconSet" priority="60" id="{06ED4E29-28D4-46EC-89FE-727920C7D000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U61:U63</xm:sqref>
        </x14:conditionalFormatting>
        <x14:conditionalFormatting xmlns:xm="http://schemas.microsoft.com/office/excel/2006/main">
          <x14:cfRule type="iconSet" priority="151" id="{8B2AAE0B-0E16-45D5-A552-EB4A124CC07C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U64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7C01B-9F1E-4E50-B153-34A3DD8CBC50}">
  <sheetPr codeName="Sheet8">
    <tabColor theme="4" tint="0.79998168889431442"/>
  </sheetPr>
  <dimension ref="B1:AA200"/>
  <sheetViews>
    <sheetView workbookViewId="0"/>
  </sheetViews>
  <sheetFormatPr defaultRowHeight="14.4" x14ac:dyDescent="0.3"/>
  <cols>
    <col min="1" max="1" width="3.77734375" customWidth="1"/>
    <col min="3" max="3" width="11.21875" bestFit="1" customWidth="1"/>
    <col min="4" max="4" width="18.77734375" bestFit="1" customWidth="1"/>
    <col min="5" max="5" width="18.77734375" customWidth="1"/>
    <col min="6" max="6" width="14.21875" bestFit="1" customWidth="1"/>
    <col min="7" max="7" width="15.88671875" bestFit="1" customWidth="1"/>
    <col min="8" max="10" width="14.33203125" bestFit="1" customWidth="1"/>
    <col min="11" max="11" width="16.88671875" bestFit="1" customWidth="1"/>
    <col min="12" max="12" width="15.88671875" bestFit="1" customWidth="1"/>
    <col min="17" max="17" width="8" bestFit="1" customWidth="1"/>
    <col min="18" max="18" width="19.33203125" bestFit="1" customWidth="1"/>
    <col min="19" max="19" width="15.88671875" bestFit="1" customWidth="1"/>
    <col min="20" max="22" width="14.33203125" bestFit="1" customWidth="1"/>
    <col min="23" max="23" width="16.88671875" bestFit="1" customWidth="1"/>
    <col min="24" max="24" width="15.88671875" bestFit="1" customWidth="1"/>
    <col min="26" max="26" width="21.6640625" bestFit="1" customWidth="1"/>
    <col min="27" max="27" width="15.44140625" bestFit="1" customWidth="1"/>
  </cols>
  <sheetData>
    <row r="1" spans="2:27" ht="18" x14ac:dyDescent="0.35">
      <c r="B1" s="100" t="s">
        <v>101</v>
      </c>
      <c r="P1" s="100" t="s">
        <v>84</v>
      </c>
    </row>
    <row r="2" spans="2:27" x14ac:dyDescent="0.3">
      <c r="B2" t="s">
        <v>9</v>
      </c>
      <c r="C2" s="1" t="s">
        <v>0</v>
      </c>
      <c r="D2" s="1" t="s">
        <v>1</v>
      </c>
      <c r="E2" s="1" t="s">
        <v>100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6</v>
      </c>
      <c r="K2" s="1" t="s">
        <v>7</v>
      </c>
      <c r="L2" s="1" t="s">
        <v>8</v>
      </c>
      <c r="M2" s="11"/>
      <c r="N2" t="s">
        <v>33</v>
      </c>
      <c r="P2" t="s">
        <v>9</v>
      </c>
      <c r="Q2" s="1" t="s">
        <v>0</v>
      </c>
      <c r="R2" s="1" t="s">
        <v>1</v>
      </c>
      <c r="S2" s="1" t="s">
        <v>3</v>
      </c>
      <c r="T2" s="1" t="s">
        <v>4</v>
      </c>
      <c r="U2" s="1" t="s">
        <v>5</v>
      </c>
      <c r="V2" s="1" t="s">
        <v>6</v>
      </c>
      <c r="W2" s="1" t="s">
        <v>7</v>
      </c>
      <c r="X2" s="1" t="s">
        <v>8</v>
      </c>
      <c r="Z2" t="s">
        <v>81</v>
      </c>
      <c r="AA2" t="s">
        <v>82</v>
      </c>
    </row>
    <row r="3" spans="2:27" x14ac:dyDescent="0.3">
      <c r="B3" s="2" t="str">
        <f>C3&amp;D3&amp;E3&amp;F3</f>
        <v>WALMARTdukesaioliother</v>
      </c>
      <c r="C3" s="1" t="s">
        <v>135</v>
      </c>
      <c r="D3" s="1" t="s">
        <v>137</v>
      </c>
      <c r="E3" s="1" t="s">
        <v>138</v>
      </c>
      <c r="F3" s="1" t="s">
        <v>139</v>
      </c>
      <c r="G3" s="98">
        <v>288187.62945800001</v>
      </c>
      <c r="H3" s="98">
        <v>86279.557654799995</v>
      </c>
      <c r="I3" s="99">
        <v>2.2578041770769901</v>
      </c>
      <c r="J3" s="99">
        <v>7.5414298735221799</v>
      </c>
      <c r="K3" s="98">
        <v>1424120.753028</v>
      </c>
      <c r="L3" s="98">
        <v>410261.42145079997</v>
      </c>
      <c r="N3" s="28">
        <v>9.0892486590000008</v>
      </c>
      <c r="P3" s="2" t="str">
        <f>Q3&amp;R3</f>
        <v>WALMARTDUKES</v>
      </c>
      <c r="Q3" s="1" t="s">
        <v>135</v>
      </c>
      <c r="R3" s="1" t="s">
        <v>105</v>
      </c>
      <c r="S3" s="98">
        <v>63564883.559063002</v>
      </c>
      <c r="T3" s="98">
        <v>22836149.850089502</v>
      </c>
      <c r="U3" s="99">
        <v>2.3177611238704499</v>
      </c>
      <c r="V3" s="99">
        <v>6.4515348219249198</v>
      </c>
      <c r="W3" s="98">
        <v>191852465.50057799</v>
      </c>
      <c r="X3" s="98">
        <v>78529341.080678001</v>
      </c>
      <c r="Z3" t="str" cm="1">
        <f t="array" ref="Z3:Z10">_xlfn.UNIQUE($R$3:$R$200)</f>
        <v>DUKES</v>
      </c>
      <c r="AA3" s="92">
        <v>4</v>
      </c>
    </row>
    <row r="4" spans="2:27" x14ac:dyDescent="0.3">
      <c r="B4" s="2" t="str">
        <f t="shared" ref="B4:B67" si="0">C4&amp;D4&amp;E4&amp;F4</f>
        <v>WALMARThellmanns best foodsaioliother</v>
      </c>
      <c r="C4" s="1" t="s">
        <v>135</v>
      </c>
      <c r="D4" s="1" t="s">
        <v>140</v>
      </c>
      <c r="E4" s="1" t="s">
        <v>138</v>
      </c>
      <c r="F4" s="1" t="s">
        <v>139</v>
      </c>
      <c r="G4" s="98">
        <v>2639499.6634399998</v>
      </c>
      <c r="H4" s="98">
        <v>440053.85643599997</v>
      </c>
      <c r="I4" s="99">
        <v>2.2504749762763101</v>
      </c>
      <c r="J4" s="99">
        <v>13.4986385315893</v>
      </c>
      <c r="K4" s="98">
        <v>4589521.5248980001</v>
      </c>
      <c r="L4" s="98">
        <v>796195.47984699998</v>
      </c>
      <c r="P4" s="2" t="str">
        <f t="shared" ref="P4:P67" si="1">Q4&amp;R4</f>
        <v>WALMARTHELLMANNS BEST FOODS</v>
      </c>
      <c r="Q4" s="1" t="s">
        <v>135</v>
      </c>
      <c r="R4" s="1" t="s">
        <v>106</v>
      </c>
      <c r="S4" s="98">
        <v>311046328.57984</v>
      </c>
      <c r="T4" s="98">
        <v>89943232.797396004</v>
      </c>
      <c r="U4" s="99">
        <v>2.2602290892061201</v>
      </c>
      <c r="V4" s="99">
        <v>7.8164408603208804</v>
      </c>
      <c r="W4" s="98">
        <v>985575700.22776496</v>
      </c>
      <c r="X4" s="98">
        <v>326182787.53304601</v>
      </c>
      <c r="Z4" t="str">
        <v>HELLMANNS BEST FOODS</v>
      </c>
      <c r="AA4" s="92">
        <v>3</v>
      </c>
    </row>
    <row r="5" spans="2:27" x14ac:dyDescent="0.3">
      <c r="B5" s="2" t="str">
        <f t="shared" si="0"/>
        <v>WALMARThellmanns best foodsaiolijar 15oz</v>
      </c>
      <c r="C5" s="1" t="s">
        <v>135</v>
      </c>
      <c r="D5" s="1" t="s">
        <v>140</v>
      </c>
      <c r="E5" s="1" t="s">
        <v>138</v>
      </c>
      <c r="F5" s="1" t="s">
        <v>141</v>
      </c>
      <c r="G5" s="98">
        <v>19.34</v>
      </c>
      <c r="H5" s="98">
        <v>6.5625</v>
      </c>
      <c r="I5" s="99">
        <v>4.11092170476996</v>
      </c>
      <c r="J5" s="99">
        <v>12.1150820221335</v>
      </c>
      <c r="K5" s="98">
        <v>189.75377712</v>
      </c>
      <c r="L5" s="98">
        <v>62.813389710999999</v>
      </c>
      <c r="P5" s="2" t="str">
        <f t="shared" si="1"/>
        <v>WALMARTKRAFT</v>
      </c>
      <c r="Q5" s="1" t="s">
        <v>135</v>
      </c>
      <c r="R5" s="1" t="s">
        <v>107</v>
      </c>
      <c r="S5" s="98">
        <v>115955504.009765</v>
      </c>
      <c r="T5" s="98">
        <v>38749401.130130999</v>
      </c>
      <c r="U5" s="99">
        <v>2.0999493299448702</v>
      </c>
      <c r="V5" s="99">
        <v>6.2839857093787197</v>
      </c>
      <c r="W5" s="98">
        <v>412277867.727705</v>
      </c>
      <c r="X5" s="98">
        <v>164968855.089609</v>
      </c>
      <c r="Z5" t="str">
        <v>KRAFT</v>
      </c>
      <c r="AA5" s="92">
        <v>1</v>
      </c>
    </row>
    <row r="6" spans="2:27" x14ac:dyDescent="0.3">
      <c r="B6" s="2" t="str">
        <f t="shared" si="0"/>
        <v>WALMARTkraftaiolisqueezy 12oz</v>
      </c>
      <c r="C6" s="1" t="s">
        <v>135</v>
      </c>
      <c r="D6" s="1" t="s">
        <v>142</v>
      </c>
      <c r="E6" s="1" t="s">
        <v>138</v>
      </c>
      <c r="F6" s="1" t="s">
        <v>143</v>
      </c>
      <c r="G6" s="98">
        <v>7115096.8269999996</v>
      </c>
      <c r="H6" s="98">
        <v>1142635.94245</v>
      </c>
      <c r="I6" s="99">
        <v>2.2749204297669401</v>
      </c>
      <c r="J6" s="99">
        <v>14.165736023327099</v>
      </c>
      <c r="K6" s="98">
        <v>21767294.024950001</v>
      </c>
      <c r="L6" s="98">
        <v>4372603.1333799995</v>
      </c>
      <c r="P6" s="2" t="str">
        <f t="shared" si="1"/>
        <v>WALMARTMCCORMICK AIOLI</v>
      </c>
      <c r="Q6" s="1" t="s">
        <v>135</v>
      </c>
      <c r="R6" s="1" t="s">
        <v>108</v>
      </c>
      <c r="S6" s="98">
        <v>45018195.560050003</v>
      </c>
      <c r="T6" s="98">
        <v>11032959.335495001</v>
      </c>
      <c r="U6" s="99">
        <v>2.2999999999999998</v>
      </c>
      <c r="V6" s="99">
        <v>9.3847757974244495</v>
      </c>
      <c r="W6" s="98">
        <v>129686492.84264</v>
      </c>
      <c r="X6" s="98">
        <v>37602566.324872002</v>
      </c>
      <c r="Z6" t="str">
        <v>MCCORMICK AIOLI</v>
      </c>
      <c r="AA6" s="92">
        <v>6</v>
      </c>
    </row>
    <row r="7" spans="2:27" x14ac:dyDescent="0.3">
      <c r="B7" s="2" t="str">
        <f t="shared" si="0"/>
        <v>WALMARTkraftaioliother</v>
      </c>
      <c r="C7" s="1" t="s">
        <v>135</v>
      </c>
      <c r="D7" s="1" t="s">
        <v>142</v>
      </c>
      <c r="E7" s="1" t="s">
        <v>138</v>
      </c>
      <c r="F7" s="1" t="s">
        <v>139</v>
      </c>
      <c r="G7" s="98">
        <v>302449.27064330003</v>
      </c>
      <c r="H7" s="98">
        <v>87785.492243000001</v>
      </c>
      <c r="I7" s="99">
        <v>3.6417554999263202</v>
      </c>
      <c r="J7" s="99">
        <v>12.5470196346911</v>
      </c>
      <c r="K7" s="98">
        <v>769876.20711329998</v>
      </c>
      <c r="L7" s="98">
        <v>216948.39211399999</v>
      </c>
      <c r="P7" s="2" t="str">
        <f t="shared" si="1"/>
        <v>WALMARTMIRACLE WHIP</v>
      </c>
      <c r="Q7" s="1" t="s">
        <v>135</v>
      </c>
      <c r="R7" s="1" t="s">
        <v>109</v>
      </c>
      <c r="S7" s="98">
        <v>119791689.65034001</v>
      </c>
      <c r="T7" s="98">
        <v>35698999.883700997</v>
      </c>
      <c r="U7" s="99">
        <v>2.0388929404677598</v>
      </c>
      <c r="V7" s="99">
        <v>6.8417163268009702</v>
      </c>
      <c r="W7" s="98">
        <v>428527389.46257001</v>
      </c>
      <c r="X7" s="98">
        <v>140808812.183651</v>
      </c>
      <c r="Z7" t="str">
        <v>MIRACLE WHIP</v>
      </c>
      <c r="AA7" s="92">
        <v>2</v>
      </c>
    </row>
    <row r="8" spans="2:27" x14ac:dyDescent="0.3">
      <c r="B8" s="2" t="str">
        <f t="shared" si="0"/>
        <v>WALMARTkraftaiolijar 30oz</v>
      </c>
      <c r="C8" s="1" t="s">
        <v>135</v>
      </c>
      <c r="D8" s="1" t="s">
        <v>142</v>
      </c>
      <c r="E8" s="1" t="s">
        <v>138</v>
      </c>
      <c r="F8" s="1" t="s">
        <v>144</v>
      </c>
      <c r="G8" s="98">
        <v>498142.03722200001</v>
      </c>
      <c r="H8" s="98">
        <v>200021.125168</v>
      </c>
      <c r="I8" s="99">
        <v>2.8209679314216101</v>
      </c>
      <c r="J8" s="99">
        <v>7.0254714901539099</v>
      </c>
      <c r="K8" s="98">
        <v>933696.56901199999</v>
      </c>
      <c r="L8" s="98">
        <v>373263.96270500001</v>
      </c>
      <c r="P8" s="2" t="str">
        <f t="shared" si="1"/>
        <v>WALMARTPRIVATE LABEL</v>
      </c>
      <c r="Q8" s="1" t="s">
        <v>135</v>
      </c>
      <c r="R8" s="1" t="s">
        <v>110</v>
      </c>
      <c r="S8" s="98">
        <v>108148150.6595</v>
      </c>
      <c r="T8" s="98">
        <v>55337657.27172</v>
      </c>
      <c r="U8" s="99">
        <v>2.3488123746695102</v>
      </c>
      <c r="V8" s="99">
        <v>4.5903590265732399</v>
      </c>
      <c r="W8" s="98">
        <v>294423867.79141998</v>
      </c>
      <c r="X8" s="98">
        <v>168141467.24194899</v>
      </c>
      <c r="Z8" t="str">
        <v>PRIVATE LABEL</v>
      </c>
      <c r="AA8" s="92">
        <v>5</v>
      </c>
    </row>
    <row r="9" spans="2:27" x14ac:dyDescent="0.3">
      <c r="B9" s="2" t="str">
        <f t="shared" si="0"/>
        <v>WALMARTmccormick aioliaioliother</v>
      </c>
      <c r="C9" s="1" t="s">
        <v>135</v>
      </c>
      <c r="D9" s="1" t="s">
        <v>145</v>
      </c>
      <c r="E9" s="1" t="s">
        <v>138</v>
      </c>
      <c r="F9" s="1" t="s">
        <v>139</v>
      </c>
      <c r="G9" s="98">
        <v>1628077.20425</v>
      </c>
      <c r="H9" s="98">
        <v>455727.449005</v>
      </c>
      <c r="I9" s="99">
        <v>4.2881271539436296</v>
      </c>
      <c r="J9" s="99">
        <v>15.319248562937601</v>
      </c>
      <c r="K9" s="98">
        <v>5551871.3081</v>
      </c>
      <c r="L9" s="98">
        <v>1832478.756822</v>
      </c>
      <c r="P9" s="2" t="str">
        <f t="shared" si="1"/>
        <v>WALMARTRESTOFCATEGORY</v>
      </c>
      <c r="Q9" s="1" t="s">
        <v>135</v>
      </c>
      <c r="R9" s="1" t="s">
        <v>111</v>
      </c>
      <c r="S9" s="98">
        <v>67544072.205200002</v>
      </c>
      <c r="T9" s="98">
        <v>20704412.382238001</v>
      </c>
      <c r="U9" s="99">
        <v>2.1160502044040901</v>
      </c>
      <c r="V9" s="99">
        <v>6.9031975000030803</v>
      </c>
      <c r="W9" s="98">
        <v>215710241.89535001</v>
      </c>
      <c r="X9" s="98">
        <v>79089898.113812402</v>
      </c>
      <c r="Z9" t="str">
        <v>RESTOFCATEGORY</v>
      </c>
      <c r="AA9" s="92">
        <v>7</v>
      </c>
    </row>
    <row r="10" spans="2:27" x14ac:dyDescent="0.3">
      <c r="B10" s="2" t="str">
        <f t="shared" si="0"/>
        <v>WALMARTmccormick aioliaiolijar 15oz</v>
      </c>
      <c r="C10" s="1" t="s">
        <v>135</v>
      </c>
      <c r="D10" s="1" t="s">
        <v>145</v>
      </c>
      <c r="E10" s="1" t="s">
        <v>138</v>
      </c>
      <c r="F10" s="1" t="s">
        <v>141</v>
      </c>
      <c r="G10" s="98">
        <v>6027214.6645</v>
      </c>
      <c r="H10" s="98">
        <v>1127713.80269</v>
      </c>
      <c r="I10" s="99">
        <v>2.5725041867958001</v>
      </c>
      <c r="J10" s="99">
        <v>13.7490868003551</v>
      </c>
      <c r="K10" s="98">
        <v>19301888.42464</v>
      </c>
      <c r="L10" s="98">
        <v>4288840.4832499996</v>
      </c>
      <c r="P10" s="2" t="str">
        <f t="shared" si="1"/>
        <v>WALMART</v>
      </c>
      <c r="Q10" s="1" t="s">
        <v>135</v>
      </c>
      <c r="R10" s="1"/>
      <c r="S10" s="98"/>
      <c r="T10" s="98"/>
      <c r="U10" s="99"/>
      <c r="V10" s="99"/>
      <c r="W10" s="98"/>
      <c r="X10" s="98"/>
      <c r="Z10">
        <v>0</v>
      </c>
    </row>
    <row r="11" spans="2:27" x14ac:dyDescent="0.3">
      <c r="B11" s="2" t="str">
        <f t="shared" si="0"/>
        <v>WALMARTmccormick aioliaiolijar 30oz</v>
      </c>
      <c r="C11" s="1" t="s">
        <v>135</v>
      </c>
      <c r="D11" s="1" t="s">
        <v>145</v>
      </c>
      <c r="E11" s="1" t="s">
        <v>138</v>
      </c>
      <c r="F11" s="1" t="s">
        <v>144</v>
      </c>
      <c r="G11" s="98">
        <v>37362903.691299997</v>
      </c>
      <c r="H11" s="98">
        <v>9449518.0837999992</v>
      </c>
      <c r="I11" s="99">
        <v>2.1694088175805</v>
      </c>
      <c r="J11" s="99">
        <v>8.5777297846835694</v>
      </c>
      <c r="K11" s="98">
        <v>104832733.1099</v>
      </c>
      <c r="L11" s="98">
        <v>31481247.084800001</v>
      </c>
      <c r="P11" s="2" t="str">
        <f t="shared" si="1"/>
        <v>WALMART</v>
      </c>
      <c r="Q11" s="1" t="s">
        <v>135</v>
      </c>
      <c r="R11" s="1"/>
      <c r="S11" s="98"/>
      <c r="T11" s="98"/>
      <c r="U11" s="99"/>
      <c r="V11" s="99"/>
      <c r="W11" s="98"/>
      <c r="X11" s="98"/>
    </row>
    <row r="12" spans="2:27" x14ac:dyDescent="0.3">
      <c r="B12" s="2" t="str">
        <f t="shared" si="0"/>
        <v>WALMARTdukesmayosqueezy 12oz</v>
      </c>
      <c r="C12" s="1" t="s">
        <v>135</v>
      </c>
      <c r="D12" s="1" t="s">
        <v>137</v>
      </c>
      <c r="E12" s="1" t="s">
        <v>148</v>
      </c>
      <c r="F12" s="1" t="s">
        <v>143</v>
      </c>
      <c r="G12" s="98">
        <v>649782.56217501999</v>
      </c>
      <c r="H12" s="98">
        <v>143335.631344689</v>
      </c>
      <c r="I12" s="99">
        <v>2.52611821409314</v>
      </c>
      <c r="J12" s="99">
        <v>11.4516366245541</v>
      </c>
      <c r="K12" s="98">
        <v>1812463.5686530101</v>
      </c>
      <c r="L12" s="98">
        <v>397306.66339933698</v>
      </c>
      <c r="P12" s="2" t="str">
        <f t="shared" si="1"/>
        <v>WALMART</v>
      </c>
      <c r="Q12" s="1" t="s">
        <v>135</v>
      </c>
      <c r="R12" s="1"/>
      <c r="S12" s="98"/>
      <c r="T12" s="98"/>
      <c r="U12" s="99"/>
      <c r="V12" s="99"/>
      <c r="W12" s="98"/>
      <c r="X12" s="98"/>
    </row>
    <row r="13" spans="2:27" x14ac:dyDescent="0.3">
      <c r="B13" s="2" t="str">
        <f t="shared" si="0"/>
        <v>WALMARTdukesmayoother</v>
      </c>
      <c r="C13" s="1" t="s">
        <v>135</v>
      </c>
      <c r="D13" s="1" t="s">
        <v>137</v>
      </c>
      <c r="E13" s="1" t="s">
        <v>148</v>
      </c>
      <c r="F13" s="1" t="s">
        <v>139</v>
      </c>
      <c r="G13" s="98">
        <v>1819625.86427</v>
      </c>
      <c r="H13" s="98">
        <v>711028.74066999997</v>
      </c>
      <c r="I13" s="99">
        <v>3.96345604732972</v>
      </c>
      <c r="J13" s="99">
        <v>10.143059939915601</v>
      </c>
      <c r="K13" s="98">
        <v>5852066.9702671003</v>
      </c>
      <c r="L13" s="98">
        <v>3665512.1419779002</v>
      </c>
      <c r="P13" s="2" t="str">
        <f t="shared" si="1"/>
        <v>WALMART</v>
      </c>
      <c r="Q13" s="1" t="s">
        <v>135</v>
      </c>
      <c r="R13" s="1"/>
      <c r="S13" s="98"/>
      <c r="T13" s="98"/>
      <c r="U13" s="99"/>
      <c r="V13" s="99"/>
      <c r="W13" s="98"/>
      <c r="X13" s="98"/>
    </row>
    <row r="14" spans="2:27" x14ac:dyDescent="0.3">
      <c r="B14" s="2" t="str">
        <f t="shared" si="0"/>
        <v>WALMARTdukesmayojar 15oz</v>
      </c>
      <c r="C14" s="1" t="s">
        <v>135</v>
      </c>
      <c r="D14" s="1" t="s">
        <v>137</v>
      </c>
      <c r="E14" s="1" t="s">
        <v>148</v>
      </c>
      <c r="F14" s="1" t="s">
        <v>141</v>
      </c>
      <c r="G14" s="98">
        <v>5894215.92086</v>
      </c>
      <c r="H14" s="98">
        <v>1484241.6758099999</v>
      </c>
      <c r="I14" s="99">
        <v>2.2923660269096802</v>
      </c>
      <c r="J14" s="99">
        <v>9.1034368273453996</v>
      </c>
      <c r="K14" s="98">
        <v>17378263.418570001</v>
      </c>
      <c r="L14" s="98">
        <v>4879740.8557599997</v>
      </c>
      <c r="P14" s="2" t="str">
        <f t="shared" si="1"/>
        <v>WALMART</v>
      </c>
      <c r="Q14" s="1" t="s">
        <v>135</v>
      </c>
      <c r="R14" s="1"/>
      <c r="S14" s="98"/>
      <c r="T14" s="98"/>
      <c r="U14" s="99"/>
      <c r="V14" s="99"/>
      <c r="W14" s="98"/>
      <c r="X14" s="98"/>
    </row>
    <row r="15" spans="2:27" x14ac:dyDescent="0.3">
      <c r="B15" s="2" t="str">
        <f t="shared" si="0"/>
        <v>WALMARTdukesmayosqueezy 18 to 22oz</v>
      </c>
      <c r="C15" s="1" t="s">
        <v>135</v>
      </c>
      <c r="D15" s="1" t="s">
        <v>137</v>
      </c>
      <c r="E15" s="1" t="s">
        <v>148</v>
      </c>
      <c r="F15" s="1" t="s">
        <v>149</v>
      </c>
      <c r="G15" s="98">
        <v>13144739.140900001</v>
      </c>
      <c r="H15" s="98">
        <v>3333243.56238</v>
      </c>
      <c r="I15" s="99">
        <v>2.1948270344919401</v>
      </c>
      <c r="J15" s="99">
        <v>8.6553617483601801</v>
      </c>
      <c r="K15" s="98">
        <v>40945730.389300004</v>
      </c>
      <c r="L15" s="98">
        <v>12156594.966120001</v>
      </c>
      <c r="P15" s="2" t="str">
        <f t="shared" si="1"/>
        <v>WALMART</v>
      </c>
      <c r="Q15" s="1" t="s">
        <v>135</v>
      </c>
      <c r="R15" s="1"/>
      <c r="S15" s="98"/>
      <c r="T15" s="98"/>
      <c r="U15" s="99"/>
      <c r="V15" s="99"/>
      <c r="W15" s="98"/>
      <c r="X15" s="98"/>
    </row>
    <row r="16" spans="2:27" x14ac:dyDescent="0.3">
      <c r="B16" s="2" t="str">
        <f t="shared" si="0"/>
        <v>WALMARTdukesmayojar 30oz</v>
      </c>
      <c r="C16" s="1" t="s">
        <v>135</v>
      </c>
      <c r="D16" s="1" t="s">
        <v>137</v>
      </c>
      <c r="E16" s="1" t="s">
        <v>148</v>
      </c>
      <c r="F16" s="1" t="s">
        <v>144</v>
      </c>
      <c r="G16" s="98">
        <v>34377359.582199998</v>
      </c>
      <c r="H16" s="98">
        <v>13896541.047499999</v>
      </c>
      <c r="I16" s="99">
        <v>2.2958213367887299</v>
      </c>
      <c r="J16" s="99">
        <v>5.6794187389150199</v>
      </c>
      <c r="K16" s="98">
        <v>101859631.8151</v>
      </c>
      <c r="L16" s="98">
        <v>46111363.664039999</v>
      </c>
      <c r="P16" s="2" t="str">
        <f t="shared" si="1"/>
        <v>WALMART</v>
      </c>
      <c r="Q16" s="1" t="s">
        <v>135</v>
      </c>
      <c r="R16" s="1"/>
      <c r="S16" s="98"/>
      <c r="T16" s="98"/>
      <c r="U16" s="99"/>
      <c r="V16" s="99"/>
      <c r="W16" s="98"/>
      <c r="X16" s="98"/>
    </row>
    <row r="17" spans="2:24" x14ac:dyDescent="0.3">
      <c r="B17" s="2" t="str">
        <f t="shared" si="0"/>
        <v>WALMARTdukesmayojar 48oz</v>
      </c>
      <c r="C17" s="1" t="s">
        <v>135</v>
      </c>
      <c r="D17" s="1" t="s">
        <v>137</v>
      </c>
      <c r="E17" s="1" t="s">
        <v>148</v>
      </c>
      <c r="F17" s="1" t="s">
        <v>150</v>
      </c>
      <c r="G17" s="98">
        <v>7390972.8591999998</v>
      </c>
      <c r="H17" s="98">
        <v>3181479.63473</v>
      </c>
      <c r="I17" s="99">
        <v>2.23755458795207</v>
      </c>
      <c r="J17" s="99">
        <v>5.1981175834041302</v>
      </c>
      <c r="K17" s="98">
        <v>22580188.585659999</v>
      </c>
      <c r="L17" s="98">
        <v>10908561.367930001</v>
      </c>
      <c r="P17" s="2" t="str">
        <f t="shared" si="1"/>
        <v>WALMART</v>
      </c>
      <c r="Q17" s="1" t="s">
        <v>135</v>
      </c>
      <c r="R17" s="1"/>
      <c r="S17" s="98"/>
      <c r="T17" s="98"/>
      <c r="U17" s="99"/>
      <c r="V17" s="99"/>
      <c r="W17" s="98"/>
      <c r="X17" s="98"/>
    </row>
    <row r="18" spans="2:24" x14ac:dyDescent="0.3">
      <c r="B18" s="2" t="str">
        <f t="shared" si="0"/>
        <v>WALMARThellmanns best foodsmayosqueezy 12oz</v>
      </c>
      <c r="C18" s="1" t="s">
        <v>135</v>
      </c>
      <c r="D18" s="1" t="s">
        <v>140</v>
      </c>
      <c r="E18" s="1" t="s">
        <v>148</v>
      </c>
      <c r="F18" s="1" t="s">
        <v>143</v>
      </c>
      <c r="G18" s="98">
        <v>23385980.9223</v>
      </c>
      <c r="H18" s="98">
        <v>3921464.1188400001</v>
      </c>
      <c r="I18" s="99">
        <v>2.2922317395439999</v>
      </c>
      <c r="J18" s="99">
        <v>13.669916670389799</v>
      </c>
      <c r="K18" s="98">
        <v>81700493.954400003</v>
      </c>
      <c r="L18" s="98">
        <v>15514337.41336</v>
      </c>
      <c r="P18" s="2" t="str">
        <f t="shared" si="1"/>
        <v>WALMART</v>
      </c>
      <c r="Q18" s="1" t="s">
        <v>135</v>
      </c>
      <c r="R18" s="1"/>
      <c r="S18" s="98"/>
      <c r="T18" s="98"/>
      <c r="U18" s="99"/>
      <c r="V18" s="99"/>
      <c r="W18" s="98"/>
      <c r="X18" s="98"/>
    </row>
    <row r="19" spans="2:24" x14ac:dyDescent="0.3">
      <c r="B19" s="2" t="str">
        <f t="shared" si="0"/>
        <v>WALMARThellmanns best foodsmayojar 8oz</v>
      </c>
      <c r="C19" s="1" t="s">
        <v>135</v>
      </c>
      <c r="D19" s="1" t="s">
        <v>140</v>
      </c>
      <c r="E19" s="1" t="s">
        <v>148</v>
      </c>
      <c r="F19" s="1" t="s">
        <v>147</v>
      </c>
      <c r="G19" s="98">
        <v>7.47</v>
      </c>
      <c r="H19" s="98">
        <v>2.5</v>
      </c>
      <c r="I19" s="99">
        <v>4.5448720520735</v>
      </c>
      <c r="J19" s="99">
        <v>13.5800776915956</v>
      </c>
      <c r="K19" s="98">
        <v>317.47000000000003</v>
      </c>
      <c r="L19" s="98">
        <v>143</v>
      </c>
      <c r="P19" s="2" t="str">
        <f t="shared" si="1"/>
        <v>WALMART</v>
      </c>
      <c r="Q19" s="1" t="s">
        <v>135</v>
      </c>
      <c r="R19" s="1"/>
      <c r="S19" s="98"/>
      <c r="T19" s="98"/>
      <c r="U19" s="99"/>
      <c r="V19" s="99"/>
      <c r="W19" s="98"/>
      <c r="X19" s="98"/>
    </row>
    <row r="20" spans="2:24" x14ac:dyDescent="0.3">
      <c r="B20" s="2" t="str">
        <f t="shared" si="0"/>
        <v>WALMARThellmanns best foodsmayoother</v>
      </c>
      <c r="C20" s="1" t="s">
        <v>135</v>
      </c>
      <c r="D20" s="1" t="s">
        <v>140</v>
      </c>
      <c r="E20" s="1" t="s">
        <v>148</v>
      </c>
      <c r="F20" s="1" t="s">
        <v>139</v>
      </c>
      <c r="G20" s="98">
        <v>10054956.5351</v>
      </c>
      <c r="H20" s="98">
        <v>1177854.3780199999</v>
      </c>
      <c r="I20" s="99">
        <v>1.41833461848683</v>
      </c>
      <c r="J20" s="99">
        <v>12.1078574798748</v>
      </c>
      <c r="K20" s="98">
        <v>23826271.237489998</v>
      </c>
      <c r="L20" s="98">
        <v>3791465.8511390002</v>
      </c>
      <c r="P20" s="2" t="str">
        <f t="shared" si="1"/>
        <v>WALMART</v>
      </c>
      <c r="Q20" s="1" t="s">
        <v>135</v>
      </c>
      <c r="R20" s="1"/>
      <c r="S20" s="98"/>
      <c r="T20" s="98"/>
      <c r="U20" s="99"/>
      <c r="V20" s="99"/>
      <c r="W20" s="98"/>
      <c r="X20" s="98"/>
    </row>
    <row r="21" spans="2:24" x14ac:dyDescent="0.3">
      <c r="B21" s="2" t="str">
        <f t="shared" si="0"/>
        <v>WALMARThellmanns best foodsmayojar 15oz</v>
      </c>
      <c r="C21" s="1" t="s">
        <v>135</v>
      </c>
      <c r="D21" s="1" t="s">
        <v>140</v>
      </c>
      <c r="E21" s="1" t="s">
        <v>148</v>
      </c>
      <c r="F21" s="1" t="s">
        <v>141</v>
      </c>
      <c r="G21" s="98">
        <v>25471063.4016</v>
      </c>
      <c r="H21" s="98">
        <v>6002794.5806999998</v>
      </c>
      <c r="I21" s="99">
        <v>2.56100305222339</v>
      </c>
      <c r="J21" s="99">
        <v>10.866850470713</v>
      </c>
      <c r="K21" s="98">
        <v>74324324.518900007</v>
      </c>
      <c r="L21" s="98">
        <v>18548823.65721</v>
      </c>
      <c r="P21" s="2" t="str">
        <f t="shared" si="1"/>
        <v>WALMART</v>
      </c>
      <c r="Q21" s="1" t="s">
        <v>135</v>
      </c>
      <c r="R21" s="1"/>
      <c r="S21" s="98"/>
      <c r="T21" s="98"/>
      <c r="U21" s="99"/>
      <c r="V21" s="99"/>
      <c r="W21" s="98"/>
      <c r="X21" s="98"/>
    </row>
    <row r="22" spans="2:24" x14ac:dyDescent="0.3">
      <c r="B22" s="2" t="str">
        <f t="shared" si="0"/>
        <v>WALMARThellmanns best foodsmayosqueezy 18 to 22oz</v>
      </c>
      <c r="C22" s="1" t="s">
        <v>135</v>
      </c>
      <c r="D22" s="1" t="s">
        <v>140</v>
      </c>
      <c r="E22" s="1" t="s">
        <v>148</v>
      </c>
      <c r="F22" s="1" t="s">
        <v>149</v>
      </c>
      <c r="G22" s="98">
        <v>54016429.742899999</v>
      </c>
      <c r="H22" s="98">
        <v>11470977.813899999</v>
      </c>
      <c r="I22" s="99">
        <v>2.1941084811864999</v>
      </c>
      <c r="J22" s="99">
        <v>10.3319794131845</v>
      </c>
      <c r="K22" s="98">
        <v>173605389.90979999</v>
      </c>
      <c r="L22" s="98">
        <v>43846194.417000003</v>
      </c>
      <c r="P22" s="2" t="str">
        <f t="shared" si="1"/>
        <v>WALMART</v>
      </c>
      <c r="Q22" s="1" t="s">
        <v>135</v>
      </c>
      <c r="R22" s="1"/>
      <c r="S22" s="98"/>
      <c r="T22" s="98"/>
      <c r="U22" s="99"/>
      <c r="V22" s="99"/>
      <c r="W22" s="98"/>
      <c r="X22" s="98"/>
    </row>
    <row r="23" spans="2:24" x14ac:dyDescent="0.3">
      <c r="B23" s="2" t="str">
        <f t="shared" si="0"/>
        <v>WALMARThellmanns best foodsmayojar 30oz</v>
      </c>
      <c r="C23" s="1" t="s">
        <v>135</v>
      </c>
      <c r="D23" s="1" t="s">
        <v>140</v>
      </c>
      <c r="E23" s="1" t="s">
        <v>148</v>
      </c>
      <c r="F23" s="1" t="s">
        <v>144</v>
      </c>
      <c r="G23" s="98">
        <v>157624894.83000001</v>
      </c>
      <c r="H23" s="98">
        <v>52521433.441100001</v>
      </c>
      <c r="I23" s="99">
        <v>2.2589881832840901</v>
      </c>
      <c r="J23" s="99">
        <v>6.7795707672694201</v>
      </c>
      <c r="K23" s="98">
        <v>502526996.67500001</v>
      </c>
      <c r="L23" s="98">
        <v>191790477.12909999</v>
      </c>
      <c r="P23" s="2" t="str">
        <f t="shared" si="1"/>
        <v>WALMART</v>
      </c>
      <c r="Q23" s="1" t="s">
        <v>135</v>
      </c>
      <c r="R23" s="1"/>
      <c r="S23" s="98"/>
      <c r="T23" s="98"/>
      <c r="U23" s="99"/>
      <c r="V23" s="99"/>
      <c r="W23" s="98"/>
      <c r="X23" s="98"/>
    </row>
    <row r="24" spans="2:24" x14ac:dyDescent="0.3">
      <c r="B24" s="2" t="str">
        <f t="shared" si="0"/>
        <v>WALMARThellmanns best foodsmayojar 48oz</v>
      </c>
      <c r="C24" s="1" t="s">
        <v>135</v>
      </c>
      <c r="D24" s="1" t="s">
        <v>140</v>
      </c>
      <c r="E24" s="1" t="s">
        <v>148</v>
      </c>
      <c r="F24" s="1" t="s">
        <v>150</v>
      </c>
      <c r="G24" s="98">
        <v>37853476.674500003</v>
      </c>
      <c r="H24" s="98">
        <v>14408645.5459</v>
      </c>
      <c r="I24" s="99">
        <v>2.36190155257614</v>
      </c>
      <c r="J24" s="99">
        <v>6.2050374577607004</v>
      </c>
      <c r="K24" s="98">
        <v>125002195.18350001</v>
      </c>
      <c r="L24" s="98">
        <v>51895087.772</v>
      </c>
      <c r="P24" s="2" t="str">
        <f t="shared" si="1"/>
        <v>WALMART</v>
      </c>
      <c r="Q24" s="1" t="s">
        <v>135</v>
      </c>
      <c r="R24" s="1"/>
      <c r="S24" s="98"/>
      <c r="T24" s="98"/>
      <c r="U24" s="99"/>
      <c r="V24" s="99"/>
      <c r="W24" s="98"/>
      <c r="X24" s="98"/>
    </row>
    <row r="25" spans="2:24" x14ac:dyDescent="0.3">
      <c r="B25" s="2" t="str">
        <f t="shared" si="0"/>
        <v>WALMARTkraftmayosqueezy 12oz</v>
      </c>
      <c r="C25" s="1" t="s">
        <v>135</v>
      </c>
      <c r="D25" s="1" t="s">
        <v>142</v>
      </c>
      <c r="E25" s="1" t="s">
        <v>148</v>
      </c>
      <c r="F25" s="1" t="s">
        <v>143</v>
      </c>
      <c r="G25" s="98">
        <v>12629476.900599999</v>
      </c>
      <c r="H25" s="98">
        <v>2382548.2722800002</v>
      </c>
      <c r="I25" s="99">
        <v>1.8654371780202501</v>
      </c>
      <c r="J25" s="99">
        <v>9.8883603003693903</v>
      </c>
      <c r="K25" s="98">
        <v>47999927.386699997</v>
      </c>
      <c r="L25" s="98">
        <v>10816788.439999999</v>
      </c>
      <c r="P25" s="2" t="str">
        <f t="shared" si="1"/>
        <v>WALMART</v>
      </c>
      <c r="Q25" s="1" t="s">
        <v>135</v>
      </c>
      <c r="R25" s="1"/>
      <c r="S25" s="98"/>
      <c r="T25" s="98"/>
      <c r="U25" s="99"/>
      <c r="V25" s="99"/>
      <c r="W25" s="98"/>
      <c r="X25" s="98"/>
    </row>
    <row r="26" spans="2:24" x14ac:dyDescent="0.3">
      <c r="B26" s="2" t="str">
        <f t="shared" si="0"/>
        <v>WALMARTkraftmayoother</v>
      </c>
      <c r="C26" s="1" t="s">
        <v>135</v>
      </c>
      <c r="D26" s="1" t="s">
        <v>142</v>
      </c>
      <c r="E26" s="1" t="s">
        <v>148</v>
      </c>
      <c r="F26" s="1" t="s">
        <v>139</v>
      </c>
      <c r="G26" s="98">
        <v>6479258.1820999999</v>
      </c>
      <c r="H26" s="98">
        <v>2889708.8892999999</v>
      </c>
      <c r="I26" s="99">
        <v>3.9062004303610198</v>
      </c>
      <c r="J26" s="99">
        <v>8.7584189511456607</v>
      </c>
      <c r="K26" s="98">
        <v>23389113.392700002</v>
      </c>
      <c r="L26" s="98">
        <v>14681549.114320001</v>
      </c>
      <c r="P26" s="2" t="str">
        <f t="shared" si="1"/>
        <v>WALMART</v>
      </c>
      <c r="Q26" s="1" t="s">
        <v>135</v>
      </c>
      <c r="R26" s="1"/>
      <c r="S26" s="98"/>
      <c r="T26" s="98"/>
      <c r="U26" s="99"/>
      <c r="V26" s="99"/>
      <c r="W26" s="98"/>
      <c r="X26" s="98"/>
    </row>
    <row r="27" spans="2:24" x14ac:dyDescent="0.3">
      <c r="B27" s="2" t="str">
        <f t="shared" si="0"/>
        <v>WALMARTkraftmayojar 15oz</v>
      </c>
      <c r="C27" s="1" t="s">
        <v>135</v>
      </c>
      <c r="D27" s="1" t="s">
        <v>142</v>
      </c>
      <c r="E27" s="1" t="s">
        <v>148</v>
      </c>
      <c r="F27" s="1" t="s">
        <v>141</v>
      </c>
      <c r="G27" s="98">
        <v>7366098.8638000004</v>
      </c>
      <c r="H27" s="98">
        <v>1736995.2321599999</v>
      </c>
      <c r="I27" s="99">
        <v>1.8536305957747501</v>
      </c>
      <c r="J27" s="99">
        <v>7.8607160069531101</v>
      </c>
      <c r="K27" s="98">
        <v>22616575.827029999</v>
      </c>
      <c r="L27" s="98">
        <v>6055584.97389</v>
      </c>
      <c r="P27" s="2" t="str">
        <f t="shared" si="1"/>
        <v>WALMART</v>
      </c>
      <c r="Q27" s="1" t="s">
        <v>135</v>
      </c>
      <c r="R27" s="1"/>
      <c r="S27" s="98"/>
      <c r="T27" s="98"/>
      <c r="U27" s="99"/>
      <c r="V27" s="99"/>
      <c r="W27" s="98"/>
      <c r="X27" s="98"/>
    </row>
    <row r="28" spans="2:24" x14ac:dyDescent="0.3">
      <c r="B28" s="2" t="str">
        <f t="shared" si="0"/>
        <v>WALMARTkraftmayosqueezy 18 to 22oz</v>
      </c>
      <c r="C28" s="1" t="s">
        <v>135</v>
      </c>
      <c r="D28" s="1" t="s">
        <v>142</v>
      </c>
      <c r="E28" s="1" t="s">
        <v>148</v>
      </c>
      <c r="F28" s="1" t="s">
        <v>149</v>
      </c>
      <c r="G28" s="98">
        <v>21146604.329500001</v>
      </c>
      <c r="H28" s="98">
        <v>6003793.6717999997</v>
      </c>
      <c r="I28" s="99">
        <v>2.1219105236017599</v>
      </c>
      <c r="J28" s="99">
        <v>7.4738081816452198</v>
      </c>
      <c r="K28" s="98">
        <v>81483000.123799995</v>
      </c>
      <c r="L28" s="98">
        <v>27998245.163400002</v>
      </c>
      <c r="P28" s="2" t="str">
        <f t="shared" si="1"/>
        <v>WALMART</v>
      </c>
      <c r="Q28" s="1" t="s">
        <v>135</v>
      </c>
      <c r="R28" s="1"/>
      <c r="S28" s="98"/>
      <c r="T28" s="98"/>
      <c r="U28" s="99"/>
      <c r="V28" s="99"/>
      <c r="W28" s="98"/>
      <c r="X28" s="98"/>
    </row>
    <row r="29" spans="2:24" x14ac:dyDescent="0.3">
      <c r="B29" s="2" t="str">
        <f t="shared" si="0"/>
        <v>WALMARTkraftmayojar 30oz</v>
      </c>
      <c r="C29" s="1" t="s">
        <v>135</v>
      </c>
      <c r="D29" s="1" t="s">
        <v>142</v>
      </c>
      <c r="E29" s="1" t="s">
        <v>148</v>
      </c>
      <c r="F29" s="1" t="s">
        <v>144</v>
      </c>
      <c r="G29" s="98">
        <v>49239384.421300001</v>
      </c>
      <c r="H29" s="98">
        <v>20010244.403299998</v>
      </c>
      <c r="I29" s="99">
        <v>1.9929683041272701</v>
      </c>
      <c r="J29" s="99">
        <v>4.9041146369109496</v>
      </c>
      <c r="K29" s="98">
        <v>176812567.9718</v>
      </c>
      <c r="L29" s="98">
        <v>83102237.960500002</v>
      </c>
      <c r="P29" s="2" t="str">
        <f t="shared" si="1"/>
        <v>WALMART</v>
      </c>
      <c r="Q29" s="1" t="s">
        <v>135</v>
      </c>
      <c r="R29" s="1"/>
      <c r="S29" s="98"/>
      <c r="T29" s="98"/>
      <c r="U29" s="99"/>
      <c r="V29" s="99"/>
      <c r="W29" s="98"/>
      <c r="X29" s="98"/>
    </row>
    <row r="30" spans="2:24" x14ac:dyDescent="0.3">
      <c r="B30" s="2" t="str">
        <f t="shared" si="0"/>
        <v>WALMARTkraftmayojar 48oz</v>
      </c>
      <c r="C30" s="1" t="s">
        <v>135</v>
      </c>
      <c r="D30" s="1" t="s">
        <v>142</v>
      </c>
      <c r="E30" s="1" t="s">
        <v>148</v>
      </c>
      <c r="F30" s="1" t="s">
        <v>150</v>
      </c>
      <c r="G30" s="98">
        <v>11178993.1776</v>
      </c>
      <c r="H30" s="98">
        <v>4295668.1014299998</v>
      </c>
      <c r="I30" s="99">
        <v>1.72476865296184</v>
      </c>
      <c r="J30" s="99">
        <v>4.48851646568788</v>
      </c>
      <c r="K30" s="98">
        <v>36505816.224600002</v>
      </c>
      <c r="L30" s="98">
        <v>17351633.949299999</v>
      </c>
      <c r="P30" s="2" t="str">
        <f t="shared" si="1"/>
        <v>WALMART</v>
      </c>
      <c r="Q30" s="1" t="s">
        <v>135</v>
      </c>
      <c r="R30" s="1"/>
      <c r="S30" s="98"/>
      <c r="T30" s="98"/>
      <c r="U30" s="99"/>
      <c r="V30" s="99"/>
      <c r="W30" s="98"/>
      <c r="X30" s="98"/>
    </row>
    <row r="31" spans="2:24" x14ac:dyDescent="0.3">
      <c r="B31" s="2" t="str">
        <f t="shared" si="0"/>
        <v>WALMARTprivate labelmayoother</v>
      </c>
      <c r="C31" s="1" t="s">
        <v>135</v>
      </c>
      <c r="D31" s="1" t="s">
        <v>146</v>
      </c>
      <c r="E31" s="1" t="s">
        <v>148</v>
      </c>
      <c r="F31" s="1" t="s">
        <v>139</v>
      </c>
      <c r="G31" s="98">
        <v>10.97</v>
      </c>
      <c r="H31" s="98">
        <v>8</v>
      </c>
      <c r="I31" s="99">
        <v>5.3748632065205504</v>
      </c>
      <c r="J31" s="99">
        <v>7.3702811719413104</v>
      </c>
      <c r="K31" s="98">
        <v>193957.37385951</v>
      </c>
      <c r="L31" s="98">
        <v>186297.70621932001</v>
      </c>
      <c r="P31" s="2" t="str">
        <f t="shared" si="1"/>
        <v>WALMART</v>
      </c>
      <c r="Q31" s="1" t="s">
        <v>135</v>
      </c>
      <c r="R31" s="1"/>
      <c r="S31" s="98"/>
      <c r="T31" s="98"/>
      <c r="U31" s="99"/>
      <c r="V31" s="99"/>
      <c r="W31" s="98"/>
      <c r="X31" s="98"/>
    </row>
    <row r="32" spans="2:24" x14ac:dyDescent="0.3">
      <c r="B32" s="2" t="str">
        <f t="shared" si="0"/>
        <v>WALMARTprivate labelmayojar 15oz</v>
      </c>
      <c r="C32" s="1" t="s">
        <v>135</v>
      </c>
      <c r="D32" s="1" t="s">
        <v>146</v>
      </c>
      <c r="E32" s="1" t="s">
        <v>148</v>
      </c>
      <c r="F32" s="1" t="s">
        <v>141</v>
      </c>
      <c r="G32" s="98">
        <v>15078935.872400001</v>
      </c>
      <c r="H32" s="98">
        <v>6670959.5477999998</v>
      </c>
      <c r="I32" s="99">
        <v>2.9264294590724602</v>
      </c>
      <c r="J32" s="99">
        <v>6.6148568031728798</v>
      </c>
      <c r="K32" s="98">
        <v>37081492.497400001</v>
      </c>
      <c r="L32" s="98">
        <v>16491848.049070001</v>
      </c>
      <c r="P32" s="2" t="str">
        <f t="shared" si="1"/>
        <v>WALMART</v>
      </c>
      <c r="Q32" s="1" t="s">
        <v>135</v>
      </c>
      <c r="R32" s="1"/>
      <c r="S32" s="98"/>
      <c r="T32" s="98"/>
      <c r="U32" s="99"/>
      <c r="V32" s="99"/>
      <c r="W32" s="98"/>
      <c r="X32" s="98"/>
    </row>
    <row r="33" spans="2:24" x14ac:dyDescent="0.3">
      <c r="B33" s="2" t="str">
        <f t="shared" si="0"/>
        <v>WALMARTprivate labelmayosqueezy 18 to 22oz</v>
      </c>
      <c r="C33" s="1" t="s">
        <v>135</v>
      </c>
      <c r="D33" s="1" t="s">
        <v>146</v>
      </c>
      <c r="E33" s="1" t="s">
        <v>148</v>
      </c>
      <c r="F33" s="1" t="s">
        <v>149</v>
      </c>
      <c r="G33" s="98">
        <v>17224180.5482</v>
      </c>
      <c r="H33" s="98">
        <v>5822157.2758200001</v>
      </c>
      <c r="I33" s="99">
        <v>2.1259138039772201</v>
      </c>
      <c r="J33" s="99">
        <v>6.2892707041235303</v>
      </c>
      <c r="K33" s="98">
        <v>49199672.254809998</v>
      </c>
      <c r="L33" s="98">
        <v>19645169.164840002</v>
      </c>
      <c r="P33" s="2" t="str">
        <f t="shared" si="1"/>
        <v>WALMART</v>
      </c>
      <c r="Q33" s="1" t="s">
        <v>135</v>
      </c>
      <c r="R33" s="1"/>
      <c r="S33" s="98"/>
      <c r="T33" s="98"/>
      <c r="U33" s="99"/>
      <c r="V33" s="99"/>
      <c r="W33" s="98"/>
      <c r="X33" s="98"/>
    </row>
    <row r="34" spans="2:24" x14ac:dyDescent="0.3">
      <c r="B34" s="2" t="str">
        <f t="shared" si="0"/>
        <v>WALMARTprivate labelmayojar 30oz</v>
      </c>
      <c r="C34" s="1" t="s">
        <v>135</v>
      </c>
      <c r="D34" s="1" t="s">
        <v>146</v>
      </c>
      <c r="E34" s="1" t="s">
        <v>148</v>
      </c>
      <c r="F34" s="1" t="s">
        <v>144</v>
      </c>
      <c r="G34" s="98">
        <v>59146387.092399999</v>
      </c>
      <c r="H34" s="98">
        <v>32728196.579500001</v>
      </c>
      <c r="I34" s="99">
        <v>2.2835620037719901</v>
      </c>
      <c r="J34" s="99">
        <v>4.1268525718033402</v>
      </c>
      <c r="K34" s="98">
        <v>167084731.3276</v>
      </c>
      <c r="L34" s="98">
        <v>104962624.3017</v>
      </c>
      <c r="P34" s="2" t="str">
        <f t="shared" si="1"/>
        <v>WALMART</v>
      </c>
      <c r="Q34" s="1" t="s">
        <v>135</v>
      </c>
      <c r="R34" s="1"/>
      <c r="S34" s="98"/>
      <c r="T34" s="98"/>
      <c r="U34" s="99"/>
      <c r="V34" s="99"/>
      <c r="W34" s="98"/>
      <c r="X34" s="98"/>
    </row>
    <row r="35" spans="2:24" x14ac:dyDescent="0.3">
      <c r="B35" s="2" t="str">
        <f t="shared" si="0"/>
        <v>WALMARTprivate labelmayojar 48oz</v>
      </c>
      <c r="C35" s="1" t="s">
        <v>135</v>
      </c>
      <c r="D35" s="1" t="s">
        <v>146</v>
      </c>
      <c r="E35" s="1" t="s">
        <v>148</v>
      </c>
      <c r="F35" s="1" t="s">
        <v>150</v>
      </c>
      <c r="G35" s="98">
        <v>16698636.1765</v>
      </c>
      <c r="H35" s="98">
        <v>10116335.8686</v>
      </c>
      <c r="I35" s="99">
        <v>2.28824962936288</v>
      </c>
      <c r="J35" s="99">
        <v>3.77712331204259</v>
      </c>
      <c r="K35" s="98">
        <v>40864014.337750003</v>
      </c>
      <c r="L35" s="98">
        <v>26855528.020119999</v>
      </c>
      <c r="P35" s="2" t="str">
        <f t="shared" si="1"/>
        <v>WALMART</v>
      </c>
      <c r="Q35" s="1" t="s">
        <v>135</v>
      </c>
      <c r="R35" s="1"/>
      <c r="S35" s="98"/>
      <c r="T35" s="98"/>
      <c r="U35" s="99"/>
      <c r="V35" s="99"/>
      <c r="W35" s="98"/>
      <c r="X35" s="98"/>
    </row>
    <row r="36" spans="2:24" x14ac:dyDescent="0.3">
      <c r="B36" s="2" t="str">
        <f t="shared" si="0"/>
        <v>WALMARTrestofcategoryrestofcategorysqueezy 12oz</v>
      </c>
      <c r="C36" s="1" t="s">
        <v>135</v>
      </c>
      <c r="D36" s="1" t="s">
        <v>151</v>
      </c>
      <c r="E36" s="1" t="s">
        <v>151</v>
      </c>
      <c r="F36" s="1" t="s">
        <v>143</v>
      </c>
      <c r="G36" s="98">
        <v>65.78</v>
      </c>
      <c r="H36" s="98">
        <v>21.125</v>
      </c>
      <c r="I36" s="99">
        <v>3.2232566873585702</v>
      </c>
      <c r="J36" s="99">
        <v>10.0367254387904</v>
      </c>
      <c r="K36" s="98">
        <v>447.22682202499999</v>
      </c>
      <c r="L36" s="98">
        <v>144.63314940000001</v>
      </c>
      <c r="P36" s="2" t="str">
        <f t="shared" si="1"/>
        <v>WALMART</v>
      </c>
      <c r="Q36" s="1" t="s">
        <v>135</v>
      </c>
      <c r="R36" s="1"/>
      <c r="S36" s="98"/>
      <c r="T36" s="98"/>
      <c r="U36" s="99"/>
      <c r="V36" s="99"/>
      <c r="W36" s="98"/>
      <c r="X36" s="98"/>
    </row>
    <row r="37" spans="2:24" x14ac:dyDescent="0.3">
      <c r="B37" s="2" t="str">
        <f t="shared" si="0"/>
        <v>WALMARTrestofcategoryrestofcategoryjar 8oz</v>
      </c>
      <c r="C37" s="1" t="s">
        <v>135</v>
      </c>
      <c r="D37" s="1" t="s">
        <v>151</v>
      </c>
      <c r="E37" s="1" t="s">
        <v>151</v>
      </c>
      <c r="F37" s="1" t="s">
        <v>147</v>
      </c>
      <c r="G37" s="98">
        <v>13304.33</v>
      </c>
      <c r="H37" s="98">
        <v>2526.875</v>
      </c>
      <c r="I37" s="99">
        <v>1.8937348931682401</v>
      </c>
      <c r="J37" s="99">
        <v>9.9707638688993203</v>
      </c>
      <c r="K37" s="98">
        <v>79060.956261300002</v>
      </c>
      <c r="L37" s="98">
        <v>18050.193205920001</v>
      </c>
      <c r="P37" s="2" t="str">
        <f t="shared" si="1"/>
        <v>WALMART</v>
      </c>
      <c r="Q37" s="1" t="s">
        <v>135</v>
      </c>
      <c r="R37" s="1"/>
      <c r="S37" s="98"/>
      <c r="T37" s="98"/>
      <c r="U37" s="99"/>
      <c r="V37" s="99"/>
      <c r="W37" s="98"/>
      <c r="X37" s="98"/>
    </row>
    <row r="38" spans="2:24" x14ac:dyDescent="0.3">
      <c r="B38" s="2" t="str">
        <f t="shared" si="0"/>
        <v>WALMARTrestofcategoryrestofcategoryother</v>
      </c>
      <c r="C38" s="1" t="s">
        <v>135</v>
      </c>
      <c r="D38" s="1" t="s">
        <v>151</v>
      </c>
      <c r="E38" s="1" t="s">
        <v>151</v>
      </c>
      <c r="F38" s="1" t="s">
        <v>139</v>
      </c>
      <c r="G38" s="98">
        <v>31147476.762430001</v>
      </c>
      <c r="H38" s="98">
        <v>7416151.1759200003</v>
      </c>
      <c r="I38" s="99">
        <v>2.11665063247872</v>
      </c>
      <c r="J38" s="99">
        <v>8.8898304289401207</v>
      </c>
      <c r="K38" s="98">
        <v>79572893.199140996</v>
      </c>
      <c r="L38" s="98">
        <v>22114098.065730002</v>
      </c>
      <c r="P38" s="2" t="str">
        <f t="shared" si="1"/>
        <v>WALMART</v>
      </c>
      <c r="Q38" s="1" t="s">
        <v>135</v>
      </c>
      <c r="R38" s="1"/>
      <c r="S38" s="98"/>
      <c r="T38" s="98"/>
      <c r="U38" s="99"/>
      <c r="V38" s="99"/>
      <c r="W38" s="98"/>
      <c r="X38" s="98"/>
    </row>
    <row r="39" spans="2:24" x14ac:dyDescent="0.3">
      <c r="B39" s="2" t="str">
        <f t="shared" si="0"/>
        <v>WALMARTrestofcategoryrestofcategoryjar 15oz</v>
      </c>
      <c r="C39" s="1" t="s">
        <v>135</v>
      </c>
      <c r="D39" s="1" t="s">
        <v>151</v>
      </c>
      <c r="E39" s="1" t="s">
        <v>151</v>
      </c>
      <c r="F39" s="1" t="s">
        <v>141</v>
      </c>
      <c r="G39" s="98">
        <v>7208470.3671500003</v>
      </c>
      <c r="H39" s="98">
        <v>1919205.6670580001</v>
      </c>
      <c r="I39" s="99">
        <v>2.1242629169624201</v>
      </c>
      <c r="J39" s="99">
        <v>7.9786583333887702</v>
      </c>
      <c r="K39" s="98">
        <v>26869254.390445899</v>
      </c>
      <c r="L39" s="98">
        <v>8242633.7606370999</v>
      </c>
      <c r="P39" s="2" t="str">
        <f t="shared" si="1"/>
        <v>WALMART</v>
      </c>
      <c r="Q39" s="1" t="s">
        <v>135</v>
      </c>
      <c r="R39" s="1"/>
      <c r="S39" s="98"/>
      <c r="T39" s="98"/>
      <c r="U39" s="99"/>
      <c r="V39" s="99"/>
      <c r="W39" s="98"/>
      <c r="X39" s="98"/>
    </row>
    <row r="40" spans="2:24" x14ac:dyDescent="0.3">
      <c r="B40" s="2" t="str">
        <f t="shared" si="0"/>
        <v>WALMARTrestofcategoryrestofcategorysqueezy 18 to 22oz</v>
      </c>
      <c r="C40" s="1" t="s">
        <v>135</v>
      </c>
      <c r="D40" s="1" t="s">
        <v>151</v>
      </c>
      <c r="E40" s="1" t="s">
        <v>151</v>
      </c>
      <c r="F40" s="1" t="s">
        <v>149</v>
      </c>
      <c r="G40" s="98">
        <v>9940704.9214299992</v>
      </c>
      <c r="H40" s="98">
        <v>1948129.89992</v>
      </c>
      <c r="I40" s="99">
        <v>1.4866558302497901</v>
      </c>
      <c r="J40" s="99">
        <v>7.5859453360084403</v>
      </c>
      <c r="K40" s="98">
        <v>37585319.504249997</v>
      </c>
      <c r="L40" s="98">
        <v>9064075.7796999998</v>
      </c>
      <c r="P40" s="2" t="str">
        <f t="shared" si="1"/>
        <v>WALMART</v>
      </c>
      <c r="Q40" s="1" t="s">
        <v>135</v>
      </c>
      <c r="R40" s="1"/>
      <c r="S40" s="98"/>
      <c r="T40" s="98"/>
      <c r="U40" s="99"/>
      <c r="V40" s="99"/>
      <c r="W40" s="98"/>
      <c r="X40" s="98"/>
    </row>
    <row r="41" spans="2:24" x14ac:dyDescent="0.3">
      <c r="B41" s="2" t="str">
        <f t="shared" si="0"/>
        <v>WALMARTrestofcategoryrestofcategoryjar 30oz</v>
      </c>
      <c r="C41" s="1" t="s">
        <v>135</v>
      </c>
      <c r="D41" s="1" t="s">
        <v>151</v>
      </c>
      <c r="E41" s="1" t="s">
        <v>151</v>
      </c>
      <c r="F41" s="1" t="s">
        <v>144</v>
      </c>
      <c r="G41" s="98">
        <v>19234050.044190001</v>
      </c>
      <c r="H41" s="98">
        <v>9418377.6393400002</v>
      </c>
      <c r="I41" s="99">
        <v>2.4374388743973299</v>
      </c>
      <c r="J41" s="99">
        <v>4.9776960624290396</v>
      </c>
      <c r="K41" s="98">
        <v>71603266.618430004</v>
      </c>
      <c r="L41" s="98">
        <v>39650895.681390002</v>
      </c>
      <c r="P41" s="2" t="str">
        <f t="shared" si="1"/>
        <v>WALMART</v>
      </c>
      <c r="Q41" s="1" t="s">
        <v>135</v>
      </c>
      <c r="R41" s="1"/>
      <c r="S41" s="98"/>
      <c r="T41" s="98"/>
      <c r="U41" s="99"/>
      <c r="V41" s="99"/>
      <c r="W41" s="98"/>
      <c r="X41" s="98"/>
    </row>
    <row r="42" spans="2:24" x14ac:dyDescent="0.3">
      <c r="B42" s="2" t="str">
        <f t="shared" si="0"/>
        <v>WALMARTmiracle whipwhipped dressingsqueezy 12oz</v>
      </c>
      <c r="C42" s="1" t="s">
        <v>135</v>
      </c>
      <c r="D42" s="1" t="s">
        <v>152</v>
      </c>
      <c r="E42" s="1" t="s">
        <v>153</v>
      </c>
      <c r="F42" s="1" t="s">
        <v>143</v>
      </c>
      <c r="G42" s="98">
        <v>12380955.8829</v>
      </c>
      <c r="H42" s="98">
        <v>1964968.0910799999</v>
      </c>
      <c r="I42" s="99">
        <v>1.87726946596299</v>
      </c>
      <c r="J42" s="99">
        <v>11.8283805950398</v>
      </c>
      <c r="K42" s="98">
        <v>45020698.891599998</v>
      </c>
      <c r="L42" s="98">
        <v>7812960.5693100002</v>
      </c>
      <c r="P42" s="2" t="str">
        <f t="shared" si="1"/>
        <v>WALMART</v>
      </c>
      <c r="Q42" s="1" t="s">
        <v>135</v>
      </c>
      <c r="R42" s="1"/>
      <c r="S42" s="98"/>
      <c r="T42" s="98"/>
      <c r="U42" s="99"/>
      <c r="V42" s="99"/>
      <c r="W42" s="98"/>
      <c r="X42" s="98"/>
    </row>
    <row r="43" spans="2:24" x14ac:dyDescent="0.3">
      <c r="B43" s="2" t="str">
        <f t="shared" si="0"/>
        <v>WALMARTmiracle whipwhipped dressingother</v>
      </c>
      <c r="C43" s="1" t="s">
        <v>135</v>
      </c>
      <c r="D43" s="1" t="s">
        <v>152</v>
      </c>
      <c r="E43" s="1" t="s">
        <v>153</v>
      </c>
      <c r="F43" s="1" t="s">
        <v>139</v>
      </c>
      <c r="G43" s="98">
        <v>1725567.60834</v>
      </c>
      <c r="H43" s="98">
        <v>758378.98336099996</v>
      </c>
      <c r="I43" s="99">
        <v>4.6044846821476604</v>
      </c>
      <c r="J43" s="99">
        <v>10.476753437178999</v>
      </c>
      <c r="K43" s="98">
        <v>7048276.6853799997</v>
      </c>
      <c r="L43" s="98">
        <v>3862152.892891</v>
      </c>
      <c r="P43" s="2" t="str">
        <f t="shared" si="1"/>
        <v>WALMART</v>
      </c>
      <c r="Q43" s="1" t="s">
        <v>135</v>
      </c>
      <c r="R43" s="1"/>
      <c r="S43" s="98"/>
      <c r="T43" s="98"/>
      <c r="U43" s="99"/>
      <c r="V43" s="99"/>
      <c r="W43" s="98"/>
      <c r="X43" s="98"/>
    </row>
    <row r="44" spans="2:24" x14ac:dyDescent="0.3">
      <c r="B44" s="2" t="str">
        <f t="shared" si="0"/>
        <v>WALMARTmiracle whipwhipped dressingjar 15oz</v>
      </c>
      <c r="C44" s="1" t="s">
        <v>135</v>
      </c>
      <c r="D44" s="1" t="s">
        <v>152</v>
      </c>
      <c r="E44" s="1" t="s">
        <v>153</v>
      </c>
      <c r="F44" s="1" t="s">
        <v>141</v>
      </c>
      <c r="G44" s="98">
        <v>16154985.856000001</v>
      </c>
      <c r="H44" s="98">
        <v>3207872.0939799999</v>
      </c>
      <c r="I44" s="99">
        <v>1.8671257802987899</v>
      </c>
      <c r="J44" s="99">
        <v>9.4029280745655193</v>
      </c>
      <c r="K44" s="98">
        <v>54644030.18</v>
      </c>
      <c r="L44" s="98">
        <v>11741924.71383</v>
      </c>
      <c r="P44" s="2" t="str">
        <f t="shared" si="1"/>
        <v>WALMART</v>
      </c>
      <c r="Q44" s="1" t="s">
        <v>135</v>
      </c>
      <c r="R44" s="1"/>
      <c r="S44" s="98"/>
      <c r="T44" s="98"/>
      <c r="U44" s="99"/>
      <c r="V44" s="99"/>
      <c r="W44" s="98"/>
      <c r="X44" s="98"/>
    </row>
    <row r="45" spans="2:24" x14ac:dyDescent="0.3">
      <c r="B45" s="2" t="str">
        <f t="shared" si="0"/>
        <v>WALMARTmiracle whipwhipped dressingsqueezy 18 to 22oz</v>
      </c>
      <c r="C45" s="1" t="s">
        <v>135</v>
      </c>
      <c r="D45" s="1" t="s">
        <v>152</v>
      </c>
      <c r="E45" s="1" t="s">
        <v>153</v>
      </c>
      <c r="F45" s="1" t="s">
        <v>149</v>
      </c>
      <c r="G45" s="98">
        <v>14618360.4882</v>
      </c>
      <c r="H45" s="98">
        <v>3278642.6526199998</v>
      </c>
      <c r="I45" s="99">
        <v>2.0051107812488498</v>
      </c>
      <c r="J45" s="99">
        <v>8.9401119074837307</v>
      </c>
      <c r="K45" s="98">
        <v>53627957.282590002</v>
      </c>
      <c r="L45" s="98">
        <v>13114124.567740001</v>
      </c>
      <c r="P45" s="2" t="str">
        <f t="shared" si="1"/>
        <v>WALMART</v>
      </c>
      <c r="Q45" s="1" t="s">
        <v>135</v>
      </c>
      <c r="R45" s="1"/>
      <c r="S45" s="98"/>
      <c r="T45" s="98"/>
      <c r="U45" s="99"/>
      <c r="V45" s="99"/>
      <c r="W45" s="98"/>
      <c r="X45" s="98"/>
    </row>
    <row r="46" spans="2:24" x14ac:dyDescent="0.3">
      <c r="B46" s="2" t="str">
        <f t="shared" si="0"/>
        <v>WALMARTmiracle whipwhipped dressingjar 30oz</v>
      </c>
      <c r="C46" s="1" t="s">
        <v>135</v>
      </c>
      <c r="D46" s="1" t="s">
        <v>152</v>
      </c>
      <c r="E46" s="1" t="s">
        <v>153</v>
      </c>
      <c r="F46" s="1" t="s">
        <v>144</v>
      </c>
      <c r="G46" s="98">
        <v>64550789.302199997</v>
      </c>
      <c r="H46" s="98">
        <v>22843418.919</v>
      </c>
      <c r="I46" s="99">
        <v>2.0759704557815102</v>
      </c>
      <c r="J46" s="99">
        <v>5.8662642384623602</v>
      </c>
      <c r="K46" s="98">
        <v>229180695.65619999</v>
      </c>
      <c r="L46" s="98">
        <v>88741126.119599998</v>
      </c>
      <c r="P46" s="2" t="str">
        <f t="shared" si="1"/>
        <v>WALMART</v>
      </c>
      <c r="Q46" s="1" t="s">
        <v>135</v>
      </c>
      <c r="R46" s="1"/>
      <c r="S46" s="98"/>
      <c r="T46" s="98"/>
      <c r="U46" s="99"/>
      <c r="V46" s="99"/>
      <c r="W46" s="98"/>
      <c r="X46" s="98"/>
    </row>
    <row r="47" spans="2:24" x14ac:dyDescent="0.3">
      <c r="B47" s="2" t="str">
        <f t="shared" si="0"/>
        <v>WALMARTmiracle whipwhipped dressingjar 48oz</v>
      </c>
      <c r="C47" s="1" t="s">
        <v>135</v>
      </c>
      <c r="D47" s="1" t="s">
        <v>152</v>
      </c>
      <c r="E47" s="1" t="s">
        <v>153</v>
      </c>
      <c r="F47" s="1" t="s">
        <v>150</v>
      </c>
      <c r="G47" s="98">
        <v>10361030.512700001</v>
      </c>
      <c r="H47" s="98">
        <v>3645719.1436600001</v>
      </c>
      <c r="I47" s="99">
        <v>1.8892267513215899</v>
      </c>
      <c r="J47" s="99">
        <v>5.3691289000943501</v>
      </c>
      <c r="K47" s="98">
        <v>39005730.766800001</v>
      </c>
      <c r="L47" s="98">
        <v>15536523.320280001</v>
      </c>
      <c r="P47" s="2" t="str">
        <f t="shared" si="1"/>
        <v>WALMART</v>
      </c>
      <c r="Q47" s="1" t="s">
        <v>135</v>
      </c>
      <c r="R47" s="1"/>
      <c r="S47" s="98"/>
      <c r="T47" s="98"/>
      <c r="U47" s="99"/>
      <c r="V47" s="99"/>
      <c r="W47" s="98"/>
      <c r="X47" s="98"/>
    </row>
    <row r="48" spans="2:24" x14ac:dyDescent="0.3">
      <c r="B48" s="2" t="str">
        <f t="shared" si="0"/>
        <v/>
      </c>
      <c r="C48" s="1"/>
      <c r="D48" s="1"/>
      <c r="E48" s="1"/>
      <c r="F48" s="1"/>
      <c r="G48" s="98"/>
      <c r="H48" s="98"/>
      <c r="I48" s="99"/>
      <c r="J48" s="99"/>
      <c r="K48" s="98"/>
      <c r="L48" s="98"/>
      <c r="P48" s="2" t="str">
        <f t="shared" si="1"/>
        <v>WALMART</v>
      </c>
      <c r="Q48" s="1" t="s">
        <v>135</v>
      </c>
      <c r="R48" s="1"/>
      <c r="S48" s="98"/>
      <c r="T48" s="98"/>
      <c r="U48" s="99"/>
      <c r="V48" s="99"/>
      <c r="W48" s="98"/>
      <c r="X48" s="98"/>
    </row>
    <row r="49" spans="2:24" x14ac:dyDescent="0.3">
      <c r="B49" s="2" t="str">
        <f t="shared" si="0"/>
        <v/>
      </c>
      <c r="C49" s="1"/>
      <c r="D49" s="1"/>
      <c r="E49" s="1"/>
      <c r="F49" s="1"/>
      <c r="G49" s="98"/>
      <c r="H49" s="98"/>
      <c r="I49" s="99"/>
      <c r="J49" s="99"/>
      <c r="K49" s="98"/>
      <c r="L49" s="98"/>
      <c r="P49" s="2" t="str">
        <f t="shared" si="1"/>
        <v>WALMART</v>
      </c>
      <c r="Q49" s="1" t="s">
        <v>135</v>
      </c>
      <c r="R49" s="1"/>
      <c r="S49" s="98"/>
      <c r="T49" s="98"/>
      <c r="U49" s="99"/>
      <c r="V49" s="99"/>
      <c r="W49" s="98"/>
      <c r="X49" s="98"/>
    </row>
    <row r="50" spans="2:24" x14ac:dyDescent="0.3">
      <c r="B50" s="2" t="str">
        <f t="shared" si="0"/>
        <v/>
      </c>
      <c r="C50" s="1"/>
      <c r="D50" s="1"/>
      <c r="E50" s="1"/>
      <c r="F50" s="1"/>
      <c r="G50" s="98"/>
      <c r="H50" s="98"/>
      <c r="I50" s="99"/>
      <c r="J50" s="99"/>
      <c r="K50" s="98"/>
      <c r="L50" s="98"/>
      <c r="P50" s="2" t="str">
        <f t="shared" si="1"/>
        <v>WALMART</v>
      </c>
      <c r="Q50" s="1" t="s">
        <v>135</v>
      </c>
      <c r="R50" s="1"/>
      <c r="S50" s="98"/>
      <c r="T50" s="98"/>
      <c r="U50" s="99"/>
      <c r="V50" s="99"/>
      <c r="W50" s="98"/>
      <c r="X50" s="98"/>
    </row>
    <row r="51" spans="2:24" x14ac:dyDescent="0.3">
      <c r="B51" s="2" t="str">
        <f t="shared" si="0"/>
        <v/>
      </c>
      <c r="C51" s="1"/>
      <c r="D51" s="1"/>
      <c r="E51" s="1"/>
      <c r="F51" s="1"/>
      <c r="G51" s="98"/>
      <c r="H51" s="98"/>
      <c r="I51" s="99"/>
      <c r="J51" s="99"/>
      <c r="K51" s="98"/>
      <c r="L51" s="98"/>
      <c r="P51" s="2" t="str">
        <f t="shared" si="1"/>
        <v>WALMART</v>
      </c>
      <c r="Q51" s="1" t="s">
        <v>135</v>
      </c>
      <c r="R51" s="1"/>
      <c r="S51" s="98"/>
      <c r="T51" s="98"/>
      <c r="U51" s="99"/>
      <c r="V51" s="99"/>
      <c r="W51" s="98"/>
      <c r="X51" s="98"/>
    </row>
    <row r="52" spans="2:24" x14ac:dyDescent="0.3">
      <c r="B52" s="2" t="str">
        <f t="shared" si="0"/>
        <v/>
      </c>
      <c r="C52" s="1"/>
      <c r="D52" s="1"/>
      <c r="E52" s="1"/>
      <c r="F52" s="1"/>
      <c r="G52" s="98"/>
      <c r="H52" s="98"/>
      <c r="I52" s="99"/>
      <c r="J52" s="99"/>
      <c r="K52" s="98"/>
      <c r="L52" s="98"/>
      <c r="P52" s="2" t="str">
        <f t="shared" si="1"/>
        <v>WALMART</v>
      </c>
      <c r="Q52" s="1" t="s">
        <v>135</v>
      </c>
      <c r="R52" s="1"/>
      <c r="S52" s="98"/>
      <c r="T52" s="98"/>
      <c r="U52" s="99"/>
      <c r="V52" s="99"/>
      <c r="W52" s="98"/>
      <c r="X52" s="98"/>
    </row>
    <row r="53" spans="2:24" x14ac:dyDescent="0.3">
      <c r="B53" s="2" t="str">
        <f t="shared" si="0"/>
        <v/>
      </c>
      <c r="C53" s="1"/>
      <c r="D53" s="1"/>
      <c r="E53" s="1"/>
      <c r="F53" s="1"/>
      <c r="G53" s="98"/>
      <c r="H53" s="98"/>
      <c r="I53" s="99"/>
      <c r="J53" s="99"/>
      <c r="K53" s="98"/>
      <c r="L53" s="98"/>
      <c r="P53" s="2" t="str">
        <f t="shared" si="1"/>
        <v>WALMART</v>
      </c>
      <c r="Q53" s="1" t="s">
        <v>135</v>
      </c>
      <c r="R53" s="1"/>
      <c r="S53" s="98"/>
      <c r="T53" s="98"/>
      <c r="U53" s="99"/>
      <c r="V53" s="99"/>
      <c r="W53" s="98"/>
      <c r="X53" s="98"/>
    </row>
    <row r="54" spans="2:24" x14ac:dyDescent="0.3">
      <c r="B54" s="2" t="str">
        <f t="shared" si="0"/>
        <v/>
      </c>
      <c r="C54" s="1"/>
      <c r="D54" s="1"/>
      <c r="E54" s="1"/>
      <c r="F54" s="1"/>
      <c r="G54" s="98"/>
      <c r="H54" s="98"/>
      <c r="I54" s="99"/>
      <c r="J54" s="99"/>
      <c r="K54" s="98"/>
      <c r="L54" s="98"/>
      <c r="P54" s="2" t="str">
        <f t="shared" si="1"/>
        <v>WALMART</v>
      </c>
      <c r="Q54" s="1" t="s">
        <v>135</v>
      </c>
      <c r="R54" s="1"/>
      <c r="S54" s="98"/>
      <c r="T54" s="98"/>
      <c r="U54" s="99"/>
      <c r="V54" s="99"/>
      <c r="W54" s="98"/>
      <c r="X54" s="98"/>
    </row>
    <row r="55" spans="2:24" x14ac:dyDescent="0.3">
      <c r="B55" s="2" t="str">
        <f t="shared" si="0"/>
        <v/>
      </c>
      <c r="C55" s="1"/>
      <c r="D55" s="1"/>
      <c r="E55" s="1"/>
      <c r="F55" s="1"/>
      <c r="G55" s="98"/>
      <c r="H55" s="98"/>
      <c r="I55" s="99"/>
      <c r="J55" s="99"/>
      <c r="K55" s="98"/>
      <c r="L55" s="98"/>
      <c r="P55" s="2" t="str">
        <f t="shared" si="1"/>
        <v>WALMART</v>
      </c>
      <c r="Q55" s="1" t="s">
        <v>135</v>
      </c>
      <c r="R55" s="1"/>
      <c r="S55" s="98"/>
      <c r="T55" s="98"/>
      <c r="U55" s="99"/>
      <c r="V55" s="99"/>
      <c r="W55" s="98"/>
      <c r="X55" s="98"/>
    </row>
    <row r="56" spans="2:24" x14ac:dyDescent="0.3">
      <c r="B56" s="2" t="str">
        <f t="shared" si="0"/>
        <v/>
      </c>
      <c r="C56" s="1"/>
      <c r="D56" s="1"/>
      <c r="E56" s="1"/>
      <c r="F56" s="1"/>
      <c r="G56" s="98"/>
      <c r="H56" s="98"/>
      <c r="I56" s="99"/>
      <c r="J56" s="99"/>
      <c r="K56" s="98"/>
      <c r="L56" s="98"/>
      <c r="P56" s="2" t="str">
        <f t="shared" si="1"/>
        <v>WALMART</v>
      </c>
      <c r="Q56" s="1" t="s">
        <v>135</v>
      </c>
      <c r="R56" s="1"/>
      <c r="S56" s="98"/>
      <c r="T56" s="98"/>
      <c r="U56" s="99"/>
      <c r="V56" s="99"/>
      <c r="W56" s="98"/>
      <c r="X56" s="98"/>
    </row>
    <row r="57" spans="2:24" x14ac:dyDescent="0.3">
      <c r="B57" s="2" t="str">
        <f t="shared" si="0"/>
        <v/>
      </c>
      <c r="C57" s="1"/>
      <c r="D57" s="1"/>
      <c r="E57" s="1"/>
      <c r="F57" s="1"/>
      <c r="G57" s="98"/>
      <c r="H57" s="98"/>
      <c r="I57" s="99"/>
      <c r="J57" s="99"/>
      <c r="K57" s="98"/>
      <c r="L57" s="98"/>
      <c r="P57" s="2" t="str">
        <f t="shared" si="1"/>
        <v>WALMART</v>
      </c>
      <c r="Q57" s="1" t="s">
        <v>135</v>
      </c>
      <c r="R57" s="1"/>
      <c r="S57" s="98"/>
      <c r="T57" s="98"/>
      <c r="U57" s="99"/>
      <c r="V57" s="99"/>
      <c r="W57" s="98"/>
      <c r="X57" s="98"/>
    </row>
    <row r="58" spans="2:24" x14ac:dyDescent="0.3">
      <c r="B58" s="2" t="str">
        <f t="shared" si="0"/>
        <v/>
      </c>
      <c r="C58" s="1"/>
      <c r="D58" s="1"/>
      <c r="E58" s="1"/>
      <c r="F58" s="1"/>
      <c r="G58" s="98"/>
      <c r="H58" s="98"/>
      <c r="I58" s="99"/>
      <c r="J58" s="99"/>
      <c r="K58" s="98"/>
      <c r="L58" s="98"/>
      <c r="P58" s="2" t="str">
        <f t="shared" si="1"/>
        <v>WALMART</v>
      </c>
      <c r="Q58" s="1" t="s">
        <v>135</v>
      </c>
      <c r="R58" s="1"/>
      <c r="S58" s="98"/>
      <c r="T58" s="98"/>
      <c r="U58" s="99"/>
      <c r="V58" s="99"/>
      <c r="W58" s="98"/>
      <c r="X58" s="98"/>
    </row>
    <row r="59" spans="2:24" x14ac:dyDescent="0.3">
      <c r="B59" s="2" t="str">
        <f t="shared" si="0"/>
        <v/>
      </c>
      <c r="C59" s="1"/>
      <c r="D59" s="1"/>
      <c r="E59" s="1"/>
      <c r="F59" s="1"/>
      <c r="G59" s="98"/>
      <c r="H59" s="98"/>
      <c r="I59" s="99"/>
      <c r="J59" s="99"/>
      <c r="K59" s="98"/>
      <c r="L59" s="98"/>
      <c r="P59" s="2" t="str">
        <f t="shared" si="1"/>
        <v>WALMART</v>
      </c>
      <c r="Q59" s="1" t="s">
        <v>135</v>
      </c>
      <c r="R59" s="1"/>
      <c r="S59" s="98"/>
      <c r="T59" s="98"/>
      <c r="U59" s="99"/>
      <c r="V59" s="99"/>
      <c r="W59" s="98"/>
      <c r="X59" s="98"/>
    </row>
    <row r="60" spans="2:24" x14ac:dyDescent="0.3">
      <c r="B60" s="2" t="str">
        <f t="shared" si="0"/>
        <v/>
      </c>
      <c r="C60" s="1"/>
      <c r="D60" s="1"/>
      <c r="E60" s="1"/>
      <c r="F60" s="1"/>
      <c r="G60" s="98"/>
      <c r="H60" s="98"/>
      <c r="I60" s="99"/>
      <c r="J60" s="99"/>
      <c r="K60" s="98"/>
      <c r="L60" s="98"/>
      <c r="P60" s="2" t="str">
        <f t="shared" si="1"/>
        <v>WALMART</v>
      </c>
      <c r="Q60" s="1" t="s">
        <v>135</v>
      </c>
      <c r="R60" s="1"/>
      <c r="S60" s="98"/>
      <c r="T60" s="98"/>
      <c r="U60" s="99"/>
      <c r="V60" s="99"/>
      <c r="W60" s="98"/>
      <c r="X60" s="98"/>
    </row>
    <row r="61" spans="2:24" x14ac:dyDescent="0.3">
      <c r="B61" s="2" t="str">
        <f t="shared" si="0"/>
        <v/>
      </c>
      <c r="C61" s="1"/>
      <c r="D61" s="1"/>
      <c r="E61" s="1"/>
      <c r="F61" s="1"/>
      <c r="G61" s="98"/>
      <c r="H61" s="98"/>
      <c r="I61" s="99"/>
      <c r="J61" s="99"/>
      <c r="K61" s="98"/>
      <c r="L61" s="98"/>
      <c r="P61" s="2" t="str">
        <f t="shared" si="1"/>
        <v>WALMART</v>
      </c>
      <c r="Q61" s="1" t="s">
        <v>135</v>
      </c>
      <c r="R61" s="1"/>
      <c r="S61" s="98"/>
      <c r="T61" s="98"/>
      <c r="U61" s="99"/>
      <c r="V61" s="99"/>
      <c r="W61" s="98"/>
      <c r="X61" s="98"/>
    </row>
    <row r="62" spans="2:24" x14ac:dyDescent="0.3">
      <c r="B62" s="2" t="str">
        <f t="shared" si="0"/>
        <v/>
      </c>
      <c r="C62" s="1"/>
      <c r="D62" s="1"/>
      <c r="E62" s="1"/>
      <c r="F62" s="1"/>
      <c r="G62" s="98"/>
      <c r="H62" s="98"/>
      <c r="I62" s="99"/>
      <c r="J62" s="99"/>
      <c r="K62" s="98"/>
      <c r="L62" s="98"/>
      <c r="P62" s="2" t="str">
        <f t="shared" si="1"/>
        <v>WALMART</v>
      </c>
      <c r="Q62" s="1" t="s">
        <v>135</v>
      </c>
      <c r="R62" s="1"/>
      <c r="S62" s="98"/>
      <c r="T62" s="98"/>
      <c r="U62" s="99"/>
      <c r="V62" s="99"/>
      <c r="W62" s="98"/>
      <c r="X62" s="98"/>
    </row>
    <row r="63" spans="2:24" x14ac:dyDescent="0.3">
      <c r="B63" s="2" t="str">
        <f t="shared" si="0"/>
        <v/>
      </c>
      <c r="C63" s="1"/>
      <c r="D63" s="1"/>
      <c r="E63" s="1"/>
      <c r="F63" s="1"/>
      <c r="G63" s="98"/>
      <c r="H63" s="98"/>
      <c r="I63" s="99"/>
      <c r="J63" s="99"/>
      <c r="K63" s="98"/>
      <c r="L63" s="98"/>
      <c r="P63" s="2" t="str">
        <f t="shared" si="1"/>
        <v>WALMART</v>
      </c>
      <c r="Q63" s="1" t="s">
        <v>135</v>
      </c>
      <c r="R63" s="1"/>
      <c r="S63" s="98"/>
      <c r="T63" s="98"/>
      <c r="U63" s="99"/>
      <c r="V63" s="99"/>
      <c r="W63" s="98"/>
      <c r="X63" s="98"/>
    </row>
    <row r="64" spans="2:24" x14ac:dyDescent="0.3">
      <c r="B64" s="2" t="str">
        <f t="shared" si="0"/>
        <v/>
      </c>
      <c r="C64" s="1"/>
      <c r="D64" s="1"/>
      <c r="E64" s="1"/>
      <c r="F64" s="1"/>
      <c r="G64" s="98"/>
      <c r="H64" s="98"/>
      <c r="I64" s="99"/>
      <c r="J64" s="99"/>
      <c r="K64" s="98"/>
      <c r="L64" s="98"/>
      <c r="P64" s="2" t="str">
        <f t="shared" si="1"/>
        <v>WALMART</v>
      </c>
      <c r="Q64" s="1" t="s">
        <v>135</v>
      </c>
      <c r="R64" s="1"/>
      <c r="S64" s="98"/>
      <c r="T64" s="98"/>
      <c r="U64" s="99"/>
      <c r="V64" s="99"/>
      <c r="W64" s="98"/>
      <c r="X64" s="98"/>
    </row>
    <row r="65" spans="2:24" x14ac:dyDescent="0.3">
      <c r="B65" s="2" t="str">
        <f t="shared" si="0"/>
        <v/>
      </c>
      <c r="C65" s="1"/>
      <c r="D65" s="1"/>
      <c r="E65" s="1"/>
      <c r="F65" s="1"/>
      <c r="G65" s="98"/>
      <c r="H65" s="98"/>
      <c r="I65" s="99"/>
      <c r="J65" s="99"/>
      <c r="K65" s="98"/>
      <c r="L65" s="98"/>
      <c r="P65" s="2" t="str">
        <f t="shared" si="1"/>
        <v>WALMART</v>
      </c>
      <c r="Q65" s="1" t="s">
        <v>135</v>
      </c>
      <c r="R65" s="1"/>
      <c r="S65" s="98"/>
      <c r="T65" s="98"/>
      <c r="U65" s="99"/>
      <c r="V65" s="99"/>
      <c r="W65" s="98"/>
      <c r="X65" s="98"/>
    </row>
    <row r="66" spans="2:24" x14ac:dyDescent="0.3">
      <c r="B66" s="2" t="str">
        <f t="shared" si="0"/>
        <v/>
      </c>
      <c r="C66" s="1"/>
      <c r="D66" s="1"/>
      <c r="E66" s="1"/>
      <c r="F66" s="1"/>
      <c r="G66" s="98"/>
      <c r="H66" s="98"/>
      <c r="I66" s="99"/>
      <c r="J66" s="99"/>
      <c r="K66" s="98"/>
      <c r="L66" s="98"/>
      <c r="P66" s="2" t="str">
        <f t="shared" si="1"/>
        <v>WALMART</v>
      </c>
      <c r="Q66" s="1" t="s">
        <v>135</v>
      </c>
      <c r="R66" s="1"/>
      <c r="S66" s="98"/>
      <c r="T66" s="98"/>
      <c r="U66" s="99"/>
      <c r="V66" s="99"/>
      <c r="W66" s="98"/>
      <c r="X66" s="98"/>
    </row>
    <row r="67" spans="2:24" x14ac:dyDescent="0.3">
      <c r="B67" s="2" t="str">
        <f t="shared" si="0"/>
        <v/>
      </c>
      <c r="C67" s="1"/>
      <c r="D67" s="1"/>
      <c r="E67" s="1"/>
      <c r="F67" s="1"/>
      <c r="G67" s="98"/>
      <c r="H67" s="98"/>
      <c r="I67" s="99"/>
      <c r="J67" s="99"/>
      <c r="K67" s="98"/>
      <c r="L67" s="98"/>
      <c r="P67" s="2" t="str">
        <f t="shared" si="1"/>
        <v>WALMART</v>
      </c>
      <c r="Q67" s="1" t="s">
        <v>135</v>
      </c>
      <c r="R67" s="1"/>
      <c r="S67" s="98"/>
      <c r="T67" s="98"/>
      <c r="U67" s="99"/>
      <c r="V67" s="99"/>
      <c r="W67" s="98"/>
      <c r="X67" s="98"/>
    </row>
    <row r="68" spans="2:24" x14ac:dyDescent="0.3">
      <c r="B68" s="2" t="str">
        <f t="shared" ref="B68:B131" si="2">C68&amp;D68&amp;E68&amp;F68</f>
        <v/>
      </c>
      <c r="C68" s="1"/>
      <c r="D68" s="1"/>
      <c r="E68" s="1"/>
      <c r="F68" s="1"/>
      <c r="G68" s="98"/>
      <c r="H68" s="98"/>
      <c r="I68" s="99"/>
      <c r="J68" s="99"/>
      <c r="K68" s="98"/>
      <c r="L68" s="98"/>
      <c r="P68" s="2" t="str">
        <f t="shared" ref="P68:P131" si="3">Q68&amp;R68</f>
        <v>WALMART</v>
      </c>
      <c r="Q68" s="1" t="s">
        <v>135</v>
      </c>
      <c r="R68" s="1"/>
      <c r="S68" s="98"/>
      <c r="T68" s="98"/>
      <c r="U68" s="99"/>
      <c r="V68" s="99"/>
      <c r="W68" s="98"/>
      <c r="X68" s="98"/>
    </row>
    <row r="69" spans="2:24" x14ac:dyDescent="0.3">
      <c r="B69" s="2" t="str">
        <f t="shared" si="2"/>
        <v/>
      </c>
      <c r="C69" s="1"/>
      <c r="D69" s="1"/>
      <c r="E69" s="1"/>
      <c r="F69" s="1"/>
      <c r="G69" s="98"/>
      <c r="H69" s="98"/>
      <c r="I69" s="99"/>
      <c r="J69" s="99"/>
      <c r="K69" s="98"/>
      <c r="L69" s="98"/>
      <c r="P69" s="2" t="str">
        <f t="shared" si="3"/>
        <v>WALMART</v>
      </c>
      <c r="Q69" s="1" t="s">
        <v>135</v>
      </c>
      <c r="R69" s="1"/>
      <c r="S69" s="98"/>
      <c r="T69" s="98"/>
      <c r="U69" s="99"/>
      <c r="V69" s="99"/>
      <c r="W69" s="98"/>
      <c r="X69" s="98"/>
    </row>
    <row r="70" spans="2:24" x14ac:dyDescent="0.3">
      <c r="B70" s="2" t="str">
        <f t="shared" si="2"/>
        <v/>
      </c>
      <c r="C70" s="1"/>
      <c r="D70" s="1"/>
      <c r="E70" s="1"/>
      <c r="F70" s="1"/>
      <c r="G70" s="98"/>
      <c r="H70" s="98"/>
      <c r="I70" s="99"/>
      <c r="J70" s="99"/>
      <c r="K70" s="98"/>
      <c r="L70" s="98"/>
      <c r="P70" s="2" t="str">
        <f t="shared" si="3"/>
        <v>WALMART</v>
      </c>
      <c r="Q70" s="1" t="s">
        <v>135</v>
      </c>
      <c r="R70" s="1"/>
      <c r="S70" s="98"/>
      <c r="T70" s="98"/>
      <c r="U70" s="99"/>
      <c r="V70" s="99"/>
      <c r="W70" s="98"/>
      <c r="X70" s="98"/>
    </row>
    <row r="71" spans="2:24" x14ac:dyDescent="0.3">
      <c r="B71" s="2" t="str">
        <f t="shared" si="2"/>
        <v/>
      </c>
      <c r="C71" s="1"/>
      <c r="D71" s="1"/>
      <c r="E71" s="1"/>
      <c r="F71" s="1"/>
      <c r="G71" s="98"/>
      <c r="H71" s="98"/>
      <c r="I71" s="99"/>
      <c r="J71" s="99"/>
      <c r="K71" s="98"/>
      <c r="L71" s="98"/>
      <c r="P71" s="2" t="str">
        <f t="shared" si="3"/>
        <v>WALMART</v>
      </c>
      <c r="Q71" s="1" t="s">
        <v>135</v>
      </c>
      <c r="R71" s="1"/>
      <c r="S71" s="98"/>
      <c r="T71" s="98"/>
      <c r="U71" s="99"/>
      <c r="V71" s="99"/>
      <c r="W71" s="98"/>
      <c r="X71" s="98"/>
    </row>
    <row r="72" spans="2:24" x14ac:dyDescent="0.3">
      <c r="B72" s="2" t="str">
        <f t="shared" si="2"/>
        <v/>
      </c>
      <c r="C72" s="1"/>
      <c r="D72" s="1"/>
      <c r="E72" s="1"/>
      <c r="F72" s="1"/>
      <c r="G72" s="98"/>
      <c r="H72" s="98"/>
      <c r="I72" s="99"/>
      <c r="J72" s="99"/>
      <c r="K72" s="98"/>
      <c r="L72" s="98"/>
      <c r="P72" s="2" t="str">
        <f t="shared" si="3"/>
        <v>WALMART</v>
      </c>
      <c r="Q72" s="1" t="s">
        <v>135</v>
      </c>
      <c r="R72" s="1"/>
      <c r="S72" s="98"/>
      <c r="T72" s="98"/>
      <c r="U72" s="99"/>
      <c r="V72" s="99"/>
      <c r="W72" s="98"/>
      <c r="X72" s="98"/>
    </row>
    <row r="73" spans="2:24" x14ac:dyDescent="0.3">
      <c r="B73" s="2" t="str">
        <f t="shared" si="2"/>
        <v/>
      </c>
      <c r="C73" s="1"/>
      <c r="D73" s="1"/>
      <c r="E73" s="1"/>
      <c r="F73" s="1"/>
      <c r="G73" s="98"/>
      <c r="H73" s="98"/>
      <c r="I73" s="99"/>
      <c r="J73" s="99"/>
      <c r="K73" s="98"/>
      <c r="L73" s="98"/>
      <c r="P73" s="2" t="str">
        <f t="shared" si="3"/>
        <v>WALMART</v>
      </c>
      <c r="Q73" s="1" t="s">
        <v>135</v>
      </c>
      <c r="R73" s="1"/>
      <c r="S73" s="98"/>
      <c r="T73" s="98"/>
      <c r="U73" s="99"/>
      <c r="V73" s="99"/>
      <c r="W73" s="98"/>
      <c r="X73" s="98"/>
    </row>
    <row r="74" spans="2:24" x14ac:dyDescent="0.3">
      <c r="B74" s="2" t="str">
        <f t="shared" si="2"/>
        <v/>
      </c>
      <c r="C74" s="1"/>
      <c r="D74" s="1"/>
      <c r="E74" s="1"/>
      <c r="F74" s="1"/>
      <c r="G74" s="98"/>
      <c r="H74" s="98"/>
      <c r="I74" s="99"/>
      <c r="J74" s="99"/>
      <c r="K74" s="98"/>
      <c r="L74" s="98"/>
      <c r="P74" s="2" t="str">
        <f t="shared" si="3"/>
        <v>WALMART</v>
      </c>
      <c r="Q74" s="1" t="s">
        <v>135</v>
      </c>
      <c r="R74" s="1"/>
      <c r="S74" s="98"/>
      <c r="T74" s="98"/>
      <c r="U74" s="99"/>
      <c r="V74" s="99"/>
      <c r="W74" s="98"/>
      <c r="X74" s="98"/>
    </row>
    <row r="75" spans="2:24" x14ac:dyDescent="0.3">
      <c r="B75" s="2" t="str">
        <f t="shared" si="2"/>
        <v/>
      </c>
      <c r="C75" s="1"/>
      <c r="D75" s="1"/>
      <c r="E75" s="1"/>
      <c r="F75" s="1"/>
      <c r="G75" s="98"/>
      <c r="H75" s="98"/>
      <c r="I75" s="99"/>
      <c r="J75" s="99"/>
      <c r="K75" s="98"/>
      <c r="L75" s="98"/>
      <c r="P75" s="2" t="str">
        <f t="shared" si="3"/>
        <v>WALMART</v>
      </c>
      <c r="Q75" s="1" t="s">
        <v>135</v>
      </c>
      <c r="R75" s="1"/>
      <c r="S75" s="98"/>
      <c r="T75" s="98"/>
      <c r="U75" s="99"/>
      <c r="V75" s="99"/>
      <c r="W75" s="98"/>
      <c r="X75" s="98"/>
    </row>
    <row r="76" spans="2:24" x14ac:dyDescent="0.3">
      <c r="B76" s="2" t="str">
        <f t="shared" si="2"/>
        <v/>
      </c>
      <c r="C76" s="1"/>
      <c r="D76" s="1"/>
      <c r="E76" s="1"/>
      <c r="F76" s="1"/>
      <c r="G76" s="98"/>
      <c r="H76" s="98"/>
      <c r="I76" s="99"/>
      <c r="J76" s="99"/>
      <c r="K76" s="98"/>
      <c r="L76" s="98"/>
      <c r="P76" s="2" t="str">
        <f t="shared" si="3"/>
        <v>WALMART</v>
      </c>
      <c r="Q76" s="1" t="s">
        <v>135</v>
      </c>
      <c r="R76" s="1"/>
      <c r="S76" s="98"/>
      <c r="T76" s="98"/>
      <c r="U76" s="99"/>
      <c r="V76" s="99"/>
      <c r="W76" s="98"/>
      <c r="X76" s="98"/>
    </row>
    <row r="77" spans="2:24" x14ac:dyDescent="0.3">
      <c r="B77" s="2" t="str">
        <f t="shared" si="2"/>
        <v/>
      </c>
      <c r="C77" s="1"/>
      <c r="D77" s="1"/>
      <c r="E77" s="1"/>
      <c r="F77" s="1"/>
      <c r="G77" s="98"/>
      <c r="H77" s="98"/>
      <c r="I77" s="99"/>
      <c r="J77" s="99"/>
      <c r="K77" s="98"/>
      <c r="L77" s="98"/>
      <c r="P77" s="2" t="str">
        <f t="shared" si="3"/>
        <v>WALMART</v>
      </c>
      <c r="Q77" s="1" t="s">
        <v>135</v>
      </c>
      <c r="R77" s="1"/>
      <c r="S77" s="98"/>
      <c r="T77" s="98"/>
      <c r="U77" s="99"/>
      <c r="V77" s="99"/>
      <c r="W77" s="98"/>
      <c r="X77" s="98"/>
    </row>
    <row r="78" spans="2:24" x14ac:dyDescent="0.3">
      <c r="B78" s="2" t="str">
        <f t="shared" si="2"/>
        <v/>
      </c>
      <c r="C78" s="1"/>
      <c r="D78" s="1"/>
      <c r="E78" s="1"/>
      <c r="F78" s="1"/>
      <c r="G78" s="98"/>
      <c r="H78" s="98"/>
      <c r="I78" s="99"/>
      <c r="J78" s="99"/>
      <c r="K78" s="98"/>
      <c r="L78" s="98"/>
      <c r="P78" s="2" t="str">
        <f t="shared" si="3"/>
        <v>WALMART</v>
      </c>
      <c r="Q78" s="1" t="s">
        <v>135</v>
      </c>
      <c r="R78" s="1"/>
      <c r="S78" s="98"/>
      <c r="T78" s="98"/>
      <c r="U78" s="99"/>
      <c r="V78" s="99"/>
      <c r="W78" s="98"/>
      <c r="X78" s="98"/>
    </row>
    <row r="79" spans="2:24" x14ac:dyDescent="0.3">
      <c r="B79" s="2" t="str">
        <f t="shared" si="2"/>
        <v/>
      </c>
      <c r="C79" s="1"/>
      <c r="D79" s="1"/>
      <c r="E79" s="1"/>
      <c r="F79" s="1"/>
      <c r="G79" s="98"/>
      <c r="H79" s="98"/>
      <c r="I79" s="99"/>
      <c r="J79" s="99"/>
      <c r="K79" s="98"/>
      <c r="L79" s="98"/>
      <c r="P79" s="2" t="str">
        <f t="shared" si="3"/>
        <v>WALMART</v>
      </c>
      <c r="Q79" s="1" t="s">
        <v>135</v>
      </c>
      <c r="R79" s="1"/>
      <c r="S79" s="98"/>
      <c r="T79" s="98"/>
      <c r="U79" s="99"/>
      <c r="V79" s="99"/>
      <c r="W79" s="98"/>
      <c r="X79" s="98"/>
    </row>
    <row r="80" spans="2:24" x14ac:dyDescent="0.3">
      <c r="B80" s="2" t="str">
        <f t="shared" si="2"/>
        <v/>
      </c>
      <c r="C80" s="1"/>
      <c r="D80" s="1"/>
      <c r="E80" s="1"/>
      <c r="F80" s="1"/>
      <c r="G80" s="98"/>
      <c r="H80" s="98"/>
      <c r="I80" s="99"/>
      <c r="J80" s="99"/>
      <c r="K80" s="98"/>
      <c r="L80" s="98"/>
      <c r="P80" s="2" t="str">
        <f t="shared" si="3"/>
        <v>WALMART</v>
      </c>
      <c r="Q80" s="1" t="s">
        <v>135</v>
      </c>
      <c r="R80" s="1"/>
      <c r="S80" s="98"/>
      <c r="T80" s="98"/>
      <c r="U80" s="99"/>
      <c r="V80" s="99"/>
      <c r="W80" s="98"/>
      <c r="X80" s="98"/>
    </row>
    <row r="81" spans="2:24" x14ac:dyDescent="0.3">
      <c r="B81" s="2" t="str">
        <f t="shared" si="2"/>
        <v/>
      </c>
      <c r="C81" s="1"/>
      <c r="D81" s="1"/>
      <c r="E81" s="1"/>
      <c r="F81" s="1"/>
      <c r="G81" s="98"/>
      <c r="H81" s="98"/>
      <c r="I81" s="99"/>
      <c r="J81" s="99"/>
      <c r="K81" s="98"/>
      <c r="L81" s="98"/>
      <c r="P81" s="2" t="str">
        <f t="shared" si="3"/>
        <v>WALMART</v>
      </c>
      <c r="Q81" s="1" t="s">
        <v>135</v>
      </c>
      <c r="R81" s="1"/>
      <c r="S81" s="98"/>
      <c r="T81" s="98"/>
      <c r="U81" s="99"/>
      <c r="V81" s="99"/>
      <c r="W81" s="98"/>
      <c r="X81" s="98"/>
    </row>
    <row r="82" spans="2:24" x14ac:dyDescent="0.3">
      <c r="B82" s="2" t="str">
        <f t="shared" si="2"/>
        <v/>
      </c>
      <c r="C82" s="1"/>
      <c r="D82" s="1"/>
      <c r="E82" s="1"/>
      <c r="F82" s="1"/>
      <c r="G82" s="98"/>
      <c r="H82" s="98"/>
      <c r="I82" s="99"/>
      <c r="J82" s="99"/>
      <c r="K82" s="98"/>
      <c r="L82" s="98"/>
      <c r="P82" s="2" t="str">
        <f t="shared" si="3"/>
        <v>WALMART</v>
      </c>
      <c r="Q82" s="1" t="s">
        <v>135</v>
      </c>
      <c r="R82" s="1"/>
      <c r="S82" s="98"/>
      <c r="T82" s="98"/>
      <c r="U82" s="99"/>
      <c r="V82" s="99"/>
      <c r="W82" s="98"/>
      <c r="X82" s="98"/>
    </row>
    <row r="83" spans="2:24" x14ac:dyDescent="0.3">
      <c r="B83" s="2" t="str">
        <f t="shared" si="2"/>
        <v/>
      </c>
      <c r="C83" s="1"/>
      <c r="D83" s="1"/>
      <c r="E83" s="1"/>
      <c r="F83" s="1"/>
      <c r="G83" s="98"/>
      <c r="H83" s="98"/>
      <c r="I83" s="99"/>
      <c r="J83" s="99"/>
      <c r="K83" s="98"/>
      <c r="L83" s="98"/>
      <c r="P83" s="2" t="str">
        <f t="shared" si="3"/>
        <v>WALMART</v>
      </c>
      <c r="Q83" s="1" t="s">
        <v>135</v>
      </c>
      <c r="R83" s="1"/>
      <c r="S83" s="98"/>
      <c r="T83" s="98"/>
      <c r="U83" s="99"/>
      <c r="V83" s="99"/>
      <c r="W83" s="98"/>
      <c r="X83" s="98"/>
    </row>
    <row r="84" spans="2:24" x14ac:dyDescent="0.3">
      <c r="B84" s="2" t="str">
        <f t="shared" si="2"/>
        <v/>
      </c>
      <c r="C84" s="1"/>
      <c r="D84" s="1"/>
      <c r="E84" s="1"/>
      <c r="F84" s="1"/>
      <c r="G84" s="98"/>
      <c r="H84" s="98"/>
      <c r="I84" s="99"/>
      <c r="J84" s="99"/>
      <c r="K84" s="98"/>
      <c r="L84" s="98"/>
      <c r="P84" s="2" t="str">
        <f t="shared" si="3"/>
        <v>WALMART</v>
      </c>
      <c r="Q84" s="1" t="s">
        <v>135</v>
      </c>
      <c r="R84" s="1"/>
      <c r="S84" s="98"/>
      <c r="T84" s="98"/>
      <c r="U84" s="99"/>
      <c r="V84" s="99"/>
      <c r="W84" s="98"/>
      <c r="X84" s="98"/>
    </row>
    <row r="85" spans="2:24" x14ac:dyDescent="0.3">
      <c r="B85" s="2" t="str">
        <f t="shared" si="2"/>
        <v/>
      </c>
      <c r="C85" s="1"/>
      <c r="D85" s="1"/>
      <c r="E85" s="1"/>
      <c r="F85" s="1"/>
      <c r="G85" s="98"/>
      <c r="H85" s="98"/>
      <c r="I85" s="99"/>
      <c r="J85" s="99"/>
      <c r="K85" s="98"/>
      <c r="L85" s="98"/>
      <c r="P85" s="2" t="str">
        <f t="shared" si="3"/>
        <v>WALMART</v>
      </c>
      <c r="Q85" s="1" t="s">
        <v>135</v>
      </c>
      <c r="R85" s="1"/>
      <c r="S85" s="98"/>
      <c r="T85" s="98"/>
      <c r="U85" s="99"/>
      <c r="V85" s="99"/>
      <c r="W85" s="98"/>
      <c r="X85" s="98"/>
    </row>
    <row r="86" spans="2:24" x14ac:dyDescent="0.3">
      <c r="B86" s="2" t="str">
        <f t="shared" si="2"/>
        <v/>
      </c>
      <c r="C86" s="1"/>
      <c r="D86" s="1"/>
      <c r="E86" s="1"/>
      <c r="F86" s="1"/>
      <c r="G86" s="98"/>
      <c r="H86" s="98"/>
      <c r="I86" s="99"/>
      <c r="J86" s="99"/>
      <c r="K86" s="98"/>
      <c r="L86" s="98"/>
      <c r="P86" s="2" t="str">
        <f t="shared" si="3"/>
        <v>WALMART</v>
      </c>
      <c r="Q86" s="1" t="s">
        <v>135</v>
      </c>
      <c r="R86" s="1"/>
      <c r="S86" s="98"/>
      <c r="T86" s="98"/>
      <c r="U86" s="99"/>
      <c r="V86" s="99"/>
      <c r="W86" s="98"/>
      <c r="X86" s="98"/>
    </row>
    <row r="87" spans="2:24" x14ac:dyDescent="0.3">
      <c r="B87" s="2" t="str">
        <f t="shared" si="2"/>
        <v/>
      </c>
      <c r="C87" s="1"/>
      <c r="D87" s="1"/>
      <c r="E87" s="1"/>
      <c r="F87" s="1"/>
      <c r="G87" s="98"/>
      <c r="H87" s="98"/>
      <c r="I87" s="99"/>
      <c r="J87" s="99"/>
      <c r="K87" s="98"/>
      <c r="L87" s="98"/>
      <c r="P87" s="2" t="str">
        <f t="shared" si="3"/>
        <v>WALMART</v>
      </c>
      <c r="Q87" s="1" t="s">
        <v>135</v>
      </c>
      <c r="R87" s="1"/>
      <c r="S87" s="98"/>
      <c r="T87" s="98"/>
      <c r="U87" s="99"/>
      <c r="V87" s="99"/>
      <c r="W87" s="98"/>
      <c r="X87" s="98"/>
    </row>
    <row r="88" spans="2:24" x14ac:dyDescent="0.3">
      <c r="B88" s="2" t="str">
        <f t="shared" si="2"/>
        <v/>
      </c>
      <c r="C88" s="1"/>
      <c r="D88" s="1"/>
      <c r="E88" s="1"/>
      <c r="F88" s="1"/>
      <c r="G88" s="98"/>
      <c r="H88" s="98"/>
      <c r="I88" s="99"/>
      <c r="J88" s="99"/>
      <c r="K88" s="98"/>
      <c r="L88" s="98"/>
      <c r="P88" s="2" t="str">
        <f t="shared" si="3"/>
        <v>WALMART</v>
      </c>
      <c r="Q88" s="1" t="s">
        <v>135</v>
      </c>
      <c r="R88" s="1"/>
      <c r="S88" s="98"/>
      <c r="T88" s="98"/>
      <c r="U88" s="99"/>
      <c r="V88" s="99"/>
      <c r="W88" s="98"/>
      <c r="X88" s="98"/>
    </row>
    <row r="89" spans="2:24" x14ac:dyDescent="0.3">
      <c r="B89" s="2" t="str">
        <f t="shared" si="2"/>
        <v/>
      </c>
      <c r="C89" s="1"/>
      <c r="D89" s="1"/>
      <c r="E89" s="1"/>
      <c r="F89" s="1"/>
      <c r="G89" s="98"/>
      <c r="H89" s="98"/>
      <c r="I89" s="99"/>
      <c r="J89" s="99"/>
      <c r="K89" s="98"/>
      <c r="L89" s="98"/>
      <c r="P89" s="2" t="str">
        <f t="shared" si="3"/>
        <v>WALMART</v>
      </c>
      <c r="Q89" s="1" t="s">
        <v>135</v>
      </c>
      <c r="R89" s="1"/>
      <c r="S89" s="98"/>
      <c r="T89" s="98"/>
      <c r="U89" s="99"/>
      <c r="V89" s="99"/>
      <c r="W89" s="98"/>
      <c r="X89" s="98"/>
    </row>
    <row r="90" spans="2:24" x14ac:dyDescent="0.3">
      <c r="B90" s="2" t="str">
        <f t="shared" si="2"/>
        <v/>
      </c>
      <c r="C90" s="1"/>
      <c r="D90" s="1"/>
      <c r="E90" s="1"/>
      <c r="F90" s="1"/>
      <c r="G90" s="98"/>
      <c r="H90" s="98"/>
      <c r="I90" s="99"/>
      <c r="J90" s="99"/>
      <c r="K90" s="98"/>
      <c r="L90" s="98"/>
      <c r="P90" s="2" t="str">
        <f t="shared" si="3"/>
        <v>WALMART</v>
      </c>
      <c r="Q90" s="1" t="s">
        <v>135</v>
      </c>
      <c r="R90" s="1"/>
      <c r="S90" s="98"/>
      <c r="T90" s="98"/>
      <c r="U90" s="99"/>
      <c r="V90" s="99"/>
      <c r="W90" s="98"/>
      <c r="X90" s="98"/>
    </row>
    <row r="91" spans="2:24" x14ac:dyDescent="0.3">
      <c r="B91" s="2" t="str">
        <f t="shared" si="2"/>
        <v/>
      </c>
      <c r="C91" s="1"/>
      <c r="D91" s="1"/>
      <c r="E91" s="1"/>
      <c r="F91" s="1"/>
      <c r="G91" s="98"/>
      <c r="H91" s="98"/>
      <c r="I91" s="99"/>
      <c r="J91" s="99"/>
      <c r="K91" s="98"/>
      <c r="L91" s="98"/>
      <c r="P91" s="2" t="str">
        <f t="shared" si="3"/>
        <v>WALMART</v>
      </c>
      <c r="Q91" s="1" t="s">
        <v>135</v>
      </c>
      <c r="R91" s="1"/>
      <c r="S91" s="98"/>
      <c r="T91" s="98"/>
      <c r="U91" s="99"/>
      <c r="V91" s="99"/>
      <c r="W91" s="98"/>
      <c r="X91" s="98"/>
    </row>
    <row r="92" spans="2:24" x14ac:dyDescent="0.3">
      <c r="B92" s="2" t="str">
        <f t="shared" si="2"/>
        <v/>
      </c>
      <c r="C92" s="1"/>
      <c r="D92" s="1"/>
      <c r="E92" s="1"/>
      <c r="F92" s="1"/>
      <c r="G92" s="98"/>
      <c r="H92" s="98"/>
      <c r="I92" s="99"/>
      <c r="J92" s="99"/>
      <c r="K92" s="98"/>
      <c r="L92" s="98"/>
      <c r="P92" s="2" t="str">
        <f t="shared" si="3"/>
        <v>WALMART</v>
      </c>
      <c r="Q92" s="1" t="s">
        <v>135</v>
      </c>
      <c r="R92" s="1"/>
      <c r="S92" s="98"/>
      <c r="T92" s="98"/>
      <c r="U92" s="99"/>
      <c r="V92" s="99"/>
      <c r="W92" s="98"/>
      <c r="X92" s="98"/>
    </row>
    <row r="93" spans="2:24" x14ac:dyDescent="0.3">
      <c r="B93" s="2" t="str">
        <f t="shared" si="2"/>
        <v/>
      </c>
      <c r="C93" s="1"/>
      <c r="D93" s="1"/>
      <c r="E93" s="1"/>
      <c r="F93" s="1"/>
      <c r="G93" s="98"/>
      <c r="H93" s="98"/>
      <c r="I93" s="99"/>
      <c r="J93" s="99"/>
      <c r="K93" s="98"/>
      <c r="L93" s="98"/>
      <c r="P93" s="2" t="str">
        <f t="shared" si="3"/>
        <v>WALMART</v>
      </c>
      <c r="Q93" s="1" t="s">
        <v>135</v>
      </c>
      <c r="R93" s="1"/>
      <c r="S93" s="98"/>
      <c r="T93" s="98"/>
      <c r="U93" s="99"/>
      <c r="V93" s="99"/>
      <c r="W93" s="98"/>
      <c r="X93" s="98"/>
    </row>
    <row r="94" spans="2:24" x14ac:dyDescent="0.3">
      <c r="B94" s="2" t="str">
        <f t="shared" si="2"/>
        <v/>
      </c>
      <c r="C94" s="1"/>
      <c r="D94" s="1"/>
      <c r="E94" s="1"/>
      <c r="F94" s="1"/>
      <c r="G94" s="98"/>
      <c r="H94" s="98"/>
      <c r="I94" s="99"/>
      <c r="J94" s="99"/>
      <c r="K94" s="98"/>
      <c r="L94" s="98"/>
      <c r="P94" s="2" t="str">
        <f t="shared" si="3"/>
        <v>WALMART</v>
      </c>
      <c r="Q94" s="1" t="s">
        <v>135</v>
      </c>
      <c r="R94" s="1"/>
      <c r="S94" s="98"/>
      <c r="T94" s="98"/>
      <c r="U94" s="99"/>
      <c r="V94" s="99"/>
      <c r="W94" s="98"/>
      <c r="X94" s="98"/>
    </row>
    <row r="95" spans="2:24" x14ac:dyDescent="0.3">
      <c r="B95" s="2" t="str">
        <f t="shared" si="2"/>
        <v/>
      </c>
      <c r="C95" s="1"/>
      <c r="D95" s="1"/>
      <c r="E95" s="1"/>
      <c r="F95" s="1"/>
      <c r="G95" s="98"/>
      <c r="H95" s="98"/>
      <c r="I95" s="99"/>
      <c r="J95" s="99"/>
      <c r="K95" s="98"/>
      <c r="L95" s="98"/>
      <c r="P95" s="2" t="str">
        <f t="shared" si="3"/>
        <v>WALMART</v>
      </c>
      <c r="Q95" s="1" t="s">
        <v>135</v>
      </c>
      <c r="R95" s="1"/>
      <c r="S95" s="98"/>
      <c r="T95" s="98"/>
      <c r="U95" s="99"/>
      <c r="V95" s="99"/>
      <c r="W95" s="98"/>
      <c r="X95" s="98"/>
    </row>
    <row r="96" spans="2:24" x14ac:dyDescent="0.3">
      <c r="B96" s="2" t="str">
        <f t="shared" si="2"/>
        <v/>
      </c>
      <c r="C96" s="1"/>
      <c r="D96" s="1"/>
      <c r="E96" s="1"/>
      <c r="F96" s="1"/>
      <c r="G96" s="98"/>
      <c r="H96" s="98"/>
      <c r="I96" s="99"/>
      <c r="J96" s="99"/>
      <c r="K96" s="98"/>
      <c r="L96" s="98"/>
      <c r="P96" s="2" t="str">
        <f t="shared" si="3"/>
        <v>WALMART</v>
      </c>
      <c r="Q96" s="1" t="s">
        <v>135</v>
      </c>
      <c r="R96" s="1"/>
      <c r="S96" s="98"/>
      <c r="T96" s="98"/>
      <c r="U96" s="99"/>
      <c r="V96" s="99"/>
      <c r="W96" s="98"/>
      <c r="X96" s="98"/>
    </row>
    <row r="97" spans="2:24" x14ac:dyDescent="0.3">
      <c r="B97" s="2" t="str">
        <f t="shared" si="2"/>
        <v/>
      </c>
      <c r="C97" s="1"/>
      <c r="D97" s="1"/>
      <c r="E97" s="1"/>
      <c r="F97" s="1"/>
      <c r="G97" s="98"/>
      <c r="H97" s="98"/>
      <c r="I97" s="99"/>
      <c r="J97" s="99"/>
      <c r="K97" s="98"/>
      <c r="L97" s="98"/>
      <c r="P97" s="2" t="str">
        <f t="shared" si="3"/>
        <v>WALMART</v>
      </c>
      <c r="Q97" s="1" t="s">
        <v>135</v>
      </c>
      <c r="R97" s="1"/>
      <c r="S97" s="98"/>
      <c r="T97" s="98"/>
      <c r="U97" s="99"/>
      <c r="V97" s="99"/>
      <c r="W97" s="98"/>
      <c r="X97" s="98"/>
    </row>
    <row r="98" spans="2:24" x14ac:dyDescent="0.3">
      <c r="B98" s="2" t="str">
        <f t="shared" si="2"/>
        <v/>
      </c>
      <c r="C98" s="1"/>
      <c r="D98" s="1"/>
      <c r="E98" s="1"/>
      <c r="F98" s="1"/>
      <c r="G98" s="98"/>
      <c r="H98" s="98"/>
      <c r="I98" s="99"/>
      <c r="J98" s="99"/>
      <c r="K98" s="98"/>
      <c r="L98" s="98"/>
      <c r="P98" s="2" t="str">
        <f t="shared" si="3"/>
        <v>WALMART</v>
      </c>
      <c r="Q98" s="1" t="s">
        <v>135</v>
      </c>
      <c r="R98" s="1"/>
      <c r="S98" s="98"/>
      <c r="T98" s="98"/>
      <c r="U98" s="99"/>
      <c r="V98" s="99"/>
      <c r="W98" s="98"/>
      <c r="X98" s="98"/>
    </row>
    <row r="99" spans="2:24" x14ac:dyDescent="0.3">
      <c r="B99" s="2" t="str">
        <f t="shared" si="2"/>
        <v/>
      </c>
      <c r="C99" s="1"/>
      <c r="D99" s="1"/>
      <c r="E99" s="1"/>
      <c r="F99" s="1"/>
      <c r="G99" s="98"/>
      <c r="H99" s="98"/>
      <c r="I99" s="99"/>
      <c r="J99" s="99"/>
      <c r="K99" s="98"/>
      <c r="L99" s="98"/>
      <c r="P99" s="2" t="str">
        <f t="shared" si="3"/>
        <v>WALMART</v>
      </c>
      <c r="Q99" s="1" t="s">
        <v>135</v>
      </c>
      <c r="R99" s="1"/>
      <c r="S99" s="98"/>
      <c r="T99" s="98"/>
      <c r="U99" s="99"/>
      <c r="V99" s="99"/>
      <c r="W99" s="98"/>
      <c r="X99" s="98"/>
    </row>
    <row r="100" spans="2:24" x14ac:dyDescent="0.3">
      <c r="B100" s="2" t="str">
        <f t="shared" si="2"/>
        <v/>
      </c>
      <c r="C100" s="1"/>
      <c r="D100" s="1"/>
      <c r="E100" s="1"/>
      <c r="F100" s="1"/>
      <c r="G100" s="98"/>
      <c r="H100" s="98"/>
      <c r="I100" s="99"/>
      <c r="J100" s="99"/>
      <c r="K100" s="98"/>
      <c r="L100" s="98"/>
      <c r="P100" s="2" t="str">
        <f t="shared" si="3"/>
        <v>WALMART</v>
      </c>
      <c r="Q100" s="1" t="s">
        <v>135</v>
      </c>
      <c r="R100" s="1"/>
      <c r="S100" s="98"/>
      <c r="T100" s="98"/>
      <c r="U100" s="99"/>
      <c r="V100" s="99"/>
      <c r="W100" s="98"/>
      <c r="X100" s="98"/>
    </row>
    <row r="101" spans="2:24" x14ac:dyDescent="0.3">
      <c r="B101" s="2" t="str">
        <f t="shared" si="2"/>
        <v/>
      </c>
      <c r="C101" s="1"/>
      <c r="D101" s="1"/>
      <c r="E101" s="1"/>
      <c r="F101" s="1"/>
      <c r="G101" s="98"/>
      <c r="H101" s="98"/>
      <c r="I101" s="99"/>
      <c r="J101" s="99"/>
      <c r="K101" s="98"/>
      <c r="L101" s="98"/>
      <c r="P101" s="2" t="str">
        <f t="shared" si="3"/>
        <v>WALMART</v>
      </c>
      <c r="Q101" s="1" t="s">
        <v>135</v>
      </c>
      <c r="R101" s="1"/>
      <c r="S101" s="98"/>
      <c r="T101" s="98"/>
      <c r="U101" s="99"/>
      <c r="V101" s="99"/>
      <c r="W101" s="98"/>
      <c r="X101" s="98"/>
    </row>
    <row r="102" spans="2:24" x14ac:dyDescent="0.3">
      <c r="B102" s="2" t="str">
        <f t="shared" si="2"/>
        <v/>
      </c>
      <c r="C102" s="1"/>
      <c r="D102" s="1"/>
      <c r="E102" s="1"/>
      <c r="F102" s="1"/>
      <c r="G102" s="98"/>
      <c r="H102" s="98"/>
      <c r="I102" s="99"/>
      <c r="J102" s="99"/>
      <c r="K102" s="98"/>
      <c r="L102" s="98"/>
      <c r="P102" s="2" t="str">
        <f t="shared" si="3"/>
        <v>WALMART</v>
      </c>
      <c r="Q102" s="1" t="s">
        <v>135</v>
      </c>
      <c r="R102" s="1"/>
      <c r="S102" s="98"/>
      <c r="T102" s="98"/>
      <c r="U102" s="99"/>
      <c r="V102" s="99"/>
      <c r="W102" s="98"/>
      <c r="X102" s="98"/>
    </row>
    <row r="103" spans="2:24" x14ac:dyDescent="0.3">
      <c r="B103" s="2" t="str">
        <f t="shared" si="2"/>
        <v/>
      </c>
      <c r="C103" s="1"/>
      <c r="D103" s="1"/>
      <c r="E103" s="1"/>
      <c r="F103" s="1"/>
      <c r="G103" s="98"/>
      <c r="H103" s="98"/>
      <c r="I103" s="99"/>
      <c r="J103" s="99"/>
      <c r="K103" s="98"/>
      <c r="L103" s="98"/>
      <c r="P103" s="2" t="str">
        <f t="shared" si="3"/>
        <v>WALMART</v>
      </c>
      <c r="Q103" s="1" t="s">
        <v>135</v>
      </c>
      <c r="R103" s="1"/>
      <c r="S103" s="98"/>
      <c r="T103" s="98"/>
      <c r="U103" s="99"/>
      <c r="V103" s="99"/>
      <c r="W103" s="98"/>
      <c r="X103" s="98"/>
    </row>
    <row r="104" spans="2:24" x14ac:dyDescent="0.3">
      <c r="B104" s="2" t="str">
        <f t="shared" si="2"/>
        <v/>
      </c>
      <c r="C104" s="1"/>
      <c r="D104" s="1"/>
      <c r="E104" s="1"/>
      <c r="F104" s="1"/>
      <c r="G104" s="98"/>
      <c r="H104" s="98"/>
      <c r="I104" s="99"/>
      <c r="J104" s="99"/>
      <c r="K104" s="98"/>
      <c r="L104" s="98"/>
      <c r="P104" s="2" t="str">
        <f t="shared" si="3"/>
        <v>WALMART</v>
      </c>
      <c r="Q104" s="1" t="s">
        <v>135</v>
      </c>
      <c r="R104" s="1"/>
      <c r="S104" s="98"/>
      <c r="T104" s="98"/>
      <c r="U104" s="99"/>
      <c r="V104" s="99"/>
      <c r="W104" s="98"/>
      <c r="X104" s="98"/>
    </row>
    <row r="105" spans="2:24" x14ac:dyDescent="0.3">
      <c r="B105" s="2" t="str">
        <f t="shared" si="2"/>
        <v/>
      </c>
      <c r="C105" s="1"/>
      <c r="D105" s="1"/>
      <c r="E105" s="1"/>
      <c r="F105" s="1"/>
      <c r="G105" s="98"/>
      <c r="H105" s="98"/>
      <c r="I105" s="99"/>
      <c r="J105" s="99"/>
      <c r="K105" s="98"/>
      <c r="L105" s="98"/>
      <c r="P105" s="2" t="str">
        <f t="shared" si="3"/>
        <v>WALMART</v>
      </c>
      <c r="Q105" s="1" t="s">
        <v>135</v>
      </c>
      <c r="R105" s="1"/>
      <c r="S105" s="98"/>
      <c r="T105" s="98"/>
      <c r="U105" s="99"/>
      <c r="V105" s="99"/>
      <c r="W105" s="98"/>
      <c r="X105" s="98"/>
    </row>
    <row r="106" spans="2:24" x14ac:dyDescent="0.3">
      <c r="B106" s="2" t="str">
        <f t="shared" si="2"/>
        <v/>
      </c>
      <c r="C106" s="1"/>
      <c r="D106" s="1"/>
      <c r="E106" s="1"/>
      <c r="F106" s="1"/>
      <c r="G106" s="98"/>
      <c r="H106" s="98"/>
      <c r="I106" s="99"/>
      <c r="J106" s="99"/>
      <c r="K106" s="98"/>
      <c r="L106" s="98"/>
      <c r="P106" s="2" t="str">
        <f t="shared" si="3"/>
        <v>WALMART</v>
      </c>
      <c r="Q106" s="1" t="s">
        <v>135</v>
      </c>
      <c r="R106" s="1"/>
      <c r="S106" s="98"/>
      <c r="T106" s="98"/>
      <c r="U106" s="99"/>
      <c r="V106" s="99"/>
      <c r="W106" s="98"/>
      <c r="X106" s="98"/>
    </row>
    <row r="107" spans="2:24" x14ac:dyDescent="0.3">
      <c r="B107" s="2" t="str">
        <f t="shared" si="2"/>
        <v/>
      </c>
      <c r="C107" s="1"/>
      <c r="D107" s="1"/>
      <c r="E107" s="1"/>
      <c r="F107" s="1"/>
      <c r="G107" s="98"/>
      <c r="H107" s="98"/>
      <c r="I107" s="99"/>
      <c r="J107" s="99"/>
      <c r="K107" s="98"/>
      <c r="L107" s="98"/>
      <c r="P107" s="2" t="str">
        <f t="shared" si="3"/>
        <v>WALMART</v>
      </c>
      <c r="Q107" s="1" t="s">
        <v>135</v>
      </c>
      <c r="R107" s="1"/>
      <c r="S107" s="98"/>
      <c r="T107" s="98"/>
      <c r="U107" s="99"/>
      <c r="V107" s="99"/>
      <c r="W107" s="98"/>
      <c r="X107" s="98"/>
    </row>
    <row r="108" spans="2:24" x14ac:dyDescent="0.3">
      <c r="B108" s="2" t="str">
        <f t="shared" si="2"/>
        <v/>
      </c>
      <c r="C108" s="1"/>
      <c r="D108" s="1"/>
      <c r="E108" s="1"/>
      <c r="F108" s="1"/>
      <c r="G108" s="98"/>
      <c r="H108" s="98"/>
      <c r="I108" s="99"/>
      <c r="J108" s="99"/>
      <c r="K108" s="98"/>
      <c r="L108" s="98"/>
      <c r="P108" s="2" t="str">
        <f t="shared" si="3"/>
        <v>WALMART</v>
      </c>
      <c r="Q108" s="1" t="s">
        <v>135</v>
      </c>
      <c r="R108" s="1"/>
      <c r="S108" s="98"/>
      <c r="T108" s="98"/>
      <c r="U108" s="99"/>
      <c r="V108" s="99"/>
      <c r="W108" s="98"/>
      <c r="X108" s="98"/>
    </row>
    <row r="109" spans="2:24" x14ac:dyDescent="0.3">
      <c r="B109" s="2" t="str">
        <f t="shared" si="2"/>
        <v/>
      </c>
      <c r="C109" s="1"/>
      <c r="D109" s="1"/>
      <c r="E109" s="1"/>
      <c r="F109" s="1"/>
      <c r="G109" s="98"/>
      <c r="H109" s="98"/>
      <c r="I109" s="99"/>
      <c r="J109" s="99"/>
      <c r="K109" s="98"/>
      <c r="L109" s="98"/>
      <c r="P109" s="2" t="str">
        <f t="shared" si="3"/>
        <v>WALMART</v>
      </c>
      <c r="Q109" s="1" t="s">
        <v>135</v>
      </c>
      <c r="R109" s="1"/>
      <c r="S109" s="98"/>
      <c r="T109" s="98"/>
      <c r="U109" s="99"/>
      <c r="V109" s="99"/>
      <c r="W109" s="98"/>
      <c r="X109" s="98"/>
    </row>
    <row r="110" spans="2:24" x14ac:dyDescent="0.3">
      <c r="B110" s="2" t="str">
        <f t="shared" si="2"/>
        <v/>
      </c>
      <c r="C110" s="1"/>
      <c r="D110" s="1"/>
      <c r="E110" s="1"/>
      <c r="F110" s="1"/>
      <c r="G110" s="98"/>
      <c r="H110" s="98"/>
      <c r="I110" s="99"/>
      <c r="J110" s="99"/>
      <c r="K110" s="98"/>
      <c r="L110" s="98"/>
      <c r="P110" s="2" t="str">
        <f t="shared" si="3"/>
        <v>WALMART</v>
      </c>
      <c r="Q110" s="1" t="s">
        <v>135</v>
      </c>
      <c r="R110" s="1"/>
      <c r="S110" s="98"/>
      <c r="T110" s="98"/>
      <c r="U110" s="99"/>
      <c r="V110" s="99"/>
      <c r="W110" s="98"/>
      <c r="X110" s="98"/>
    </row>
    <row r="111" spans="2:24" x14ac:dyDescent="0.3">
      <c r="B111" s="2" t="str">
        <f t="shared" si="2"/>
        <v/>
      </c>
      <c r="C111" s="1"/>
      <c r="D111" s="1"/>
      <c r="E111" s="1"/>
      <c r="F111" s="1"/>
      <c r="G111" s="98"/>
      <c r="H111" s="98"/>
      <c r="I111" s="99"/>
      <c r="J111" s="99"/>
      <c r="K111" s="98"/>
      <c r="L111" s="98"/>
      <c r="P111" s="2" t="str">
        <f t="shared" si="3"/>
        <v>WALMART</v>
      </c>
      <c r="Q111" s="1" t="s">
        <v>135</v>
      </c>
      <c r="R111" s="1"/>
      <c r="S111" s="98"/>
      <c r="T111" s="98"/>
      <c r="U111" s="99"/>
      <c r="V111" s="99"/>
      <c r="W111" s="98"/>
      <c r="X111" s="98"/>
    </row>
    <row r="112" spans="2:24" x14ac:dyDescent="0.3">
      <c r="B112" s="2" t="str">
        <f t="shared" si="2"/>
        <v/>
      </c>
      <c r="C112" s="1"/>
      <c r="D112" s="1"/>
      <c r="E112" s="1"/>
      <c r="F112" s="1"/>
      <c r="G112" s="98"/>
      <c r="H112" s="98"/>
      <c r="I112" s="99"/>
      <c r="J112" s="99"/>
      <c r="K112" s="98"/>
      <c r="L112" s="98"/>
      <c r="P112" s="2" t="str">
        <f t="shared" si="3"/>
        <v>WALMART</v>
      </c>
      <c r="Q112" s="1" t="s">
        <v>135</v>
      </c>
      <c r="R112" s="1"/>
      <c r="S112" s="98"/>
      <c r="T112" s="98"/>
      <c r="U112" s="99"/>
      <c r="V112" s="99"/>
      <c r="W112" s="98"/>
      <c r="X112" s="98"/>
    </row>
    <row r="113" spans="2:24" x14ac:dyDescent="0.3">
      <c r="B113" s="2" t="str">
        <f t="shared" si="2"/>
        <v/>
      </c>
      <c r="C113" s="1"/>
      <c r="D113" s="1"/>
      <c r="E113" s="1"/>
      <c r="F113" s="1"/>
      <c r="G113" s="98"/>
      <c r="H113" s="98"/>
      <c r="I113" s="99"/>
      <c r="J113" s="99"/>
      <c r="K113" s="98"/>
      <c r="L113" s="98"/>
      <c r="P113" s="2" t="str">
        <f t="shared" si="3"/>
        <v>WALMART</v>
      </c>
      <c r="Q113" s="1" t="s">
        <v>135</v>
      </c>
      <c r="R113" s="1"/>
      <c r="S113" s="98"/>
      <c r="T113" s="98"/>
      <c r="U113" s="99"/>
      <c r="V113" s="99"/>
      <c r="W113" s="98"/>
      <c r="X113" s="98"/>
    </row>
    <row r="114" spans="2:24" x14ac:dyDescent="0.3">
      <c r="B114" s="2" t="str">
        <f t="shared" si="2"/>
        <v/>
      </c>
      <c r="C114" s="1"/>
      <c r="D114" s="1"/>
      <c r="E114" s="1"/>
      <c r="F114" s="1"/>
      <c r="G114" s="98"/>
      <c r="H114" s="98"/>
      <c r="I114" s="99"/>
      <c r="J114" s="99"/>
      <c r="K114" s="98"/>
      <c r="L114" s="98"/>
      <c r="P114" s="2" t="str">
        <f t="shared" si="3"/>
        <v>WALMART</v>
      </c>
      <c r="Q114" s="1" t="s">
        <v>135</v>
      </c>
      <c r="R114" s="1"/>
      <c r="S114" s="98"/>
      <c r="T114" s="98"/>
      <c r="U114" s="99"/>
      <c r="V114" s="99"/>
      <c r="W114" s="98"/>
      <c r="X114" s="98"/>
    </row>
    <row r="115" spans="2:24" x14ac:dyDescent="0.3">
      <c r="B115" s="2" t="str">
        <f t="shared" si="2"/>
        <v/>
      </c>
      <c r="C115" s="1"/>
      <c r="D115" s="1"/>
      <c r="E115" s="1"/>
      <c r="F115" s="1"/>
      <c r="G115" s="98"/>
      <c r="H115" s="98"/>
      <c r="I115" s="99"/>
      <c r="J115" s="99"/>
      <c r="K115" s="98"/>
      <c r="L115" s="98"/>
      <c r="P115" s="2" t="str">
        <f t="shared" si="3"/>
        <v>WALMART</v>
      </c>
      <c r="Q115" s="1" t="s">
        <v>135</v>
      </c>
      <c r="R115" s="1"/>
      <c r="S115" s="98"/>
      <c r="T115" s="98"/>
      <c r="U115" s="99"/>
      <c r="V115" s="99"/>
      <c r="W115" s="98"/>
      <c r="X115" s="98"/>
    </row>
    <row r="116" spans="2:24" x14ac:dyDescent="0.3">
      <c r="B116" s="2" t="str">
        <f t="shared" si="2"/>
        <v/>
      </c>
      <c r="C116" s="1"/>
      <c r="D116" s="1"/>
      <c r="E116" s="1"/>
      <c r="F116" s="1"/>
      <c r="G116" s="98"/>
      <c r="H116" s="98"/>
      <c r="I116" s="99"/>
      <c r="J116" s="99"/>
      <c r="K116" s="98"/>
      <c r="L116" s="98"/>
      <c r="P116" s="2" t="str">
        <f t="shared" si="3"/>
        <v>WALMART</v>
      </c>
      <c r="Q116" s="1" t="s">
        <v>135</v>
      </c>
      <c r="R116" s="1"/>
      <c r="S116" s="98"/>
      <c r="T116" s="98"/>
      <c r="U116" s="99"/>
      <c r="V116" s="99"/>
      <c r="W116" s="98"/>
      <c r="X116" s="98"/>
    </row>
    <row r="117" spans="2:24" x14ac:dyDescent="0.3">
      <c r="B117" s="2" t="str">
        <f t="shared" si="2"/>
        <v/>
      </c>
      <c r="C117" s="1"/>
      <c r="D117" s="1"/>
      <c r="E117" s="1"/>
      <c r="F117" s="1"/>
      <c r="G117" s="98"/>
      <c r="H117" s="98"/>
      <c r="I117" s="99"/>
      <c r="J117" s="99"/>
      <c r="K117" s="98"/>
      <c r="L117" s="98"/>
      <c r="P117" s="2" t="str">
        <f t="shared" si="3"/>
        <v>WALMART</v>
      </c>
      <c r="Q117" s="1" t="s">
        <v>135</v>
      </c>
      <c r="R117" s="1"/>
      <c r="S117" s="98"/>
      <c r="T117" s="98"/>
      <c r="U117" s="99"/>
      <c r="V117" s="99"/>
      <c r="W117" s="98"/>
      <c r="X117" s="98"/>
    </row>
    <row r="118" spans="2:24" x14ac:dyDescent="0.3">
      <c r="B118" s="2" t="str">
        <f t="shared" si="2"/>
        <v/>
      </c>
      <c r="C118" s="1"/>
      <c r="D118" s="1"/>
      <c r="E118" s="1"/>
      <c r="F118" s="1"/>
      <c r="G118" s="98"/>
      <c r="H118" s="98"/>
      <c r="I118" s="99"/>
      <c r="J118" s="99"/>
      <c r="K118" s="98"/>
      <c r="L118" s="98"/>
      <c r="P118" s="2" t="str">
        <f t="shared" si="3"/>
        <v>WALMART</v>
      </c>
      <c r="Q118" s="1" t="s">
        <v>135</v>
      </c>
      <c r="R118" s="1"/>
      <c r="S118" s="98"/>
      <c r="T118" s="98"/>
      <c r="U118" s="99"/>
      <c r="V118" s="99"/>
      <c r="W118" s="98"/>
      <c r="X118" s="98"/>
    </row>
    <row r="119" spans="2:24" x14ac:dyDescent="0.3">
      <c r="B119" s="2" t="str">
        <f t="shared" si="2"/>
        <v/>
      </c>
      <c r="C119" s="1"/>
      <c r="D119" s="1"/>
      <c r="E119" s="1"/>
      <c r="F119" s="1"/>
      <c r="G119" s="98"/>
      <c r="H119" s="98"/>
      <c r="I119" s="99"/>
      <c r="J119" s="99"/>
      <c r="K119" s="98"/>
      <c r="L119" s="98"/>
      <c r="P119" s="2" t="str">
        <f t="shared" si="3"/>
        <v>WALMART</v>
      </c>
      <c r="Q119" s="1" t="s">
        <v>135</v>
      </c>
      <c r="R119" s="1"/>
      <c r="S119" s="98"/>
      <c r="T119" s="98"/>
      <c r="U119" s="99"/>
      <c r="V119" s="99"/>
      <c r="W119" s="98"/>
      <c r="X119" s="98"/>
    </row>
    <row r="120" spans="2:24" x14ac:dyDescent="0.3">
      <c r="B120" s="2" t="str">
        <f t="shared" si="2"/>
        <v/>
      </c>
      <c r="C120" s="1"/>
      <c r="D120" s="1"/>
      <c r="E120" s="1"/>
      <c r="F120" s="1"/>
      <c r="G120" s="98"/>
      <c r="H120" s="98"/>
      <c r="I120" s="99"/>
      <c r="J120" s="99"/>
      <c r="K120" s="98"/>
      <c r="L120" s="98"/>
      <c r="P120" s="2" t="str">
        <f t="shared" si="3"/>
        <v>WALMART</v>
      </c>
      <c r="Q120" s="1" t="s">
        <v>135</v>
      </c>
      <c r="R120" s="1"/>
      <c r="S120" s="98"/>
      <c r="T120" s="98"/>
      <c r="U120" s="99"/>
      <c r="V120" s="99"/>
      <c r="W120" s="98"/>
      <c r="X120" s="98"/>
    </row>
    <row r="121" spans="2:24" x14ac:dyDescent="0.3">
      <c r="B121" s="2" t="str">
        <f t="shared" si="2"/>
        <v/>
      </c>
      <c r="C121" s="1"/>
      <c r="D121" s="1"/>
      <c r="E121" s="1"/>
      <c r="F121" s="1"/>
      <c r="G121" s="98"/>
      <c r="H121" s="98"/>
      <c r="I121" s="99"/>
      <c r="J121" s="99"/>
      <c r="K121" s="98"/>
      <c r="L121" s="98"/>
      <c r="P121" s="2" t="str">
        <f t="shared" si="3"/>
        <v>WALMART</v>
      </c>
      <c r="Q121" s="1" t="s">
        <v>135</v>
      </c>
      <c r="R121" s="1"/>
      <c r="S121" s="98"/>
      <c r="T121" s="98"/>
      <c r="U121" s="99"/>
      <c r="V121" s="99"/>
      <c r="W121" s="98"/>
      <c r="X121" s="98"/>
    </row>
    <row r="122" spans="2:24" x14ac:dyDescent="0.3">
      <c r="B122" s="2" t="str">
        <f t="shared" si="2"/>
        <v/>
      </c>
      <c r="C122" s="1"/>
      <c r="D122" s="1"/>
      <c r="E122" s="1"/>
      <c r="F122" s="1"/>
      <c r="G122" s="98"/>
      <c r="H122" s="98"/>
      <c r="I122" s="99"/>
      <c r="J122" s="99"/>
      <c r="K122" s="98"/>
      <c r="L122" s="98"/>
      <c r="P122" s="2" t="str">
        <f t="shared" si="3"/>
        <v>WALMART</v>
      </c>
      <c r="Q122" s="1" t="s">
        <v>135</v>
      </c>
      <c r="R122" s="1"/>
      <c r="S122" s="98"/>
      <c r="T122" s="98"/>
      <c r="U122" s="99"/>
      <c r="V122" s="99"/>
      <c r="W122" s="98"/>
      <c r="X122" s="98"/>
    </row>
    <row r="123" spans="2:24" x14ac:dyDescent="0.3">
      <c r="B123" s="2" t="str">
        <f t="shared" si="2"/>
        <v/>
      </c>
      <c r="C123" s="1"/>
      <c r="D123" s="1"/>
      <c r="E123" s="1"/>
      <c r="F123" s="1"/>
      <c r="G123" s="98"/>
      <c r="H123" s="98"/>
      <c r="I123" s="99"/>
      <c r="J123" s="99"/>
      <c r="K123" s="98"/>
      <c r="L123" s="98"/>
      <c r="P123" s="2" t="str">
        <f t="shared" si="3"/>
        <v>WALMART</v>
      </c>
      <c r="Q123" s="1" t="s">
        <v>135</v>
      </c>
      <c r="R123" s="1"/>
      <c r="S123" s="98"/>
      <c r="T123" s="98"/>
      <c r="U123" s="99"/>
      <c r="V123" s="99"/>
      <c r="W123" s="98"/>
      <c r="X123" s="98"/>
    </row>
    <row r="124" spans="2:24" x14ac:dyDescent="0.3">
      <c r="B124" s="2" t="str">
        <f t="shared" si="2"/>
        <v/>
      </c>
      <c r="C124" s="1"/>
      <c r="D124" s="1"/>
      <c r="E124" s="1"/>
      <c r="F124" s="1"/>
      <c r="G124" s="98"/>
      <c r="H124" s="98"/>
      <c r="I124" s="99"/>
      <c r="J124" s="99"/>
      <c r="K124" s="98"/>
      <c r="L124" s="98"/>
      <c r="P124" s="2" t="str">
        <f t="shared" si="3"/>
        <v>WALMART</v>
      </c>
      <c r="Q124" s="1" t="s">
        <v>135</v>
      </c>
      <c r="R124" s="1"/>
      <c r="S124" s="98"/>
      <c r="T124" s="98"/>
      <c r="U124" s="99"/>
      <c r="V124" s="99"/>
      <c r="W124" s="98"/>
      <c r="X124" s="98"/>
    </row>
    <row r="125" spans="2:24" x14ac:dyDescent="0.3">
      <c r="B125" s="2" t="str">
        <f t="shared" si="2"/>
        <v/>
      </c>
      <c r="C125" s="1"/>
      <c r="D125" s="1"/>
      <c r="E125" s="1"/>
      <c r="F125" s="1"/>
      <c r="G125" s="98"/>
      <c r="H125" s="98"/>
      <c r="I125" s="99"/>
      <c r="J125" s="99"/>
      <c r="K125" s="98"/>
      <c r="L125" s="98"/>
      <c r="P125" s="2" t="str">
        <f t="shared" si="3"/>
        <v>WALMART</v>
      </c>
      <c r="Q125" s="1" t="s">
        <v>135</v>
      </c>
      <c r="R125" s="1"/>
      <c r="S125" s="98"/>
      <c r="T125" s="98"/>
      <c r="U125" s="99"/>
      <c r="V125" s="99"/>
      <c r="W125" s="98"/>
      <c r="X125" s="98"/>
    </row>
    <row r="126" spans="2:24" x14ac:dyDescent="0.3">
      <c r="B126" s="2" t="str">
        <f t="shared" si="2"/>
        <v/>
      </c>
      <c r="C126" s="1"/>
      <c r="D126" s="1"/>
      <c r="E126" s="1"/>
      <c r="F126" s="1"/>
      <c r="G126" s="98"/>
      <c r="H126" s="98"/>
      <c r="I126" s="99"/>
      <c r="J126" s="99"/>
      <c r="K126" s="98"/>
      <c r="L126" s="98"/>
      <c r="P126" s="2" t="str">
        <f t="shared" si="3"/>
        <v>WALMART</v>
      </c>
      <c r="Q126" s="1" t="s">
        <v>135</v>
      </c>
      <c r="R126" s="1"/>
      <c r="S126" s="98"/>
      <c r="T126" s="98"/>
      <c r="U126" s="99"/>
      <c r="V126" s="99"/>
      <c r="W126" s="98"/>
      <c r="X126" s="98"/>
    </row>
    <row r="127" spans="2:24" x14ac:dyDescent="0.3">
      <c r="B127" s="2" t="str">
        <f t="shared" si="2"/>
        <v/>
      </c>
      <c r="C127" s="1"/>
      <c r="D127" s="1"/>
      <c r="E127" s="1"/>
      <c r="F127" s="1"/>
      <c r="G127" s="98"/>
      <c r="H127" s="98"/>
      <c r="I127" s="99"/>
      <c r="J127" s="99"/>
      <c r="K127" s="98"/>
      <c r="L127" s="98"/>
      <c r="P127" s="2" t="str">
        <f t="shared" si="3"/>
        <v>WALMART</v>
      </c>
      <c r="Q127" s="1" t="s">
        <v>135</v>
      </c>
      <c r="R127" s="1"/>
      <c r="S127" s="98"/>
      <c r="T127" s="98"/>
      <c r="U127" s="99"/>
      <c r="V127" s="99"/>
      <c r="W127" s="98"/>
      <c r="X127" s="98"/>
    </row>
    <row r="128" spans="2:24" x14ac:dyDescent="0.3">
      <c r="B128" s="2" t="str">
        <f t="shared" si="2"/>
        <v/>
      </c>
      <c r="C128" s="1"/>
      <c r="D128" s="1"/>
      <c r="E128" s="1"/>
      <c r="F128" s="1"/>
      <c r="G128" s="98"/>
      <c r="H128" s="98"/>
      <c r="I128" s="99"/>
      <c r="J128" s="99"/>
      <c r="K128" s="98"/>
      <c r="L128" s="98"/>
      <c r="P128" s="2" t="str">
        <f t="shared" si="3"/>
        <v>WALMART</v>
      </c>
      <c r="Q128" s="1" t="s">
        <v>135</v>
      </c>
      <c r="R128" s="1"/>
      <c r="S128" s="98"/>
      <c r="T128" s="98"/>
      <c r="U128" s="99"/>
      <c r="V128" s="99"/>
      <c r="W128" s="98"/>
      <c r="X128" s="98"/>
    </row>
    <row r="129" spans="2:24" x14ac:dyDescent="0.3">
      <c r="B129" s="2" t="str">
        <f t="shared" si="2"/>
        <v/>
      </c>
      <c r="C129" s="1"/>
      <c r="D129" s="1"/>
      <c r="E129" s="1"/>
      <c r="F129" s="1"/>
      <c r="G129" s="98"/>
      <c r="H129" s="98"/>
      <c r="I129" s="99"/>
      <c r="J129" s="99"/>
      <c r="K129" s="98"/>
      <c r="L129" s="98"/>
      <c r="P129" s="2" t="str">
        <f t="shared" si="3"/>
        <v>WALMART</v>
      </c>
      <c r="Q129" s="1" t="s">
        <v>135</v>
      </c>
      <c r="R129" s="1"/>
      <c r="S129" s="98"/>
      <c r="T129" s="98"/>
      <c r="U129" s="99"/>
      <c r="V129" s="99"/>
      <c r="W129" s="98"/>
      <c r="X129" s="98"/>
    </row>
    <row r="130" spans="2:24" x14ac:dyDescent="0.3">
      <c r="B130" s="2" t="str">
        <f t="shared" si="2"/>
        <v/>
      </c>
      <c r="C130" s="1"/>
      <c r="D130" s="1"/>
      <c r="E130" s="1"/>
      <c r="F130" s="1"/>
      <c r="G130" s="98"/>
      <c r="H130" s="98"/>
      <c r="I130" s="99"/>
      <c r="J130" s="99"/>
      <c r="K130" s="98"/>
      <c r="L130" s="98"/>
      <c r="P130" s="2" t="str">
        <f t="shared" si="3"/>
        <v>WALMART</v>
      </c>
      <c r="Q130" s="1" t="s">
        <v>135</v>
      </c>
      <c r="R130" s="1"/>
      <c r="S130" s="98"/>
      <c r="T130" s="98"/>
      <c r="U130" s="99"/>
      <c r="V130" s="99"/>
      <c r="W130" s="98"/>
      <c r="X130" s="98"/>
    </row>
    <row r="131" spans="2:24" x14ac:dyDescent="0.3">
      <c r="B131" s="2" t="str">
        <f t="shared" si="2"/>
        <v/>
      </c>
      <c r="C131" s="1"/>
      <c r="D131" s="1"/>
      <c r="E131" s="1"/>
      <c r="F131" s="1"/>
      <c r="G131" s="98"/>
      <c r="H131" s="98"/>
      <c r="I131" s="99"/>
      <c r="J131" s="99"/>
      <c r="K131" s="98"/>
      <c r="L131" s="98"/>
      <c r="P131" s="2" t="str">
        <f t="shared" si="3"/>
        <v>WALMART</v>
      </c>
      <c r="Q131" s="1" t="s">
        <v>135</v>
      </c>
      <c r="R131" s="1"/>
      <c r="S131" s="98"/>
      <c r="T131" s="98"/>
      <c r="U131" s="99"/>
      <c r="V131" s="99"/>
      <c r="W131" s="98"/>
      <c r="X131" s="98"/>
    </row>
    <row r="132" spans="2:24" x14ac:dyDescent="0.3">
      <c r="B132" s="2" t="str">
        <f t="shared" ref="B132:B195" si="4">C132&amp;D132&amp;E132&amp;F132</f>
        <v/>
      </c>
      <c r="C132" s="1"/>
      <c r="D132" s="1"/>
      <c r="E132" s="1"/>
      <c r="F132" s="1"/>
      <c r="G132" s="98"/>
      <c r="H132" s="98"/>
      <c r="I132" s="99"/>
      <c r="J132" s="99"/>
      <c r="K132" s="98"/>
      <c r="L132" s="98"/>
      <c r="P132" s="2" t="str">
        <f t="shared" ref="P132:P195" si="5">Q132&amp;R132</f>
        <v>WALMART</v>
      </c>
      <c r="Q132" s="1" t="s">
        <v>135</v>
      </c>
      <c r="R132" s="1"/>
      <c r="S132" s="98"/>
      <c r="T132" s="98"/>
      <c r="U132" s="99"/>
      <c r="V132" s="99"/>
      <c r="W132" s="98"/>
      <c r="X132" s="98"/>
    </row>
    <row r="133" spans="2:24" x14ac:dyDescent="0.3">
      <c r="B133" s="2" t="str">
        <f t="shared" si="4"/>
        <v/>
      </c>
      <c r="C133" s="1"/>
      <c r="D133" s="1"/>
      <c r="E133" s="1"/>
      <c r="F133" s="1"/>
      <c r="G133" s="98"/>
      <c r="H133" s="98"/>
      <c r="I133" s="99"/>
      <c r="J133" s="99"/>
      <c r="K133" s="98"/>
      <c r="L133" s="98"/>
      <c r="P133" s="2" t="str">
        <f t="shared" si="5"/>
        <v>WALMART</v>
      </c>
      <c r="Q133" s="1" t="s">
        <v>135</v>
      </c>
      <c r="R133" s="1"/>
      <c r="S133" s="98"/>
      <c r="T133" s="98"/>
      <c r="U133" s="99"/>
      <c r="V133" s="99"/>
      <c r="W133" s="98"/>
      <c r="X133" s="98"/>
    </row>
    <row r="134" spans="2:24" x14ac:dyDescent="0.3">
      <c r="B134" s="2" t="str">
        <f t="shared" si="4"/>
        <v/>
      </c>
      <c r="C134" s="1"/>
      <c r="D134" s="1"/>
      <c r="E134" s="1"/>
      <c r="F134" s="1"/>
      <c r="G134" s="98"/>
      <c r="H134" s="98"/>
      <c r="I134" s="99"/>
      <c r="J134" s="99"/>
      <c r="K134" s="98"/>
      <c r="L134" s="98"/>
      <c r="P134" s="2" t="str">
        <f t="shared" si="5"/>
        <v>WALMART</v>
      </c>
      <c r="Q134" s="1" t="s">
        <v>135</v>
      </c>
      <c r="R134" s="1"/>
      <c r="S134" s="98"/>
      <c r="T134" s="98"/>
      <c r="U134" s="99"/>
      <c r="V134" s="99"/>
      <c r="W134" s="98"/>
      <c r="X134" s="98"/>
    </row>
    <row r="135" spans="2:24" x14ac:dyDescent="0.3">
      <c r="B135" s="2" t="str">
        <f t="shared" si="4"/>
        <v/>
      </c>
      <c r="C135" s="1"/>
      <c r="D135" s="1"/>
      <c r="E135" s="1"/>
      <c r="F135" s="1"/>
      <c r="G135" s="98"/>
      <c r="H135" s="98"/>
      <c r="I135" s="99"/>
      <c r="J135" s="99"/>
      <c r="K135" s="98"/>
      <c r="L135" s="98"/>
      <c r="P135" s="2" t="str">
        <f t="shared" si="5"/>
        <v>WALMART</v>
      </c>
      <c r="Q135" s="1" t="s">
        <v>135</v>
      </c>
      <c r="R135" s="1"/>
      <c r="S135" s="98"/>
      <c r="T135" s="98"/>
      <c r="U135" s="99"/>
      <c r="V135" s="99"/>
      <c r="W135" s="98"/>
      <c r="X135" s="98"/>
    </row>
    <row r="136" spans="2:24" x14ac:dyDescent="0.3">
      <c r="B136" s="2" t="str">
        <f t="shared" si="4"/>
        <v/>
      </c>
      <c r="C136" s="1"/>
      <c r="D136" s="1"/>
      <c r="E136" s="1"/>
      <c r="F136" s="1"/>
      <c r="G136" s="98"/>
      <c r="H136" s="98"/>
      <c r="I136" s="99"/>
      <c r="J136" s="99"/>
      <c r="K136" s="98"/>
      <c r="L136" s="98"/>
      <c r="P136" s="2" t="str">
        <f t="shared" si="5"/>
        <v>WALMART</v>
      </c>
      <c r="Q136" s="1" t="s">
        <v>135</v>
      </c>
      <c r="R136" s="1"/>
      <c r="S136" s="98"/>
      <c r="T136" s="98"/>
      <c r="U136" s="99"/>
      <c r="V136" s="99"/>
      <c r="W136" s="98"/>
      <c r="X136" s="98"/>
    </row>
    <row r="137" spans="2:24" x14ac:dyDescent="0.3">
      <c r="B137" s="2" t="str">
        <f t="shared" si="4"/>
        <v/>
      </c>
      <c r="C137" s="1"/>
      <c r="D137" s="1"/>
      <c r="E137" s="1"/>
      <c r="F137" s="1"/>
      <c r="G137" s="98"/>
      <c r="H137" s="98"/>
      <c r="I137" s="99"/>
      <c r="J137" s="99"/>
      <c r="K137" s="98"/>
      <c r="L137" s="98"/>
      <c r="P137" s="2" t="str">
        <f t="shared" si="5"/>
        <v>WALMART</v>
      </c>
      <c r="Q137" s="1" t="s">
        <v>135</v>
      </c>
      <c r="R137" s="1"/>
      <c r="S137" s="98"/>
      <c r="T137" s="98"/>
      <c r="U137" s="99"/>
      <c r="V137" s="99"/>
      <c r="W137" s="98"/>
      <c r="X137" s="98"/>
    </row>
    <row r="138" spans="2:24" x14ac:dyDescent="0.3">
      <c r="B138" s="2" t="str">
        <f t="shared" si="4"/>
        <v/>
      </c>
      <c r="C138" s="1"/>
      <c r="D138" s="1"/>
      <c r="E138" s="1"/>
      <c r="F138" s="1"/>
      <c r="G138" s="98"/>
      <c r="H138" s="98"/>
      <c r="I138" s="99"/>
      <c r="J138" s="99"/>
      <c r="K138" s="98"/>
      <c r="L138" s="98"/>
      <c r="P138" s="2" t="str">
        <f t="shared" si="5"/>
        <v>WALMART</v>
      </c>
      <c r="Q138" s="1" t="s">
        <v>135</v>
      </c>
      <c r="R138" s="1"/>
      <c r="S138" s="98"/>
      <c r="T138" s="98"/>
      <c r="U138" s="99"/>
      <c r="V138" s="99"/>
      <c r="W138" s="98"/>
      <c r="X138" s="98"/>
    </row>
    <row r="139" spans="2:24" x14ac:dyDescent="0.3">
      <c r="B139" s="2" t="str">
        <f t="shared" si="4"/>
        <v/>
      </c>
      <c r="C139" s="1"/>
      <c r="D139" s="1"/>
      <c r="E139" s="1"/>
      <c r="F139" s="1"/>
      <c r="G139" s="98"/>
      <c r="H139" s="98"/>
      <c r="I139" s="99"/>
      <c r="J139" s="99"/>
      <c r="K139" s="98"/>
      <c r="L139" s="98"/>
      <c r="P139" s="2" t="str">
        <f t="shared" si="5"/>
        <v>WALMART</v>
      </c>
      <c r="Q139" s="1" t="s">
        <v>135</v>
      </c>
      <c r="R139" s="1"/>
      <c r="S139" s="98"/>
      <c r="T139" s="98"/>
      <c r="U139" s="99"/>
      <c r="V139" s="99"/>
      <c r="W139" s="98"/>
      <c r="X139" s="98"/>
    </row>
    <row r="140" spans="2:24" x14ac:dyDescent="0.3">
      <c r="B140" s="2" t="str">
        <f t="shared" si="4"/>
        <v/>
      </c>
      <c r="C140" s="1"/>
      <c r="D140" s="1"/>
      <c r="E140" s="1"/>
      <c r="F140" s="1"/>
      <c r="G140" s="98"/>
      <c r="H140" s="98"/>
      <c r="I140" s="99"/>
      <c r="J140" s="99"/>
      <c r="K140" s="98"/>
      <c r="L140" s="98"/>
      <c r="P140" s="2" t="str">
        <f t="shared" si="5"/>
        <v>WALMART</v>
      </c>
      <c r="Q140" s="1" t="s">
        <v>135</v>
      </c>
      <c r="R140" s="1"/>
      <c r="S140" s="98"/>
      <c r="T140" s="98"/>
      <c r="U140" s="99"/>
      <c r="V140" s="99"/>
      <c r="W140" s="98"/>
      <c r="X140" s="98"/>
    </row>
    <row r="141" spans="2:24" x14ac:dyDescent="0.3">
      <c r="B141" s="2" t="str">
        <f t="shared" si="4"/>
        <v/>
      </c>
      <c r="C141" s="1"/>
      <c r="D141" s="1"/>
      <c r="E141" s="1"/>
      <c r="F141" s="1"/>
      <c r="G141" s="98"/>
      <c r="H141" s="98"/>
      <c r="I141" s="99"/>
      <c r="J141" s="99"/>
      <c r="K141" s="98"/>
      <c r="L141" s="98"/>
      <c r="P141" s="2" t="str">
        <f t="shared" si="5"/>
        <v>WALMART</v>
      </c>
      <c r="Q141" s="1" t="s">
        <v>135</v>
      </c>
      <c r="R141" s="1"/>
      <c r="S141" s="98"/>
      <c r="T141" s="98"/>
      <c r="U141" s="99"/>
      <c r="V141" s="99"/>
      <c r="W141" s="98"/>
      <c r="X141" s="98"/>
    </row>
    <row r="142" spans="2:24" x14ac:dyDescent="0.3">
      <c r="B142" s="2" t="str">
        <f t="shared" si="4"/>
        <v/>
      </c>
      <c r="C142" s="1"/>
      <c r="D142" s="1"/>
      <c r="E142" s="1"/>
      <c r="F142" s="1"/>
      <c r="G142" s="98"/>
      <c r="H142" s="98"/>
      <c r="I142" s="99"/>
      <c r="J142" s="99"/>
      <c r="K142" s="98"/>
      <c r="L142" s="98"/>
      <c r="P142" s="2" t="str">
        <f t="shared" si="5"/>
        <v>WALMART</v>
      </c>
      <c r="Q142" s="1" t="s">
        <v>135</v>
      </c>
      <c r="R142" s="1"/>
      <c r="S142" s="98"/>
      <c r="T142" s="98"/>
      <c r="U142" s="99"/>
      <c r="V142" s="99"/>
      <c r="W142" s="98"/>
      <c r="X142" s="98"/>
    </row>
    <row r="143" spans="2:24" x14ac:dyDescent="0.3">
      <c r="B143" s="2" t="str">
        <f t="shared" si="4"/>
        <v/>
      </c>
      <c r="C143" s="1"/>
      <c r="D143" s="1"/>
      <c r="E143" s="1"/>
      <c r="F143" s="1"/>
      <c r="G143" s="98"/>
      <c r="H143" s="98"/>
      <c r="I143" s="99"/>
      <c r="J143" s="99"/>
      <c r="K143" s="98"/>
      <c r="L143" s="98"/>
      <c r="P143" s="2" t="str">
        <f t="shared" si="5"/>
        <v>WALMART</v>
      </c>
      <c r="Q143" s="1" t="s">
        <v>135</v>
      </c>
      <c r="R143" s="1"/>
      <c r="S143" s="98"/>
      <c r="T143" s="98"/>
      <c r="U143" s="99"/>
      <c r="V143" s="99"/>
      <c r="W143" s="98"/>
      <c r="X143" s="98"/>
    </row>
    <row r="144" spans="2:24" x14ac:dyDescent="0.3">
      <c r="B144" s="2" t="str">
        <f t="shared" si="4"/>
        <v/>
      </c>
      <c r="C144" s="1"/>
      <c r="D144" s="1"/>
      <c r="E144" s="1"/>
      <c r="F144" s="1"/>
      <c r="G144" s="98"/>
      <c r="H144" s="98"/>
      <c r="I144" s="99"/>
      <c r="J144" s="99"/>
      <c r="K144" s="98"/>
      <c r="L144" s="98"/>
      <c r="P144" s="2" t="str">
        <f t="shared" si="5"/>
        <v>WALMART</v>
      </c>
      <c r="Q144" s="1" t="s">
        <v>135</v>
      </c>
      <c r="R144" s="1"/>
      <c r="S144" s="98"/>
      <c r="T144" s="98"/>
      <c r="U144" s="99"/>
      <c r="V144" s="99"/>
      <c r="W144" s="98"/>
      <c r="X144" s="98"/>
    </row>
    <row r="145" spans="2:24" x14ac:dyDescent="0.3">
      <c r="B145" s="2" t="str">
        <f t="shared" si="4"/>
        <v/>
      </c>
      <c r="C145" s="1"/>
      <c r="D145" s="1"/>
      <c r="E145" s="1"/>
      <c r="F145" s="1"/>
      <c r="G145" s="98"/>
      <c r="H145" s="98"/>
      <c r="I145" s="99"/>
      <c r="J145" s="99"/>
      <c r="K145" s="98"/>
      <c r="L145" s="98"/>
      <c r="P145" s="2" t="str">
        <f t="shared" si="5"/>
        <v>WALMART</v>
      </c>
      <c r="Q145" s="1" t="s">
        <v>135</v>
      </c>
      <c r="R145" s="1"/>
      <c r="S145" s="98"/>
      <c r="T145" s="98"/>
      <c r="U145" s="99"/>
      <c r="V145" s="99"/>
      <c r="W145" s="98"/>
      <c r="X145" s="98"/>
    </row>
    <row r="146" spans="2:24" x14ac:dyDescent="0.3">
      <c r="B146" s="2" t="str">
        <f t="shared" si="4"/>
        <v/>
      </c>
      <c r="C146" s="1"/>
      <c r="D146" s="1"/>
      <c r="E146" s="1"/>
      <c r="F146" s="1"/>
      <c r="G146" s="98"/>
      <c r="H146" s="98"/>
      <c r="I146" s="99"/>
      <c r="J146" s="99"/>
      <c r="K146" s="98"/>
      <c r="L146" s="98"/>
      <c r="P146" s="2" t="str">
        <f t="shared" si="5"/>
        <v>WALMART</v>
      </c>
      <c r="Q146" s="1" t="s">
        <v>135</v>
      </c>
      <c r="R146" s="1"/>
      <c r="S146" s="98"/>
      <c r="T146" s="98"/>
      <c r="U146" s="99"/>
      <c r="V146" s="99"/>
      <c r="W146" s="98"/>
      <c r="X146" s="98"/>
    </row>
    <row r="147" spans="2:24" x14ac:dyDescent="0.3">
      <c r="B147" s="2" t="str">
        <f t="shared" si="4"/>
        <v/>
      </c>
      <c r="C147" s="1"/>
      <c r="D147" s="1"/>
      <c r="E147" s="1"/>
      <c r="F147" s="1"/>
      <c r="G147" s="98"/>
      <c r="H147" s="98"/>
      <c r="I147" s="99"/>
      <c r="J147" s="99"/>
      <c r="K147" s="98"/>
      <c r="L147" s="98"/>
      <c r="P147" s="2" t="str">
        <f t="shared" si="5"/>
        <v>WALMART</v>
      </c>
      <c r="Q147" s="1" t="s">
        <v>135</v>
      </c>
      <c r="R147" s="1"/>
      <c r="S147" s="98"/>
      <c r="T147" s="98"/>
      <c r="U147" s="99"/>
      <c r="V147" s="99"/>
      <c r="W147" s="98"/>
      <c r="X147" s="98"/>
    </row>
    <row r="148" spans="2:24" x14ac:dyDescent="0.3">
      <c r="B148" s="2" t="str">
        <f t="shared" si="4"/>
        <v/>
      </c>
      <c r="C148" s="1"/>
      <c r="D148" s="1"/>
      <c r="E148" s="1"/>
      <c r="F148" s="1"/>
      <c r="G148" s="98"/>
      <c r="H148" s="98"/>
      <c r="I148" s="99"/>
      <c r="J148" s="99"/>
      <c r="K148" s="98"/>
      <c r="L148" s="98"/>
      <c r="P148" s="2" t="str">
        <f t="shared" si="5"/>
        <v>WALMART</v>
      </c>
      <c r="Q148" s="1" t="s">
        <v>135</v>
      </c>
      <c r="R148" s="1"/>
      <c r="S148" s="98"/>
      <c r="T148" s="98"/>
      <c r="U148" s="99"/>
      <c r="V148" s="99"/>
      <c r="W148" s="98"/>
      <c r="X148" s="98"/>
    </row>
    <row r="149" spans="2:24" x14ac:dyDescent="0.3">
      <c r="B149" s="2" t="str">
        <f t="shared" si="4"/>
        <v/>
      </c>
      <c r="C149" s="1"/>
      <c r="D149" s="1"/>
      <c r="E149" s="1"/>
      <c r="F149" s="1"/>
      <c r="G149" s="98"/>
      <c r="H149" s="98"/>
      <c r="I149" s="99"/>
      <c r="J149" s="99"/>
      <c r="K149" s="98"/>
      <c r="L149" s="98"/>
      <c r="P149" s="2" t="str">
        <f t="shared" si="5"/>
        <v>WALMART</v>
      </c>
      <c r="Q149" s="1" t="s">
        <v>135</v>
      </c>
      <c r="R149" s="1"/>
      <c r="S149" s="98"/>
      <c r="T149" s="98"/>
      <c r="U149" s="99"/>
      <c r="V149" s="99"/>
      <c r="W149" s="98"/>
      <c r="X149" s="98"/>
    </row>
    <row r="150" spans="2:24" x14ac:dyDescent="0.3">
      <c r="B150" s="2" t="str">
        <f t="shared" si="4"/>
        <v/>
      </c>
      <c r="C150" s="1"/>
      <c r="D150" s="1"/>
      <c r="E150" s="1"/>
      <c r="F150" s="1"/>
      <c r="G150" s="98"/>
      <c r="H150" s="98"/>
      <c r="I150" s="99"/>
      <c r="J150" s="99"/>
      <c r="K150" s="98"/>
      <c r="L150" s="98"/>
      <c r="P150" s="2" t="str">
        <f t="shared" si="5"/>
        <v>WALMART</v>
      </c>
      <c r="Q150" s="1" t="s">
        <v>135</v>
      </c>
      <c r="R150" s="1"/>
      <c r="S150" s="98"/>
      <c r="T150" s="98"/>
      <c r="U150" s="99"/>
      <c r="V150" s="99"/>
      <c r="W150" s="98"/>
      <c r="X150" s="98"/>
    </row>
    <row r="151" spans="2:24" x14ac:dyDescent="0.3">
      <c r="B151" s="2" t="str">
        <f t="shared" si="4"/>
        <v/>
      </c>
      <c r="C151" s="1"/>
      <c r="D151" s="1"/>
      <c r="E151" s="1"/>
      <c r="F151" s="1"/>
      <c r="G151" s="98"/>
      <c r="H151" s="98"/>
      <c r="I151" s="99"/>
      <c r="J151" s="99"/>
      <c r="K151" s="98"/>
      <c r="L151" s="98"/>
      <c r="P151" s="2" t="str">
        <f t="shared" si="5"/>
        <v>WALMART</v>
      </c>
      <c r="Q151" s="1" t="s">
        <v>135</v>
      </c>
      <c r="R151" s="1"/>
      <c r="S151" s="98"/>
      <c r="T151" s="98"/>
      <c r="U151" s="99"/>
      <c r="V151" s="99"/>
      <c r="W151" s="98"/>
      <c r="X151" s="98"/>
    </row>
    <row r="152" spans="2:24" x14ac:dyDescent="0.3">
      <c r="B152" s="2" t="str">
        <f t="shared" si="4"/>
        <v/>
      </c>
      <c r="C152" s="1"/>
      <c r="D152" s="1"/>
      <c r="E152" s="1"/>
      <c r="F152" s="1"/>
      <c r="G152" s="98"/>
      <c r="H152" s="98"/>
      <c r="I152" s="99"/>
      <c r="J152" s="99"/>
      <c r="K152" s="98"/>
      <c r="L152" s="98"/>
      <c r="P152" s="2" t="str">
        <f t="shared" si="5"/>
        <v>WALMART</v>
      </c>
      <c r="Q152" s="1" t="s">
        <v>135</v>
      </c>
      <c r="R152" s="1"/>
      <c r="S152" s="98"/>
      <c r="T152" s="98"/>
      <c r="U152" s="99"/>
      <c r="V152" s="99"/>
      <c r="W152" s="98"/>
      <c r="X152" s="98"/>
    </row>
    <row r="153" spans="2:24" x14ac:dyDescent="0.3">
      <c r="B153" s="2" t="str">
        <f t="shared" si="4"/>
        <v/>
      </c>
      <c r="C153" s="1"/>
      <c r="D153" s="1"/>
      <c r="E153" s="1"/>
      <c r="F153" s="1"/>
      <c r="G153" s="98"/>
      <c r="H153" s="98"/>
      <c r="I153" s="99"/>
      <c r="J153" s="99"/>
      <c r="K153" s="98"/>
      <c r="L153" s="98"/>
      <c r="P153" s="2" t="str">
        <f t="shared" si="5"/>
        <v>WALMART</v>
      </c>
      <c r="Q153" s="1" t="s">
        <v>135</v>
      </c>
      <c r="R153" s="1"/>
      <c r="S153" s="98"/>
      <c r="T153" s="98"/>
      <c r="U153" s="99"/>
      <c r="V153" s="99"/>
      <c r="W153" s="98"/>
      <c r="X153" s="98"/>
    </row>
    <row r="154" spans="2:24" x14ac:dyDescent="0.3">
      <c r="B154" s="2" t="str">
        <f t="shared" si="4"/>
        <v/>
      </c>
      <c r="C154" s="1"/>
      <c r="D154" s="1"/>
      <c r="E154" s="1"/>
      <c r="F154" s="1"/>
      <c r="G154" s="98"/>
      <c r="H154" s="98"/>
      <c r="I154" s="99"/>
      <c r="J154" s="99"/>
      <c r="K154" s="98"/>
      <c r="L154" s="98"/>
      <c r="P154" s="2" t="str">
        <f t="shared" si="5"/>
        <v>WALMART</v>
      </c>
      <c r="Q154" s="1" t="s">
        <v>135</v>
      </c>
      <c r="R154" s="1"/>
      <c r="S154" s="98"/>
      <c r="T154" s="98"/>
      <c r="U154" s="99"/>
      <c r="V154" s="99"/>
      <c r="W154" s="98"/>
      <c r="X154" s="98"/>
    </row>
    <row r="155" spans="2:24" x14ac:dyDescent="0.3">
      <c r="B155" s="2" t="str">
        <f t="shared" si="4"/>
        <v/>
      </c>
      <c r="C155" s="1"/>
      <c r="D155" s="1"/>
      <c r="E155" s="1"/>
      <c r="F155" s="1"/>
      <c r="G155" s="98"/>
      <c r="H155" s="98"/>
      <c r="I155" s="99"/>
      <c r="J155" s="99"/>
      <c r="K155" s="98"/>
      <c r="L155" s="98"/>
      <c r="P155" s="2" t="str">
        <f t="shared" si="5"/>
        <v>WALMART</v>
      </c>
      <c r="Q155" s="1" t="s">
        <v>135</v>
      </c>
      <c r="R155" s="1"/>
      <c r="S155" s="98"/>
      <c r="T155" s="98"/>
      <c r="U155" s="99"/>
      <c r="V155" s="99"/>
      <c r="W155" s="98"/>
      <c r="X155" s="98"/>
    </row>
    <row r="156" spans="2:24" x14ac:dyDescent="0.3">
      <c r="B156" s="2" t="str">
        <f t="shared" si="4"/>
        <v/>
      </c>
      <c r="C156" s="1"/>
      <c r="D156" s="1"/>
      <c r="E156" s="1"/>
      <c r="F156" s="1"/>
      <c r="G156" s="98"/>
      <c r="H156" s="98"/>
      <c r="I156" s="99"/>
      <c r="J156" s="99"/>
      <c r="K156" s="98"/>
      <c r="L156" s="98"/>
      <c r="P156" s="2" t="str">
        <f t="shared" si="5"/>
        <v>WALMART</v>
      </c>
      <c r="Q156" s="1" t="s">
        <v>135</v>
      </c>
      <c r="R156" s="1"/>
      <c r="S156" s="98"/>
      <c r="T156" s="98"/>
      <c r="U156" s="99"/>
      <c r="V156" s="99"/>
      <c r="W156" s="98"/>
      <c r="X156" s="98"/>
    </row>
    <row r="157" spans="2:24" x14ac:dyDescent="0.3">
      <c r="B157" s="2" t="str">
        <f t="shared" si="4"/>
        <v/>
      </c>
      <c r="C157" s="1"/>
      <c r="D157" s="1"/>
      <c r="E157" s="1"/>
      <c r="F157" s="1"/>
      <c r="G157" s="98"/>
      <c r="H157" s="98"/>
      <c r="I157" s="99"/>
      <c r="J157" s="99"/>
      <c r="K157" s="98"/>
      <c r="L157" s="98"/>
      <c r="P157" s="2" t="str">
        <f t="shared" si="5"/>
        <v>WALMART</v>
      </c>
      <c r="Q157" s="1" t="s">
        <v>135</v>
      </c>
      <c r="R157" s="1"/>
      <c r="S157" s="98"/>
      <c r="T157" s="98"/>
      <c r="U157" s="99"/>
      <c r="V157" s="99"/>
      <c r="W157" s="98"/>
      <c r="X157" s="98"/>
    </row>
    <row r="158" spans="2:24" x14ac:dyDescent="0.3">
      <c r="B158" s="2" t="str">
        <f t="shared" si="4"/>
        <v/>
      </c>
      <c r="C158" s="1"/>
      <c r="D158" s="1"/>
      <c r="E158" s="1"/>
      <c r="F158" s="1"/>
      <c r="G158" s="98"/>
      <c r="H158" s="98"/>
      <c r="I158" s="99"/>
      <c r="J158" s="99"/>
      <c r="K158" s="98"/>
      <c r="L158" s="98"/>
      <c r="P158" s="2" t="str">
        <f t="shared" si="5"/>
        <v>WALMART</v>
      </c>
      <c r="Q158" s="1" t="s">
        <v>135</v>
      </c>
      <c r="R158" s="1"/>
      <c r="S158" s="98"/>
      <c r="T158" s="98"/>
      <c r="U158" s="99"/>
      <c r="V158" s="99"/>
      <c r="W158" s="98"/>
      <c r="X158" s="98"/>
    </row>
    <row r="159" spans="2:24" x14ac:dyDescent="0.3">
      <c r="B159" s="2" t="str">
        <f t="shared" si="4"/>
        <v/>
      </c>
      <c r="C159" s="1"/>
      <c r="D159" s="1"/>
      <c r="E159" s="1"/>
      <c r="F159" s="1"/>
      <c r="G159" s="98"/>
      <c r="H159" s="98"/>
      <c r="I159" s="99"/>
      <c r="J159" s="99"/>
      <c r="K159" s="98"/>
      <c r="L159" s="98"/>
      <c r="P159" s="2" t="str">
        <f t="shared" si="5"/>
        <v>WALMART</v>
      </c>
      <c r="Q159" s="1" t="s">
        <v>135</v>
      </c>
      <c r="R159" s="1"/>
      <c r="S159" s="98"/>
      <c r="T159" s="98"/>
      <c r="U159" s="99"/>
      <c r="V159" s="99"/>
      <c r="W159" s="98"/>
      <c r="X159" s="98"/>
    </row>
    <row r="160" spans="2:24" x14ac:dyDescent="0.3">
      <c r="B160" s="2" t="str">
        <f t="shared" si="4"/>
        <v/>
      </c>
      <c r="C160" s="1"/>
      <c r="D160" s="1"/>
      <c r="E160" s="1"/>
      <c r="F160" s="1"/>
      <c r="G160" s="98"/>
      <c r="H160" s="98"/>
      <c r="I160" s="99"/>
      <c r="J160" s="99"/>
      <c r="K160" s="98"/>
      <c r="L160" s="98"/>
      <c r="P160" s="2" t="str">
        <f t="shared" si="5"/>
        <v>WALMART</v>
      </c>
      <c r="Q160" s="1" t="s">
        <v>135</v>
      </c>
      <c r="R160" s="1"/>
      <c r="S160" s="98"/>
      <c r="T160" s="98"/>
      <c r="U160" s="99"/>
      <c r="V160" s="99"/>
      <c r="W160" s="98"/>
      <c r="X160" s="98"/>
    </row>
    <row r="161" spans="2:24" x14ac:dyDescent="0.3">
      <c r="B161" s="2" t="str">
        <f t="shared" si="4"/>
        <v/>
      </c>
      <c r="C161" s="1"/>
      <c r="D161" s="1"/>
      <c r="E161" s="1"/>
      <c r="F161" s="1"/>
      <c r="G161" s="98"/>
      <c r="H161" s="98"/>
      <c r="I161" s="99"/>
      <c r="J161" s="99"/>
      <c r="K161" s="98"/>
      <c r="L161" s="98"/>
      <c r="P161" s="2" t="str">
        <f t="shared" si="5"/>
        <v>WALMART</v>
      </c>
      <c r="Q161" s="1" t="s">
        <v>135</v>
      </c>
      <c r="R161" s="1"/>
      <c r="S161" s="98"/>
      <c r="T161" s="98"/>
      <c r="U161" s="99"/>
      <c r="V161" s="99"/>
      <c r="W161" s="98"/>
      <c r="X161" s="98"/>
    </row>
    <row r="162" spans="2:24" x14ac:dyDescent="0.3">
      <c r="B162" s="2" t="str">
        <f t="shared" si="4"/>
        <v/>
      </c>
      <c r="C162" s="1"/>
      <c r="D162" s="1"/>
      <c r="E162" s="1"/>
      <c r="F162" s="1"/>
      <c r="G162" s="98"/>
      <c r="H162" s="98"/>
      <c r="I162" s="99"/>
      <c r="J162" s="99"/>
      <c r="K162" s="98"/>
      <c r="L162" s="98"/>
      <c r="P162" s="2" t="str">
        <f t="shared" si="5"/>
        <v>WALMART</v>
      </c>
      <c r="Q162" s="1" t="s">
        <v>135</v>
      </c>
      <c r="R162" s="1"/>
      <c r="S162" s="98"/>
      <c r="T162" s="98"/>
      <c r="U162" s="99"/>
      <c r="V162" s="99"/>
      <c r="W162" s="98"/>
      <c r="X162" s="98"/>
    </row>
    <row r="163" spans="2:24" x14ac:dyDescent="0.3">
      <c r="B163" s="2" t="str">
        <f t="shared" si="4"/>
        <v/>
      </c>
      <c r="C163" s="1"/>
      <c r="D163" s="1"/>
      <c r="E163" s="1"/>
      <c r="F163" s="1"/>
      <c r="G163" s="98"/>
      <c r="H163" s="98"/>
      <c r="I163" s="99"/>
      <c r="J163" s="99"/>
      <c r="K163" s="98"/>
      <c r="L163" s="98"/>
      <c r="P163" s="2" t="str">
        <f t="shared" si="5"/>
        <v>WALMART</v>
      </c>
      <c r="Q163" s="1" t="s">
        <v>135</v>
      </c>
      <c r="R163" s="1"/>
      <c r="S163" s="98"/>
      <c r="T163" s="98"/>
      <c r="U163" s="99"/>
      <c r="V163" s="99"/>
      <c r="W163" s="98"/>
      <c r="X163" s="98"/>
    </row>
    <row r="164" spans="2:24" x14ac:dyDescent="0.3">
      <c r="B164" s="2" t="str">
        <f t="shared" si="4"/>
        <v/>
      </c>
      <c r="C164" s="1"/>
      <c r="D164" s="1"/>
      <c r="E164" s="1"/>
      <c r="F164" s="1"/>
      <c r="G164" s="98"/>
      <c r="H164" s="98"/>
      <c r="I164" s="99"/>
      <c r="J164" s="99"/>
      <c r="K164" s="98"/>
      <c r="L164" s="98"/>
      <c r="P164" s="2" t="str">
        <f t="shared" si="5"/>
        <v>WALMART</v>
      </c>
      <c r="Q164" s="1" t="s">
        <v>135</v>
      </c>
      <c r="R164" s="1"/>
      <c r="S164" s="98"/>
      <c r="T164" s="98"/>
      <c r="U164" s="99"/>
      <c r="V164" s="99"/>
      <c r="W164" s="98"/>
      <c r="X164" s="98"/>
    </row>
    <row r="165" spans="2:24" x14ac:dyDescent="0.3">
      <c r="B165" s="2" t="str">
        <f t="shared" si="4"/>
        <v/>
      </c>
      <c r="C165" s="1"/>
      <c r="D165" s="1"/>
      <c r="E165" s="1"/>
      <c r="F165" s="1"/>
      <c r="G165" s="98"/>
      <c r="H165" s="98"/>
      <c r="I165" s="99"/>
      <c r="J165" s="99"/>
      <c r="K165" s="98"/>
      <c r="L165" s="98"/>
      <c r="P165" s="2" t="str">
        <f t="shared" si="5"/>
        <v>WALMART</v>
      </c>
      <c r="Q165" s="1" t="s">
        <v>135</v>
      </c>
      <c r="R165" s="1"/>
      <c r="S165" s="98"/>
      <c r="T165" s="98"/>
      <c r="U165" s="99"/>
      <c r="V165" s="99"/>
      <c r="W165" s="98"/>
      <c r="X165" s="98"/>
    </row>
    <row r="166" spans="2:24" x14ac:dyDescent="0.3">
      <c r="B166" s="2" t="str">
        <f t="shared" si="4"/>
        <v/>
      </c>
      <c r="C166" s="1"/>
      <c r="D166" s="1"/>
      <c r="E166" s="1"/>
      <c r="F166" s="1"/>
      <c r="G166" s="98"/>
      <c r="H166" s="98"/>
      <c r="I166" s="99"/>
      <c r="J166" s="99"/>
      <c r="K166" s="98"/>
      <c r="L166" s="98"/>
      <c r="P166" s="2" t="str">
        <f t="shared" si="5"/>
        <v>WALMART</v>
      </c>
      <c r="Q166" s="1" t="s">
        <v>135</v>
      </c>
      <c r="R166" s="1"/>
      <c r="S166" s="98"/>
      <c r="T166" s="98"/>
      <c r="U166" s="99"/>
      <c r="V166" s="99"/>
      <c r="W166" s="98"/>
      <c r="X166" s="98"/>
    </row>
    <row r="167" spans="2:24" x14ac:dyDescent="0.3">
      <c r="B167" s="2" t="str">
        <f t="shared" si="4"/>
        <v/>
      </c>
      <c r="C167" s="1"/>
      <c r="D167" s="1"/>
      <c r="E167" s="1"/>
      <c r="F167" s="1"/>
      <c r="G167" s="98"/>
      <c r="H167" s="98"/>
      <c r="I167" s="99"/>
      <c r="J167" s="99"/>
      <c r="K167" s="98"/>
      <c r="L167" s="98"/>
      <c r="P167" s="2" t="str">
        <f t="shared" si="5"/>
        <v>WALMART</v>
      </c>
      <c r="Q167" s="1" t="s">
        <v>135</v>
      </c>
      <c r="R167" s="1"/>
      <c r="S167" s="98"/>
      <c r="T167" s="98"/>
      <c r="U167" s="99"/>
      <c r="V167" s="99"/>
      <c r="W167" s="98"/>
      <c r="X167" s="98"/>
    </row>
    <row r="168" spans="2:24" x14ac:dyDescent="0.3">
      <c r="B168" s="2" t="str">
        <f t="shared" si="4"/>
        <v/>
      </c>
      <c r="C168" s="1"/>
      <c r="D168" s="1"/>
      <c r="E168" s="1"/>
      <c r="F168" s="1"/>
      <c r="G168" s="98"/>
      <c r="H168" s="98"/>
      <c r="I168" s="99"/>
      <c r="J168" s="99"/>
      <c r="K168" s="98"/>
      <c r="L168" s="98"/>
      <c r="P168" s="2" t="str">
        <f t="shared" si="5"/>
        <v>WALMART</v>
      </c>
      <c r="Q168" s="1" t="s">
        <v>135</v>
      </c>
      <c r="R168" s="1"/>
      <c r="S168" s="98"/>
      <c r="T168" s="98"/>
      <c r="U168" s="99"/>
      <c r="V168" s="99"/>
      <c r="W168" s="98"/>
      <c r="X168" s="98"/>
    </row>
    <row r="169" spans="2:24" x14ac:dyDescent="0.3">
      <c r="B169" s="2" t="str">
        <f t="shared" si="4"/>
        <v/>
      </c>
      <c r="C169" s="1"/>
      <c r="D169" s="1"/>
      <c r="E169" s="1"/>
      <c r="F169" s="1"/>
      <c r="G169" s="98"/>
      <c r="H169" s="98"/>
      <c r="I169" s="99"/>
      <c r="J169" s="99"/>
      <c r="K169" s="98"/>
      <c r="L169" s="98"/>
      <c r="P169" s="2" t="str">
        <f t="shared" si="5"/>
        <v>WALMART</v>
      </c>
      <c r="Q169" s="1" t="s">
        <v>135</v>
      </c>
      <c r="R169" s="1"/>
      <c r="S169" s="98"/>
      <c r="T169" s="98"/>
      <c r="U169" s="99"/>
      <c r="V169" s="99"/>
      <c r="W169" s="98"/>
      <c r="X169" s="98"/>
    </row>
    <row r="170" spans="2:24" x14ac:dyDescent="0.3">
      <c r="B170" s="2" t="str">
        <f t="shared" si="4"/>
        <v/>
      </c>
      <c r="C170" s="1"/>
      <c r="D170" s="1"/>
      <c r="E170" s="1"/>
      <c r="F170" s="1"/>
      <c r="G170" s="98"/>
      <c r="H170" s="98"/>
      <c r="I170" s="99"/>
      <c r="J170" s="99"/>
      <c r="K170" s="98"/>
      <c r="L170" s="98"/>
      <c r="P170" s="2" t="str">
        <f t="shared" si="5"/>
        <v>WALMART</v>
      </c>
      <c r="Q170" s="1" t="s">
        <v>135</v>
      </c>
      <c r="R170" s="1"/>
      <c r="S170" s="98"/>
      <c r="T170" s="98"/>
      <c r="U170" s="99"/>
      <c r="V170" s="99"/>
      <c r="W170" s="98"/>
      <c r="X170" s="98"/>
    </row>
    <row r="171" spans="2:24" x14ac:dyDescent="0.3">
      <c r="B171" s="2" t="str">
        <f t="shared" si="4"/>
        <v/>
      </c>
      <c r="C171" s="1"/>
      <c r="D171" s="1"/>
      <c r="E171" s="1"/>
      <c r="F171" s="1"/>
      <c r="G171" s="98"/>
      <c r="H171" s="98"/>
      <c r="I171" s="99"/>
      <c r="J171" s="99"/>
      <c r="K171" s="98"/>
      <c r="L171" s="98"/>
      <c r="P171" s="2" t="str">
        <f t="shared" si="5"/>
        <v>WALMART</v>
      </c>
      <c r="Q171" s="1" t="s">
        <v>135</v>
      </c>
      <c r="R171" s="1"/>
      <c r="S171" s="98"/>
      <c r="T171" s="98"/>
      <c r="U171" s="99"/>
      <c r="V171" s="99"/>
      <c r="W171" s="98"/>
      <c r="X171" s="98"/>
    </row>
    <row r="172" spans="2:24" x14ac:dyDescent="0.3">
      <c r="B172" s="2" t="str">
        <f t="shared" si="4"/>
        <v/>
      </c>
      <c r="C172" s="1"/>
      <c r="D172" s="1"/>
      <c r="E172" s="1"/>
      <c r="F172" s="1"/>
      <c r="G172" s="98"/>
      <c r="H172" s="98"/>
      <c r="I172" s="99"/>
      <c r="J172" s="99"/>
      <c r="K172" s="98"/>
      <c r="L172" s="98"/>
      <c r="P172" s="2" t="str">
        <f t="shared" si="5"/>
        <v>WALMART</v>
      </c>
      <c r="Q172" s="1" t="s">
        <v>135</v>
      </c>
      <c r="R172" s="1"/>
      <c r="S172" s="98"/>
      <c r="T172" s="98"/>
      <c r="U172" s="99"/>
      <c r="V172" s="99"/>
      <c r="W172" s="98"/>
      <c r="X172" s="98"/>
    </row>
    <row r="173" spans="2:24" x14ac:dyDescent="0.3">
      <c r="B173" s="2" t="str">
        <f t="shared" si="4"/>
        <v/>
      </c>
      <c r="C173" s="1"/>
      <c r="D173" s="1"/>
      <c r="E173" s="1"/>
      <c r="F173" s="1"/>
      <c r="G173" s="98"/>
      <c r="H173" s="98"/>
      <c r="I173" s="99"/>
      <c r="J173" s="99"/>
      <c r="K173" s="98"/>
      <c r="L173" s="98"/>
      <c r="P173" s="2" t="str">
        <f t="shared" si="5"/>
        <v>WALMART</v>
      </c>
      <c r="Q173" s="1" t="s">
        <v>135</v>
      </c>
      <c r="R173" s="1"/>
      <c r="S173" s="98"/>
      <c r="T173" s="98"/>
      <c r="U173" s="99"/>
      <c r="V173" s="99"/>
      <c r="W173" s="98"/>
      <c r="X173" s="98"/>
    </row>
    <row r="174" spans="2:24" x14ac:dyDescent="0.3">
      <c r="B174" s="2" t="str">
        <f t="shared" si="4"/>
        <v/>
      </c>
      <c r="C174" s="1"/>
      <c r="D174" s="1"/>
      <c r="E174" s="1"/>
      <c r="F174" s="1"/>
      <c r="G174" s="98"/>
      <c r="H174" s="98"/>
      <c r="I174" s="99"/>
      <c r="J174" s="99"/>
      <c r="K174" s="98"/>
      <c r="L174" s="98"/>
      <c r="P174" s="2" t="str">
        <f t="shared" si="5"/>
        <v>WALMART</v>
      </c>
      <c r="Q174" s="1" t="s">
        <v>135</v>
      </c>
      <c r="R174" s="1"/>
      <c r="S174" s="98"/>
      <c r="T174" s="98"/>
      <c r="U174" s="99"/>
      <c r="V174" s="99"/>
      <c r="W174" s="98"/>
      <c r="X174" s="98"/>
    </row>
    <row r="175" spans="2:24" x14ac:dyDescent="0.3">
      <c r="B175" s="2" t="str">
        <f t="shared" si="4"/>
        <v/>
      </c>
      <c r="C175" s="1"/>
      <c r="D175" s="1"/>
      <c r="E175" s="1"/>
      <c r="F175" s="1"/>
      <c r="G175" s="98"/>
      <c r="H175" s="98"/>
      <c r="I175" s="99"/>
      <c r="J175" s="99"/>
      <c r="K175" s="98"/>
      <c r="L175" s="98"/>
      <c r="P175" s="2" t="str">
        <f t="shared" si="5"/>
        <v>WALMART</v>
      </c>
      <c r="Q175" s="1" t="s">
        <v>135</v>
      </c>
      <c r="R175" s="1"/>
      <c r="S175" s="98"/>
      <c r="T175" s="98"/>
      <c r="U175" s="99"/>
      <c r="V175" s="99"/>
      <c r="W175" s="98"/>
      <c r="X175" s="98"/>
    </row>
    <row r="176" spans="2:24" x14ac:dyDescent="0.3">
      <c r="B176" s="2" t="str">
        <f t="shared" si="4"/>
        <v/>
      </c>
      <c r="C176" s="1"/>
      <c r="D176" s="1"/>
      <c r="E176" s="1"/>
      <c r="F176" s="1"/>
      <c r="G176" s="98"/>
      <c r="H176" s="98"/>
      <c r="I176" s="99"/>
      <c r="J176" s="99"/>
      <c r="K176" s="98"/>
      <c r="L176" s="98"/>
      <c r="P176" s="2" t="str">
        <f t="shared" si="5"/>
        <v>WALMART</v>
      </c>
      <c r="Q176" s="1" t="s">
        <v>135</v>
      </c>
      <c r="R176" s="1"/>
      <c r="S176" s="98"/>
      <c r="T176" s="98"/>
      <c r="U176" s="99"/>
      <c r="V176" s="99"/>
      <c r="W176" s="98"/>
      <c r="X176" s="98"/>
    </row>
    <row r="177" spans="2:24" x14ac:dyDescent="0.3">
      <c r="B177" s="2" t="str">
        <f t="shared" si="4"/>
        <v/>
      </c>
      <c r="C177" s="1"/>
      <c r="D177" s="1"/>
      <c r="E177" s="1"/>
      <c r="F177" s="1"/>
      <c r="G177" s="98"/>
      <c r="H177" s="98"/>
      <c r="I177" s="99"/>
      <c r="J177" s="99"/>
      <c r="K177" s="98"/>
      <c r="L177" s="98"/>
      <c r="P177" s="2" t="str">
        <f t="shared" si="5"/>
        <v>WALMART</v>
      </c>
      <c r="Q177" s="1" t="s">
        <v>135</v>
      </c>
      <c r="R177" s="1"/>
      <c r="S177" s="98"/>
      <c r="T177" s="98"/>
      <c r="U177" s="99"/>
      <c r="V177" s="99"/>
      <c r="W177" s="98"/>
      <c r="X177" s="98"/>
    </row>
    <row r="178" spans="2:24" x14ac:dyDescent="0.3">
      <c r="B178" s="2" t="str">
        <f t="shared" si="4"/>
        <v/>
      </c>
      <c r="C178" s="1"/>
      <c r="D178" s="1"/>
      <c r="E178" s="1"/>
      <c r="F178" s="1"/>
      <c r="G178" s="98"/>
      <c r="H178" s="98"/>
      <c r="I178" s="99"/>
      <c r="J178" s="99"/>
      <c r="K178" s="98"/>
      <c r="L178" s="98"/>
      <c r="P178" s="2" t="str">
        <f t="shared" si="5"/>
        <v>WALMART</v>
      </c>
      <c r="Q178" s="1" t="s">
        <v>135</v>
      </c>
      <c r="R178" s="1"/>
      <c r="S178" s="98"/>
      <c r="T178" s="98"/>
      <c r="U178" s="99"/>
      <c r="V178" s="99"/>
      <c r="W178" s="98"/>
      <c r="X178" s="98"/>
    </row>
    <row r="179" spans="2:24" x14ac:dyDescent="0.3">
      <c r="B179" s="2" t="str">
        <f t="shared" si="4"/>
        <v/>
      </c>
      <c r="C179" s="1"/>
      <c r="D179" s="1"/>
      <c r="E179" s="1"/>
      <c r="F179" s="1"/>
      <c r="G179" s="98"/>
      <c r="H179" s="98"/>
      <c r="I179" s="99"/>
      <c r="J179" s="99"/>
      <c r="K179" s="98"/>
      <c r="L179" s="98"/>
      <c r="P179" s="2" t="str">
        <f t="shared" si="5"/>
        <v>WALMART</v>
      </c>
      <c r="Q179" s="1" t="s">
        <v>135</v>
      </c>
      <c r="R179" s="1"/>
      <c r="S179" s="98"/>
      <c r="T179" s="98"/>
      <c r="U179" s="99"/>
      <c r="V179" s="99"/>
      <c r="W179" s="98"/>
      <c r="X179" s="98"/>
    </row>
    <row r="180" spans="2:24" x14ac:dyDescent="0.3">
      <c r="B180" s="2" t="str">
        <f t="shared" si="4"/>
        <v/>
      </c>
      <c r="C180" s="1"/>
      <c r="D180" s="1"/>
      <c r="E180" s="1"/>
      <c r="F180" s="1"/>
      <c r="G180" s="98"/>
      <c r="H180" s="98"/>
      <c r="I180" s="99"/>
      <c r="J180" s="99"/>
      <c r="K180" s="98"/>
      <c r="L180" s="98"/>
      <c r="P180" s="2" t="str">
        <f t="shared" si="5"/>
        <v>WALMART</v>
      </c>
      <c r="Q180" s="1" t="s">
        <v>135</v>
      </c>
      <c r="R180" s="1"/>
      <c r="S180" s="98"/>
      <c r="T180" s="98"/>
      <c r="U180" s="99"/>
      <c r="V180" s="99"/>
      <c r="W180" s="98"/>
      <c r="X180" s="98"/>
    </row>
    <row r="181" spans="2:24" x14ac:dyDescent="0.3">
      <c r="B181" s="2" t="str">
        <f t="shared" si="4"/>
        <v/>
      </c>
      <c r="C181" s="1"/>
      <c r="D181" s="1"/>
      <c r="E181" s="1"/>
      <c r="F181" s="1"/>
      <c r="G181" s="98"/>
      <c r="H181" s="98"/>
      <c r="I181" s="99"/>
      <c r="J181" s="99"/>
      <c r="K181" s="98"/>
      <c r="L181" s="98"/>
      <c r="P181" s="2" t="str">
        <f t="shared" si="5"/>
        <v>WALMART</v>
      </c>
      <c r="Q181" s="1" t="s">
        <v>135</v>
      </c>
      <c r="R181" s="1"/>
      <c r="S181" s="98"/>
      <c r="T181" s="98"/>
      <c r="U181" s="99"/>
      <c r="V181" s="99"/>
      <c r="W181" s="98"/>
      <c r="X181" s="98"/>
    </row>
    <row r="182" spans="2:24" x14ac:dyDescent="0.3">
      <c r="B182" s="2" t="str">
        <f t="shared" si="4"/>
        <v/>
      </c>
      <c r="C182" s="1"/>
      <c r="D182" s="1"/>
      <c r="E182" s="1"/>
      <c r="F182" s="1"/>
      <c r="G182" s="98"/>
      <c r="H182" s="98"/>
      <c r="I182" s="99"/>
      <c r="J182" s="99"/>
      <c r="K182" s="98"/>
      <c r="L182" s="98"/>
      <c r="P182" s="2" t="str">
        <f t="shared" si="5"/>
        <v>WALMART</v>
      </c>
      <c r="Q182" s="1" t="s">
        <v>135</v>
      </c>
      <c r="R182" s="1"/>
      <c r="S182" s="98"/>
      <c r="T182" s="98"/>
      <c r="U182" s="99"/>
      <c r="V182" s="99"/>
      <c r="W182" s="98"/>
      <c r="X182" s="98"/>
    </row>
    <row r="183" spans="2:24" x14ac:dyDescent="0.3">
      <c r="B183" s="2" t="str">
        <f t="shared" si="4"/>
        <v/>
      </c>
      <c r="C183" s="1"/>
      <c r="D183" s="1"/>
      <c r="E183" s="1"/>
      <c r="F183" s="1"/>
      <c r="G183" s="98"/>
      <c r="H183" s="98"/>
      <c r="I183" s="99"/>
      <c r="J183" s="99"/>
      <c r="K183" s="98"/>
      <c r="L183" s="98"/>
      <c r="P183" s="2" t="str">
        <f t="shared" si="5"/>
        <v>WALMART</v>
      </c>
      <c r="Q183" s="1" t="s">
        <v>135</v>
      </c>
      <c r="R183" s="1"/>
      <c r="S183" s="98"/>
      <c r="T183" s="98"/>
      <c r="U183" s="99"/>
      <c r="V183" s="99"/>
      <c r="W183" s="98"/>
      <c r="X183" s="98"/>
    </row>
    <row r="184" spans="2:24" x14ac:dyDescent="0.3">
      <c r="B184" s="2" t="str">
        <f t="shared" si="4"/>
        <v/>
      </c>
      <c r="C184" s="1"/>
      <c r="D184" s="1"/>
      <c r="E184" s="1"/>
      <c r="F184" s="1"/>
      <c r="G184" s="98"/>
      <c r="H184" s="98"/>
      <c r="I184" s="99"/>
      <c r="J184" s="99"/>
      <c r="K184" s="98"/>
      <c r="L184" s="98"/>
      <c r="P184" s="2" t="str">
        <f t="shared" si="5"/>
        <v>WALMART</v>
      </c>
      <c r="Q184" s="1" t="s">
        <v>135</v>
      </c>
      <c r="R184" s="1"/>
      <c r="S184" s="98"/>
      <c r="T184" s="98"/>
      <c r="U184" s="99"/>
      <c r="V184" s="99"/>
      <c r="W184" s="98"/>
      <c r="X184" s="98"/>
    </row>
    <row r="185" spans="2:24" x14ac:dyDescent="0.3">
      <c r="B185" s="2" t="str">
        <f t="shared" si="4"/>
        <v/>
      </c>
      <c r="C185" s="1"/>
      <c r="D185" s="1"/>
      <c r="E185" s="1"/>
      <c r="F185" s="1"/>
      <c r="G185" s="98"/>
      <c r="H185" s="98"/>
      <c r="I185" s="99"/>
      <c r="J185" s="99"/>
      <c r="K185" s="98"/>
      <c r="L185" s="98"/>
      <c r="P185" s="2" t="str">
        <f t="shared" si="5"/>
        <v>WALMART</v>
      </c>
      <c r="Q185" s="1" t="s">
        <v>135</v>
      </c>
      <c r="R185" s="1"/>
      <c r="S185" s="98"/>
      <c r="T185" s="98"/>
      <c r="U185" s="99"/>
      <c r="V185" s="99"/>
      <c r="W185" s="98"/>
      <c r="X185" s="98"/>
    </row>
    <row r="186" spans="2:24" x14ac:dyDescent="0.3">
      <c r="B186" s="2" t="str">
        <f t="shared" si="4"/>
        <v/>
      </c>
      <c r="C186" s="1"/>
      <c r="D186" s="1"/>
      <c r="E186" s="1"/>
      <c r="F186" s="1"/>
      <c r="G186" s="98"/>
      <c r="H186" s="98"/>
      <c r="I186" s="99"/>
      <c r="J186" s="99"/>
      <c r="K186" s="98"/>
      <c r="L186" s="98"/>
      <c r="P186" s="2" t="str">
        <f t="shared" si="5"/>
        <v>WALMART</v>
      </c>
      <c r="Q186" s="1" t="s">
        <v>135</v>
      </c>
      <c r="R186" s="1"/>
      <c r="S186" s="98"/>
      <c r="T186" s="98"/>
      <c r="U186" s="99"/>
      <c r="V186" s="99"/>
      <c r="W186" s="98"/>
      <c r="X186" s="98"/>
    </row>
    <row r="187" spans="2:24" x14ac:dyDescent="0.3">
      <c r="B187" s="2" t="str">
        <f t="shared" si="4"/>
        <v/>
      </c>
      <c r="C187" s="1"/>
      <c r="D187" s="1"/>
      <c r="E187" s="1"/>
      <c r="F187" s="1"/>
      <c r="G187" s="98"/>
      <c r="H187" s="98"/>
      <c r="I187" s="99"/>
      <c r="J187" s="99"/>
      <c r="K187" s="98"/>
      <c r="L187" s="98"/>
      <c r="P187" s="2" t="str">
        <f t="shared" si="5"/>
        <v>WALMART</v>
      </c>
      <c r="Q187" s="1" t="s">
        <v>135</v>
      </c>
      <c r="R187" s="1"/>
      <c r="S187" s="98"/>
      <c r="T187" s="98"/>
      <c r="U187" s="99"/>
      <c r="V187" s="99"/>
      <c r="W187" s="98"/>
      <c r="X187" s="98"/>
    </row>
    <row r="188" spans="2:24" x14ac:dyDescent="0.3">
      <c r="B188" s="2" t="str">
        <f t="shared" si="4"/>
        <v/>
      </c>
      <c r="C188" s="1"/>
      <c r="D188" s="1"/>
      <c r="E188" s="1"/>
      <c r="F188" s="1"/>
      <c r="G188" s="98"/>
      <c r="H188" s="98"/>
      <c r="I188" s="99"/>
      <c r="J188" s="99"/>
      <c r="K188" s="98"/>
      <c r="L188" s="98"/>
      <c r="P188" s="2" t="str">
        <f t="shared" si="5"/>
        <v>WALMART</v>
      </c>
      <c r="Q188" s="1" t="s">
        <v>135</v>
      </c>
      <c r="R188" s="1"/>
      <c r="S188" s="98"/>
      <c r="T188" s="98"/>
      <c r="U188" s="99"/>
      <c r="V188" s="99"/>
      <c r="W188" s="98"/>
      <c r="X188" s="98"/>
    </row>
    <row r="189" spans="2:24" x14ac:dyDescent="0.3">
      <c r="B189" s="2" t="str">
        <f t="shared" si="4"/>
        <v/>
      </c>
      <c r="C189" s="1"/>
      <c r="D189" s="1"/>
      <c r="E189" s="1"/>
      <c r="F189" s="1"/>
      <c r="G189" s="98"/>
      <c r="H189" s="98"/>
      <c r="I189" s="99"/>
      <c r="J189" s="99"/>
      <c r="K189" s="98"/>
      <c r="L189" s="98"/>
      <c r="P189" s="2" t="str">
        <f t="shared" si="5"/>
        <v>WALMART</v>
      </c>
      <c r="Q189" s="1" t="s">
        <v>135</v>
      </c>
      <c r="R189" s="1"/>
      <c r="S189" s="98"/>
      <c r="T189" s="98"/>
      <c r="U189" s="99"/>
      <c r="V189" s="99"/>
      <c r="W189" s="98"/>
      <c r="X189" s="98"/>
    </row>
    <row r="190" spans="2:24" x14ac:dyDescent="0.3">
      <c r="B190" s="2" t="str">
        <f t="shared" si="4"/>
        <v/>
      </c>
      <c r="C190" s="1"/>
      <c r="D190" s="1"/>
      <c r="E190" s="1"/>
      <c r="F190" s="1"/>
      <c r="G190" s="98"/>
      <c r="H190" s="98"/>
      <c r="I190" s="99"/>
      <c r="J190" s="99"/>
      <c r="K190" s="98"/>
      <c r="L190" s="98"/>
      <c r="P190" s="2" t="str">
        <f t="shared" si="5"/>
        <v>WALMART</v>
      </c>
      <c r="Q190" s="1" t="s">
        <v>135</v>
      </c>
      <c r="R190" s="1"/>
      <c r="S190" s="98"/>
      <c r="T190" s="98"/>
      <c r="U190" s="99"/>
      <c r="V190" s="99"/>
      <c r="W190" s="98"/>
      <c r="X190" s="98"/>
    </row>
    <row r="191" spans="2:24" x14ac:dyDescent="0.3">
      <c r="B191" s="2" t="str">
        <f t="shared" si="4"/>
        <v/>
      </c>
      <c r="C191" s="1"/>
      <c r="D191" s="1"/>
      <c r="E191" s="1"/>
      <c r="F191" s="1"/>
      <c r="G191" s="98"/>
      <c r="H191" s="98"/>
      <c r="I191" s="99"/>
      <c r="J191" s="99"/>
      <c r="K191" s="98"/>
      <c r="L191" s="98"/>
      <c r="P191" s="2" t="str">
        <f t="shared" si="5"/>
        <v>WALMART</v>
      </c>
      <c r="Q191" s="1" t="s">
        <v>135</v>
      </c>
      <c r="R191" s="1"/>
      <c r="S191" s="98"/>
      <c r="T191" s="98"/>
      <c r="U191" s="99"/>
      <c r="V191" s="99"/>
      <c r="W191" s="98"/>
      <c r="X191" s="98"/>
    </row>
    <row r="192" spans="2:24" x14ac:dyDescent="0.3">
      <c r="B192" s="2" t="str">
        <f t="shared" si="4"/>
        <v/>
      </c>
      <c r="C192" s="1"/>
      <c r="D192" s="1"/>
      <c r="E192" s="1"/>
      <c r="F192" s="1"/>
      <c r="G192" s="98"/>
      <c r="H192" s="98"/>
      <c r="I192" s="99"/>
      <c r="J192" s="99"/>
      <c r="K192" s="98"/>
      <c r="L192" s="98"/>
      <c r="P192" s="2" t="str">
        <f t="shared" si="5"/>
        <v>WALMART</v>
      </c>
      <c r="Q192" s="1" t="s">
        <v>135</v>
      </c>
      <c r="R192" s="1"/>
      <c r="S192" s="98"/>
      <c r="T192" s="98"/>
      <c r="U192" s="99"/>
      <c r="V192" s="99"/>
      <c r="W192" s="98"/>
      <c r="X192" s="98"/>
    </row>
    <row r="193" spans="2:24" x14ac:dyDescent="0.3">
      <c r="B193" s="2" t="str">
        <f t="shared" si="4"/>
        <v/>
      </c>
      <c r="C193" s="1"/>
      <c r="D193" s="1"/>
      <c r="E193" s="1"/>
      <c r="F193" s="1"/>
      <c r="G193" s="98"/>
      <c r="H193" s="98"/>
      <c r="I193" s="99"/>
      <c r="J193" s="99"/>
      <c r="K193" s="98"/>
      <c r="L193" s="98"/>
      <c r="P193" s="2" t="str">
        <f t="shared" si="5"/>
        <v>WALMART</v>
      </c>
      <c r="Q193" s="1" t="s">
        <v>135</v>
      </c>
      <c r="R193" s="1"/>
      <c r="S193" s="98"/>
      <c r="T193" s="98"/>
      <c r="U193" s="99"/>
      <c r="V193" s="99"/>
      <c r="W193" s="98"/>
      <c r="X193" s="98"/>
    </row>
    <row r="194" spans="2:24" x14ac:dyDescent="0.3">
      <c r="B194" s="2" t="str">
        <f t="shared" si="4"/>
        <v/>
      </c>
      <c r="C194" s="1"/>
      <c r="D194" s="1"/>
      <c r="E194" s="1"/>
      <c r="F194" s="1"/>
      <c r="G194" s="98"/>
      <c r="H194" s="98"/>
      <c r="I194" s="99"/>
      <c r="J194" s="99"/>
      <c r="K194" s="98"/>
      <c r="L194" s="98"/>
      <c r="P194" s="2" t="str">
        <f t="shared" si="5"/>
        <v>WALMART</v>
      </c>
      <c r="Q194" s="1" t="s">
        <v>135</v>
      </c>
      <c r="R194" s="1"/>
      <c r="S194" s="98"/>
      <c r="T194" s="98"/>
      <c r="U194" s="99"/>
      <c r="V194" s="99"/>
      <c r="W194" s="98"/>
      <c r="X194" s="98"/>
    </row>
    <row r="195" spans="2:24" x14ac:dyDescent="0.3">
      <c r="B195" s="2" t="str">
        <f t="shared" si="4"/>
        <v/>
      </c>
      <c r="C195" s="1"/>
      <c r="D195" s="1"/>
      <c r="E195" s="1"/>
      <c r="F195" s="1"/>
      <c r="G195" s="98"/>
      <c r="H195" s="98"/>
      <c r="I195" s="99"/>
      <c r="J195" s="99"/>
      <c r="K195" s="98"/>
      <c r="L195" s="98"/>
      <c r="P195" s="2" t="str">
        <f t="shared" si="5"/>
        <v>WALMART</v>
      </c>
      <c r="Q195" s="1" t="s">
        <v>135</v>
      </c>
      <c r="R195" s="1"/>
      <c r="S195" s="98"/>
      <c r="T195" s="98"/>
      <c r="U195" s="99"/>
      <c r="V195" s="99"/>
      <c r="W195" s="98"/>
      <c r="X195" s="98"/>
    </row>
    <row r="196" spans="2:24" x14ac:dyDescent="0.3">
      <c r="B196" s="2" t="str">
        <f t="shared" ref="B196:B200" si="6">C196&amp;D196&amp;E196&amp;F196</f>
        <v/>
      </c>
      <c r="C196" s="1"/>
      <c r="D196" s="1"/>
      <c r="E196" s="1"/>
      <c r="F196" s="1"/>
      <c r="G196" s="98"/>
      <c r="H196" s="98"/>
      <c r="I196" s="99"/>
      <c r="J196" s="99"/>
      <c r="K196" s="98"/>
      <c r="L196" s="98"/>
      <c r="P196" s="2" t="str">
        <f t="shared" ref="P196:P200" si="7">Q196&amp;R196</f>
        <v>WALMART</v>
      </c>
      <c r="Q196" s="1" t="s">
        <v>135</v>
      </c>
      <c r="R196" s="1"/>
      <c r="S196" s="98"/>
      <c r="T196" s="98"/>
      <c r="U196" s="99"/>
      <c r="V196" s="99"/>
      <c r="W196" s="98"/>
      <c r="X196" s="98"/>
    </row>
    <row r="197" spans="2:24" x14ac:dyDescent="0.3">
      <c r="B197" s="2" t="str">
        <f t="shared" si="6"/>
        <v/>
      </c>
      <c r="C197" s="1"/>
      <c r="D197" s="1"/>
      <c r="E197" s="1"/>
      <c r="F197" s="1"/>
      <c r="G197" s="98"/>
      <c r="H197" s="98"/>
      <c r="I197" s="99"/>
      <c r="J197" s="99"/>
      <c r="K197" s="98"/>
      <c r="L197" s="98"/>
      <c r="P197" s="2" t="str">
        <f t="shared" si="7"/>
        <v>WALMART</v>
      </c>
      <c r="Q197" s="1" t="s">
        <v>135</v>
      </c>
      <c r="R197" s="1"/>
      <c r="S197" s="98"/>
      <c r="T197" s="98"/>
      <c r="U197" s="99"/>
      <c r="V197" s="99"/>
      <c r="W197" s="98"/>
      <c r="X197" s="98"/>
    </row>
    <row r="198" spans="2:24" x14ac:dyDescent="0.3">
      <c r="B198" s="2" t="str">
        <f t="shared" si="6"/>
        <v/>
      </c>
      <c r="C198" s="1"/>
      <c r="D198" s="1"/>
      <c r="E198" s="1"/>
      <c r="F198" s="1"/>
      <c r="G198" s="98"/>
      <c r="H198" s="98"/>
      <c r="I198" s="99"/>
      <c r="J198" s="99"/>
      <c r="K198" s="98"/>
      <c r="L198" s="98"/>
      <c r="P198" s="2" t="str">
        <f t="shared" si="7"/>
        <v>WALMART</v>
      </c>
      <c r="Q198" s="1" t="s">
        <v>135</v>
      </c>
      <c r="R198" s="1"/>
      <c r="S198" s="98"/>
      <c r="T198" s="98"/>
      <c r="U198" s="99"/>
      <c r="V198" s="99"/>
      <c r="W198" s="98"/>
      <c r="X198" s="98"/>
    </row>
    <row r="199" spans="2:24" x14ac:dyDescent="0.3">
      <c r="B199" s="2" t="str">
        <f t="shared" si="6"/>
        <v/>
      </c>
      <c r="C199" s="1"/>
      <c r="D199" s="1"/>
      <c r="E199" s="1"/>
      <c r="F199" s="1"/>
      <c r="G199" s="98"/>
      <c r="H199" s="98"/>
      <c r="I199" s="99"/>
      <c r="J199" s="99"/>
      <c r="K199" s="98"/>
      <c r="L199" s="98"/>
      <c r="P199" s="2" t="str">
        <f t="shared" si="7"/>
        <v>WALMART</v>
      </c>
      <c r="Q199" s="1" t="s">
        <v>135</v>
      </c>
      <c r="R199" s="1"/>
      <c r="S199" s="98"/>
      <c r="T199" s="98"/>
      <c r="U199" s="99"/>
      <c r="V199" s="99"/>
      <c r="W199" s="98"/>
      <c r="X199" s="98"/>
    </row>
    <row r="200" spans="2:24" x14ac:dyDescent="0.3">
      <c r="B200" s="2" t="str">
        <f t="shared" si="6"/>
        <v/>
      </c>
      <c r="C200" s="1"/>
      <c r="D200" s="1"/>
      <c r="E200" s="1"/>
      <c r="F200" s="1"/>
      <c r="G200" s="98"/>
      <c r="H200" s="98"/>
      <c r="I200" s="99"/>
      <c r="J200" s="99"/>
      <c r="K200" s="98"/>
      <c r="L200" s="98"/>
      <c r="P200" s="2" t="str">
        <f t="shared" si="7"/>
        <v>WALMART</v>
      </c>
      <c r="Q200" s="1" t="s">
        <v>135</v>
      </c>
      <c r="R200" s="1"/>
      <c r="S200" s="98"/>
      <c r="T200" s="98"/>
      <c r="U200" s="99"/>
      <c r="V200" s="99"/>
      <c r="W200" s="98"/>
      <c r="X200" s="98"/>
    </row>
  </sheetData>
  <autoFilter ref="C2:J200" xr:uid="{129FCD4A-814E-4BA7-9734-FE417110CDC8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7EE9C-15BA-4939-829F-E9286CED1152}">
  <sheetPr codeName="Sheet7">
    <tabColor theme="4" tint="0.79998168889431442"/>
  </sheetPr>
  <dimension ref="B1:BR229"/>
  <sheetViews>
    <sheetView topLeftCell="AS1" workbookViewId="0">
      <selection activeCell="BC1" sqref="BC1"/>
    </sheetView>
  </sheetViews>
  <sheetFormatPr defaultRowHeight="14.4" x14ac:dyDescent="0.3"/>
  <cols>
    <col min="1" max="1" width="3.77734375" customWidth="1"/>
    <col min="2" max="4" width="23.77734375" bestFit="1" customWidth="1"/>
    <col min="5" max="5" width="8" bestFit="1" customWidth="1"/>
    <col min="6" max="6" width="19.33203125" bestFit="1" customWidth="1"/>
    <col min="7" max="7" width="14.109375" bestFit="1" customWidth="1"/>
    <col min="8" max="10" width="12" bestFit="1" customWidth="1"/>
    <col min="11" max="11" width="15.109375" bestFit="1" customWidth="1"/>
    <col min="12" max="12" width="13.109375" bestFit="1" customWidth="1"/>
    <col min="13" max="13" width="11.88671875" bestFit="1" customWidth="1"/>
    <col min="14" max="14" width="8.21875" bestFit="1" customWidth="1"/>
    <col min="15" max="15" width="8.5546875" bestFit="1" customWidth="1"/>
    <col min="16" max="16" width="9" bestFit="1" customWidth="1"/>
    <col min="17" max="17" width="9.5546875" bestFit="1" customWidth="1"/>
    <col min="18" max="18" width="16.6640625" bestFit="1" customWidth="1"/>
    <col min="19" max="22" width="12.44140625" bestFit="1" customWidth="1"/>
    <col min="23" max="23" width="16.88671875" bestFit="1" customWidth="1"/>
    <col min="24" max="24" width="16.6640625" bestFit="1" customWidth="1"/>
    <col min="25" max="25" width="6.109375" bestFit="1" customWidth="1"/>
    <col min="26" max="26" width="13" bestFit="1" customWidth="1"/>
    <col min="27" max="27" width="14.109375" bestFit="1" customWidth="1"/>
    <col min="28" max="28" width="12" bestFit="1" customWidth="1"/>
    <col min="29" max="30" width="13" bestFit="1" customWidth="1"/>
    <col min="31" max="31" width="10.77734375" bestFit="1" customWidth="1"/>
    <col min="32" max="32" width="12.109375" bestFit="1" customWidth="1"/>
    <col min="33" max="33" width="13.77734375" bestFit="1" customWidth="1"/>
    <col min="34" max="34" width="13.33203125" bestFit="1" customWidth="1"/>
    <col min="35" max="35" width="13.21875" bestFit="1" customWidth="1"/>
    <col min="36" max="36" width="18.5546875" bestFit="1" customWidth="1"/>
    <col min="37" max="37" width="20.109375" bestFit="1" customWidth="1"/>
    <col min="38" max="38" width="18.5546875" bestFit="1" customWidth="1"/>
    <col min="39" max="39" width="17.21875" bestFit="1" customWidth="1"/>
    <col min="40" max="41" width="13.88671875" bestFit="1" customWidth="1"/>
    <col min="42" max="42" width="14.109375" bestFit="1" customWidth="1"/>
    <col min="43" max="45" width="12.44140625" bestFit="1" customWidth="1"/>
    <col min="46" max="46" width="14.109375" bestFit="1" customWidth="1"/>
    <col min="47" max="48" width="12" bestFit="1" customWidth="1"/>
    <col min="49" max="49" width="13.109375" bestFit="1" customWidth="1"/>
    <col min="50" max="57" width="15.21875" customWidth="1"/>
    <col min="58" max="72" width="12" bestFit="1" customWidth="1"/>
  </cols>
  <sheetData>
    <row r="1" spans="2:55" x14ac:dyDescent="0.3">
      <c r="B1" s="103" t="s">
        <v>93</v>
      </c>
      <c r="I1" s="18" t="s">
        <v>98</v>
      </c>
      <c r="P1" s="18" t="s">
        <v>94</v>
      </c>
      <c r="Y1" s="18" t="s">
        <v>95</v>
      </c>
      <c r="AR1" s="18" t="s">
        <v>97</v>
      </c>
      <c r="AS1" s="18" t="s">
        <v>96</v>
      </c>
      <c r="AX1" s="18" t="s">
        <v>99</v>
      </c>
      <c r="AY1" s="4"/>
    </row>
    <row r="2" spans="2:55" x14ac:dyDescent="0.3">
      <c r="B2" s="101" t="str">
        <f>"L0_"&amp;B3</f>
        <v>L0_Graph_Colour</v>
      </c>
      <c r="D2" s="4" t="str">
        <f t="shared" ref="D2:F2" si="0">"L0_"&amp;D3</f>
        <v>L0_Key_Brand</v>
      </c>
      <c r="E2" s="4" t="str">
        <f t="shared" si="0"/>
        <v>L0_Channel</v>
      </c>
      <c r="F2" s="4" t="str">
        <f t="shared" si="0"/>
        <v>L0_Brand</v>
      </c>
      <c r="G2" s="4" t="str">
        <f>"L0_"&amp;G3</f>
        <v>L0_RSV</v>
      </c>
      <c r="H2" s="4" t="str">
        <f t="shared" ref="H2:BC2" si="1">"L0_"&amp;H3</f>
        <v>L0_Vol</v>
      </c>
      <c r="I2" s="4" t="str">
        <f t="shared" si="1"/>
        <v>L0_CSF</v>
      </c>
      <c r="J2" s="4" t="str">
        <f t="shared" si="1"/>
        <v>L0_MCV</v>
      </c>
      <c r="K2" s="4" t="str">
        <f t="shared" si="1"/>
        <v>L0_RSV_Total</v>
      </c>
      <c r="L2" s="4" t="str">
        <f t="shared" si="1"/>
        <v>L0_Volume_Total</v>
      </c>
      <c r="M2" s="4" t="str">
        <f t="shared" si="1"/>
        <v>L0_Current Price</v>
      </c>
      <c r="N2" s="4" t="str">
        <f t="shared" si="1"/>
        <v>L0_Price_FP</v>
      </c>
      <c r="O2" s="4" t="str">
        <f t="shared" si="1"/>
        <v>L0_Elasticity</v>
      </c>
      <c r="P2" s="4" t="str">
        <f t="shared" si="1"/>
        <v>L0_Val Share</v>
      </c>
      <c r="Q2" s="4" t="str">
        <f t="shared" si="1"/>
        <v>L0_Vol. Share</v>
      </c>
      <c r="R2" s="4" t="str">
        <f t="shared" si="1"/>
        <v>L0_NSV_to_RSV_o</v>
      </c>
      <c r="S2" s="4" t="str">
        <f t="shared" si="1"/>
        <v>L0_NSV_to_GM_o</v>
      </c>
      <c r="T2" s="4" t="str">
        <f t="shared" si="1"/>
        <v>L0_NSV_o</v>
      </c>
      <c r="U2" s="4" t="str">
        <f t="shared" si="1"/>
        <v>L0_GM_o</v>
      </c>
      <c r="V2" s="4" t="str">
        <f t="shared" si="1"/>
        <v>L0_Fixed Cost</v>
      </c>
      <c r="W2" s="4" t="str">
        <f t="shared" si="1"/>
        <v>L0_Fixed Cost per Unit</v>
      </c>
      <c r="X2" s="4" t="str">
        <f t="shared" si="1"/>
        <v>L0_TPV</v>
      </c>
      <c r="Y2" s="4" t="str">
        <f t="shared" si="1"/>
        <v>L0_PVS</v>
      </c>
      <c r="Z2" s="4" t="str">
        <f t="shared" si="1"/>
        <v>L0_MS Headroom</v>
      </c>
      <c r="AA2" s="4" t="str">
        <f t="shared" si="1"/>
        <v>L0_RSV_i</v>
      </c>
      <c r="AB2" s="4" t="str">
        <f t="shared" si="1"/>
        <v>L0_Vol_i</v>
      </c>
      <c r="AC2" s="4" t="str">
        <f t="shared" si="1"/>
        <v>L0_NSV_i</v>
      </c>
      <c r="AD2" s="4" t="str">
        <f t="shared" si="1"/>
        <v>L0_GM_i</v>
      </c>
      <c r="AE2" s="4" t="str">
        <f t="shared" si="1"/>
        <v>L0_Vol_Share_i</v>
      </c>
      <c r="AF2" s="4" t="str">
        <f t="shared" si="1"/>
        <v>L0_New Price</v>
      </c>
      <c r="AG2" s="4" t="str">
        <f t="shared" si="1"/>
        <v>L0_NSV_to_RSV</v>
      </c>
      <c r="AH2" s="4" t="str">
        <f t="shared" si="1"/>
        <v>L0_NSV_to_GM</v>
      </c>
      <c r="AI2" s="4" t="str">
        <f t="shared" si="1"/>
        <v>L0_Price_Chng</v>
      </c>
      <c r="AJ2" s="4" t="str">
        <f t="shared" si="1"/>
        <v>L0_Revised_New_Vol</v>
      </c>
      <c r="AK2" s="4" t="str">
        <f t="shared" si="1"/>
        <v>L0_New Category Price</v>
      </c>
      <c r="AL2" s="4" t="str">
        <f t="shared" si="1"/>
        <v>L0_Chg Category Price</v>
      </c>
      <c r="AM2" s="4" t="str">
        <f t="shared" si="1"/>
        <v>L0_Chng in Cat Vol.</v>
      </c>
      <c r="AN2" s="4" t="str">
        <f t="shared" si="1"/>
        <v>L0_New Cat Vol</v>
      </c>
      <c r="AO2" s="4" t="str">
        <f t="shared" si="1"/>
        <v>L0_New Cat Val</v>
      </c>
      <c r="AP2" s="4" t="str">
        <f t="shared" si="1"/>
        <v>L0_TPV_n</v>
      </c>
      <c r="AQ2" s="4" t="str">
        <f t="shared" si="1"/>
        <v>L0_TPV_Share</v>
      </c>
      <c r="AR2" s="4" t="str">
        <f t="shared" si="1"/>
        <v>L0_PVS_N</v>
      </c>
      <c r="AS2" s="4" t="str">
        <f t="shared" si="1"/>
        <v>L0_MSP_N</v>
      </c>
      <c r="AT2" s="4" t="str">
        <f t="shared" si="1"/>
        <v>L0_RSV_N</v>
      </c>
      <c r="AU2" s="4" t="str">
        <f t="shared" si="1"/>
        <v>L0_New Vol</v>
      </c>
      <c r="AV2" s="4" t="str">
        <f t="shared" si="1"/>
        <v>L0_New NSV</v>
      </c>
      <c r="AW2" s="4" t="str">
        <f t="shared" si="1"/>
        <v>L0_New GP</v>
      </c>
      <c r="AX2" s="4" t="str">
        <f t="shared" si="1"/>
        <v>L0_Final CSF</v>
      </c>
      <c r="AY2" s="4" t="str">
        <f t="shared" si="1"/>
        <v>L0_Vol_Share</v>
      </c>
      <c r="AZ2" s="83" t="str">
        <f t="shared" si="1"/>
        <v>L0_Current RPI_1</v>
      </c>
      <c r="BA2" s="83" t="str">
        <f t="shared" si="1"/>
        <v>L0_Current RPI_2</v>
      </c>
      <c r="BB2" s="83" t="str">
        <f t="shared" si="1"/>
        <v>L0_Proposed RPI_1</v>
      </c>
      <c r="BC2" s="83" t="str">
        <f t="shared" si="1"/>
        <v>L0_Proposed RPI_2</v>
      </c>
    </row>
    <row r="3" spans="2:55" x14ac:dyDescent="0.3">
      <c r="B3" s="101" t="s">
        <v>86</v>
      </c>
      <c r="D3" s="4" t="s">
        <v>42</v>
      </c>
      <c r="E3" s="4" t="s">
        <v>0</v>
      </c>
      <c r="F3" s="4" t="s">
        <v>1</v>
      </c>
      <c r="G3" s="6" t="s">
        <v>3</v>
      </c>
      <c r="H3" s="6" t="s">
        <v>4</v>
      </c>
      <c r="I3" s="6" t="s">
        <v>5</v>
      </c>
      <c r="J3" s="6" t="s">
        <v>6</v>
      </c>
      <c r="K3" s="6" t="s">
        <v>7</v>
      </c>
      <c r="L3" s="6" t="s">
        <v>8</v>
      </c>
      <c r="M3" s="5" t="s">
        <v>10</v>
      </c>
      <c r="N3" s="5" t="s">
        <v>12</v>
      </c>
      <c r="O3" s="5" t="s">
        <v>11</v>
      </c>
      <c r="P3" s="5" t="s">
        <v>20</v>
      </c>
      <c r="Q3" s="5" t="s">
        <v>19</v>
      </c>
      <c r="R3" s="5" t="s">
        <v>27</v>
      </c>
      <c r="S3" s="5" t="s">
        <v>28</v>
      </c>
      <c r="T3" s="9" t="s">
        <v>29</v>
      </c>
      <c r="U3" s="9" t="s">
        <v>30</v>
      </c>
      <c r="V3" s="9" t="s">
        <v>47</v>
      </c>
      <c r="W3" s="9" t="s">
        <v>48</v>
      </c>
      <c r="X3" s="5" t="s">
        <v>22</v>
      </c>
      <c r="Y3" s="5" t="s">
        <v>23</v>
      </c>
      <c r="Z3" s="5" t="s">
        <v>24</v>
      </c>
      <c r="AA3" s="5" t="s">
        <v>68</v>
      </c>
      <c r="AB3" s="5" t="s">
        <v>26</v>
      </c>
      <c r="AC3" s="5" t="s">
        <v>21</v>
      </c>
      <c r="AD3" s="5" t="s">
        <v>69</v>
      </c>
      <c r="AE3" s="136" t="s">
        <v>131</v>
      </c>
      <c r="AF3" s="5" t="s">
        <v>13</v>
      </c>
      <c r="AG3" s="31" t="s">
        <v>16</v>
      </c>
      <c r="AH3" s="31" t="s">
        <v>17</v>
      </c>
      <c r="AI3" s="5" t="s">
        <v>14</v>
      </c>
      <c r="AJ3" s="5" t="s">
        <v>15</v>
      </c>
      <c r="AK3" s="17" t="s">
        <v>31</v>
      </c>
      <c r="AL3" s="17" t="s">
        <v>83</v>
      </c>
      <c r="AM3" s="18" t="s">
        <v>32</v>
      </c>
      <c r="AN3" s="18" t="s">
        <v>34</v>
      </c>
      <c r="AO3" s="18" t="s">
        <v>35</v>
      </c>
      <c r="AP3" s="4" t="s">
        <v>36</v>
      </c>
      <c r="AQ3" s="4" t="s">
        <v>37</v>
      </c>
      <c r="AR3" s="4" t="s">
        <v>44</v>
      </c>
      <c r="AS3" s="4" t="s">
        <v>45</v>
      </c>
      <c r="AT3" s="4" t="s">
        <v>46</v>
      </c>
      <c r="AU3" s="4" t="s">
        <v>38</v>
      </c>
      <c r="AV3" s="4" t="s">
        <v>39</v>
      </c>
      <c r="AW3" s="4" t="s">
        <v>40</v>
      </c>
      <c r="AX3" s="4" t="s">
        <v>70</v>
      </c>
      <c r="AY3" s="4" t="s">
        <v>132</v>
      </c>
      <c r="AZ3" s="83" t="s">
        <v>72</v>
      </c>
      <c r="BA3" s="83" t="s">
        <v>73</v>
      </c>
      <c r="BB3" s="83" t="s">
        <v>74</v>
      </c>
      <c r="BC3" s="83" t="s">
        <v>75</v>
      </c>
    </row>
    <row r="4" spans="2:55" ht="14.4" customHeight="1" x14ac:dyDescent="0.3">
      <c r="B4" s="102" t="s">
        <v>87</v>
      </c>
      <c r="C4" s="4">
        <v>1</v>
      </c>
      <c r="D4" s="96" t="str">
        <f>IFERROR(E4&amp;F4,"")</f>
        <v>WALMARTKRAFT</v>
      </c>
      <c r="E4" s="3" t="s">
        <v>135</v>
      </c>
      <c r="F4" s="97" t="str">
        <f>IFERROR(INDEX('Input - Walmart'!$Z$3:$Z$200,MATCH('Calculations - Walmart'!$C4,'Input - Walmart'!$AA$3:$AA$200,0)),"")</f>
        <v>KRAFT</v>
      </c>
      <c r="G4" s="20">
        <f>IFERROR(INDEX('Input - Walmart'!S$2:S$200,MATCH('Calculations - Walmart'!$D4,'Input - Walmart'!$P$2:$P$200,0)),"")</f>
        <v>115955504.009765</v>
      </c>
      <c r="H4" s="20">
        <f>IFERROR(INDEX('Input - Walmart'!T$2:T$200,MATCH('Calculations - Walmart'!$D4,'Input - Walmart'!$P$2:$P$200,0)),"")</f>
        <v>38749401.130130999</v>
      </c>
      <c r="I4" s="27">
        <f>IFERROR(INDEX('Input - Walmart'!U$2:U$200,MATCH('Calculations - Walmart'!$D4,'Input - Walmart'!$P$2:$P$200,0)),"")</f>
        <v>2.0999493299448702</v>
      </c>
      <c r="J4" s="27">
        <f>IFERROR(INDEX('Input - Walmart'!V$2:V$200,MATCH('Calculations - Walmart'!$D4,'Input - Walmart'!$P$2:$P$200,0)),"")</f>
        <v>6.2839857093787197</v>
      </c>
      <c r="K4" s="20">
        <f>IFERROR(INDEX('Input - Walmart'!W$2:W$200,MATCH('Calculations - Walmart'!$D4,'Input - Walmart'!$P$2:$P$200,0)),"")</f>
        <v>412277867.727705</v>
      </c>
      <c r="L4" s="20">
        <f>IFERROR(INDEX('Input - Walmart'!X$2:X$200,MATCH('Calculations - Walmart'!$D4,'Input - Walmart'!$P$2:$P$200,0)),"")</f>
        <v>164968855.089609</v>
      </c>
      <c r="M4" s="21">
        <f>IFERROR(G4/H4,"")</f>
        <v>2.9924463508572678</v>
      </c>
      <c r="N4" s="21">
        <f t="shared" ref="N4:N24" si="2">IFERROR(K4/L4,"")</f>
        <v>2.4991254713125146</v>
      </c>
      <c r="O4" s="21">
        <f>IFERROR((M4/(M4-J4)*5),"")</f>
        <v>-4.5456639354928816</v>
      </c>
      <c r="P4" s="9">
        <f t="shared" ref="P4:P23" si="3">IFERROR(G4/SUM(G$4:G$23),"")</f>
        <v>0.13952575361982897</v>
      </c>
      <c r="Q4" s="9">
        <f t="shared" ref="Q4:Q23" si="4">IFERROR(H4/SUM(H$4:H$23),"")</f>
        <v>0.14126505213588503</v>
      </c>
      <c r="R4" s="8">
        <f t="shared" ref="R4:R23" si="5">IFERROR(T4/G4,"-")</f>
        <v>0.80000000000000226</v>
      </c>
      <c r="S4" s="8">
        <f>IFERROR(U4/T4,"-")</f>
        <v>0.3</v>
      </c>
      <c r="T4">
        <f t="shared" ref="T4:U23" si="6">IFERROR(SUMIFS(V$32:V$229,$B$32:$B$229,$D4),"-")</f>
        <v>92764403.207812265</v>
      </c>
      <c r="U4">
        <f t="shared" si="6"/>
        <v>27829320.962343678</v>
      </c>
      <c r="V4">
        <f>IFERROR(T4-U4,"-")</f>
        <v>64935082.245468587</v>
      </c>
      <c r="W4">
        <f t="shared" ref="W4:W23" si="7">IFERROR(V4/H4,"-")</f>
        <v>1.6757699564800748</v>
      </c>
      <c r="X4" s="10">
        <f t="shared" ref="X4:X23" si="8">IFERROR((J4+M4)*H4*0.5,"-")</f>
        <v>179728093.47924587</v>
      </c>
      <c r="Y4" s="7">
        <f>IFERROR(X4/$X$24,"")</f>
        <v>0.13464471301495545</v>
      </c>
      <c r="Z4" s="13">
        <f>IFERROR(Y4-P4,"-")</f>
        <v>-4.8810406048735155E-3</v>
      </c>
      <c r="AA4">
        <f>IFERROR(Y4*$G$24,"-")</f>
        <v>111899023.33328433</v>
      </c>
      <c r="AB4" s="16">
        <f t="shared" ref="AB4:AB23" si="9">IFERROR(AA4/M4,"-")</f>
        <v>37393827.729351878</v>
      </c>
      <c r="AC4" s="16">
        <f>IFERROR(R4*AA4,"-")</f>
        <v>89519218.66662772</v>
      </c>
      <c r="AD4" s="16">
        <f>IFERROR(AC4-(W4)*AB4,"-")</f>
        <v>26855765.599988312</v>
      </c>
      <c r="AE4" s="9">
        <f>IFERROR(AB4/$AB$24,"")</f>
        <v>0.13590717357047116</v>
      </c>
      <c r="AF4" s="27" cm="1">
        <f t="array" ref="AF4">IFERROR(SUM(_xlfn._xlws.FILTER($AH$32:$AH$229*$AL$32:$AL$229,$B$32:$B$229=D4))/SUM(_xlfn._xlws.FILTER($AL$32:$AL$229,$B$32:$B$229=D4)),"-")</f>
        <v>2.9924463508572763</v>
      </c>
      <c r="AG4" s="163">
        <f>IFERROR(SUMIFS(AX$32:AX$229,$F$32:$F$229,$F4)/SUMIFS(AV$32:AV$229,$F$32:$F$229,$F4),"-")</f>
        <v>0.80000000000000016</v>
      </c>
      <c r="AH4" s="126">
        <f>IFERROR(SUMIFS(AY$32:AY$229,$F$32:$F$229,$F4)/SUMIFS(AX$32:AX$229,$F$32:$F$229,$F4),"-")</f>
        <v>0.30000000000000004</v>
      </c>
      <c r="AI4" s="9">
        <f t="shared" ref="AI4:AI23" si="10">IFERROR((AF4-M4)/M4,"")</f>
        <v>2.8196645813663399E-15</v>
      </c>
      <c r="AJ4" s="4">
        <f t="shared" ref="AJ4:AJ23" si="11">IFERROR(MAX((1+AI4*O4/5)*H4,0),"")</f>
        <v>38749401.130130902</v>
      </c>
      <c r="AK4" s="18">
        <f>SUMPRODUCT(AF$4:AF$23,AJ$4:AJ$23)/SUM(AJ$4:AJ$23)</f>
        <v>3.0297495537599031</v>
      </c>
      <c r="AL4" s="24">
        <f>$AK4/$M$24-1</f>
        <v>0</v>
      </c>
      <c r="AM4" s="24">
        <f>$AL4*$O$24/5</f>
        <v>0</v>
      </c>
      <c r="AN4" s="25">
        <f>(1+$AM4)*$H$24</f>
        <v>274302812.65077049</v>
      </c>
      <c r="AO4" s="25">
        <f>AN4*AK4</f>
        <v>831068824.22375822</v>
      </c>
      <c r="AP4" s="20">
        <f t="shared" ref="AP4:AP23" si="12">IFERROR(0.5*(J4+AF4)*AJ4,"-")</f>
        <v>179728093.4792456</v>
      </c>
      <c r="AQ4" s="13">
        <f>IFERROR(AP4/AP$24,"")</f>
        <v>0.13464471301495526</v>
      </c>
      <c r="AR4" s="9">
        <f>IFERROR(AQ4*$P$24,"")</f>
        <v>0.13464471301495526</v>
      </c>
      <c r="AS4" s="13">
        <f>IFERROR(AR4-P4,"")</f>
        <v>-4.8810406048737098E-3</v>
      </c>
      <c r="AT4" s="16">
        <f>IFERROR(AR4*AO$4,"-")</f>
        <v>111899023.33328423</v>
      </c>
      <c r="AU4" s="16">
        <f t="shared" ref="AU4:AU23" si="13">IFERROR(AT4/AF4,"-")</f>
        <v>37393827.729351737</v>
      </c>
      <c r="AV4" s="4">
        <f>IFERROR(AT4*AG4,"-")</f>
        <v>89519218.666627407</v>
      </c>
      <c r="AW4" s="16">
        <f t="shared" ref="AW4:AW23" si="14">IFERROR(AV4-(W4*AU4),"-")</f>
        <v>26855765.599988237</v>
      </c>
      <c r="AX4">
        <f t="shared" ref="AX4:AX23" si="15">IFERROR(J4/AF4,"")</f>
        <v>2.0999493299448737</v>
      </c>
      <c r="AY4" s="9">
        <f>IFERROR(AU4/$AU$24,"-")</f>
        <v>0.13590717357047072</v>
      </c>
      <c r="AZ4" s="20">
        <f>IFERROR(100*$M$4/$M4,"")</f>
        <v>100</v>
      </c>
      <c r="BA4" s="20">
        <f>IFERROR(100*$M$5/$M4,"")</f>
        <v>112.13579546652963</v>
      </c>
      <c r="BB4" s="20">
        <f>IFERROR(100*$AF$4/$AF4,"")</f>
        <v>100</v>
      </c>
      <c r="BC4" s="20">
        <f>IFERROR(100*$AF$5/$AF4,"")</f>
        <v>112.13579546652929</v>
      </c>
    </row>
    <row r="5" spans="2:55" ht="14.4" customHeight="1" x14ac:dyDescent="0.3">
      <c r="B5" s="102" t="s">
        <v>88</v>
      </c>
      <c r="C5" s="4">
        <v>2</v>
      </c>
      <c r="D5" s="96" t="str">
        <f t="shared" ref="D5:D24" si="16">IFERROR(E5&amp;F5,"")</f>
        <v>WALMARTMIRACLE WHIP</v>
      </c>
      <c r="E5" s="3" t="s">
        <v>135</v>
      </c>
      <c r="F5" s="97" t="str">
        <f>IFERROR(INDEX('Input - Walmart'!$Z$3:$Z$200,MATCH('Calculations - Walmart'!$C5,'Input - Walmart'!$AA$3:$AA$200,0)),"")</f>
        <v>MIRACLE WHIP</v>
      </c>
      <c r="G5" s="20">
        <f>IFERROR(INDEX('Input - Walmart'!S$2:S$200,MATCH('Calculations - Walmart'!$D5,'Input - Walmart'!$P$2:$P$200,0)),"")</f>
        <v>119791689.65034001</v>
      </c>
      <c r="H5" s="20">
        <f>IFERROR(INDEX('Input - Walmart'!T$2:T$200,MATCH('Calculations - Walmart'!$D5,'Input - Walmart'!$P$2:$P$200,0)),"")</f>
        <v>35698999.883700997</v>
      </c>
      <c r="I5" s="27">
        <f>IFERROR(INDEX('Input - Walmart'!U$2:U$200,MATCH('Calculations - Walmart'!$D5,'Input - Walmart'!$P$2:$P$200,0)),"")</f>
        <v>2.0388929404677598</v>
      </c>
      <c r="J5" s="27">
        <f>IFERROR(INDEX('Input - Walmart'!V$2:V$200,MATCH('Calculations - Walmart'!$D5,'Input - Walmart'!$P$2:$P$200,0)),"")</f>
        <v>6.8417163268009702</v>
      </c>
      <c r="K5" s="20">
        <f>IFERROR(INDEX('Input - Walmart'!W$2:W$200,MATCH('Calculations - Walmart'!$D5,'Input - Walmart'!$P$2:$P$200,0)),"")</f>
        <v>428527389.46257001</v>
      </c>
      <c r="L5" s="20">
        <f>IFERROR(INDEX('Input - Walmart'!X$2:X$200,MATCH('Calculations - Walmart'!$D5,'Input - Walmart'!$P$2:$P$200,0)),"")</f>
        <v>140808812.183651</v>
      </c>
      <c r="M5" s="21">
        <f t="shared" ref="M5:M24" si="17">IFERROR(G5/H5,"")</f>
        <v>3.3556035194429352</v>
      </c>
      <c r="N5" s="21">
        <f t="shared" si="2"/>
        <v>3.0433279197303347</v>
      </c>
      <c r="O5" s="21">
        <f t="shared" ref="O5:O24" si="18">IFERROR((M5/(M5-J5)*5),"")</f>
        <v>-4.8128154550253823</v>
      </c>
      <c r="P5" s="9">
        <f t="shared" si="3"/>
        <v>0.1441417198656548</v>
      </c>
      <c r="Q5" s="9">
        <f t="shared" si="4"/>
        <v>0.13014449082281665</v>
      </c>
      <c r="R5" s="8">
        <f t="shared" si="5"/>
        <v>0.8</v>
      </c>
      <c r="S5" s="8">
        <f t="shared" ref="S5:S23" si="19">IFERROR(U5/T5,"-")</f>
        <v>0.30000000000000004</v>
      </c>
      <c r="T5">
        <f t="shared" si="6"/>
        <v>95833351.720272005</v>
      </c>
      <c r="U5">
        <f t="shared" si="6"/>
        <v>28750005.516081605</v>
      </c>
      <c r="V5">
        <f t="shared" ref="V5:V23" si="20">IFERROR(T5-U5,"-")</f>
        <v>67083346.204190403</v>
      </c>
      <c r="W5">
        <f t="shared" si="7"/>
        <v>1.8791379708880438</v>
      </c>
      <c r="X5" s="10">
        <f t="shared" si="8"/>
        <v>182017060.00256151</v>
      </c>
      <c r="Y5" s="7">
        <f t="shared" ref="Y5:Y23" si="21">IFERROR(X5/$X$24,"")</f>
        <v>0.13635951026599438</v>
      </c>
      <c r="Z5" s="13">
        <f t="shared" ref="Z5:Z23" si="22">IFERROR(Y5-P5,"-")</f>
        <v>-7.7822095996604168E-3</v>
      </c>
      <c r="AA5">
        <f t="shared" ref="AA5:AA23" si="23">IFERROR(Y5*$G$24,"-")</f>
        <v>113324137.86848739</v>
      </c>
      <c r="AB5" s="16">
        <f t="shared" si="9"/>
        <v>33771611.339619875</v>
      </c>
      <c r="AC5" s="16">
        <f t="shared" ref="AC5:AC23" si="24">IFERROR(R5*AA5,"-")</f>
        <v>90659310.29478991</v>
      </c>
      <c r="AD5" s="16">
        <f t="shared" ref="AD5:AD23" si="25">IFERROR(AC5-(W5)*AB5,"-")</f>
        <v>27197793.088436969</v>
      </c>
      <c r="AE5" s="9">
        <f t="shared" ref="AE5:AE23" si="26">IFERROR(AB5/$AB$24,"")</f>
        <v>0.12274229526081637</v>
      </c>
      <c r="AF5" s="27" cm="1">
        <f t="array" ref="AF5">IFERROR(SUM(_xlfn._xlws.FILTER($AH$32:$AH$229*$AL$32:$AL$229,$B$32:$B$229=D5))/SUM(_xlfn._xlws.FILTER($AL$32:$AL$229,$B$32:$B$229=D5)),"-")</f>
        <v>3.3556035194429348</v>
      </c>
      <c r="AG5" s="163">
        <f t="shared" ref="AG5:AG23" si="27">IFERROR(SUMIFS(AX$32:AX$229,$F$32:$F$229,$F5)/SUMIFS(AV$32:AV$229,$F$32:$F$229,$F5),"-")</f>
        <v>0.79999999999999982</v>
      </c>
      <c r="AH5" s="126">
        <f t="shared" ref="AH5:AH23" si="28">IFERROR(SUMIFS(AY$32:AY$229,$F$32:$F$229,$F5)/SUMIFS(AX$32:AX$229,$F$32:$F$229,$F5),"-")</f>
        <v>0.3000000000000001</v>
      </c>
      <c r="AI5" s="9">
        <f t="shared" si="10"/>
        <v>-1.3234257482355543E-16</v>
      </c>
      <c r="AJ5" s="4">
        <f t="shared" si="11"/>
        <v>35698999.883701004</v>
      </c>
      <c r="AP5" s="20">
        <f t="shared" si="12"/>
        <v>182017060.00256157</v>
      </c>
      <c r="AQ5" s="13">
        <f t="shared" ref="AQ5:AQ24" si="29">IFERROR(AP5/AP$24,"")</f>
        <v>0.13635951026599441</v>
      </c>
      <c r="AR5" s="9">
        <f t="shared" ref="AR5:AR24" si="30">IFERROR(AQ5*$P$24,"")</f>
        <v>0.13635951026599441</v>
      </c>
      <c r="AS5" s="13">
        <f t="shared" ref="AS5:AS24" si="31">IFERROR(AR5-P5,"")</f>
        <v>-7.7822095996603891E-3</v>
      </c>
      <c r="AT5" s="16">
        <f t="shared" ref="AT5:AT23" si="32">IFERROR(AR5*AO$4,"-")</f>
        <v>113324137.86848746</v>
      </c>
      <c r="AU5" s="16">
        <f t="shared" si="13"/>
        <v>33771611.339619897</v>
      </c>
      <c r="AV5" s="4">
        <f t="shared" ref="AV5:AV23" si="33">IFERROR(AT5*AG5,"-")</f>
        <v>90659310.294789955</v>
      </c>
      <c r="AW5" s="16">
        <f t="shared" si="14"/>
        <v>27197793.088436969</v>
      </c>
      <c r="AX5">
        <f t="shared" si="15"/>
        <v>2.0388929404677603</v>
      </c>
      <c r="AY5" s="9">
        <f t="shared" ref="AY5:AY23" si="34">IFERROR(AU5/$AU$24,"-")</f>
        <v>0.12274229526081651</v>
      </c>
      <c r="AZ5" s="20">
        <f t="shared" ref="AZ5:AZ24" si="35">IFERROR(100*$M$4/$M5,"")</f>
        <v>89.177590067435759</v>
      </c>
      <c r="BA5" s="20">
        <f t="shared" ref="BA5:BA24" si="36">IFERROR(100*$M$5/$M5,"")</f>
        <v>100</v>
      </c>
      <c r="BB5" s="20">
        <f t="shared" ref="BB5:BB24" si="37">IFERROR(100*$AF$4/$AF5,"")</f>
        <v>89.177590067436029</v>
      </c>
      <c r="BC5" s="20">
        <f t="shared" ref="BC5:BC24" si="38">IFERROR(100*$AF$5/$AF5,"")</f>
        <v>100</v>
      </c>
    </row>
    <row r="6" spans="2:55" ht="14.4" customHeight="1" x14ac:dyDescent="0.3">
      <c r="B6" s="102" t="s">
        <v>89</v>
      </c>
      <c r="C6" s="4">
        <v>3</v>
      </c>
      <c r="D6" s="96" t="str">
        <f t="shared" si="16"/>
        <v>WALMARTHELLMANNS BEST FOODS</v>
      </c>
      <c r="E6" s="3" t="s">
        <v>135</v>
      </c>
      <c r="F6" s="97" t="str">
        <f>IFERROR(INDEX('Input - Walmart'!$Z$3:$Z$200,MATCH('Calculations - Walmart'!$C6,'Input - Walmart'!$AA$3:$AA$200,0)),"")</f>
        <v>HELLMANNS BEST FOODS</v>
      </c>
      <c r="G6" s="20">
        <f>IFERROR(INDEX('Input - Walmart'!S$2:S$200,MATCH('Calculations - Walmart'!$D6,'Input - Walmart'!$P$2:$P$200,0)),"")</f>
        <v>311046328.57984</v>
      </c>
      <c r="H6" s="20">
        <f>IFERROR(INDEX('Input - Walmart'!T$2:T$200,MATCH('Calculations - Walmart'!$D6,'Input - Walmart'!$P$2:$P$200,0)),"")</f>
        <v>89943232.797396004</v>
      </c>
      <c r="I6" s="27">
        <f>IFERROR(INDEX('Input - Walmart'!U$2:U$200,MATCH('Calculations - Walmart'!$D6,'Input - Walmart'!$P$2:$P$200,0)),"")</f>
        <v>2.2602290892061201</v>
      </c>
      <c r="J6" s="27">
        <f>IFERROR(INDEX('Input - Walmart'!V$2:V$200,MATCH('Calculations - Walmart'!$D6,'Input - Walmart'!$P$2:$P$200,0)),"")</f>
        <v>7.8164408603208804</v>
      </c>
      <c r="K6" s="20">
        <f>IFERROR(INDEX('Input - Walmart'!W$2:W$200,MATCH('Calculations - Walmart'!$D6,'Input - Walmart'!$P$2:$P$200,0)),"")</f>
        <v>985575700.22776496</v>
      </c>
      <c r="L6" s="20">
        <f>IFERROR(INDEX('Input - Walmart'!X$2:X$200,MATCH('Calculations - Walmart'!$D6,'Input - Walmart'!$P$2:$P$200,0)),"")</f>
        <v>326182787.53304601</v>
      </c>
      <c r="M6" s="21">
        <f t="shared" si="17"/>
        <v>3.4582515983219726</v>
      </c>
      <c r="N6" s="21">
        <f t="shared" si="2"/>
        <v>3.0215441706221697</v>
      </c>
      <c r="O6" s="21">
        <f t="shared" si="18"/>
        <v>-3.9675326040519709</v>
      </c>
      <c r="P6" s="9">
        <f t="shared" si="3"/>
        <v>0.3742726468777916</v>
      </c>
      <c r="Q6" s="9">
        <f t="shared" si="4"/>
        <v>0.32789759582927619</v>
      </c>
      <c r="R6" s="8">
        <f t="shared" si="5"/>
        <v>0</v>
      </c>
      <c r="S6" s="8" t="str">
        <f t="shared" si="19"/>
        <v>-</v>
      </c>
      <c r="T6">
        <f t="shared" si="6"/>
        <v>0</v>
      </c>
      <c r="U6">
        <f t="shared" si="6"/>
        <v>0</v>
      </c>
      <c r="V6">
        <f t="shared" si="20"/>
        <v>0</v>
      </c>
      <c r="W6">
        <f t="shared" si="7"/>
        <v>0</v>
      </c>
      <c r="X6" s="10">
        <f t="shared" si="8"/>
        <v>507041144.26337963</v>
      </c>
      <c r="Y6" s="7">
        <f t="shared" si="21"/>
        <v>0.37985385609179079</v>
      </c>
      <c r="Z6" s="13">
        <f t="shared" si="22"/>
        <v>5.5812092139991831E-3</v>
      </c>
      <c r="AA6">
        <f t="shared" si="23"/>
        <v>315684697.5590651</v>
      </c>
      <c r="AB6" s="16">
        <f t="shared" si="9"/>
        <v>91284479.623241693</v>
      </c>
      <c r="AC6" s="16">
        <f t="shared" si="24"/>
        <v>0</v>
      </c>
      <c r="AD6" s="16">
        <f t="shared" si="25"/>
        <v>0</v>
      </c>
      <c r="AE6" s="9">
        <f t="shared" si="26"/>
        <v>0.33177174870247167</v>
      </c>
      <c r="AF6" s="27" cm="1">
        <f t="array" ref="AF6">IFERROR(SUM(_xlfn._xlws.FILTER($AH$32:$AH$229*$AL$32:$AL$229,$B$32:$B$229=D6))/SUM(_xlfn._xlws.FILTER($AL$32:$AL$229,$B$32:$B$229=D6)),"-")</f>
        <v>3.458251598321973</v>
      </c>
      <c r="AG6" s="163">
        <f t="shared" si="27"/>
        <v>0</v>
      </c>
      <c r="AH6" s="126" t="str">
        <f t="shared" si="28"/>
        <v>-</v>
      </c>
      <c r="AI6" s="9">
        <f t="shared" si="10"/>
        <v>1.284143727615265E-16</v>
      </c>
      <c r="AJ6" s="4">
        <f t="shared" si="11"/>
        <v>89943232.797395989</v>
      </c>
      <c r="AP6" s="20">
        <f t="shared" si="12"/>
        <v>507041144.26337957</v>
      </c>
      <c r="AQ6" s="13">
        <f t="shared" si="29"/>
        <v>0.37985385609179073</v>
      </c>
      <c r="AR6" s="9">
        <f t="shared" si="30"/>
        <v>0.37985385609179073</v>
      </c>
      <c r="AS6" s="13">
        <f t="shared" si="31"/>
        <v>5.5812092139991276E-3</v>
      </c>
      <c r="AT6" s="16">
        <f t="shared" si="32"/>
        <v>315684697.55906516</v>
      </c>
      <c r="AU6" s="16">
        <f t="shared" si="13"/>
        <v>91284479.623241693</v>
      </c>
      <c r="AV6" s="4">
        <f t="shared" si="33"/>
        <v>0</v>
      </c>
      <c r="AW6" s="16">
        <f t="shared" si="14"/>
        <v>0</v>
      </c>
      <c r="AX6">
        <f t="shared" si="15"/>
        <v>2.2602290892061196</v>
      </c>
      <c r="AY6" s="9">
        <f t="shared" si="34"/>
        <v>0.33177174870247178</v>
      </c>
      <c r="AZ6" s="20">
        <f t="shared" si="35"/>
        <v>86.530614265002441</v>
      </c>
      <c r="BA6" s="20">
        <f t="shared" si="36"/>
        <v>97.031792628134852</v>
      </c>
      <c r="BB6" s="20">
        <f t="shared" si="37"/>
        <v>86.530614265002669</v>
      </c>
      <c r="BC6" s="20">
        <f t="shared" si="38"/>
        <v>97.031792628134824</v>
      </c>
    </row>
    <row r="7" spans="2:55" ht="14.4" customHeight="1" x14ac:dyDescent="0.3">
      <c r="B7" s="102" t="s">
        <v>90</v>
      </c>
      <c r="C7" s="4">
        <v>4</v>
      </c>
      <c r="D7" s="96" t="str">
        <f t="shared" si="16"/>
        <v>WALMARTDUKES</v>
      </c>
      <c r="E7" s="3" t="s">
        <v>135</v>
      </c>
      <c r="F7" s="97" t="str">
        <f>IFERROR(INDEX('Input - Walmart'!$Z$3:$Z$200,MATCH('Calculations - Walmart'!$C7,'Input - Walmart'!$AA$3:$AA$200,0)),"")</f>
        <v>DUKES</v>
      </c>
      <c r="G7" s="20">
        <f>IFERROR(INDEX('Input - Walmart'!S$2:S$200,MATCH('Calculations - Walmart'!$D7,'Input - Walmart'!$P$2:$P$200,0)),"")</f>
        <v>63564883.559063002</v>
      </c>
      <c r="H7" s="20">
        <f>IFERROR(INDEX('Input - Walmart'!T$2:T$200,MATCH('Calculations - Walmart'!$D7,'Input - Walmart'!$P$2:$P$200,0)),"")</f>
        <v>22836149.850089502</v>
      </c>
      <c r="I7" s="27">
        <f>IFERROR(INDEX('Input - Walmart'!U$2:U$200,MATCH('Calculations - Walmart'!$D7,'Input - Walmart'!$P$2:$P$200,0)),"")</f>
        <v>2.3177611238704499</v>
      </c>
      <c r="J7" s="27">
        <f>IFERROR(INDEX('Input - Walmart'!V$2:V$200,MATCH('Calculations - Walmart'!$D7,'Input - Walmart'!$P$2:$P$200,0)),"")</f>
        <v>6.4515348219249198</v>
      </c>
      <c r="K7" s="20">
        <f>IFERROR(INDEX('Input - Walmart'!W$2:W$200,MATCH('Calculations - Walmart'!$D7,'Input - Walmart'!$P$2:$P$200,0)),"")</f>
        <v>191852465.50057799</v>
      </c>
      <c r="L7" s="20">
        <f>IFERROR(INDEX('Input - Walmart'!X$2:X$200,MATCH('Calculations - Walmart'!$D7,'Input - Walmart'!$P$2:$P$200,0)),"")</f>
        <v>78529341.080678001</v>
      </c>
      <c r="M7" s="21">
        <f t="shared" si="17"/>
        <v>2.7835201632649067</v>
      </c>
      <c r="N7" s="21">
        <f t="shared" si="2"/>
        <v>2.4430673027483598</v>
      </c>
      <c r="O7" s="21">
        <f t="shared" si="18"/>
        <v>-3.7943143938821837</v>
      </c>
      <c r="P7" s="9">
        <f t="shared" si="3"/>
        <v>7.6485703357281429E-2</v>
      </c>
      <c r="Q7" s="9">
        <f t="shared" si="4"/>
        <v>8.3251606607342446E-2</v>
      </c>
      <c r="R7" s="8">
        <f t="shared" si="5"/>
        <v>0</v>
      </c>
      <c r="S7" s="8" t="str">
        <f t="shared" si="19"/>
        <v>-</v>
      </c>
      <c r="T7">
        <f t="shared" si="6"/>
        <v>0</v>
      </c>
      <c r="U7">
        <f t="shared" si="6"/>
        <v>0</v>
      </c>
      <c r="V7">
        <f t="shared" si="20"/>
        <v>0</v>
      </c>
      <c r="W7">
        <f t="shared" si="7"/>
        <v>0</v>
      </c>
      <c r="X7" s="10">
        <f t="shared" si="8"/>
        <v>105446549.75780548</v>
      </c>
      <c r="Y7" s="7">
        <f t="shared" si="21"/>
        <v>7.8996111045914127E-2</v>
      </c>
      <c r="Z7" s="13">
        <f t="shared" si="22"/>
        <v>2.5104076886326987E-3</v>
      </c>
      <c r="AA7">
        <f t="shared" si="23"/>
        <v>65651205.125177264</v>
      </c>
      <c r="AB7" s="16">
        <f t="shared" si="9"/>
        <v>23585676.149071697</v>
      </c>
      <c r="AC7" s="16">
        <f t="shared" si="24"/>
        <v>0</v>
      </c>
      <c r="AD7" s="16">
        <f t="shared" si="25"/>
        <v>0</v>
      </c>
      <c r="AE7" s="9">
        <f t="shared" si="26"/>
        <v>8.5721702666258906E-2</v>
      </c>
      <c r="AF7" s="27" cm="1">
        <f t="array" ref="AF7">IFERROR(SUM(_xlfn._xlws.FILTER($AH$32:$AH$229*$AL$32:$AL$229,$B$32:$B$229=D7))/SUM(_xlfn._xlws.FILTER($AL$32:$AL$229,$B$32:$B$229=D7)),"-")</f>
        <v>2.7835201632649094</v>
      </c>
      <c r="AG7" s="163">
        <f t="shared" si="27"/>
        <v>0</v>
      </c>
      <c r="AH7" s="126" t="str">
        <f t="shared" si="28"/>
        <v>-</v>
      </c>
      <c r="AI7" s="9">
        <f t="shared" si="10"/>
        <v>9.5725380195379333E-16</v>
      </c>
      <c r="AJ7" s="4">
        <f t="shared" si="11"/>
        <v>22836149.850089483</v>
      </c>
      <c r="AP7" s="20">
        <f t="shared" si="12"/>
        <v>105446549.75780544</v>
      </c>
      <c r="AQ7" s="13">
        <f t="shared" si="29"/>
        <v>7.8996111045914086E-2</v>
      </c>
      <c r="AR7" s="9">
        <f t="shared" si="30"/>
        <v>7.8996111045914086E-2</v>
      </c>
      <c r="AS7" s="13">
        <f t="shared" si="31"/>
        <v>2.5104076886326571E-3</v>
      </c>
      <c r="AT7" s="16">
        <f t="shared" si="32"/>
        <v>65651205.125177257</v>
      </c>
      <c r="AU7" s="16">
        <f t="shared" si="13"/>
        <v>23585676.149071671</v>
      </c>
      <c r="AV7" s="4">
        <f t="shared" si="33"/>
        <v>0</v>
      </c>
      <c r="AW7" s="16">
        <f t="shared" si="14"/>
        <v>0</v>
      </c>
      <c r="AX7">
        <f t="shared" si="15"/>
        <v>2.3177611238704445</v>
      </c>
      <c r="AY7" s="9">
        <f t="shared" si="34"/>
        <v>8.572170266625885E-2</v>
      </c>
      <c r="AZ7" s="20">
        <f t="shared" si="35"/>
        <v>107.50582626810588</v>
      </c>
      <c r="BA7" s="20">
        <f t="shared" si="36"/>
        <v>120.55251345860589</v>
      </c>
      <c r="BB7" s="20">
        <f t="shared" si="37"/>
        <v>107.50582626810608</v>
      </c>
      <c r="BC7" s="20">
        <f t="shared" si="38"/>
        <v>120.55251345860576</v>
      </c>
    </row>
    <row r="8" spans="2:55" ht="14.4" customHeight="1" x14ac:dyDescent="0.3">
      <c r="B8" s="102" t="s">
        <v>91</v>
      </c>
      <c r="C8" s="4">
        <v>5</v>
      </c>
      <c r="D8" s="96" t="str">
        <f t="shared" si="16"/>
        <v>WALMARTPRIVATE LABEL</v>
      </c>
      <c r="E8" s="3" t="s">
        <v>135</v>
      </c>
      <c r="F8" s="97" t="str">
        <f>IFERROR(INDEX('Input - Walmart'!$Z$3:$Z$200,MATCH('Calculations - Walmart'!$C8,'Input - Walmart'!$AA$3:$AA$200,0)),"")</f>
        <v>PRIVATE LABEL</v>
      </c>
      <c r="G8" s="20">
        <f>IFERROR(INDEX('Input - Walmart'!S$2:S$200,MATCH('Calculations - Walmart'!$D8,'Input - Walmart'!$P$2:$P$200,0)),"")</f>
        <v>108148150.6595</v>
      </c>
      <c r="H8" s="20">
        <f>IFERROR(INDEX('Input - Walmart'!T$2:T$200,MATCH('Calculations - Walmart'!$D8,'Input - Walmart'!$P$2:$P$200,0)),"")</f>
        <v>55337657.27172</v>
      </c>
      <c r="I8" s="27">
        <f>IFERROR(INDEX('Input - Walmart'!U$2:U$200,MATCH('Calculations - Walmart'!$D8,'Input - Walmart'!$P$2:$P$200,0)),"")</f>
        <v>2.3488123746695102</v>
      </c>
      <c r="J8" s="27">
        <f>IFERROR(INDEX('Input - Walmart'!V$2:V$200,MATCH('Calculations - Walmart'!$D8,'Input - Walmart'!$P$2:$P$200,0)),"")</f>
        <v>4.5903590265732399</v>
      </c>
      <c r="K8" s="20">
        <f>IFERROR(INDEX('Input - Walmart'!W$2:W$200,MATCH('Calculations - Walmart'!$D8,'Input - Walmart'!$P$2:$P$200,0)),"")</f>
        <v>294423867.79141998</v>
      </c>
      <c r="L8" s="20">
        <f>IFERROR(INDEX('Input - Walmart'!X$2:X$200,MATCH('Calculations - Walmart'!$D8,'Input - Walmart'!$P$2:$P$200,0)),"")</f>
        <v>168141467.24194899</v>
      </c>
      <c r="M8" s="21">
        <f t="shared" si="17"/>
        <v>1.9543319322043022</v>
      </c>
      <c r="N8" s="21">
        <f t="shared" si="2"/>
        <v>1.7510485225382002</v>
      </c>
      <c r="O8" s="21">
        <f t="shared" si="18"/>
        <v>-3.706964803926204</v>
      </c>
      <c r="P8" s="9">
        <f t="shared" si="3"/>
        <v>0.13013140128377873</v>
      </c>
      <c r="Q8" s="9">
        <f t="shared" si="4"/>
        <v>0.20173929948787409</v>
      </c>
      <c r="R8" s="8">
        <f t="shared" si="5"/>
        <v>0</v>
      </c>
      <c r="S8" s="8" t="str">
        <f t="shared" si="19"/>
        <v>-</v>
      </c>
      <c r="T8">
        <f t="shared" si="6"/>
        <v>0</v>
      </c>
      <c r="U8">
        <f t="shared" si="6"/>
        <v>0</v>
      </c>
      <c r="V8">
        <f t="shared" si="20"/>
        <v>0</v>
      </c>
      <c r="W8">
        <f t="shared" si="7"/>
        <v>0</v>
      </c>
      <c r="X8" s="10">
        <f t="shared" si="8"/>
        <v>181083932.61307809</v>
      </c>
      <c r="Y8" s="7">
        <f t="shared" si="21"/>
        <v>0.13566045055233922</v>
      </c>
      <c r="Z8" s="13">
        <f t="shared" si="22"/>
        <v>5.5290492685604875E-3</v>
      </c>
      <c r="AA8">
        <f t="shared" si="23"/>
        <v>112743171.1341978</v>
      </c>
      <c r="AB8" s="16">
        <f t="shared" si="9"/>
        <v>57688854.833904356</v>
      </c>
      <c r="AC8" s="16">
        <f t="shared" si="24"/>
        <v>0</v>
      </c>
      <c r="AD8" s="16">
        <f t="shared" si="25"/>
        <v>0</v>
      </c>
      <c r="AE8" s="9">
        <f t="shared" si="26"/>
        <v>0.20966907329572396</v>
      </c>
      <c r="AF8" s="27" cm="1">
        <f t="array" ref="AF8">IFERROR(SUM(_xlfn._xlws.FILTER($AH$32:$AH$229*$AL$32:$AL$229,$B$32:$B$229=D8))/SUM(_xlfn._xlws.FILTER($AL$32:$AL$229,$B$32:$B$229=D8)),"-")</f>
        <v>1.9543319322043018</v>
      </c>
      <c r="AG8" s="163">
        <f t="shared" si="27"/>
        <v>0</v>
      </c>
      <c r="AH8" s="126" t="str">
        <f t="shared" si="28"/>
        <v>-</v>
      </c>
      <c r="AI8" s="9">
        <f t="shared" si="10"/>
        <v>-2.2723325681383705E-16</v>
      </c>
      <c r="AJ8" s="4">
        <f t="shared" si="11"/>
        <v>55337657.271720015</v>
      </c>
      <c r="AP8" s="20">
        <f t="shared" si="12"/>
        <v>181083932.61307815</v>
      </c>
      <c r="AQ8" s="13">
        <f t="shared" si="29"/>
        <v>0.13566045055233925</v>
      </c>
      <c r="AR8" s="9">
        <f t="shared" si="30"/>
        <v>0.13566045055233925</v>
      </c>
      <c r="AS8" s="13">
        <f t="shared" si="31"/>
        <v>5.5290492685605153E-3</v>
      </c>
      <c r="AT8" s="16">
        <f t="shared" si="32"/>
        <v>112743171.13419786</v>
      </c>
      <c r="AU8" s="16">
        <f t="shared" si="13"/>
        <v>57688854.8339044</v>
      </c>
      <c r="AV8" s="4">
        <f t="shared" si="33"/>
        <v>0</v>
      </c>
      <c r="AW8" s="16">
        <f t="shared" si="14"/>
        <v>0</v>
      </c>
      <c r="AX8">
        <f t="shared" si="15"/>
        <v>2.3488123746695111</v>
      </c>
      <c r="AY8" s="9">
        <f t="shared" si="34"/>
        <v>0.20966907329572421</v>
      </c>
      <c r="AZ8" s="20">
        <f t="shared" si="35"/>
        <v>153.11863361317901</v>
      </c>
      <c r="BA8" s="20">
        <f t="shared" si="36"/>
        <v>171.7007978096193</v>
      </c>
      <c r="BB8" s="20">
        <f t="shared" si="37"/>
        <v>153.1186336131795</v>
      </c>
      <c r="BC8" s="20">
        <f t="shared" si="38"/>
        <v>171.70079780961933</v>
      </c>
    </row>
    <row r="9" spans="2:55" ht="14.4" customHeight="1" x14ac:dyDescent="0.3">
      <c r="B9" s="102" t="s">
        <v>92</v>
      </c>
      <c r="C9" s="4">
        <v>6</v>
      </c>
      <c r="D9" s="96" t="str">
        <f t="shared" si="16"/>
        <v>WALMARTMCCORMICK AIOLI</v>
      </c>
      <c r="E9" s="3" t="s">
        <v>135</v>
      </c>
      <c r="F9" s="97" t="str">
        <f>IFERROR(INDEX('Input - Walmart'!$Z$3:$Z$200,MATCH('Calculations - Walmart'!$C9,'Input - Walmart'!$AA$3:$AA$200,0)),"")</f>
        <v>MCCORMICK AIOLI</v>
      </c>
      <c r="G9" s="20">
        <f>IFERROR(INDEX('Input - Walmart'!S$2:S$200,MATCH('Calculations - Walmart'!$D9,'Input - Walmart'!$P$2:$P$200,0)),"")</f>
        <v>45018195.560050003</v>
      </c>
      <c r="H9" s="20">
        <f>IFERROR(INDEX('Input - Walmart'!T$2:T$200,MATCH('Calculations - Walmart'!$D9,'Input - Walmart'!$P$2:$P$200,0)),"")</f>
        <v>11032959.335495001</v>
      </c>
      <c r="I9" s="27">
        <f>IFERROR(INDEX('Input - Walmart'!U$2:U$200,MATCH('Calculations - Walmart'!$D9,'Input - Walmart'!$P$2:$P$200,0)),"")</f>
        <v>2.2999999999999998</v>
      </c>
      <c r="J9" s="27">
        <f>IFERROR(INDEX('Input - Walmart'!V$2:V$200,MATCH('Calculations - Walmart'!$D9,'Input - Walmart'!$P$2:$P$200,0)),"")</f>
        <v>9.3847757974244495</v>
      </c>
      <c r="K9" s="20">
        <f>IFERROR(INDEX('Input - Walmart'!W$2:W$200,MATCH('Calculations - Walmart'!$D9,'Input - Walmart'!$P$2:$P$200,0)),"")</f>
        <v>129686492.84264</v>
      </c>
      <c r="L9" s="20">
        <f>IFERROR(INDEX('Input - Walmart'!X$2:X$200,MATCH('Calculations - Walmart'!$D9,'Input - Walmart'!$P$2:$P$200,0)),"")</f>
        <v>37602566.324872002</v>
      </c>
      <c r="M9" s="21">
        <f t="shared" si="17"/>
        <v>4.0803373048986442</v>
      </c>
      <c r="N9" s="21">
        <f t="shared" si="2"/>
        <v>3.4488734551306304</v>
      </c>
      <c r="O9" s="21">
        <f t="shared" si="18"/>
        <v>-3.8461538489399256</v>
      </c>
      <c r="P9" s="9">
        <f t="shared" si="3"/>
        <v>5.416903419773722E-2</v>
      </c>
      <c r="Q9" s="9">
        <f t="shared" si="4"/>
        <v>4.0221823571097132E-2</v>
      </c>
      <c r="R9" s="8">
        <f t="shared" si="5"/>
        <v>0</v>
      </c>
      <c r="S9" s="8" t="str">
        <f t="shared" si="19"/>
        <v>-</v>
      </c>
      <c r="T9">
        <f t="shared" si="6"/>
        <v>0</v>
      </c>
      <c r="U9">
        <f t="shared" si="6"/>
        <v>0</v>
      </c>
      <c r="V9">
        <f t="shared" si="20"/>
        <v>0</v>
      </c>
      <c r="W9">
        <f t="shared" si="7"/>
        <v>0</v>
      </c>
      <c r="X9" s="10">
        <f t="shared" si="8"/>
        <v>74280022.652885824</v>
      </c>
      <c r="Y9" s="7">
        <f t="shared" si="21"/>
        <v>5.5647462448585518E-2</v>
      </c>
      <c r="Z9" s="13">
        <f t="shared" si="22"/>
        <v>1.4784282508482974E-3</v>
      </c>
      <c r="AA9">
        <f t="shared" si="23"/>
        <v>46246871.188181683</v>
      </c>
      <c r="AB9" s="16">
        <f t="shared" si="9"/>
        <v>11334080.42826755</v>
      </c>
      <c r="AC9" s="16">
        <f t="shared" si="24"/>
        <v>0</v>
      </c>
      <c r="AD9" s="16">
        <f t="shared" si="25"/>
        <v>0</v>
      </c>
      <c r="AE9" s="9">
        <f t="shared" si="26"/>
        <v>4.1193505173505715E-2</v>
      </c>
      <c r="AF9" s="27" cm="1">
        <f t="array" ref="AF9">IFERROR(SUM(_xlfn._xlws.FILTER($AH$32:$AH$229*$AL$32:$AL$229,$B$32:$B$229=D9))/SUM(_xlfn._xlws.FILTER($AL$32:$AL$229,$B$32:$B$229=D9)),"-")</f>
        <v>4.0803373048986442</v>
      </c>
      <c r="AG9" s="163">
        <f t="shared" si="27"/>
        <v>0</v>
      </c>
      <c r="AH9" s="126" t="str">
        <f t="shared" si="28"/>
        <v>-</v>
      </c>
      <c r="AI9" s="9">
        <f t="shared" si="10"/>
        <v>0</v>
      </c>
      <c r="AJ9" s="4">
        <f t="shared" si="11"/>
        <v>11032959.335495001</v>
      </c>
      <c r="AP9" s="20">
        <f t="shared" si="12"/>
        <v>74280022.652885824</v>
      </c>
      <c r="AQ9" s="13">
        <f t="shared" si="29"/>
        <v>5.5647462448585518E-2</v>
      </c>
      <c r="AR9" s="9">
        <f t="shared" si="30"/>
        <v>5.5647462448585518E-2</v>
      </c>
      <c r="AS9" s="13">
        <f t="shared" si="31"/>
        <v>1.4784282508482974E-3</v>
      </c>
      <c r="AT9" s="16">
        <f t="shared" si="32"/>
        <v>46246871.188181706</v>
      </c>
      <c r="AU9" s="16">
        <f t="shared" si="13"/>
        <v>11334080.428267555</v>
      </c>
      <c r="AV9" s="4">
        <f t="shared" si="33"/>
        <v>0</v>
      </c>
      <c r="AW9" s="16">
        <f t="shared" si="14"/>
        <v>0</v>
      </c>
      <c r="AX9">
        <f t="shared" si="15"/>
        <v>2.2999999990583051</v>
      </c>
      <c r="AY9" s="9">
        <f t="shared" si="34"/>
        <v>4.1193505173505757E-2</v>
      </c>
      <c r="AZ9" s="20">
        <f t="shared" si="35"/>
        <v>73.33821023239156</v>
      </c>
      <c r="BA9" s="20">
        <f t="shared" si="36"/>
        <v>82.238385425008104</v>
      </c>
      <c r="BB9" s="20">
        <f t="shared" si="37"/>
        <v>73.338210232391774</v>
      </c>
      <c r="BC9" s="20">
        <f t="shared" si="38"/>
        <v>82.23838542500809</v>
      </c>
    </row>
    <row r="10" spans="2:55" x14ac:dyDescent="0.3">
      <c r="B10" s="102" t="s">
        <v>126</v>
      </c>
      <c r="C10" s="4">
        <v>7</v>
      </c>
      <c r="D10" s="96" t="str">
        <f t="shared" si="16"/>
        <v>WALMARTRESTOFCATEGORY</v>
      </c>
      <c r="E10" s="3" t="s">
        <v>135</v>
      </c>
      <c r="F10" s="97" t="str">
        <f>IFERROR(INDEX('Input - Walmart'!$Z$3:$Z$200,MATCH('Calculations - Walmart'!$C10,'Input - Walmart'!$AA$3:$AA$200,0)),"")</f>
        <v>RESTOFCATEGORY</v>
      </c>
      <c r="G10" s="20">
        <f>IFERROR(INDEX('Input - Walmart'!S$2:S$200,MATCH('Calculations - Walmart'!$D10,'Input - Walmart'!$P$2:$P$200,0)),"")</f>
        <v>67544072.205200002</v>
      </c>
      <c r="H10" s="20">
        <f>IFERROR(INDEX('Input - Walmart'!T$2:T$200,MATCH('Calculations - Walmart'!$D10,'Input - Walmart'!$P$2:$P$200,0)),"")</f>
        <v>20704412.382238001</v>
      </c>
      <c r="I10" s="27">
        <f>IFERROR(INDEX('Input - Walmart'!U$2:U$200,MATCH('Calculations - Walmart'!$D10,'Input - Walmart'!$P$2:$P$200,0)),"")</f>
        <v>2.1160502044040901</v>
      </c>
      <c r="J10" s="27">
        <f>IFERROR(INDEX('Input - Walmart'!V$2:V$200,MATCH('Calculations - Walmart'!$D10,'Input - Walmart'!$P$2:$P$200,0)),"")</f>
        <v>6.9031975000030803</v>
      </c>
      <c r="K10" s="20">
        <f>IFERROR(INDEX('Input - Walmart'!W$2:W$200,MATCH('Calculations - Walmart'!$D10,'Input - Walmart'!$P$2:$P$200,0)),"")</f>
        <v>215710241.89535001</v>
      </c>
      <c r="L10" s="20">
        <f>IFERROR(INDEX('Input - Walmart'!X$2:X$200,MATCH('Calculations - Walmart'!$D10,'Input - Walmart'!$P$2:$P$200,0)),"")</f>
        <v>79089898.113812402</v>
      </c>
      <c r="M10" s="21">
        <f t="shared" si="17"/>
        <v>3.2623032693816043</v>
      </c>
      <c r="N10" s="21">
        <f t="shared" si="2"/>
        <v>2.7274057375183038</v>
      </c>
      <c r="O10" s="21">
        <f t="shared" si="18"/>
        <v>-4.4800851971258044</v>
      </c>
      <c r="P10" s="9">
        <f t="shared" si="3"/>
        <v>8.1273740797927416E-2</v>
      </c>
      <c r="Q10" s="9">
        <f t="shared" si="4"/>
        <v>7.548013154570854E-2</v>
      </c>
      <c r="R10" s="8">
        <f t="shared" si="5"/>
        <v>0</v>
      </c>
      <c r="S10" s="8" t="str">
        <f t="shared" si="19"/>
        <v>-</v>
      </c>
      <c r="T10">
        <f t="shared" si="6"/>
        <v>0</v>
      </c>
      <c r="U10">
        <f t="shared" si="6"/>
        <v>0</v>
      </c>
      <c r="V10">
        <f t="shared" si="20"/>
        <v>0</v>
      </c>
      <c r="W10">
        <f t="shared" si="7"/>
        <v>0</v>
      </c>
      <c r="X10" s="10">
        <f t="shared" si="8"/>
        <v>105235360.00064911</v>
      </c>
      <c r="Y10" s="7">
        <f t="shared" si="21"/>
        <v>7.8837896580420438E-2</v>
      </c>
      <c r="Z10" s="13">
        <f t="shared" si="22"/>
        <v>-2.4358442175069772E-3</v>
      </c>
      <c r="AA10">
        <f t="shared" si="23"/>
        <v>65519718.015364237</v>
      </c>
      <c r="AB10" s="16">
        <f t="shared" si="9"/>
        <v>20083883.25827967</v>
      </c>
      <c r="AC10" s="16">
        <f t="shared" si="24"/>
        <v>0</v>
      </c>
      <c r="AD10" s="16">
        <f t="shared" si="25"/>
        <v>0</v>
      </c>
      <c r="AE10" s="9">
        <f t="shared" si="26"/>
        <v>7.2994501330752221E-2</v>
      </c>
      <c r="AF10" s="27" cm="1">
        <f t="array" ref="AF10">IFERROR(SUM(_xlfn._xlws.FILTER($AH$32:$AH$229*$AL$32:$AL$229,$B$32:$B$229=D10))/SUM(_xlfn._xlws.FILTER($AL$32:$AL$229,$B$32:$B$229=D10)),"-")</f>
        <v>3.2623032693816043</v>
      </c>
      <c r="AG10" s="163">
        <f t="shared" si="27"/>
        <v>0</v>
      </c>
      <c r="AH10" s="126" t="str">
        <f t="shared" si="28"/>
        <v>-</v>
      </c>
      <c r="AI10" s="9">
        <f t="shared" si="10"/>
        <v>0</v>
      </c>
      <c r="AJ10" s="4">
        <f t="shared" si="11"/>
        <v>20704412.382238001</v>
      </c>
      <c r="AP10" s="20">
        <f t="shared" si="12"/>
        <v>105235360.00064911</v>
      </c>
      <c r="AQ10" s="13">
        <f t="shared" si="29"/>
        <v>7.8837896580420438E-2</v>
      </c>
      <c r="AR10" s="9">
        <f t="shared" si="30"/>
        <v>7.8837896580420438E-2</v>
      </c>
      <c r="AS10" s="13">
        <f t="shared" si="31"/>
        <v>-2.4358442175069772E-3</v>
      </c>
      <c r="AT10" s="16">
        <f t="shared" si="32"/>
        <v>65519718.015364259</v>
      </c>
      <c r="AU10" s="16">
        <f t="shared" si="13"/>
        <v>20083883.258279677</v>
      </c>
      <c r="AV10" s="4">
        <f t="shared" si="33"/>
        <v>0</v>
      </c>
      <c r="AW10" s="16">
        <f t="shared" si="14"/>
        <v>0</v>
      </c>
      <c r="AX10">
        <f t="shared" si="15"/>
        <v>2.1160502044040919</v>
      </c>
      <c r="AY10" s="9">
        <f t="shared" si="34"/>
        <v>7.299450133075229E-2</v>
      </c>
      <c r="AZ10" s="20">
        <f t="shared" si="35"/>
        <v>91.728024765291366</v>
      </c>
      <c r="BA10" s="20">
        <f t="shared" si="36"/>
        <v>102.85995023629476</v>
      </c>
      <c r="BB10" s="20">
        <f t="shared" si="37"/>
        <v>91.728024765291622</v>
      </c>
      <c r="BC10" s="20">
        <f t="shared" si="38"/>
        <v>102.85995023629475</v>
      </c>
    </row>
    <row r="11" spans="2:55" x14ac:dyDescent="0.3">
      <c r="B11" s="102" t="str">
        <f>""</f>
        <v/>
      </c>
      <c r="C11" s="4">
        <v>8</v>
      </c>
      <c r="D11" s="96" t="str">
        <f t="shared" si="16"/>
        <v/>
      </c>
      <c r="E11" s="3"/>
      <c r="F11" s="97" t="str">
        <f>IFERROR(INDEX('Input - Walmart'!$Z$3:$Z$200,MATCH('Calculations - Walmart'!$C11,'Input - Walmart'!$AA$3:$AA$200,0)),"")</f>
        <v/>
      </c>
      <c r="G11" s="20" t="str">
        <f>IFERROR(INDEX('Input - Walmart'!S$2:S$200,MATCH('Calculations - Walmart'!$D11,'Input - Walmart'!$P$2:$P$200,0)),"")</f>
        <v/>
      </c>
      <c r="H11" s="20" t="str">
        <f>IFERROR(INDEX('Input - Walmart'!T$2:T$200,MATCH('Calculations - Walmart'!$D11,'Input - Walmart'!$P$2:$P$200,0)),"")</f>
        <v/>
      </c>
      <c r="I11" s="27" t="str">
        <f>IFERROR(INDEX('Input - Walmart'!U$2:U$200,MATCH('Calculations - Walmart'!$D11,'Input - Walmart'!$P$2:$P$200,0)),"")</f>
        <v/>
      </c>
      <c r="J11" s="27" t="str">
        <f>IFERROR(INDEX('Input - Walmart'!V$2:V$200,MATCH('Calculations - Walmart'!$D11,'Input - Walmart'!$P$2:$P$200,0)),"")</f>
        <v/>
      </c>
      <c r="K11" s="20" t="str">
        <f>IFERROR(INDEX('Input - Walmart'!W$2:W$200,MATCH('Calculations - Walmart'!$D11,'Input - Walmart'!$P$2:$P$200,0)),"")</f>
        <v/>
      </c>
      <c r="L11" s="20" t="str">
        <f>IFERROR(INDEX('Input - Walmart'!X$2:X$200,MATCH('Calculations - Walmart'!$D11,'Input - Walmart'!$P$2:$P$200,0)),"")</f>
        <v/>
      </c>
      <c r="M11" s="21" t="str">
        <f t="shared" si="17"/>
        <v/>
      </c>
      <c r="N11" s="21" t="str">
        <f t="shared" si="2"/>
        <v/>
      </c>
      <c r="O11" s="21" t="str">
        <f t="shared" si="18"/>
        <v/>
      </c>
      <c r="P11" s="9" t="str">
        <f t="shared" si="3"/>
        <v/>
      </c>
      <c r="Q11" s="9" t="str">
        <f t="shared" si="4"/>
        <v/>
      </c>
      <c r="R11" s="8" t="str">
        <f t="shared" si="5"/>
        <v>-</v>
      </c>
      <c r="S11" s="8" t="str">
        <f t="shared" si="19"/>
        <v>-</v>
      </c>
      <c r="T11" t="str">
        <f t="shared" si="6"/>
        <v>-</v>
      </c>
      <c r="U11" t="str">
        <f t="shared" si="6"/>
        <v>-</v>
      </c>
      <c r="V11" t="str">
        <f t="shared" si="20"/>
        <v>-</v>
      </c>
      <c r="W11" t="str">
        <f t="shared" si="7"/>
        <v>-</v>
      </c>
      <c r="X11" s="10" t="str">
        <f t="shared" si="8"/>
        <v>-</v>
      </c>
      <c r="Y11" s="7" t="str">
        <f t="shared" si="21"/>
        <v/>
      </c>
      <c r="Z11" s="13" t="str">
        <f t="shared" si="22"/>
        <v>-</v>
      </c>
      <c r="AA11" t="str">
        <f t="shared" si="23"/>
        <v>-</v>
      </c>
      <c r="AB11" s="16" t="str">
        <f t="shared" si="9"/>
        <v>-</v>
      </c>
      <c r="AC11" s="16" t="str">
        <f t="shared" si="24"/>
        <v>-</v>
      </c>
      <c r="AD11" s="16" t="str">
        <f t="shared" si="25"/>
        <v>-</v>
      </c>
      <c r="AE11" s="9" t="str">
        <f t="shared" si="26"/>
        <v/>
      </c>
      <c r="AF11" s="27" t="str" cm="1">
        <f t="array" ref="AF11">IFERROR(SUM(_xlfn._xlws.FILTER($AH$32:$AH$229*$AL$32:$AL$229,$B$32:$B$229=D11))/SUM(_xlfn._xlws.FILTER($AL$32:$AL$229,$B$32:$B$229=D11)),"-")</f>
        <v>-</v>
      </c>
      <c r="AG11" s="163" t="str">
        <f t="shared" si="27"/>
        <v>-</v>
      </c>
      <c r="AH11" s="126" t="str">
        <f t="shared" si="28"/>
        <v>-</v>
      </c>
      <c r="AI11" s="9" t="str">
        <f t="shared" si="10"/>
        <v/>
      </c>
      <c r="AJ11" s="4" t="str">
        <f t="shared" si="11"/>
        <v/>
      </c>
      <c r="AP11" s="20" t="str">
        <f t="shared" si="12"/>
        <v>-</v>
      </c>
      <c r="AQ11" s="13" t="str">
        <f t="shared" si="29"/>
        <v/>
      </c>
      <c r="AR11" s="9" t="str">
        <f t="shared" si="30"/>
        <v/>
      </c>
      <c r="AS11" s="13" t="str">
        <f t="shared" si="31"/>
        <v/>
      </c>
      <c r="AT11" s="16" t="str">
        <f t="shared" si="32"/>
        <v>-</v>
      </c>
      <c r="AU11" s="16" t="str">
        <f t="shared" si="13"/>
        <v>-</v>
      </c>
      <c r="AV11" s="4" t="str">
        <f t="shared" si="33"/>
        <v>-</v>
      </c>
      <c r="AW11" s="16" t="str">
        <f t="shared" si="14"/>
        <v>-</v>
      </c>
      <c r="AX11" t="str">
        <f t="shared" si="15"/>
        <v/>
      </c>
      <c r="AY11" s="9" t="str">
        <f t="shared" si="34"/>
        <v>-</v>
      </c>
      <c r="AZ11" s="20" t="str">
        <f t="shared" si="35"/>
        <v/>
      </c>
      <c r="BA11" s="20" t="str">
        <f t="shared" si="36"/>
        <v/>
      </c>
      <c r="BB11" s="20" t="str">
        <f t="shared" si="37"/>
        <v/>
      </c>
      <c r="BC11" s="20" t="str">
        <f t="shared" si="38"/>
        <v/>
      </c>
    </row>
    <row r="12" spans="2:55" x14ac:dyDescent="0.3">
      <c r="B12" s="102" t="str">
        <f>""</f>
        <v/>
      </c>
      <c r="C12" s="4">
        <v>9</v>
      </c>
      <c r="D12" s="96" t="str">
        <f t="shared" si="16"/>
        <v/>
      </c>
      <c r="E12" s="3"/>
      <c r="F12" s="97" t="str">
        <f>IFERROR(INDEX('Input - Walmart'!$Z$3:$Z$200,MATCH('Calculations - Walmart'!$C12,'Input - Walmart'!$AA$3:$AA$200,0)),"")</f>
        <v/>
      </c>
      <c r="G12" s="20" t="str">
        <f>IFERROR(INDEX('Input - Walmart'!S$2:S$200,MATCH('Calculations - Walmart'!$D12,'Input - Walmart'!$P$2:$P$200,0)),"")</f>
        <v/>
      </c>
      <c r="H12" s="20" t="str">
        <f>IFERROR(INDEX('Input - Walmart'!T$2:T$200,MATCH('Calculations - Walmart'!$D12,'Input - Walmart'!$P$2:$P$200,0)),"")</f>
        <v/>
      </c>
      <c r="I12" s="27" t="str">
        <f>IFERROR(INDEX('Input - Walmart'!U$2:U$200,MATCH('Calculations - Walmart'!$D12,'Input - Walmart'!$P$2:$P$200,0)),"")</f>
        <v/>
      </c>
      <c r="J12" s="27" t="str">
        <f>IFERROR(INDEX('Input - Walmart'!V$2:V$200,MATCH('Calculations - Walmart'!$D12,'Input - Walmart'!$P$2:$P$200,0)),"")</f>
        <v/>
      </c>
      <c r="K12" s="20" t="str">
        <f>IFERROR(INDEX('Input - Walmart'!W$2:W$200,MATCH('Calculations - Walmart'!$D12,'Input - Walmart'!$P$2:$P$200,0)),"")</f>
        <v/>
      </c>
      <c r="L12" s="20" t="str">
        <f>IFERROR(INDEX('Input - Walmart'!X$2:X$200,MATCH('Calculations - Walmart'!$D12,'Input - Walmart'!$P$2:$P$200,0)),"")</f>
        <v/>
      </c>
      <c r="M12" s="21" t="str">
        <f t="shared" si="17"/>
        <v/>
      </c>
      <c r="N12" s="21" t="str">
        <f t="shared" si="2"/>
        <v/>
      </c>
      <c r="O12" s="21" t="str">
        <f t="shared" si="18"/>
        <v/>
      </c>
      <c r="P12" s="9" t="str">
        <f t="shared" si="3"/>
        <v/>
      </c>
      <c r="Q12" s="9" t="str">
        <f t="shared" si="4"/>
        <v/>
      </c>
      <c r="R12" s="8" t="str">
        <f t="shared" si="5"/>
        <v>-</v>
      </c>
      <c r="S12" s="8" t="str">
        <f t="shared" si="19"/>
        <v>-</v>
      </c>
      <c r="T12" t="str">
        <f t="shared" si="6"/>
        <v>-</v>
      </c>
      <c r="U12" t="str">
        <f t="shared" si="6"/>
        <v>-</v>
      </c>
      <c r="V12" t="str">
        <f t="shared" si="20"/>
        <v>-</v>
      </c>
      <c r="W12" t="str">
        <f t="shared" si="7"/>
        <v>-</v>
      </c>
      <c r="X12" s="10" t="str">
        <f t="shared" si="8"/>
        <v>-</v>
      </c>
      <c r="Y12" s="7" t="str">
        <f t="shared" si="21"/>
        <v/>
      </c>
      <c r="Z12" s="13" t="str">
        <f t="shared" si="22"/>
        <v>-</v>
      </c>
      <c r="AA12" t="str">
        <f t="shared" si="23"/>
        <v>-</v>
      </c>
      <c r="AB12" s="16" t="str">
        <f t="shared" si="9"/>
        <v>-</v>
      </c>
      <c r="AC12" s="16" t="str">
        <f t="shared" si="24"/>
        <v>-</v>
      </c>
      <c r="AD12" s="16" t="str">
        <f t="shared" si="25"/>
        <v>-</v>
      </c>
      <c r="AE12" s="9" t="str">
        <f t="shared" si="26"/>
        <v/>
      </c>
      <c r="AF12" s="27" t="str" cm="1">
        <f t="array" ref="AF12">IFERROR(SUM(_xlfn._xlws.FILTER($AH$32:$AH$229*$AL$32:$AL$229,$B$32:$B$229=D12))/SUM(_xlfn._xlws.FILTER($AL$32:$AL$229,$B$32:$B$229=D12)),"-")</f>
        <v>-</v>
      </c>
      <c r="AG12" s="163" t="str">
        <f t="shared" si="27"/>
        <v>-</v>
      </c>
      <c r="AH12" s="126" t="str">
        <f t="shared" si="28"/>
        <v>-</v>
      </c>
      <c r="AI12" s="9" t="str">
        <f t="shared" si="10"/>
        <v/>
      </c>
      <c r="AJ12" s="4" t="str">
        <f t="shared" si="11"/>
        <v/>
      </c>
      <c r="AP12" s="20" t="str">
        <f t="shared" si="12"/>
        <v>-</v>
      </c>
      <c r="AQ12" s="13" t="str">
        <f t="shared" si="29"/>
        <v/>
      </c>
      <c r="AR12" s="9" t="str">
        <f t="shared" si="30"/>
        <v/>
      </c>
      <c r="AS12" s="13" t="str">
        <f t="shared" si="31"/>
        <v/>
      </c>
      <c r="AT12" s="16" t="str">
        <f t="shared" si="32"/>
        <v>-</v>
      </c>
      <c r="AU12" s="16" t="str">
        <f t="shared" si="13"/>
        <v>-</v>
      </c>
      <c r="AV12" s="4" t="str">
        <f t="shared" si="33"/>
        <v>-</v>
      </c>
      <c r="AW12" s="16" t="str">
        <f t="shared" si="14"/>
        <v>-</v>
      </c>
      <c r="AX12" t="str">
        <f t="shared" si="15"/>
        <v/>
      </c>
      <c r="AY12" s="9" t="str">
        <f t="shared" si="34"/>
        <v>-</v>
      </c>
      <c r="AZ12" s="20" t="str">
        <f t="shared" si="35"/>
        <v/>
      </c>
      <c r="BA12" s="20" t="str">
        <f t="shared" si="36"/>
        <v/>
      </c>
      <c r="BB12" s="20" t="str">
        <f t="shared" si="37"/>
        <v/>
      </c>
      <c r="BC12" s="20" t="str">
        <f t="shared" si="38"/>
        <v/>
      </c>
    </row>
    <row r="13" spans="2:55" x14ac:dyDescent="0.3">
      <c r="B13" s="102" t="str">
        <f>""</f>
        <v/>
      </c>
      <c r="C13" s="4">
        <v>10</v>
      </c>
      <c r="D13" s="96" t="str">
        <f t="shared" si="16"/>
        <v/>
      </c>
      <c r="E13" s="3"/>
      <c r="F13" s="97" t="str">
        <f>IFERROR(INDEX('Input - Walmart'!$Z$3:$Z$200,MATCH('Calculations - Walmart'!$C13,'Input - Walmart'!$AA$3:$AA$200,0)),"")</f>
        <v/>
      </c>
      <c r="G13" s="20" t="str">
        <f>IFERROR(INDEX('Input - Walmart'!S$2:S$200,MATCH('Calculations - Walmart'!$D13,'Input - Walmart'!$P$2:$P$200,0)),"")</f>
        <v/>
      </c>
      <c r="H13" s="20" t="str">
        <f>IFERROR(INDEX('Input - Walmart'!T$2:T$200,MATCH('Calculations - Walmart'!$D13,'Input - Walmart'!$P$2:$P$200,0)),"")</f>
        <v/>
      </c>
      <c r="I13" s="27" t="str">
        <f>IFERROR(INDEX('Input - Walmart'!U$2:U$200,MATCH('Calculations - Walmart'!$D13,'Input - Walmart'!$P$2:$P$200,0)),"")</f>
        <v/>
      </c>
      <c r="J13" s="27" t="str">
        <f>IFERROR(INDEX('Input - Walmart'!V$2:V$200,MATCH('Calculations - Walmart'!$D13,'Input - Walmart'!$P$2:$P$200,0)),"")</f>
        <v/>
      </c>
      <c r="K13" s="20" t="str">
        <f>IFERROR(INDEX('Input - Walmart'!W$2:W$200,MATCH('Calculations - Walmart'!$D13,'Input - Walmart'!$P$2:$P$200,0)),"")</f>
        <v/>
      </c>
      <c r="L13" s="20" t="str">
        <f>IFERROR(INDEX('Input - Walmart'!X$2:X$200,MATCH('Calculations - Walmart'!$D13,'Input - Walmart'!$P$2:$P$200,0)),"")</f>
        <v/>
      </c>
      <c r="M13" s="21" t="str">
        <f t="shared" si="17"/>
        <v/>
      </c>
      <c r="N13" s="21" t="str">
        <f t="shared" si="2"/>
        <v/>
      </c>
      <c r="O13" s="21" t="str">
        <f t="shared" si="18"/>
        <v/>
      </c>
      <c r="P13" s="9" t="str">
        <f t="shared" si="3"/>
        <v/>
      </c>
      <c r="Q13" s="9" t="str">
        <f t="shared" si="4"/>
        <v/>
      </c>
      <c r="R13" s="8" t="str">
        <f t="shared" si="5"/>
        <v>-</v>
      </c>
      <c r="S13" s="8" t="str">
        <f t="shared" si="19"/>
        <v>-</v>
      </c>
      <c r="T13" t="str">
        <f t="shared" si="6"/>
        <v>-</v>
      </c>
      <c r="U13" t="str">
        <f t="shared" si="6"/>
        <v>-</v>
      </c>
      <c r="V13" t="str">
        <f t="shared" si="20"/>
        <v>-</v>
      </c>
      <c r="W13" t="str">
        <f t="shared" si="7"/>
        <v>-</v>
      </c>
      <c r="X13" s="10" t="str">
        <f t="shared" si="8"/>
        <v>-</v>
      </c>
      <c r="Y13" s="7" t="str">
        <f t="shared" si="21"/>
        <v/>
      </c>
      <c r="Z13" s="13" t="str">
        <f t="shared" si="22"/>
        <v>-</v>
      </c>
      <c r="AA13" t="str">
        <f t="shared" si="23"/>
        <v>-</v>
      </c>
      <c r="AB13" s="16" t="str">
        <f t="shared" si="9"/>
        <v>-</v>
      </c>
      <c r="AC13" s="16" t="str">
        <f t="shared" si="24"/>
        <v>-</v>
      </c>
      <c r="AD13" s="16" t="str">
        <f t="shared" si="25"/>
        <v>-</v>
      </c>
      <c r="AE13" s="9" t="str">
        <f t="shared" si="26"/>
        <v/>
      </c>
      <c r="AF13" s="27" t="str" cm="1">
        <f t="array" ref="AF13">IFERROR(SUM(_xlfn._xlws.FILTER($AH$32:$AH$229*$AL$32:$AL$229,$B$32:$B$229=D13))/SUM(_xlfn._xlws.FILTER($AL$32:$AL$229,$B$32:$B$229=D13)),"-")</f>
        <v>-</v>
      </c>
      <c r="AG13" s="163" t="str">
        <f t="shared" si="27"/>
        <v>-</v>
      </c>
      <c r="AH13" s="126" t="str">
        <f t="shared" si="28"/>
        <v>-</v>
      </c>
      <c r="AI13" s="9" t="str">
        <f t="shared" si="10"/>
        <v/>
      </c>
      <c r="AJ13" s="4" t="str">
        <f t="shared" si="11"/>
        <v/>
      </c>
      <c r="AP13" s="20" t="str">
        <f t="shared" si="12"/>
        <v>-</v>
      </c>
      <c r="AQ13" s="13" t="str">
        <f t="shared" si="29"/>
        <v/>
      </c>
      <c r="AR13" s="9" t="str">
        <f t="shared" si="30"/>
        <v/>
      </c>
      <c r="AS13" s="13" t="str">
        <f t="shared" si="31"/>
        <v/>
      </c>
      <c r="AT13" s="16" t="str">
        <f t="shared" si="32"/>
        <v>-</v>
      </c>
      <c r="AU13" s="16" t="str">
        <f t="shared" si="13"/>
        <v>-</v>
      </c>
      <c r="AV13" s="4" t="str">
        <f t="shared" si="33"/>
        <v>-</v>
      </c>
      <c r="AW13" s="16" t="str">
        <f t="shared" si="14"/>
        <v>-</v>
      </c>
      <c r="AX13" t="str">
        <f t="shared" si="15"/>
        <v/>
      </c>
      <c r="AY13" s="9" t="str">
        <f t="shared" si="34"/>
        <v>-</v>
      </c>
      <c r="AZ13" s="20" t="str">
        <f t="shared" si="35"/>
        <v/>
      </c>
      <c r="BA13" s="20" t="str">
        <f t="shared" si="36"/>
        <v/>
      </c>
      <c r="BB13" s="20" t="str">
        <f t="shared" si="37"/>
        <v/>
      </c>
      <c r="BC13" s="20" t="str">
        <f t="shared" si="38"/>
        <v/>
      </c>
    </row>
    <row r="14" spans="2:55" x14ac:dyDescent="0.3">
      <c r="B14" s="102" t="str">
        <f>""</f>
        <v/>
      </c>
      <c r="C14" s="4">
        <v>11</v>
      </c>
      <c r="D14" s="96" t="str">
        <f t="shared" si="16"/>
        <v/>
      </c>
      <c r="E14" s="3"/>
      <c r="F14" s="97" t="str">
        <f>IFERROR(INDEX('Input - Walmart'!$Z$3:$Z$200,MATCH('Calculations - Walmart'!$C14,'Input - Walmart'!$AA$3:$AA$200,0)),"")</f>
        <v/>
      </c>
      <c r="G14" s="20" t="str">
        <f>IFERROR(INDEX('Input - Walmart'!S$2:S$200,MATCH('Calculations - Walmart'!$D14,'Input - Walmart'!$P$2:$P$200,0)),"")</f>
        <v/>
      </c>
      <c r="H14" s="20" t="str">
        <f>IFERROR(INDEX('Input - Walmart'!T$2:T$200,MATCH('Calculations - Walmart'!$D14,'Input - Walmart'!$P$2:$P$200,0)),"")</f>
        <v/>
      </c>
      <c r="I14" s="27" t="str">
        <f>IFERROR(INDEX('Input - Walmart'!U$2:U$200,MATCH('Calculations - Walmart'!$D14,'Input - Walmart'!$P$2:$P$200,0)),"")</f>
        <v/>
      </c>
      <c r="J14" s="27" t="str">
        <f>IFERROR(INDEX('Input - Walmart'!V$2:V$200,MATCH('Calculations - Walmart'!$D14,'Input - Walmart'!$P$2:$P$200,0)),"")</f>
        <v/>
      </c>
      <c r="K14" s="20" t="str">
        <f>IFERROR(INDEX('Input - Walmart'!W$2:W$200,MATCH('Calculations - Walmart'!$D14,'Input - Walmart'!$P$2:$P$200,0)),"")</f>
        <v/>
      </c>
      <c r="L14" s="20" t="str">
        <f>IFERROR(INDEX('Input - Walmart'!X$2:X$200,MATCH('Calculations - Walmart'!$D14,'Input - Walmart'!$P$2:$P$200,0)),"")</f>
        <v/>
      </c>
      <c r="M14" s="21" t="str">
        <f t="shared" si="17"/>
        <v/>
      </c>
      <c r="N14" s="21" t="str">
        <f t="shared" si="2"/>
        <v/>
      </c>
      <c r="O14" s="21" t="str">
        <f t="shared" si="18"/>
        <v/>
      </c>
      <c r="P14" s="9" t="str">
        <f t="shared" si="3"/>
        <v/>
      </c>
      <c r="Q14" s="9" t="str">
        <f t="shared" si="4"/>
        <v/>
      </c>
      <c r="R14" s="8" t="str">
        <f t="shared" si="5"/>
        <v>-</v>
      </c>
      <c r="S14" s="8" t="str">
        <f t="shared" si="19"/>
        <v>-</v>
      </c>
      <c r="T14" t="str">
        <f t="shared" si="6"/>
        <v>-</v>
      </c>
      <c r="U14" t="str">
        <f t="shared" si="6"/>
        <v>-</v>
      </c>
      <c r="V14" t="str">
        <f t="shared" si="20"/>
        <v>-</v>
      </c>
      <c r="W14" t="str">
        <f t="shared" si="7"/>
        <v>-</v>
      </c>
      <c r="X14" s="10" t="str">
        <f t="shared" si="8"/>
        <v>-</v>
      </c>
      <c r="Y14" s="7" t="str">
        <f t="shared" si="21"/>
        <v/>
      </c>
      <c r="Z14" s="13" t="str">
        <f t="shared" si="22"/>
        <v>-</v>
      </c>
      <c r="AA14" t="str">
        <f t="shared" si="23"/>
        <v>-</v>
      </c>
      <c r="AB14" s="16" t="str">
        <f t="shared" si="9"/>
        <v>-</v>
      </c>
      <c r="AC14" s="16" t="str">
        <f t="shared" si="24"/>
        <v>-</v>
      </c>
      <c r="AD14" s="16" t="str">
        <f t="shared" si="25"/>
        <v>-</v>
      </c>
      <c r="AE14" s="9" t="str">
        <f t="shared" si="26"/>
        <v/>
      </c>
      <c r="AF14" s="27" t="str" cm="1">
        <f t="array" ref="AF14">IFERROR(SUM(_xlfn._xlws.FILTER($AH$32:$AH$229*$AL$32:$AL$229,$B$32:$B$229=D14))/SUM(_xlfn._xlws.FILTER($AL$32:$AL$229,$B$32:$B$229=D14)),"-")</f>
        <v>-</v>
      </c>
      <c r="AG14" s="163" t="str">
        <f t="shared" si="27"/>
        <v>-</v>
      </c>
      <c r="AH14" s="126" t="str">
        <f t="shared" si="28"/>
        <v>-</v>
      </c>
      <c r="AI14" s="9" t="str">
        <f t="shared" si="10"/>
        <v/>
      </c>
      <c r="AJ14" s="4" t="str">
        <f t="shared" si="11"/>
        <v/>
      </c>
      <c r="AP14" s="20" t="str">
        <f t="shared" si="12"/>
        <v>-</v>
      </c>
      <c r="AQ14" s="13" t="str">
        <f t="shared" si="29"/>
        <v/>
      </c>
      <c r="AR14" s="9" t="str">
        <f t="shared" si="30"/>
        <v/>
      </c>
      <c r="AS14" s="13" t="str">
        <f t="shared" si="31"/>
        <v/>
      </c>
      <c r="AT14" s="16" t="str">
        <f t="shared" si="32"/>
        <v>-</v>
      </c>
      <c r="AU14" s="16" t="str">
        <f t="shared" si="13"/>
        <v>-</v>
      </c>
      <c r="AV14" s="4" t="str">
        <f t="shared" si="33"/>
        <v>-</v>
      </c>
      <c r="AW14" s="16" t="str">
        <f t="shared" si="14"/>
        <v>-</v>
      </c>
      <c r="AX14" t="str">
        <f t="shared" si="15"/>
        <v/>
      </c>
      <c r="AY14" s="9" t="str">
        <f t="shared" si="34"/>
        <v>-</v>
      </c>
      <c r="AZ14" s="20" t="str">
        <f t="shared" si="35"/>
        <v/>
      </c>
      <c r="BA14" s="20" t="str">
        <f t="shared" si="36"/>
        <v/>
      </c>
      <c r="BB14" s="20" t="str">
        <f t="shared" si="37"/>
        <v/>
      </c>
      <c r="BC14" s="20" t="str">
        <f t="shared" si="38"/>
        <v/>
      </c>
    </row>
    <row r="15" spans="2:55" x14ac:dyDescent="0.3">
      <c r="B15" s="102" t="str">
        <f>""</f>
        <v/>
      </c>
      <c r="C15" s="4">
        <v>12</v>
      </c>
      <c r="D15" s="96" t="str">
        <f t="shared" si="16"/>
        <v/>
      </c>
      <c r="E15" s="3"/>
      <c r="F15" s="97" t="str">
        <f>IFERROR(INDEX('Input - Walmart'!$Z$3:$Z$200,MATCH('Calculations - Walmart'!$C15,'Input - Walmart'!$AA$3:$AA$200,0)),"")</f>
        <v/>
      </c>
      <c r="G15" s="20" t="str">
        <f>IFERROR(INDEX('Input - Walmart'!S$2:S$200,MATCH('Calculations - Walmart'!$D15,'Input - Walmart'!$P$2:$P$200,0)),"")</f>
        <v/>
      </c>
      <c r="H15" s="20" t="str">
        <f>IFERROR(INDEX('Input - Walmart'!T$2:T$200,MATCH('Calculations - Walmart'!$D15,'Input - Walmart'!$P$2:$P$200,0)),"")</f>
        <v/>
      </c>
      <c r="I15" s="27" t="str">
        <f>IFERROR(INDEX('Input - Walmart'!U$2:U$200,MATCH('Calculations - Walmart'!$D15,'Input - Walmart'!$P$2:$P$200,0)),"")</f>
        <v/>
      </c>
      <c r="J15" s="27" t="str">
        <f>IFERROR(INDEX('Input - Walmart'!V$2:V$200,MATCH('Calculations - Walmart'!$D15,'Input - Walmart'!$P$2:$P$200,0)),"")</f>
        <v/>
      </c>
      <c r="K15" s="20" t="str">
        <f>IFERROR(INDEX('Input - Walmart'!W$2:W$200,MATCH('Calculations - Walmart'!$D15,'Input - Walmart'!$P$2:$P$200,0)),"")</f>
        <v/>
      </c>
      <c r="L15" s="20" t="str">
        <f>IFERROR(INDEX('Input - Walmart'!X$2:X$200,MATCH('Calculations - Walmart'!$D15,'Input - Walmart'!$P$2:$P$200,0)),"")</f>
        <v/>
      </c>
      <c r="M15" s="21" t="str">
        <f t="shared" si="17"/>
        <v/>
      </c>
      <c r="N15" s="21" t="str">
        <f t="shared" si="2"/>
        <v/>
      </c>
      <c r="O15" s="21" t="str">
        <f t="shared" si="18"/>
        <v/>
      </c>
      <c r="P15" s="9" t="str">
        <f t="shared" si="3"/>
        <v/>
      </c>
      <c r="Q15" s="9" t="str">
        <f t="shared" si="4"/>
        <v/>
      </c>
      <c r="R15" s="8" t="str">
        <f t="shared" si="5"/>
        <v>-</v>
      </c>
      <c r="S15" s="8" t="str">
        <f t="shared" si="19"/>
        <v>-</v>
      </c>
      <c r="T15" t="str">
        <f t="shared" si="6"/>
        <v>-</v>
      </c>
      <c r="U15" t="str">
        <f t="shared" si="6"/>
        <v>-</v>
      </c>
      <c r="V15" t="str">
        <f t="shared" si="20"/>
        <v>-</v>
      </c>
      <c r="W15" t="str">
        <f t="shared" si="7"/>
        <v>-</v>
      </c>
      <c r="X15" s="10" t="str">
        <f t="shared" si="8"/>
        <v>-</v>
      </c>
      <c r="Y15" s="7" t="str">
        <f t="shared" si="21"/>
        <v/>
      </c>
      <c r="Z15" s="13" t="str">
        <f t="shared" si="22"/>
        <v>-</v>
      </c>
      <c r="AA15" t="str">
        <f t="shared" si="23"/>
        <v>-</v>
      </c>
      <c r="AB15" s="16" t="str">
        <f t="shared" si="9"/>
        <v>-</v>
      </c>
      <c r="AC15" s="16" t="str">
        <f t="shared" si="24"/>
        <v>-</v>
      </c>
      <c r="AD15" s="16" t="str">
        <f t="shared" si="25"/>
        <v>-</v>
      </c>
      <c r="AE15" s="9" t="str">
        <f t="shared" si="26"/>
        <v/>
      </c>
      <c r="AF15" s="27" t="str" cm="1">
        <f t="array" ref="AF15">IFERROR(SUM(_xlfn._xlws.FILTER($AH$32:$AH$229*$AL$32:$AL$229,$B$32:$B$229=D15))/SUM(_xlfn._xlws.FILTER($AL$32:$AL$229,$B$32:$B$229=D15)),"-")</f>
        <v>-</v>
      </c>
      <c r="AG15" s="163" t="str">
        <f t="shared" si="27"/>
        <v>-</v>
      </c>
      <c r="AH15" s="126" t="str">
        <f t="shared" si="28"/>
        <v>-</v>
      </c>
      <c r="AI15" s="9" t="str">
        <f t="shared" si="10"/>
        <v/>
      </c>
      <c r="AJ15" s="4" t="str">
        <f t="shared" si="11"/>
        <v/>
      </c>
      <c r="AP15" s="20" t="str">
        <f t="shared" si="12"/>
        <v>-</v>
      </c>
      <c r="AQ15" s="13" t="str">
        <f t="shared" si="29"/>
        <v/>
      </c>
      <c r="AR15" s="9" t="str">
        <f t="shared" si="30"/>
        <v/>
      </c>
      <c r="AS15" s="13" t="str">
        <f t="shared" si="31"/>
        <v/>
      </c>
      <c r="AT15" s="16" t="str">
        <f t="shared" si="32"/>
        <v>-</v>
      </c>
      <c r="AU15" s="16" t="str">
        <f t="shared" si="13"/>
        <v>-</v>
      </c>
      <c r="AV15" s="4" t="str">
        <f t="shared" si="33"/>
        <v>-</v>
      </c>
      <c r="AW15" s="16" t="str">
        <f t="shared" si="14"/>
        <v>-</v>
      </c>
      <c r="AX15" t="str">
        <f t="shared" si="15"/>
        <v/>
      </c>
      <c r="AY15" s="9" t="str">
        <f t="shared" si="34"/>
        <v>-</v>
      </c>
      <c r="AZ15" s="20" t="str">
        <f t="shared" si="35"/>
        <v/>
      </c>
      <c r="BA15" s="20" t="str">
        <f t="shared" si="36"/>
        <v/>
      </c>
      <c r="BB15" s="20" t="str">
        <f t="shared" si="37"/>
        <v/>
      </c>
      <c r="BC15" s="20" t="str">
        <f t="shared" si="38"/>
        <v/>
      </c>
    </row>
    <row r="16" spans="2:55" x14ac:dyDescent="0.3">
      <c r="B16" s="102" t="str">
        <f>""</f>
        <v/>
      </c>
      <c r="C16" s="4">
        <v>13</v>
      </c>
      <c r="D16" s="96" t="str">
        <f t="shared" si="16"/>
        <v/>
      </c>
      <c r="E16" s="3"/>
      <c r="F16" s="97" t="str">
        <f>IFERROR(INDEX('Input - Walmart'!$Z$3:$Z$200,MATCH('Calculations - Walmart'!$C16,'Input - Walmart'!$AA$3:$AA$200,0)),"")</f>
        <v/>
      </c>
      <c r="G16" s="20" t="str">
        <f>IFERROR(INDEX('Input - Walmart'!S$2:S$200,MATCH('Calculations - Walmart'!$D16,'Input - Walmart'!$P$2:$P$200,0)),"")</f>
        <v/>
      </c>
      <c r="H16" s="20" t="str">
        <f>IFERROR(INDEX('Input - Walmart'!T$2:T$200,MATCH('Calculations - Walmart'!$D16,'Input - Walmart'!$P$2:$P$200,0)),"")</f>
        <v/>
      </c>
      <c r="I16" s="27" t="str">
        <f>IFERROR(INDEX('Input - Walmart'!U$2:U$200,MATCH('Calculations - Walmart'!$D16,'Input - Walmart'!$P$2:$P$200,0)),"")</f>
        <v/>
      </c>
      <c r="J16" s="27" t="str">
        <f>IFERROR(INDEX('Input - Walmart'!V$2:V$200,MATCH('Calculations - Walmart'!$D16,'Input - Walmart'!$P$2:$P$200,0)),"")</f>
        <v/>
      </c>
      <c r="K16" s="20" t="str">
        <f>IFERROR(INDEX('Input - Walmart'!W$2:W$200,MATCH('Calculations - Walmart'!$D16,'Input - Walmart'!$P$2:$P$200,0)),"")</f>
        <v/>
      </c>
      <c r="L16" s="20" t="str">
        <f>IFERROR(INDEX('Input - Walmart'!X$2:X$200,MATCH('Calculations - Walmart'!$D16,'Input - Walmart'!$P$2:$P$200,0)),"")</f>
        <v/>
      </c>
      <c r="M16" s="21" t="str">
        <f t="shared" si="17"/>
        <v/>
      </c>
      <c r="N16" s="21" t="str">
        <f t="shared" si="2"/>
        <v/>
      </c>
      <c r="O16" s="21" t="str">
        <f t="shared" si="18"/>
        <v/>
      </c>
      <c r="P16" s="9" t="str">
        <f t="shared" si="3"/>
        <v/>
      </c>
      <c r="Q16" s="9" t="str">
        <f t="shared" si="4"/>
        <v/>
      </c>
      <c r="R16" s="8" t="str">
        <f t="shared" si="5"/>
        <v>-</v>
      </c>
      <c r="S16" s="8" t="str">
        <f t="shared" si="19"/>
        <v>-</v>
      </c>
      <c r="T16" t="str">
        <f t="shared" si="6"/>
        <v>-</v>
      </c>
      <c r="U16" t="str">
        <f t="shared" si="6"/>
        <v>-</v>
      </c>
      <c r="V16" t="str">
        <f t="shared" si="20"/>
        <v>-</v>
      </c>
      <c r="W16" t="str">
        <f t="shared" si="7"/>
        <v>-</v>
      </c>
      <c r="X16" s="10" t="str">
        <f t="shared" si="8"/>
        <v>-</v>
      </c>
      <c r="Y16" s="7" t="str">
        <f t="shared" si="21"/>
        <v/>
      </c>
      <c r="Z16" s="13" t="str">
        <f t="shared" si="22"/>
        <v>-</v>
      </c>
      <c r="AA16" t="str">
        <f t="shared" si="23"/>
        <v>-</v>
      </c>
      <c r="AB16" s="16" t="str">
        <f t="shared" si="9"/>
        <v>-</v>
      </c>
      <c r="AC16" s="16" t="str">
        <f t="shared" si="24"/>
        <v>-</v>
      </c>
      <c r="AD16" s="16" t="str">
        <f t="shared" si="25"/>
        <v>-</v>
      </c>
      <c r="AE16" s="9" t="str">
        <f t="shared" si="26"/>
        <v/>
      </c>
      <c r="AF16" s="27" t="str" cm="1">
        <f t="array" ref="AF16">IFERROR(SUM(_xlfn._xlws.FILTER($AH$32:$AH$229*$AL$32:$AL$229,$B$32:$B$229=D16))/SUM(_xlfn._xlws.FILTER($AL$32:$AL$229,$B$32:$B$229=D16)),"-")</f>
        <v>-</v>
      </c>
      <c r="AG16" s="163" t="str">
        <f t="shared" si="27"/>
        <v>-</v>
      </c>
      <c r="AH16" s="126" t="str">
        <f t="shared" si="28"/>
        <v>-</v>
      </c>
      <c r="AI16" s="9" t="str">
        <f t="shared" si="10"/>
        <v/>
      </c>
      <c r="AJ16" s="4" t="str">
        <f t="shared" si="11"/>
        <v/>
      </c>
      <c r="AP16" s="20" t="str">
        <f t="shared" si="12"/>
        <v>-</v>
      </c>
      <c r="AQ16" s="13" t="str">
        <f t="shared" si="29"/>
        <v/>
      </c>
      <c r="AR16" s="9" t="str">
        <f t="shared" si="30"/>
        <v/>
      </c>
      <c r="AS16" s="13" t="str">
        <f t="shared" si="31"/>
        <v/>
      </c>
      <c r="AT16" s="16" t="str">
        <f t="shared" si="32"/>
        <v>-</v>
      </c>
      <c r="AU16" s="16" t="str">
        <f t="shared" si="13"/>
        <v>-</v>
      </c>
      <c r="AV16" s="4" t="str">
        <f t="shared" si="33"/>
        <v>-</v>
      </c>
      <c r="AW16" s="16" t="str">
        <f t="shared" si="14"/>
        <v>-</v>
      </c>
      <c r="AX16" t="str">
        <f t="shared" si="15"/>
        <v/>
      </c>
      <c r="AY16" s="9" t="str">
        <f t="shared" si="34"/>
        <v>-</v>
      </c>
      <c r="AZ16" s="20" t="str">
        <f t="shared" si="35"/>
        <v/>
      </c>
      <c r="BA16" s="20" t="str">
        <f t="shared" si="36"/>
        <v/>
      </c>
      <c r="BB16" s="20" t="str">
        <f t="shared" si="37"/>
        <v/>
      </c>
      <c r="BC16" s="20" t="str">
        <f t="shared" si="38"/>
        <v/>
      </c>
    </row>
    <row r="17" spans="2:70" x14ac:dyDescent="0.3">
      <c r="B17" s="102" t="str">
        <f>""</f>
        <v/>
      </c>
      <c r="C17" s="4">
        <v>14</v>
      </c>
      <c r="D17" s="96" t="str">
        <f t="shared" si="16"/>
        <v/>
      </c>
      <c r="E17" s="3"/>
      <c r="F17" s="97" t="str">
        <f>IFERROR(INDEX('Input - Walmart'!$Z$3:$Z$200,MATCH('Calculations - Walmart'!$C17,'Input - Walmart'!$AA$3:$AA$200,0)),"")</f>
        <v/>
      </c>
      <c r="G17" s="20" t="str">
        <f>IFERROR(INDEX('Input - Walmart'!S$2:S$200,MATCH('Calculations - Walmart'!$D17,'Input - Walmart'!$P$2:$P$200,0)),"")</f>
        <v/>
      </c>
      <c r="H17" s="20" t="str">
        <f>IFERROR(INDEX('Input - Walmart'!T$2:T$200,MATCH('Calculations - Walmart'!$D17,'Input - Walmart'!$P$2:$P$200,0)),"")</f>
        <v/>
      </c>
      <c r="I17" s="27" t="str">
        <f>IFERROR(INDEX('Input - Walmart'!U$2:U$200,MATCH('Calculations - Walmart'!$D17,'Input - Walmart'!$P$2:$P$200,0)),"")</f>
        <v/>
      </c>
      <c r="J17" s="27" t="str">
        <f>IFERROR(INDEX('Input - Walmart'!V$2:V$200,MATCH('Calculations - Walmart'!$D17,'Input - Walmart'!$P$2:$P$200,0)),"")</f>
        <v/>
      </c>
      <c r="K17" s="20" t="str">
        <f>IFERROR(INDEX('Input - Walmart'!W$2:W$200,MATCH('Calculations - Walmart'!$D17,'Input - Walmart'!$P$2:$P$200,0)),"")</f>
        <v/>
      </c>
      <c r="L17" s="20" t="str">
        <f>IFERROR(INDEX('Input - Walmart'!X$2:X$200,MATCH('Calculations - Walmart'!$D17,'Input - Walmart'!$P$2:$P$200,0)),"")</f>
        <v/>
      </c>
      <c r="M17" s="21" t="str">
        <f t="shared" si="17"/>
        <v/>
      </c>
      <c r="N17" s="21" t="str">
        <f t="shared" si="2"/>
        <v/>
      </c>
      <c r="O17" s="21" t="str">
        <f t="shared" si="18"/>
        <v/>
      </c>
      <c r="P17" s="9" t="str">
        <f t="shared" si="3"/>
        <v/>
      </c>
      <c r="Q17" s="9" t="str">
        <f t="shared" si="4"/>
        <v/>
      </c>
      <c r="R17" s="8" t="str">
        <f t="shared" si="5"/>
        <v>-</v>
      </c>
      <c r="S17" s="8" t="str">
        <f t="shared" si="19"/>
        <v>-</v>
      </c>
      <c r="T17" t="str">
        <f t="shared" si="6"/>
        <v>-</v>
      </c>
      <c r="U17" t="str">
        <f t="shared" si="6"/>
        <v>-</v>
      </c>
      <c r="V17" t="str">
        <f t="shared" si="20"/>
        <v>-</v>
      </c>
      <c r="W17" t="str">
        <f t="shared" si="7"/>
        <v>-</v>
      </c>
      <c r="X17" s="10" t="str">
        <f t="shared" si="8"/>
        <v>-</v>
      </c>
      <c r="Y17" s="7" t="str">
        <f t="shared" si="21"/>
        <v/>
      </c>
      <c r="Z17" s="13" t="str">
        <f t="shared" si="22"/>
        <v>-</v>
      </c>
      <c r="AA17" t="str">
        <f t="shared" si="23"/>
        <v>-</v>
      </c>
      <c r="AB17" s="16" t="str">
        <f t="shared" si="9"/>
        <v>-</v>
      </c>
      <c r="AC17" s="16" t="str">
        <f t="shared" si="24"/>
        <v>-</v>
      </c>
      <c r="AD17" s="16" t="str">
        <f t="shared" si="25"/>
        <v>-</v>
      </c>
      <c r="AE17" s="9" t="str">
        <f t="shared" si="26"/>
        <v/>
      </c>
      <c r="AF17" s="27" t="str" cm="1">
        <f t="array" ref="AF17">IFERROR(SUM(_xlfn._xlws.FILTER($AH$32:$AH$229*$AL$32:$AL$229,$B$32:$B$229=D17))/SUM(_xlfn._xlws.FILTER($AL$32:$AL$229,$B$32:$B$229=D17)),"-")</f>
        <v>-</v>
      </c>
      <c r="AG17" s="163" t="str">
        <f t="shared" si="27"/>
        <v>-</v>
      </c>
      <c r="AH17" s="126" t="str">
        <f t="shared" si="28"/>
        <v>-</v>
      </c>
      <c r="AI17" s="9" t="str">
        <f t="shared" si="10"/>
        <v/>
      </c>
      <c r="AJ17" s="4" t="str">
        <f t="shared" si="11"/>
        <v/>
      </c>
      <c r="AP17" s="20" t="str">
        <f t="shared" si="12"/>
        <v>-</v>
      </c>
      <c r="AQ17" s="13" t="str">
        <f t="shared" si="29"/>
        <v/>
      </c>
      <c r="AR17" s="9" t="str">
        <f t="shared" si="30"/>
        <v/>
      </c>
      <c r="AS17" s="13" t="str">
        <f t="shared" si="31"/>
        <v/>
      </c>
      <c r="AT17" s="16" t="str">
        <f t="shared" si="32"/>
        <v>-</v>
      </c>
      <c r="AU17" s="16" t="str">
        <f t="shared" si="13"/>
        <v>-</v>
      </c>
      <c r="AV17" s="4" t="str">
        <f t="shared" si="33"/>
        <v>-</v>
      </c>
      <c r="AW17" s="16" t="str">
        <f t="shared" si="14"/>
        <v>-</v>
      </c>
      <c r="AX17" t="str">
        <f t="shared" si="15"/>
        <v/>
      </c>
      <c r="AY17" s="9" t="str">
        <f t="shared" si="34"/>
        <v>-</v>
      </c>
      <c r="AZ17" s="20" t="str">
        <f t="shared" si="35"/>
        <v/>
      </c>
      <c r="BA17" s="20" t="str">
        <f t="shared" si="36"/>
        <v/>
      </c>
      <c r="BB17" s="20" t="str">
        <f t="shared" si="37"/>
        <v/>
      </c>
      <c r="BC17" s="20" t="str">
        <f t="shared" si="38"/>
        <v/>
      </c>
    </row>
    <row r="18" spans="2:70" x14ac:dyDescent="0.3">
      <c r="B18" s="102" t="str">
        <f>""</f>
        <v/>
      </c>
      <c r="C18" s="4">
        <v>15</v>
      </c>
      <c r="D18" s="96" t="str">
        <f t="shared" si="16"/>
        <v/>
      </c>
      <c r="E18" s="3"/>
      <c r="F18" s="97" t="str">
        <f>IFERROR(INDEX('Input - Walmart'!$Z$3:$Z$200,MATCH('Calculations - Walmart'!$C18,'Input - Walmart'!$AA$3:$AA$200,0)),"")</f>
        <v/>
      </c>
      <c r="G18" s="20" t="str">
        <f>IFERROR(INDEX('Input - Walmart'!S$2:S$200,MATCH('Calculations - Walmart'!$D18,'Input - Walmart'!$P$2:$P$200,0)),"")</f>
        <v/>
      </c>
      <c r="H18" s="20" t="str">
        <f>IFERROR(INDEX('Input - Walmart'!T$2:T$200,MATCH('Calculations - Walmart'!$D18,'Input - Walmart'!$P$2:$P$200,0)),"")</f>
        <v/>
      </c>
      <c r="I18" s="27" t="str">
        <f>IFERROR(INDEX('Input - Walmart'!U$2:U$200,MATCH('Calculations - Walmart'!$D18,'Input - Walmart'!$P$2:$P$200,0)),"")</f>
        <v/>
      </c>
      <c r="J18" s="27" t="str">
        <f>IFERROR(INDEX('Input - Walmart'!V$2:V$200,MATCH('Calculations - Walmart'!$D18,'Input - Walmart'!$P$2:$P$200,0)),"")</f>
        <v/>
      </c>
      <c r="K18" s="20" t="str">
        <f>IFERROR(INDEX('Input - Walmart'!W$2:W$200,MATCH('Calculations - Walmart'!$D18,'Input - Walmart'!$P$2:$P$200,0)),"")</f>
        <v/>
      </c>
      <c r="L18" s="20" t="str">
        <f>IFERROR(INDEX('Input - Walmart'!X$2:X$200,MATCH('Calculations - Walmart'!$D18,'Input - Walmart'!$P$2:$P$200,0)),"")</f>
        <v/>
      </c>
      <c r="M18" s="21" t="str">
        <f t="shared" si="17"/>
        <v/>
      </c>
      <c r="N18" s="21" t="str">
        <f t="shared" si="2"/>
        <v/>
      </c>
      <c r="O18" s="21" t="str">
        <f t="shared" si="18"/>
        <v/>
      </c>
      <c r="P18" s="9" t="str">
        <f t="shared" si="3"/>
        <v/>
      </c>
      <c r="Q18" s="9" t="str">
        <f t="shared" si="4"/>
        <v/>
      </c>
      <c r="R18" s="8" t="str">
        <f t="shared" si="5"/>
        <v>-</v>
      </c>
      <c r="S18" s="8" t="str">
        <f t="shared" si="19"/>
        <v>-</v>
      </c>
      <c r="T18" t="str">
        <f t="shared" si="6"/>
        <v>-</v>
      </c>
      <c r="U18" t="str">
        <f t="shared" si="6"/>
        <v>-</v>
      </c>
      <c r="V18" t="str">
        <f t="shared" si="20"/>
        <v>-</v>
      </c>
      <c r="W18" t="str">
        <f t="shared" si="7"/>
        <v>-</v>
      </c>
      <c r="X18" s="10" t="str">
        <f t="shared" si="8"/>
        <v>-</v>
      </c>
      <c r="Y18" s="7" t="str">
        <f t="shared" si="21"/>
        <v/>
      </c>
      <c r="Z18" s="13" t="str">
        <f t="shared" si="22"/>
        <v>-</v>
      </c>
      <c r="AA18" t="str">
        <f t="shared" si="23"/>
        <v>-</v>
      </c>
      <c r="AB18" s="16" t="str">
        <f t="shared" si="9"/>
        <v>-</v>
      </c>
      <c r="AC18" s="16" t="str">
        <f t="shared" si="24"/>
        <v>-</v>
      </c>
      <c r="AD18" s="16" t="str">
        <f t="shared" si="25"/>
        <v>-</v>
      </c>
      <c r="AE18" s="9" t="str">
        <f t="shared" si="26"/>
        <v/>
      </c>
      <c r="AF18" s="27" t="str" cm="1">
        <f t="array" ref="AF18">IFERROR(SUM(_xlfn._xlws.FILTER($AH$32:$AH$229*$AL$32:$AL$229,$B$32:$B$229=D18))/SUM(_xlfn._xlws.FILTER($AL$32:$AL$229,$B$32:$B$229=D18)),"-")</f>
        <v>-</v>
      </c>
      <c r="AG18" s="163" t="str">
        <f t="shared" si="27"/>
        <v>-</v>
      </c>
      <c r="AH18" s="126" t="str">
        <f t="shared" si="28"/>
        <v>-</v>
      </c>
      <c r="AI18" s="9" t="str">
        <f t="shared" si="10"/>
        <v/>
      </c>
      <c r="AJ18" s="4" t="str">
        <f t="shared" si="11"/>
        <v/>
      </c>
      <c r="AP18" s="20" t="str">
        <f t="shared" si="12"/>
        <v>-</v>
      </c>
      <c r="AQ18" s="13" t="str">
        <f t="shared" si="29"/>
        <v/>
      </c>
      <c r="AR18" s="9" t="str">
        <f t="shared" si="30"/>
        <v/>
      </c>
      <c r="AS18" s="13" t="str">
        <f t="shared" si="31"/>
        <v/>
      </c>
      <c r="AT18" s="16" t="str">
        <f t="shared" si="32"/>
        <v>-</v>
      </c>
      <c r="AU18" s="16" t="str">
        <f t="shared" si="13"/>
        <v>-</v>
      </c>
      <c r="AV18" s="4" t="str">
        <f t="shared" si="33"/>
        <v>-</v>
      </c>
      <c r="AW18" s="16" t="str">
        <f t="shared" si="14"/>
        <v>-</v>
      </c>
      <c r="AX18" t="str">
        <f t="shared" si="15"/>
        <v/>
      </c>
      <c r="AY18" s="9" t="str">
        <f t="shared" si="34"/>
        <v>-</v>
      </c>
      <c r="AZ18" s="20" t="str">
        <f t="shared" si="35"/>
        <v/>
      </c>
      <c r="BA18" s="20" t="str">
        <f t="shared" si="36"/>
        <v/>
      </c>
      <c r="BB18" s="20" t="str">
        <f t="shared" si="37"/>
        <v/>
      </c>
      <c r="BC18" s="20" t="str">
        <f t="shared" si="38"/>
        <v/>
      </c>
    </row>
    <row r="19" spans="2:70" x14ac:dyDescent="0.3">
      <c r="B19" s="102" t="str">
        <f>""</f>
        <v/>
      </c>
      <c r="C19" s="4">
        <v>16</v>
      </c>
      <c r="D19" s="96" t="str">
        <f t="shared" si="16"/>
        <v/>
      </c>
      <c r="E19" s="3"/>
      <c r="F19" s="97" t="str">
        <f>IFERROR(INDEX('Input - Walmart'!$Z$3:$Z$200,MATCH('Calculations - Walmart'!$C19,'Input - Walmart'!$AA$3:$AA$200,0)),"")</f>
        <v/>
      </c>
      <c r="G19" s="20" t="str">
        <f>IFERROR(INDEX('Input - Walmart'!S$2:S$200,MATCH('Calculations - Walmart'!$D19,'Input - Walmart'!$P$2:$P$200,0)),"")</f>
        <v/>
      </c>
      <c r="H19" s="20" t="str">
        <f>IFERROR(INDEX('Input - Walmart'!T$2:T$200,MATCH('Calculations - Walmart'!$D19,'Input - Walmart'!$P$2:$P$200,0)),"")</f>
        <v/>
      </c>
      <c r="I19" s="27" t="str">
        <f>IFERROR(INDEX('Input - Walmart'!U$2:U$200,MATCH('Calculations - Walmart'!$D19,'Input - Walmart'!$P$2:$P$200,0)),"")</f>
        <v/>
      </c>
      <c r="J19" s="27" t="str">
        <f>IFERROR(INDEX('Input - Walmart'!V$2:V$200,MATCH('Calculations - Walmart'!$D19,'Input - Walmart'!$P$2:$P$200,0)),"")</f>
        <v/>
      </c>
      <c r="K19" s="20" t="str">
        <f>IFERROR(INDEX('Input - Walmart'!W$2:W$200,MATCH('Calculations - Walmart'!$D19,'Input - Walmart'!$P$2:$P$200,0)),"")</f>
        <v/>
      </c>
      <c r="L19" s="20" t="str">
        <f>IFERROR(INDEX('Input - Walmart'!X$2:X$200,MATCH('Calculations - Walmart'!$D19,'Input - Walmart'!$P$2:$P$200,0)),"")</f>
        <v/>
      </c>
      <c r="M19" s="21" t="str">
        <f t="shared" si="17"/>
        <v/>
      </c>
      <c r="N19" s="21" t="str">
        <f t="shared" si="2"/>
        <v/>
      </c>
      <c r="O19" s="21" t="str">
        <f t="shared" si="18"/>
        <v/>
      </c>
      <c r="P19" s="9" t="str">
        <f t="shared" si="3"/>
        <v/>
      </c>
      <c r="Q19" s="9" t="str">
        <f t="shared" si="4"/>
        <v/>
      </c>
      <c r="R19" s="8" t="str">
        <f t="shared" si="5"/>
        <v>-</v>
      </c>
      <c r="S19" s="8" t="str">
        <f t="shared" si="19"/>
        <v>-</v>
      </c>
      <c r="T19" t="str">
        <f t="shared" si="6"/>
        <v>-</v>
      </c>
      <c r="U19" t="str">
        <f t="shared" si="6"/>
        <v>-</v>
      </c>
      <c r="V19" t="str">
        <f t="shared" si="20"/>
        <v>-</v>
      </c>
      <c r="W19" t="str">
        <f t="shared" si="7"/>
        <v>-</v>
      </c>
      <c r="X19" s="10" t="str">
        <f t="shared" si="8"/>
        <v>-</v>
      </c>
      <c r="Y19" s="7" t="str">
        <f t="shared" si="21"/>
        <v/>
      </c>
      <c r="Z19" s="13" t="str">
        <f t="shared" si="22"/>
        <v>-</v>
      </c>
      <c r="AA19" t="str">
        <f t="shared" si="23"/>
        <v>-</v>
      </c>
      <c r="AB19" s="16" t="str">
        <f t="shared" si="9"/>
        <v>-</v>
      </c>
      <c r="AC19" s="16" t="str">
        <f t="shared" si="24"/>
        <v>-</v>
      </c>
      <c r="AD19" s="16" t="str">
        <f t="shared" si="25"/>
        <v>-</v>
      </c>
      <c r="AE19" s="9" t="str">
        <f t="shared" si="26"/>
        <v/>
      </c>
      <c r="AF19" s="27" t="str" cm="1">
        <f t="array" ref="AF19">IFERROR(SUM(_xlfn._xlws.FILTER($AH$32:$AH$229*$AL$32:$AL$229,$B$32:$B$229=D19))/SUM(_xlfn._xlws.FILTER($AL$32:$AL$229,$B$32:$B$229=D19)),"-")</f>
        <v>-</v>
      </c>
      <c r="AG19" s="163" t="str">
        <f t="shared" si="27"/>
        <v>-</v>
      </c>
      <c r="AH19" s="126" t="str">
        <f t="shared" si="28"/>
        <v>-</v>
      </c>
      <c r="AI19" s="9" t="str">
        <f t="shared" si="10"/>
        <v/>
      </c>
      <c r="AJ19" s="4" t="str">
        <f t="shared" si="11"/>
        <v/>
      </c>
      <c r="AP19" s="20" t="str">
        <f t="shared" si="12"/>
        <v>-</v>
      </c>
      <c r="AQ19" s="13" t="str">
        <f t="shared" si="29"/>
        <v/>
      </c>
      <c r="AR19" s="9" t="str">
        <f t="shared" si="30"/>
        <v/>
      </c>
      <c r="AS19" s="13" t="str">
        <f t="shared" si="31"/>
        <v/>
      </c>
      <c r="AT19" s="16" t="str">
        <f t="shared" si="32"/>
        <v>-</v>
      </c>
      <c r="AU19" s="16" t="str">
        <f t="shared" si="13"/>
        <v>-</v>
      </c>
      <c r="AV19" s="4" t="str">
        <f t="shared" si="33"/>
        <v>-</v>
      </c>
      <c r="AW19" s="16" t="str">
        <f t="shared" si="14"/>
        <v>-</v>
      </c>
      <c r="AX19" t="str">
        <f t="shared" si="15"/>
        <v/>
      </c>
      <c r="AY19" s="9" t="str">
        <f t="shared" si="34"/>
        <v>-</v>
      </c>
      <c r="AZ19" s="20" t="str">
        <f t="shared" si="35"/>
        <v/>
      </c>
      <c r="BA19" s="20" t="str">
        <f t="shared" si="36"/>
        <v/>
      </c>
      <c r="BB19" s="20" t="str">
        <f t="shared" si="37"/>
        <v/>
      </c>
      <c r="BC19" s="20" t="str">
        <f t="shared" si="38"/>
        <v/>
      </c>
    </row>
    <row r="20" spans="2:70" x14ac:dyDescent="0.3">
      <c r="B20" s="102" t="str">
        <f>""</f>
        <v/>
      </c>
      <c r="C20" s="4">
        <v>17</v>
      </c>
      <c r="D20" s="96" t="str">
        <f t="shared" si="16"/>
        <v/>
      </c>
      <c r="E20" s="3"/>
      <c r="F20" s="97" t="str">
        <f>IFERROR(INDEX('Input - Walmart'!$Z$3:$Z$200,MATCH('Calculations - Walmart'!$C20,'Input - Walmart'!$AA$3:$AA$200,0)),"")</f>
        <v/>
      </c>
      <c r="G20" s="20" t="str">
        <f>IFERROR(INDEX('Input - Walmart'!S$2:S$200,MATCH('Calculations - Walmart'!$D20,'Input - Walmart'!$P$2:$P$200,0)),"")</f>
        <v/>
      </c>
      <c r="H20" s="20" t="str">
        <f>IFERROR(INDEX('Input - Walmart'!T$2:T$200,MATCH('Calculations - Walmart'!$D20,'Input - Walmart'!$P$2:$P$200,0)),"")</f>
        <v/>
      </c>
      <c r="I20" s="27" t="str">
        <f>IFERROR(INDEX('Input - Walmart'!U$2:U$200,MATCH('Calculations - Walmart'!$D20,'Input - Walmart'!$P$2:$P$200,0)),"")</f>
        <v/>
      </c>
      <c r="J20" s="27" t="str">
        <f>IFERROR(INDEX('Input - Walmart'!V$2:V$200,MATCH('Calculations - Walmart'!$D20,'Input - Walmart'!$P$2:$P$200,0)),"")</f>
        <v/>
      </c>
      <c r="K20" s="20" t="str">
        <f>IFERROR(INDEX('Input - Walmart'!W$2:W$200,MATCH('Calculations - Walmart'!$D20,'Input - Walmart'!$P$2:$P$200,0)),"")</f>
        <v/>
      </c>
      <c r="L20" s="20" t="str">
        <f>IFERROR(INDEX('Input - Walmart'!X$2:X$200,MATCH('Calculations - Walmart'!$D20,'Input - Walmart'!$P$2:$P$200,0)),"")</f>
        <v/>
      </c>
      <c r="M20" s="21" t="str">
        <f t="shared" si="17"/>
        <v/>
      </c>
      <c r="N20" s="21" t="str">
        <f t="shared" si="2"/>
        <v/>
      </c>
      <c r="O20" s="21" t="str">
        <f t="shared" si="18"/>
        <v/>
      </c>
      <c r="P20" s="9" t="str">
        <f t="shared" si="3"/>
        <v/>
      </c>
      <c r="Q20" s="9" t="str">
        <f t="shared" si="4"/>
        <v/>
      </c>
      <c r="R20" s="8" t="str">
        <f t="shared" si="5"/>
        <v>-</v>
      </c>
      <c r="S20" s="8" t="str">
        <f t="shared" si="19"/>
        <v>-</v>
      </c>
      <c r="T20" t="str">
        <f t="shared" si="6"/>
        <v>-</v>
      </c>
      <c r="U20" t="str">
        <f t="shared" si="6"/>
        <v>-</v>
      </c>
      <c r="V20" t="str">
        <f t="shared" si="20"/>
        <v>-</v>
      </c>
      <c r="W20" t="str">
        <f t="shared" si="7"/>
        <v>-</v>
      </c>
      <c r="X20" s="10" t="str">
        <f t="shared" si="8"/>
        <v>-</v>
      </c>
      <c r="Y20" s="7" t="str">
        <f t="shared" si="21"/>
        <v/>
      </c>
      <c r="Z20" s="13" t="str">
        <f t="shared" si="22"/>
        <v>-</v>
      </c>
      <c r="AA20" t="str">
        <f t="shared" si="23"/>
        <v>-</v>
      </c>
      <c r="AB20" s="16" t="str">
        <f t="shared" si="9"/>
        <v>-</v>
      </c>
      <c r="AC20" s="16" t="str">
        <f t="shared" si="24"/>
        <v>-</v>
      </c>
      <c r="AD20" s="16" t="str">
        <f t="shared" si="25"/>
        <v>-</v>
      </c>
      <c r="AE20" s="9" t="str">
        <f t="shared" si="26"/>
        <v/>
      </c>
      <c r="AF20" s="27" t="str" cm="1">
        <f t="array" ref="AF20">IFERROR(SUM(_xlfn._xlws.FILTER($AH$32:$AH$229*$AL$32:$AL$229,$B$32:$B$229=D20))/SUM(_xlfn._xlws.FILTER($AL$32:$AL$229,$B$32:$B$229=D20)),"-")</f>
        <v>-</v>
      </c>
      <c r="AG20" s="163" t="str">
        <f t="shared" si="27"/>
        <v>-</v>
      </c>
      <c r="AH20" s="126" t="str">
        <f t="shared" si="28"/>
        <v>-</v>
      </c>
      <c r="AI20" s="9" t="str">
        <f t="shared" si="10"/>
        <v/>
      </c>
      <c r="AJ20" s="4" t="str">
        <f t="shared" si="11"/>
        <v/>
      </c>
      <c r="AP20" s="20" t="str">
        <f t="shared" si="12"/>
        <v>-</v>
      </c>
      <c r="AQ20" s="13" t="str">
        <f t="shared" si="29"/>
        <v/>
      </c>
      <c r="AR20" s="9" t="str">
        <f t="shared" si="30"/>
        <v/>
      </c>
      <c r="AS20" s="13" t="str">
        <f t="shared" si="31"/>
        <v/>
      </c>
      <c r="AT20" s="16" t="str">
        <f t="shared" si="32"/>
        <v>-</v>
      </c>
      <c r="AU20" s="16" t="str">
        <f t="shared" si="13"/>
        <v>-</v>
      </c>
      <c r="AV20" s="4" t="str">
        <f t="shared" si="33"/>
        <v>-</v>
      </c>
      <c r="AW20" s="16" t="str">
        <f t="shared" si="14"/>
        <v>-</v>
      </c>
      <c r="AX20" t="str">
        <f t="shared" si="15"/>
        <v/>
      </c>
      <c r="AY20" s="9" t="str">
        <f t="shared" si="34"/>
        <v>-</v>
      </c>
      <c r="AZ20" s="20" t="str">
        <f t="shared" si="35"/>
        <v/>
      </c>
      <c r="BA20" s="20" t="str">
        <f t="shared" si="36"/>
        <v/>
      </c>
      <c r="BB20" s="20" t="str">
        <f t="shared" si="37"/>
        <v/>
      </c>
      <c r="BC20" s="20" t="str">
        <f t="shared" si="38"/>
        <v/>
      </c>
    </row>
    <row r="21" spans="2:70" x14ac:dyDescent="0.3">
      <c r="B21" s="102" t="str">
        <f>""</f>
        <v/>
      </c>
      <c r="C21" s="4">
        <v>18</v>
      </c>
      <c r="D21" s="96" t="str">
        <f t="shared" si="16"/>
        <v/>
      </c>
      <c r="E21" s="3"/>
      <c r="F21" s="97" t="str">
        <f>IFERROR(INDEX('Input - Walmart'!$Z$3:$Z$200,MATCH('Calculations - Walmart'!$C21,'Input - Walmart'!$AA$3:$AA$200,0)),"")</f>
        <v/>
      </c>
      <c r="G21" s="20" t="str">
        <f>IFERROR(INDEX('Input - Walmart'!S$2:S$200,MATCH('Calculations - Walmart'!$D21,'Input - Walmart'!$P$2:$P$200,0)),"")</f>
        <v/>
      </c>
      <c r="H21" s="20" t="str">
        <f>IFERROR(INDEX('Input - Walmart'!T$2:T$200,MATCH('Calculations - Walmart'!$D21,'Input - Walmart'!$P$2:$P$200,0)),"")</f>
        <v/>
      </c>
      <c r="I21" s="27" t="str">
        <f>IFERROR(INDEX('Input - Walmart'!U$2:U$200,MATCH('Calculations - Walmart'!$D21,'Input - Walmart'!$P$2:$P$200,0)),"")</f>
        <v/>
      </c>
      <c r="J21" s="27" t="str">
        <f>IFERROR(INDEX('Input - Walmart'!V$2:V$200,MATCH('Calculations - Walmart'!$D21,'Input - Walmart'!$P$2:$P$200,0)),"")</f>
        <v/>
      </c>
      <c r="K21" s="20" t="str">
        <f>IFERROR(INDEX('Input - Walmart'!W$2:W$200,MATCH('Calculations - Walmart'!$D21,'Input - Walmart'!$P$2:$P$200,0)),"")</f>
        <v/>
      </c>
      <c r="L21" s="20" t="str">
        <f>IFERROR(INDEX('Input - Walmart'!X$2:X$200,MATCH('Calculations - Walmart'!$D21,'Input - Walmart'!$P$2:$P$200,0)),"")</f>
        <v/>
      </c>
      <c r="M21" s="21" t="str">
        <f t="shared" si="17"/>
        <v/>
      </c>
      <c r="N21" s="21" t="str">
        <f t="shared" si="2"/>
        <v/>
      </c>
      <c r="O21" s="21" t="str">
        <f t="shared" si="18"/>
        <v/>
      </c>
      <c r="P21" s="9" t="str">
        <f t="shared" si="3"/>
        <v/>
      </c>
      <c r="Q21" s="9" t="str">
        <f t="shared" si="4"/>
        <v/>
      </c>
      <c r="R21" s="8" t="str">
        <f t="shared" si="5"/>
        <v>-</v>
      </c>
      <c r="S21" s="8" t="str">
        <f t="shared" si="19"/>
        <v>-</v>
      </c>
      <c r="T21" t="str">
        <f t="shared" si="6"/>
        <v>-</v>
      </c>
      <c r="U21" t="str">
        <f t="shared" si="6"/>
        <v>-</v>
      </c>
      <c r="V21" t="str">
        <f t="shared" si="20"/>
        <v>-</v>
      </c>
      <c r="W21" t="str">
        <f t="shared" si="7"/>
        <v>-</v>
      </c>
      <c r="X21" s="10" t="str">
        <f t="shared" si="8"/>
        <v>-</v>
      </c>
      <c r="Y21" s="7" t="str">
        <f t="shared" si="21"/>
        <v/>
      </c>
      <c r="Z21" s="13" t="str">
        <f t="shared" si="22"/>
        <v>-</v>
      </c>
      <c r="AA21" t="str">
        <f t="shared" si="23"/>
        <v>-</v>
      </c>
      <c r="AB21" s="16" t="str">
        <f t="shared" si="9"/>
        <v>-</v>
      </c>
      <c r="AC21" s="16" t="str">
        <f t="shared" si="24"/>
        <v>-</v>
      </c>
      <c r="AD21" s="16" t="str">
        <f t="shared" si="25"/>
        <v>-</v>
      </c>
      <c r="AE21" s="9" t="str">
        <f t="shared" si="26"/>
        <v/>
      </c>
      <c r="AF21" s="27" t="str" cm="1">
        <f t="array" ref="AF21">IFERROR(SUM(_xlfn._xlws.FILTER($AH$32:$AH$229*$AL$32:$AL$229,$B$32:$B$229=D21))/SUM(_xlfn._xlws.FILTER($AL$32:$AL$229,$B$32:$B$229=D21)),"-")</f>
        <v>-</v>
      </c>
      <c r="AG21" s="163" t="str">
        <f t="shared" si="27"/>
        <v>-</v>
      </c>
      <c r="AH21" s="126" t="str">
        <f t="shared" si="28"/>
        <v>-</v>
      </c>
      <c r="AI21" s="9" t="str">
        <f t="shared" si="10"/>
        <v/>
      </c>
      <c r="AJ21" s="4" t="str">
        <f t="shared" si="11"/>
        <v/>
      </c>
      <c r="AP21" s="20" t="str">
        <f t="shared" si="12"/>
        <v>-</v>
      </c>
      <c r="AQ21" s="13" t="str">
        <f t="shared" si="29"/>
        <v/>
      </c>
      <c r="AR21" s="9" t="str">
        <f t="shared" si="30"/>
        <v/>
      </c>
      <c r="AS21" s="13" t="str">
        <f t="shared" si="31"/>
        <v/>
      </c>
      <c r="AT21" s="16" t="str">
        <f t="shared" si="32"/>
        <v>-</v>
      </c>
      <c r="AU21" s="16" t="str">
        <f t="shared" si="13"/>
        <v>-</v>
      </c>
      <c r="AV21" s="4" t="str">
        <f t="shared" si="33"/>
        <v>-</v>
      </c>
      <c r="AW21" s="16" t="str">
        <f t="shared" si="14"/>
        <v>-</v>
      </c>
      <c r="AX21" t="str">
        <f t="shared" si="15"/>
        <v/>
      </c>
      <c r="AY21" s="9" t="str">
        <f t="shared" si="34"/>
        <v>-</v>
      </c>
      <c r="AZ21" s="20" t="str">
        <f t="shared" si="35"/>
        <v/>
      </c>
      <c r="BA21" s="20" t="str">
        <f t="shared" si="36"/>
        <v/>
      </c>
      <c r="BB21" s="20" t="str">
        <f t="shared" si="37"/>
        <v/>
      </c>
      <c r="BC21" s="20" t="str">
        <f t="shared" si="38"/>
        <v/>
      </c>
    </row>
    <row r="22" spans="2:70" x14ac:dyDescent="0.3">
      <c r="B22" s="102" t="str">
        <f>""</f>
        <v/>
      </c>
      <c r="C22" s="4">
        <v>19</v>
      </c>
      <c r="D22" s="96" t="str">
        <f t="shared" si="16"/>
        <v/>
      </c>
      <c r="E22" s="3"/>
      <c r="F22" s="97" t="str">
        <f>IFERROR(INDEX('Input - Walmart'!$Z$3:$Z$200,MATCH('Calculations - Walmart'!$C22,'Input - Walmart'!$AA$3:$AA$200,0)),"")</f>
        <v/>
      </c>
      <c r="G22" s="20" t="str">
        <f>IFERROR(INDEX('Input - Walmart'!S$2:S$200,MATCH('Calculations - Walmart'!$D22,'Input - Walmart'!$P$2:$P$200,0)),"")</f>
        <v/>
      </c>
      <c r="H22" s="20" t="str">
        <f>IFERROR(INDEX('Input - Walmart'!T$2:T$200,MATCH('Calculations - Walmart'!$D22,'Input - Walmart'!$P$2:$P$200,0)),"")</f>
        <v/>
      </c>
      <c r="I22" s="27" t="str">
        <f>IFERROR(INDEX('Input - Walmart'!U$2:U$200,MATCH('Calculations - Walmart'!$D22,'Input - Walmart'!$P$2:$P$200,0)),"")</f>
        <v/>
      </c>
      <c r="J22" s="27" t="str">
        <f>IFERROR(INDEX('Input - Walmart'!V$2:V$200,MATCH('Calculations - Walmart'!$D22,'Input - Walmart'!$P$2:$P$200,0)),"")</f>
        <v/>
      </c>
      <c r="K22" s="20" t="str">
        <f>IFERROR(INDEX('Input - Walmart'!W$2:W$200,MATCH('Calculations - Walmart'!$D22,'Input - Walmart'!$P$2:$P$200,0)),"")</f>
        <v/>
      </c>
      <c r="L22" s="20" t="str">
        <f>IFERROR(INDEX('Input - Walmart'!X$2:X$200,MATCH('Calculations - Walmart'!$D22,'Input - Walmart'!$P$2:$P$200,0)),"")</f>
        <v/>
      </c>
      <c r="M22" s="21" t="str">
        <f t="shared" si="17"/>
        <v/>
      </c>
      <c r="N22" s="21" t="str">
        <f t="shared" si="2"/>
        <v/>
      </c>
      <c r="O22" s="21" t="str">
        <f t="shared" si="18"/>
        <v/>
      </c>
      <c r="P22" s="9" t="str">
        <f t="shared" si="3"/>
        <v/>
      </c>
      <c r="Q22" s="9" t="str">
        <f t="shared" si="4"/>
        <v/>
      </c>
      <c r="R22" s="8" t="str">
        <f t="shared" si="5"/>
        <v>-</v>
      </c>
      <c r="S22" s="8" t="str">
        <f t="shared" si="19"/>
        <v>-</v>
      </c>
      <c r="T22" t="str">
        <f t="shared" si="6"/>
        <v>-</v>
      </c>
      <c r="U22" t="str">
        <f t="shared" si="6"/>
        <v>-</v>
      </c>
      <c r="V22" t="str">
        <f t="shared" si="20"/>
        <v>-</v>
      </c>
      <c r="W22" t="str">
        <f t="shared" si="7"/>
        <v>-</v>
      </c>
      <c r="X22" s="10" t="str">
        <f t="shared" si="8"/>
        <v>-</v>
      </c>
      <c r="Y22" s="7" t="str">
        <f t="shared" si="21"/>
        <v/>
      </c>
      <c r="Z22" s="13" t="str">
        <f t="shared" si="22"/>
        <v>-</v>
      </c>
      <c r="AA22" t="str">
        <f t="shared" si="23"/>
        <v>-</v>
      </c>
      <c r="AB22" s="16" t="str">
        <f t="shared" si="9"/>
        <v>-</v>
      </c>
      <c r="AC22" s="16" t="str">
        <f t="shared" si="24"/>
        <v>-</v>
      </c>
      <c r="AD22" s="16" t="str">
        <f t="shared" si="25"/>
        <v>-</v>
      </c>
      <c r="AE22" s="9" t="str">
        <f t="shared" si="26"/>
        <v/>
      </c>
      <c r="AF22" s="27" t="str" cm="1">
        <f t="array" ref="AF22">IFERROR(SUM(_xlfn._xlws.FILTER($AH$32:$AH$229*$AL$32:$AL$229,$B$32:$B$229=D22))/SUM(_xlfn._xlws.FILTER($AL$32:$AL$229,$B$32:$B$229=D22)),"-")</f>
        <v>-</v>
      </c>
      <c r="AG22" s="163" t="str">
        <f t="shared" si="27"/>
        <v>-</v>
      </c>
      <c r="AH22" s="126" t="str">
        <f t="shared" si="28"/>
        <v>-</v>
      </c>
      <c r="AI22" s="9" t="str">
        <f t="shared" si="10"/>
        <v/>
      </c>
      <c r="AJ22" s="4" t="str">
        <f t="shared" si="11"/>
        <v/>
      </c>
      <c r="AP22" s="20" t="str">
        <f t="shared" si="12"/>
        <v>-</v>
      </c>
      <c r="AQ22" s="13" t="str">
        <f t="shared" si="29"/>
        <v/>
      </c>
      <c r="AR22" s="9" t="str">
        <f t="shared" si="30"/>
        <v/>
      </c>
      <c r="AS22" s="13" t="str">
        <f t="shared" si="31"/>
        <v/>
      </c>
      <c r="AT22" s="16" t="str">
        <f t="shared" si="32"/>
        <v>-</v>
      </c>
      <c r="AU22" s="16" t="str">
        <f t="shared" si="13"/>
        <v>-</v>
      </c>
      <c r="AV22" s="4" t="str">
        <f t="shared" si="33"/>
        <v>-</v>
      </c>
      <c r="AW22" s="16" t="str">
        <f t="shared" si="14"/>
        <v>-</v>
      </c>
      <c r="AX22" t="str">
        <f t="shared" si="15"/>
        <v/>
      </c>
      <c r="AY22" s="9" t="str">
        <f t="shared" si="34"/>
        <v>-</v>
      </c>
      <c r="AZ22" s="20" t="str">
        <f t="shared" si="35"/>
        <v/>
      </c>
      <c r="BA22" s="20" t="str">
        <f t="shared" si="36"/>
        <v/>
      </c>
      <c r="BB22" s="20" t="str">
        <f t="shared" si="37"/>
        <v/>
      </c>
      <c r="BC22" s="20" t="str">
        <f t="shared" si="38"/>
        <v/>
      </c>
    </row>
    <row r="23" spans="2:70" x14ac:dyDescent="0.3">
      <c r="B23" s="102" t="str">
        <f>""</f>
        <v/>
      </c>
      <c r="C23" s="4">
        <v>20</v>
      </c>
      <c r="D23" s="96" t="str">
        <f t="shared" si="16"/>
        <v/>
      </c>
      <c r="E23" s="3"/>
      <c r="F23" s="97" t="str">
        <f>IFERROR(INDEX('Input - Walmart'!$Z$3:$Z$200,MATCH('Calculations - Walmart'!$C23,'Input - Walmart'!$AA$3:$AA$200,0)),"")</f>
        <v/>
      </c>
      <c r="G23" s="20" t="str">
        <f>IFERROR(INDEX('Input - Walmart'!S$2:S$200,MATCH('Calculations - Walmart'!$D23,'Input - Walmart'!$P$2:$P$200,0)),"")</f>
        <v/>
      </c>
      <c r="H23" s="20" t="str">
        <f>IFERROR(INDEX('Input - Walmart'!T$2:T$200,MATCH('Calculations - Walmart'!$D23,'Input - Walmart'!$P$2:$P$200,0)),"")</f>
        <v/>
      </c>
      <c r="I23" s="27" t="str">
        <f>IFERROR(INDEX('Input - Walmart'!U$2:U$200,MATCH('Calculations - Walmart'!$D23,'Input - Walmart'!$P$2:$P$200,0)),"")</f>
        <v/>
      </c>
      <c r="J23" s="27" t="str">
        <f>IFERROR(INDEX('Input - Walmart'!V$2:V$200,MATCH('Calculations - Walmart'!$D23,'Input - Walmart'!$P$2:$P$200,0)),"")</f>
        <v/>
      </c>
      <c r="K23" s="20" t="str">
        <f>IFERROR(INDEX('Input - Walmart'!W$2:W$200,MATCH('Calculations - Walmart'!$D23,'Input - Walmart'!$P$2:$P$200,0)),"")</f>
        <v/>
      </c>
      <c r="L23" s="20" t="str">
        <f>IFERROR(INDEX('Input - Walmart'!X$2:X$200,MATCH('Calculations - Walmart'!$D23,'Input - Walmart'!$P$2:$P$200,0)),"")</f>
        <v/>
      </c>
      <c r="M23" s="21" t="str">
        <f t="shared" si="17"/>
        <v/>
      </c>
      <c r="N23" s="21" t="str">
        <f t="shared" si="2"/>
        <v/>
      </c>
      <c r="O23" s="21" t="str">
        <f t="shared" si="18"/>
        <v/>
      </c>
      <c r="P23" s="9" t="str">
        <f t="shared" si="3"/>
        <v/>
      </c>
      <c r="Q23" s="9" t="str">
        <f t="shared" si="4"/>
        <v/>
      </c>
      <c r="R23" s="8" t="str">
        <f t="shared" si="5"/>
        <v>-</v>
      </c>
      <c r="S23" s="8" t="str">
        <f t="shared" si="19"/>
        <v>-</v>
      </c>
      <c r="T23" t="str">
        <f t="shared" si="6"/>
        <v>-</v>
      </c>
      <c r="U23" t="str">
        <f t="shared" si="6"/>
        <v>-</v>
      </c>
      <c r="V23" t="str">
        <f t="shared" si="20"/>
        <v>-</v>
      </c>
      <c r="W23" t="str">
        <f t="shared" si="7"/>
        <v>-</v>
      </c>
      <c r="X23" s="10" t="str">
        <f t="shared" si="8"/>
        <v>-</v>
      </c>
      <c r="Y23" s="7" t="str">
        <f t="shared" si="21"/>
        <v/>
      </c>
      <c r="Z23" s="13" t="str">
        <f t="shared" si="22"/>
        <v>-</v>
      </c>
      <c r="AA23" t="str">
        <f t="shared" si="23"/>
        <v>-</v>
      </c>
      <c r="AB23" s="16" t="str">
        <f t="shared" si="9"/>
        <v>-</v>
      </c>
      <c r="AC23" s="16" t="str">
        <f t="shared" si="24"/>
        <v>-</v>
      </c>
      <c r="AD23" s="16" t="str">
        <f t="shared" si="25"/>
        <v>-</v>
      </c>
      <c r="AE23" s="9" t="str">
        <f t="shared" si="26"/>
        <v/>
      </c>
      <c r="AF23" s="27" t="str" cm="1">
        <f t="array" ref="AF23">IFERROR(SUM(_xlfn._xlws.FILTER($AH$32:$AH$229*$AL$32:$AL$229,$B$32:$B$229=D23))/SUM(_xlfn._xlws.FILTER($AL$32:$AL$229,$B$32:$B$229=D23)),"-")</f>
        <v>-</v>
      </c>
      <c r="AG23" s="163" t="str">
        <f t="shared" si="27"/>
        <v>-</v>
      </c>
      <c r="AH23" s="126" t="str">
        <f t="shared" si="28"/>
        <v>-</v>
      </c>
      <c r="AI23" s="9" t="str">
        <f t="shared" si="10"/>
        <v/>
      </c>
      <c r="AJ23" s="4" t="str">
        <f t="shared" si="11"/>
        <v/>
      </c>
      <c r="AP23" s="20" t="str">
        <f t="shared" si="12"/>
        <v>-</v>
      </c>
      <c r="AQ23" s="13" t="str">
        <f t="shared" si="29"/>
        <v/>
      </c>
      <c r="AR23" s="9" t="str">
        <f t="shared" si="30"/>
        <v/>
      </c>
      <c r="AS23" s="13" t="str">
        <f t="shared" si="31"/>
        <v/>
      </c>
      <c r="AT23" s="16" t="str">
        <f t="shared" si="32"/>
        <v>-</v>
      </c>
      <c r="AU23" s="16" t="str">
        <f t="shared" si="13"/>
        <v>-</v>
      </c>
      <c r="AV23" s="4" t="str">
        <f t="shared" si="33"/>
        <v>-</v>
      </c>
      <c r="AW23" s="16" t="str">
        <f t="shared" si="14"/>
        <v>-</v>
      </c>
      <c r="AX23" t="str">
        <f t="shared" si="15"/>
        <v/>
      </c>
      <c r="AY23" s="9" t="str">
        <f t="shared" si="34"/>
        <v>-</v>
      </c>
      <c r="AZ23" s="20" t="str">
        <f t="shared" si="35"/>
        <v/>
      </c>
      <c r="BA23" s="20" t="str">
        <f t="shared" si="36"/>
        <v/>
      </c>
      <c r="BB23" s="20" t="str">
        <f t="shared" si="37"/>
        <v/>
      </c>
      <c r="BC23" s="20" t="str">
        <f t="shared" si="38"/>
        <v/>
      </c>
    </row>
    <row r="24" spans="2:70" x14ac:dyDescent="0.3">
      <c r="D24" s="96" t="str">
        <f t="shared" si="16"/>
        <v>WALMARTTOTAL CATEGORY</v>
      </c>
      <c r="E24" s="97" t="str">
        <f>E4</f>
        <v>WALMART</v>
      </c>
      <c r="F24" s="3" t="s">
        <v>43</v>
      </c>
      <c r="G24" s="20">
        <f>SUM(G4:G23)</f>
        <v>831068824.22375786</v>
      </c>
      <c r="H24" s="20">
        <f>SUM(H4:H23)</f>
        <v>274302812.65077049</v>
      </c>
      <c r="I24" s="27" t="str">
        <f>IFERROR(INDEX('Input - Walmart'!U$2:U$200,MATCH('Calculations - Walmart'!$D24,'Input - Walmart'!$P$2:$P$200,0)),"")</f>
        <v/>
      </c>
      <c r="J24" s="27">
        <f>'Input - Walmart'!N3</f>
        <v>9.0892486590000008</v>
      </c>
      <c r="K24" s="20">
        <f t="shared" ref="K24:L24" si="39">SUM(K4:K23)</f>
        <v>2658054025.4480276</v>
      </c>
      <c r="L24" s="20">
        <f t="shared" si="39"/>
        <v>995323727.56761742</v>
      </c>
      <c r="M24" s="21">
        <f t="shared" si="17"/>
        <v>3.0297495537599017</v>
      </c>
      <c r="N24" s="21">
        <f t="shared" si="2"/>
        <v>2.6705422083564789</v>
      </c>
      <c r="O24" s="21">
        <f t="shared" si="18"/>
        <v>-2.5000000009405499</v>
      </c>
      <c r="P24" s="9">
        <f>IFERROR(G24/SUM(G$4:G$23),"")</f>
        <v>1</v>
      </c>
      <c r="Q24" s="8">
        <f t="shared" ref="Q24" si="40">SUM(Q4:Q23)</f>
        <v>1</v>
      </c>
      <c r="R24" s="20"/>
      <c r="S24" s="20"/>
      <c r="T24" s="20">
        <f t="shared" ref="T24:X24" si="41">SUM(T4:T23)</f>
        <v>188597754.92808425</v>
      </c>
      <c r="U24" s="20">
        <f t="shared" si="41"/>
        <v>56579326.478425279</v>
      </c>
      <c r="V24" s="8"/>
      <c r="W24" s="20"/>
      <c r="X24" s="20">
        <f t="shared" si="41"/>
        <v>1334832162.7696056</v>
      </c>
      <c r="Y24" s="20"/>
      <c r="AA24" s="20">
        <f t="shared" ref="AA24:AB24" si="42">SUM(AA4:AA23)</f>
        <v>831068824.22375786</v>
      </c>
      <c r="AB24" s="20">
        <f t="shared" si="42"/>
        <v>275142413.36173671</v>
      </c>
      <c r="AC24" s="20"/>
      <c r="AD24" s="20"/>
      <c r="AF24" s="27">
        <f>AT24/AU24</f>
        <v>3.0205042329520135</v>
      </c>
      <c r="AJ24" s="20">
        <f t="shared" ref="AJ24" si="43">SUM(AJ4:AJ23)</f>
        <v>274302812.65077043</v>
      </c>
      <c r="AP24" s="15">
        <f>SUM(AP4:AP23)</f>
        <v>1334832162.7696056</v>
      </c>
      <c r="AQ24" s="13">
        <f t="shared" si="29"/>
        <v>1</v>
      </c>
      <c r="AR24" s="9">
        <f t="shared" si="30"/>
        <v>1</v>
      </c>
      <c r="AS24" s="13">
        <f t="shared" si="31"/>
        <v>0</v>
      </c>
      <c r="AT24" s="15">
        <f t="shared" ref="AT24" si="44">SUM(AT4:AT23)</f>
        <v>831068824.22375798</v>
      </c>
      <c r="AU24" s="15">
        <f>SUM(AU4:AU23)</f>
        <v>275142413.3617366</v>
      </c>
      <c r="AZ24" s="20">
        <f t="shared" si="35"/>
        <v>98.768769423322766</v>
      </c>
      <c r="BA24" s="20">
        <f t="shared" si="36"/>
        <v>110.75514526534548</v>
      </c>
      <c r="BB24" s="20">
        <f t="shared" si="37"/>
        <v>99.071086152151636</v>
      </c>
      <c r="BC24" s="20">
        <f t="shared" si="38"/>
        <v>111.09415053404578</v>
      </c>
    </row>
    <row r="29" spans="2:70" x14ac:dyDescent="0.3">
      <c r="B29" t="str">
        <f>"L3_"&amp;B31</f>
        <v>L3_Key_Brand</v>
      </c>
      <c r="C29" t="str">
        <f>"L3_"&amp;C31</f>
        <v>L3_L2_Key</v>
      </c>
      <c r="D29" t="str">
        <f t="shared" ref="D29:BE29" si="45">"L3_"&amp;D31</f>
        <v>L3_Key_Input</v>
      </c>
      <c r="E29" t="str">
        <f t="shared" si="45"/>
        <v>L3_Channel</v>
      </c>
      <c r="F29" t="str">
        <f t="shared" si="45"/>
        <v>L3_Brand</v>
      </c>
      <c r="G29" t="str">
        <f t="shared" si="45"/>
        <v>L3_Variant</v>
      </c>
      <c r="H29" t="str">
        <f t="shared" si="45"/>
        <v>L3_PPG</v>
      </c>
      <c r="I29" t="str">
        <f t="shared" si="45"/>
        <v>L3_RSV</v>
      </c>
      <c r="J29" t="str">
        <f t="shared" si="45"/>
        <v>L3_Vol</v>
      </c>
      <c r="K29" t="str">
        <f t="shared" si="45"/>
        <v>L3_CSF</v>
      </c>
      <c r="L29" t="str">
        <f t="shared" si="45"/>
        <v>L3_MCV</v>
      </c>
      <c r="M29" t="str">
        <f t="shared" si="45"/>
        <v>L3_RSV_Total</v>
      </c>
      <c r="N29" t="str">
        <f t="shared" si="45"/>
        <v>L3_Volume_Total</v>
      </c>
      <c r="O29" t="str">
        <f t="shared" si="45"/>
        <v>L3_Current Price</v>
      </c>
      <c r="P29" t="str">
        <f t="shared" si="45"/>
        <v>L3_Price_FP</v>
      </c>
      <c r="Q29" t="str">
        <f t="shared" si="45"/>
        <v>L3_Elasticity</v>
      </c>
      <c r="R29" t="str">
        <f t="shared" si="45"/>
        <v>L3_Val Share</v>
      </c>
      <c r="S29" t="str">
        <f t="shared" si="45"/>
        <v>L3_Vol. Share</v>
      </c>
      <c r="T29" t="str">
        <f t="shared" si="45"/>
        <v>L3_NSV_to_RSV_o</v>
      </c>
      <c r="U29" t="str">
        <f t="shared" si="45"/>
        <v>L3_NSV_to_GM_o</v>
      </c>
      <c r="V29" t="str">
        <f t="shared" si="45"/>
        <v>L3_NSV_o</v>
      </c>
      <c r="W29" t="str">
        <f t="shared" si="45"/>
        <v>L3_GM_o</v>
      </c>
      <c r="X29" t="str">
        <f t="shared" si="45"/>
        <v>L3_Fixed Cost</v>
      </c>
      <c r="Y29" t="str">
        <f t="shared" si="45"/>
        <v>L3_Fixed Cost per Unit</v>
      </c>
      <c r="Z29" t="str">
        <f t="shared" si="45"/>
        <v>L3_TPV</v>
      </c>
      <c r="AA29" t="str">
        <f t="shared" si="45"/>
        <v>L3_PVS</v>
      </c>
      <c r="AB29" t="str">
        <f t="shared" si="45"/>
        <v>L3_MS Headroom</v>
      </c>
      <c r="AC29" t="str">
        <f t="shared" si="45"/>
        <v>L3_New RSV</v>
      </c>
      <c r="AD29" t="str">
        <f t="shared" si="45"/>
        <v>L3_Vol_i</v>
      </c>
      <c r="AE29" t="str">
        <f t="shared" si="45"/>
        <v>L3_NSV_i</v>
      </c>
      <c r="AF29" t="str">
        <f t="shared" si="45"/>
        <v>L3_GM</v>
      </c>
      <c r="AG29" t="str">
        <f t="shared" si="45"/>
        <v>L3_</v>
      </c>
      <c r="AH29" t="str">
        <f t="shared" si="45"/>
        <v>L3_New Price</v>
      </c>
      <c r="AI29" t="str">
        <f t="shared" si="45"/>
        <v>L3_NSV_to_RSV</v>
      </c>
      <c r="AJ29" t="str">
        <f t="shared" si="45"/>
        <v>L3_NSV_to_GM</v>
      </c>
      <c r="AK29" t="str">
        <f t="shared" si="45"/>
        <v>L3_Price_Chng</v>
      </c>
      <c r="AL29" t="str">
        <f t="shared" si="45"/>
        <v>L3_Revised_New_Vol</v>
      </c>
      <c r="AM29" t="str">
        <f t="shared" si="45"/>
        <v>L3_New Category Price</v>
      </c>
      <c r="AN29" t="str">
        <f t="shared" si="45"/>
        <v>L3_Chg Category Price</v>
      </c>
      <c r="AO29" t="str">
        <f t="shared" si="45"/>
        <v>L3_Chng in Cat Vol.</v>
      </c>
      <c r="AP29" t="str">
        <f t="shared" si="45"/>
        <v>L3_New Cat Vol</v>
      </c>
      <c r="AQ29" t="str">
        <f t="shared" si="45"/>
        <v>L3_New Cat Val</v>
      </c>
      <c r="AR29" t="str">
        <f t="shared" si="45"/>
        <v>L3_TPV_n</v>
      </c>
      <c r="AS29" t="str">
        <f t="shared" si="45"/>
        <v>L3_TPV_Share</v>
      </c>
      <c r="AT29" t="str">
        <f t="shared" si="45"/>
        <v>L3_PVS_N</v>
      </c>
      <c r="AU29" t="str">
        <f t="shared" si="45"/>
        <v>L3_MSP_N</v>
      </c>
      <c r="AV29" t="str">
        <f t="shared" si="45"/>
        <v>L3_RSV_N</v>
      </c>
      <c r="AW29" t="str">
        <f t="shared" si="45"/>
        <v>L3_New Vol</v>
      </c>
      <c r="AX29" t="str">
        <f t="shared" si="45"/>
        <v>L3_New NSV</v>
      </c>
      <c r="AY29" t="str">
        <f t="shared" si="45"/>
        <v>L3_New GP</v>
      </c>
      <c r="AZ29" s="96" t="str">
        <f t="shared" si="45"/>
        <v>L3_Vol_Contri</v>
      </c>
      <c r="BA29" s="96" t="str">
        <f t="shared" si="45"/>
        <v>L3_Updated_Vol</v>
      </c>
      <c r="BB29" s="96" t="str">
        <f t="shared" si="45"/>
        <v>L3_Sim. Vol Share</v>
      </c>
      <c r="BC29" s="96" t="str">
        <f t="shared" si="45"/>
        <v>L3_Val_Contri</v>
      </c>
      <c r="BD29" s="96" t="str">
        <f t="shared" si="45"/>
        <v>L3_Updated_Val</v>
      </c>
      <c r="BE29" s="96" t="str">
        <f t="shared" si="45"/>
        <v>L3_Sim. Val Share</v>
      </c>
    </row>
    <row r="30" spans="2:70" x14ac:dyDescent="0.3">
      <c r="B30" s="26" t="str">
        <f>IFERROR(E30&amp;F30,"")</f>
        <v>WALMARTTOTAL CATEGORY</v>
      </c>
      <c r="C30" s="26"/>
      <c r="E30" s="97" t="str">
        <f>E32</f>
        <v>WALMART</v>
      </c>
      <c r="F30" s="3" t="s">
        <v>43</v>
      </c>
      <c r="I30" s="15">
        <f>SUM(I32:I229)</f>
        <v>831068824.2237581</v>
      </c>
      <c r="J30" s="15">
        <f>SUM(J32:J229)</f>
        <v>274302812.65077049</v>
      </c>
      <c r="L30" s="29">
        <f>'Input - Walmart'!N3</f>
        <v>9.0892486590000008</v>
      </c>
      <c r="M30" s="15">
        <f t="shared" ref="M30:N30" si="46">SUM(M32:M229)</f>
        <v>2658054025.4480281</v>
      </c>
      <c r="N30" s="15">
        <f t="shared" si="46"/>
        <v>995323727.56761765</v>
      </c>
      <c r="O30" s="14">
        <f>IFERROR(I30/J30,"")</f>
        <v>3.0297495537599026</v>
      </c>
      <c r="P30" s="14">
        <f>IFERROR(M30/N30,"")</f>
        <v>2.6705422083564789</v>
      </c>
      <c r="Q30" s="14">
        <f>IFERROR((O30/(O30-L30)*5),0)</f>
        <v>-2.5000000009405507</v>
      </c>
      <c r="R30" s="19">
        <f>SUM(R32:R229)</f>
        <v>1.0000000000000002</v>
      </c>
      <c r="Z30" s="12">
        <f>SUM(Z32:Z229)</f>
        <v>1334832162.7696052</v>
      </c>
      <c r="AR30" s="15">
        <f>SUM(AR32:AR229)</f>
        <v>1334832162.7696052</v>
      </c>
      <c r="AZ30" s="96"/>
      <c r="BA30" s="96"/>
      <c r="BB30" s="96"/>
      <c r="BC30" s="96"/>
      <c r="BD30" s="96"/>
      <c r="BE30" s="96"/>
      <c r="BG30" s="4"/>
    </row>
    <row r="31" spans="2:70" x14ac:dyDescent="0.3">
      <c r="B31" s="4" t="s">
        <v>42</v>
      </c>
      <c r="C31" s="4" t="s">
        <v>103</v>
      </c>
      <c r="D31" s="4" t="s">
        <v>41</v>
      </c>
      <c r="E31" s="4" t="s">
        <v>0</v>
      </c>
      <c r="F31" s="4" t="s">
        <v>1</v>
      </c>
      <c r="G31" s="4" t="s">
        <v>100</v>
      </c>
      <c r="H31" s="4" t="s">
        <v>2</v>
      </c>
      <c r="I31" s="6" t="s">
        <v>3</v>
      </c>
      <c r="J31" s="6" t="s">
        <v>4</v>
      </c>
      <c r="K31" s="6" t="s">
        <v>5</v>
      </c>
      <c r="L31" s="6" t="s">
        <v>6</v>
      </c>
      <c r="M31" s="6" t="s">
        <v>7</v>
      </c>
      <c r="N31" s="6" t="s">
        <v>8</v>
      </c>
      <c r="O31" s="5" t="s">
        <v>10</v>
      </c>
      <c r="P31" s="5" t="s">
        <v>12</v>
      </c>
      <c r="Q31" s="5" t="s">
        <v>11</v>
      </c>
      <c r="R31" s="5" t="s">
        <v>20</v>
      </c>
      <c r="S31" s="5" t="s">
        <v>19</v>
      </c>
      <c r="T31" s="5" t="s">
        <v>27</v>
      </c>
      <c r="U31" s="5" t="s">
        <v>28</v>
      </c>
      <c r="V31" s="9" t="s">
        <v>29</v>
      </c>
      <c r="W31" s="9" t="s">
        <v>30</v>
      </c>
      <c r="X31" s="9" t="s">
        <v>47</v>
      </c>
      <c r="Y31" s="9" t="s">
        <v>48</v>
      </c>
      <c r="Z31" s="5" t="s">
        <v>22</v>
      </c>
      <c r="AA31" s="5" t="s">
        <v>23</v>
      </c>
      <c r="AB31" s="5" t="s">
        <v>24</v>
      </c>
      <c r="AC31" s="5" t="s">
        <v>25</v>
      </c>
      <c r="AD31" s="5" t="s">
        <v>26</v>
      </c>
      <c r="AE31" s="5" t="s">
        <v>21</v>
      </c>
      <c r="AF31" s="5" t="s">
        <v>18</v>
      </c>
      <c r="AG31" s="5"/>
      <c r="AH31" s="5" t="s">
        <v>13</v>
      </c>
      <c r="AI31" s="5" t="s">
        <v>16</v>
      </c>
      <c r="AJ31" s="5" t="s">
        <v>17</v>
      </c>
      <c r="AK31" s="5" t="s">
        <v>14</v>
      </c>
      <c r="AL31" s="5" t="s">
        <v>15</v>
      </c>
      <c r="AM31" s="17" t="s">
        <v>31</v>
      </c>
      <c r="AN31" s="17" t="s">
        <v>83</v>
      </c>
      <c r="AO31" s="18" t="s">
        <v>32</v>
      </c>
      <c r="AP31" s="18" t="s">
        <v>34</v>
      </c>
      <c r="AQ31" s="18" t="s">
        <v>35</v>
      </c>
      <c r="AR31" s="4" t="s">
        <v>36</v>
      </c>
      <c r="AS31" s="4" t="s">
        <v>37</v>
      </c>
      <c r="AT31" s="4" t="s">
        <v>44</v>
      </c>
      <c r="AU31" s="4" t="s">
        <v>45</v>
      </c>
      <c r="AV31" s="4" t="s">
        <v>46</v>
      </c>
      <c r="AW31" s="4" t="s">
        <v>38</v>
      </c>
      <c r="AX31" s="4" t="s">
        <v>39</v>
      </c>
      <c r="AY31" s="4" t="s">
        <v>40</v>
      </c>
      <c r="AZ31" s="122" t="s">
        <v>128</v>
      </c>
      <c r="BA31" s="123" t="s">
        <v>129</v>
      </c>
      <c r="BB31" s="123" t="s">
        <v>130</v>
      </c>
      <c r="BC31" s="122" t="s">
        <v>157</v>
      </c>
      <c r="BD31" s="123" t="s">
        <v>158</v>
      </c>
      <c r="BE31" s="123" t="s">
        <v>159</v>
      </c>
    </row>
    <row r="32" spans="2:70" x14ac:dyDescent="0.3">
      <c r="B32" s="96" t="str">
        <f>IFERROR(E32&amp;F32,"")</f>
        <v>WALMARTDUKES</v>
      </c>
      <c r="C32" s="96" t="str">
        <f>E32&amp;F32&amp;G32</f>
        <v>WALMARTDUKESAIOLI</v>
      </c>
      <c r="D32" s="96" t="str">
        <f>IFERROR(E32&amp;F32&amp;G32&amp;H32,"")</f>
        <v>WALMARTDUKESAIOLIOTHER</v>
      </c>
      <c r="E32" s="3" t="s">
        <v>135</v>
      </c>
      <c r="F32" s="3" t="s">
        <v>105</v>
      </c>
      <c r="G32" s="3" t="s">
        <v>112</v>
      </c>
      <c r="H32" s="3" t="s">
        <v>115</v>
      </c>
      <c r="I32" s="20">
        <f>IFERROR(INDEX('Input - Walmart'!G$2:G$200,MATCH('Calculations - Walmart'!$D32,'Input - Walmart'!$B$2:$B$200,0)),"")</f>
        <v>288187.62945800001</v>
      </c>
      <c r="J32" s="20">
        <f>IFERROR(INDEX('Input - Walmart'!H$2:H$200,MATCH('Calculations - Walmart'!$D32,'Input - Walmart'!$B$2:$B$200,0)),"")</f>
        <v>86279.557654799995</v>
      </c>
      <c r="K32" s="21">
        <f>IFERROR(INDEX('Input - Walmart'!I$2:I$200,MATCH('Calculations - Walmart'!$D32,'Input - Walmart'!$B$2:$B$200,0)),"")</f>
        <v>2.2578041770769901</v>
      </c>
      <c r="L32" s="21">
        <f>IFERROR(INDEX('Input - Walmart'!J$2:J$200,MATCH('Calculations - Walmart'!$D32,'Input - Walmart'!$B$2:$B$200,0)),"")</f>
        <v>7.5414298735221799</v>
      </c>
      <c r="M32" s="20">
        <f>IFERROR(INDEX('Input - Walmart'!K$2:K$200,MATCH('Calculations - Walmart'!$D32,'Input - Walmart'!$B$2:$B$200,0)),"")</f>
        <v>1424120.753028</v>
      </c>
      <c r="N32" s="20">
        <f>IFERROR(INDEX('Input - Walmart'!L$2:L$200,MATCH('Calculations - Walmart'!$D32,'Input - Walmart'!$B$2:$B$200,0)),"")</f>
        <v>410261.42145079997</v>
      </c>
      <c r="O32" s="21">
        <f>IFERROR(I32/J32,"")</f>
        <v>3.3401611840781991</v>
      </c>
      <c r="P32" s="21">
        <f t="shared" ref="P32:P95" si="47">IFERROR(M32/N32,"")</f>
        <v>3.471251934905085</v>
      </c>
      <c r="Q32" s="21">
        <f>IFERROR((O32/(O32-L32)*5),0)</f>
        <v>-3.9751815832091597</v>
      </c>
      <c r="R32" s="9">
        <f t="shared" ref="R32:R63" si="48">I32/SUM(I$32:I$229)</f>
        <v>3.4676746504981154E-4</v>
      </c>
      <c r="S32" s="9">
        <f t="shared" ref="S32:S63" si="49">J32/SUM(J$32:J$229)</f>
        <v>3.1454127947512918E-4</v>
      </c>
      <c r="T32" s="22">
        <f>IFERROR(INDEX(Walmart!$S$11:$S$192,MATCH('Calculations - Walmart'!$D32,Walmart!$N$11:$N$192,0)),"")</f>
        <v>0</v>
      </c>
      <c r="U32" s="22">
        <f>IFERROR(INDEX(Walmart!$T$11:$T$192,MATCH('Calculations - Walmart'!$D32,Walmart!$N$11:$N$192,0)),"")</f>
        <v>0</v>
      </c>
      <c r="V32" s="16">
        <f t="shared" ref="V32:V95" si="50">T32*I32</f>
        <v>0</v>
      </c>
      <c r="W32" s="16">
        <f>U32*V32</f>
        <v>0</v>
      </c>
      <c r="X32" s="16">
        <f>V32-W32</f>
        <v>0</v>
      </c>
      <c r="Y32" s="10">
        <f t="shared" ref="Y32:Y95" si="51">IFERROR(X32/J32,"-")</f>
        <v>0</v>
      </c>
      <c r="Z32" s="10">
        <f t="shared" ref="Z32:Z95" si="52">IFERROR((L32+O32)*J32*0.5,"-")</f>
        <v>469429.43151509395</v>
      </c>
      <c r="AA32" s="13">
        <f>IFERROR(Z32/$Z$30,"-")</f>
        <v>3.5167674604205537E-4</v>
      </c>
      <c r="AB32" s="9">
        <f t="shared" ref="AB32:AB95" si="53">IFERROR(AA32-R32,"-")</f>
        <v>4.9092809922438399E-6</v>
      </c>
      <c r="AC32" s="16">
        <f>IFERROR(AA32*$I$30,"-")</f>
        <v>292267.57984000811</v>
      </c>
      <c r="AD32" s="16">
        <f t="shared" ref="AD32:AD95" si="54">IFERROR(AC32/O32,"-")</f>
        <v>87501.04073814828</v>
      </c>
      <c r="AE32" s="16">
        <f t="shared" ref="AE32:AE95" si="55">IFERROR(T32*AC32,"-")</f>
        <v>0</v>
      </c>
      <c r="AF32" s="16">
        <f>IFERROR(AE32-(Y32)*AD32,"-")</f>
        <v>0</v>
      </c>
      <c r="AG32" s="16"/>
      <c r="AH32" s="32">
        <f>IFERROR(INDEX(Walmart!$R$11:$R$192,MATCH('Calculations - Walmart'!D32,Walmart!$N$11:$N$192,0)),"")</f>
        <v>3.3401611840781991</v>
      </c>
      <c r="AI32" s="23">
        <f>T32</f>
        <v>0</v>
      </c>
      <c r="AJ32" s="23">
        <f>U32</f>
        <v>0</v>
      </c>
      <c r="AK32" s="9">
        <f t="shared" ref="AK32:AK95" si="56">IFERROR((AH32-O32)/O32,"")</f>
        <v>0</v>
      </c>
      <c r="AL32" s="4">
        <f t="shared" ref="AL32:AL95" si="57">IFERROR(MAX((1+AK32*Q32/5)*J32,0),"")</f>
        <v>86279.557654799995</v>
      </c>
      <c r="AM32" s="18">
        <f>SUMPRODUCT(AH$32:AH$229,AL$32:AL$229)/SUM(AL$32:AL$229)</f>
        <v>3.0297495537599026</v>
      </c>
      <c r="AN32" s="24">
        <f>$AM32/$O$30-1</f>
        <v>0</v>
      </c>
      <c r="AO32" s="24">
        <f>$AN32*$Q$30/5</f>
        <v>0</v>
      </c>
      <c r="AP32" s="25">
        <f>(1+$AO32)*$J$30</f>
        <v>274302812.65077049</v>
      </c>
      <c r="AQ32" s="25">
        <f>AP32*AM32</f>
        <v>831068824.2237581</v>
      </c>
      <c r="AR32" s="20">
        <f t="shared" ref="AR32:AR95" si="58">IFERROR(0.5*(L32+AH32)*AL32,"-")</f>
        <v>469429.43151509395</v>
      </c>
      <c r="AS32" s="13">
        <f>IFERROR(AR32/AR$30,"-")</f>
        <v>3.5167674604205537E-4</v>
      </c>
      <c r="AT32" s="13">
        <f>IFERROR(AS32*$R$30,"-")</f>
        <v>3.5167674604205543E-4</v>
      </c>
      <c r="AU32" s="13">
        <f t="shared" ref="AU32:AU95" si="59">IFERROR(AT32-R32,"-")</f>
        <v>4.9092809922438941E-6</v>
      </c>
      <c r="AV32" s="16">
        <f>IFERROR(AT32*AQ$32,"-")</f>
        <v>292267.57984000817</v>
      </c>
      <c r="AW32" s="16">
        <f t="shared" ref="AW32:AW95" si="60">IFERROR(AV32/AH32,"-")</f>
        <v>87501.040738148309</v>
      </c>
      <c r="AX32" s="16">
        <f t="shared" ref="AX32:AX95" si="61">IFERROR(AI32*AV32,"-")</f>
        <v>0</v>
      </c>
      <c r="AY32" s="16">
        <f>IFERROR(AX32-(Y32*AW32),"-")</f>
        <v>0</v>
      </c>
      <c r="AZ32" s="13">
        <f>IFERROR(AW32/SUMIFS($AW$32:$AW$229,$B$32:$B$229,B32),"-")</f>
        <v>3.7007739717716532E-3</v>
      </c>
      <c r="BA32" s="10">
        <f>IFERROR(AZ32*INDEX($AU$4:$AU$24,MATCH($B32,$D$4:$D$24,0)),"-")</f>
        <v>87285.256399119913</v>
      </c>
      <c r="BB32" s="9">
        <f>IFERROR(BA32/SUM($BA$32:$BA$229),"-")</f>
        <v>3.172366460432394E-4</v>
      </c>
      <c r="BC32" s="13">
        <f>IFERROR(AV32/SUMIFS($AV$32:$AV$229,$B$32:$B$229,B32),"-")</f>
        <v>4.4518235313843971E-3</v>
      </c>
      <c r="BD32" s="10">
        <f>IFERROR(BC32*INDEX($AT$4:$AT$24,MATCH($B32,$D$4:$D$24,0)),"-")</f>
        <v>292267.57984000805</v>
      </c>
      <c r="BE32" s="13">
        <f>IFERROR(BD32/SUM($BD$32:$BD$229),"-")</f>
        <v>3.5167674604205532E-4</v>
      </c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</row>
    <row r="33" spans="2:70" x14ac:dyDescent="0.3">
      <c r="B33" s="96" t="str">
        <f t="shared" ref="B33:B96" si="62">IFERROR(E33&amp;F33,"")</f>
        <v>WALMARTHELLMANNS BEST FOODS</v>
      </c>
      <c r="C33" s="96" t="str">
        <f t="shared" ref="C33:C96" si="63">E33&amp;F33&amp;G33</f>
        <v>WALMARTHELLMANNS BEST FOODSAIOLI</v>
      </c>
      <c r="D33" s="96" t="str">
        <f t="shared" ref="D33:D96" si="64">IFERROR(E33&amp;F33&amp;G33&amp;H33,"")</f>
        <v>WALMARTHELLMANNS BEST FOODSAIOLIJAR 15OZ</v>
      </c>
      <c r="E33" s="3" t="s">
        <v>135</v>
      </c>
      <c r="F33" s="3" t="s">
        <v>106</v>
      </c>
      <c r="G33" s="3" t="s">
        <v>112</v>
      </c>
      <c r="H33" s="3" t="s">
        <v>116</v>
      </c>
      <c r="I33" s="20">
        <f>IFERROR(INDEX('Input - Walmart'!G$2:G$200,MATCH('Calculations - Walmart'!$D33,'Input - Walmart'!$B$2:$B$200,0)),"")</f>
        <v>19.34</v>
      </c>
      <c r="J33" s="20">
        <f>IFERROR(INDEX('Input - Walmart'!H$2:H$200,MATCH('Calculations - Walmart'!$D33,'Input - Walmart'!$B$2:$B$200,0)),"")</f>
        <v>6.5625</v>
      </c>
      <c r="K33" s="21">
        <f>IFERROR(INDEX('Input - Walmart'!I$2:I$200,MATCH('Calculations - Walmart'!$D33,'Input - Walmart'!$B$2:$B$200,0)),"")</f>
        <v>4.11092170476996</v>
      </c>
      <c r="L33" s="21">
        <f>IFERROR(INDEX('Input - Walmart'!J$2:J$200,MATCH('Calculations - Walmart'!$D33,'Input - Walmart'!$B$2:$B$200,0)),"")</f>
        <v>12.1150820221335</v>
      </c>
      <c r="M33" s="20">
        <f>IFERROR(INDEX('Input - Walmart'!K$2:K$200,MATCH('Calculations - Walmart'!$D33,'Input - Walmart'!$B$2:$B$200,0)),"")</f>
        <v>189.75377712</v>
      </c>
      <c r="N33" s="20">
        <f>IFERROR(INDEX('Input - Walmart'!L$2:L$200,MATCH('Calculations - Walmart'!$D33,'Input - Walmart'!$B$2:$B$200,0)),"")</f>
        <v>62.813389710999999</v>
      </c>
      <c r="O33" s="21">
        <f t="shared" ref="O33:O96" si="65">IFERROR(I33/J33,"")</f>
        <v>2.9470476190476189</v>
      </c>
      <c r="P33" s="21">
        <f t="shared" si="47"/>
        <v>3.020912865760689</v>
      </c>
      <c r="Q33" s="21">
        <f t="shared" ref="Q33:Q96" si="66">IFERROR((O33/(O33-L33)*5),0)</f>
        <v>-1.6072407069369574</v>
      </c>
      <c r="R33" s="9">
        <f t="shared" si="48"/>
        <v>2.3271237515213147E-8</v>
      </c>
      <c r="S33" s="9">
        <f t="shared" si="49"/>
        <v>2.3924289862660168E-8</v>
      </c>
      <c r="T33" s="22">
        <f>IFERROR(INDEX(Walmart!$S$11:$S$192,MATCH('Calculations - Walmart'!$D33,Walmart!$N$11:$N$192,0)),"")</f>
        <v>0</v>
      </c>
      <c r="U33" s="22">
        <f>IFERROR(INDEX(Walmart!$T$11:$T$192,MATCH('Calculations - Walmart'!$D33,Walmart!$N$11:$N$192,0)),"")</f>
        <v>0</v>
      </c>
      <c r="V33" s="16">
        <f t="shared" si="50"/>
        <v>0</v>
      </c>
      <c r="W33" s="16">
        <f t="shared" ref="W33:W96" si="67">U33*V33</f>
        <v>0</v>
      </c>
      <c r="X33" s="16">
        <f t="shared" ref="X33:X96" si="68">V33-W33</f>
        <v>0</v>
      </c>
      <c r="Y33" s="10">
        <f t="shared" si="51"/>
        <v>0</v>
      </c>
      <c r="Z33" s="10">
        <f t="shared" si="52"/>
        <v>49.422612885125545</v>
      </c>
      <c r="AA33" s="13">
        <f t="shared" ref="AA33:AA96" si="69">IFERROR(Z33/$Z$30,"-")</f>
        <v>3.7025338663236867E-8</v>
      </c>
      <c r="AB33" s="9">
        <f t="shared" si="53"/>
        <v>1.375410114802372E-8</v>
      </c>
      <c r="AC33" s="16">
        <f t="shared" ref="AC33:AC96" si="70">IFERROR(AA33*$I$30,"-")</f>
        <v>30.770604669342713</v>
      </c>
      <c r="AD33" s="16">
        <f t="shared" si="54"/>
        <v>10.44116303736099</v>
      </c>
      <c r="AE33" s="16">
        <f t="shared" si="55"/>
        <v>0</v>
      </c>
      <c r="AF33" s="16">
        <f t="shared" ref="AF33:AF96" si="71">IFERROR(AE33-(Y33)*AD33,"-")</f>
        <v>0</v>
      </c>
      <c r="AG33" s="16"/>
      <c r="AH33" s="32">
        <f>IFERROR(INDEX(Walmart!$R$11:$R$192,MATCH('Calculations - Walmart'!D33,Walmart!$N$11:$N$192,0)),"")</f>
        <v>2.9470476190476189</v>
      </c>
      <c r="AI33" s="23">
        <f t="shared" ref="AI33:AI96" si="72">T33</f>
        <v>0</v>
      </c>
      <c r="AJ33" s="23">
        <f t="shared" ref="AJ33:AJ96" si="73">U33</f>
        <v>0</v>
      </c>
      <c r="AK33" s="9">
        <f t="shared" si="56"/>
        <v>0</v>
      </c>
      <c r="AL33" s="4">
        <f t="shared" si="57"/>
        <v>6.5625</v>
      </c>
      <c r="AM33" s="4"/>
      <c r="AN33" s="4"/>
      <c r="AO33" s="4"/>
      <c r="AP33" s="4"/>
      <c r="AQ33" s="4"/>
      <c r="AR33" s="20">
        <f t="shared" si="58"/>
        <v>49.422612885125545</v>
      </c>
      <c r="AS33" s="13">
        <f t="shared" ref="AS33:AS96" si="74">IFERROR(AR33/AR$30,"-")</f>
        <v>3.7025338663236867E-8</v>
      </c>
      <c r="AT33" s="13">
        <f t="shared" ref="AT33:AT96" si="75">IFERROR(AS33*$R$30,"-")</f>
        <v>3.7025338663236874E-8</v>
      </c>
      <c r="AU33" s="13">
        <f t="shared" si="59"/>
        <v>1.3754101148023727E-8</v>
      </c>
      <c r="AV33" s="16">
        <f t="shared" ref="AV33:AV96" si="76">IFERROR(AT33*AQ$32,"-")</f>
        <v>30.77060466934272</v>
      </c>
      <c r="AW33" s="16">
        <f t="shared" si="60"/>
        <v>10.441163037360994</v>
      </c>
      <c r="AX33" s="16">
        <f t="shared" si="61"/>
        <v>0</v>
      </c>
      <c r="AY33" s="16">
        <f t="shared" ref="AY33:AY96" si="77">IFERROR(AX33-(Y33*AW33),"-")</f>
        <v>0</v>
      </c>
      <c r="AZ33" s="13">
        <f t="shared" ref="AZ33:AZ96" si="78">IFERROR(AW33/SUMIFS($AW$32:$AW$229,$B$32:$B$229,B33),"-")</f>
        <v>1.1376887731520405E-7</v>
      </c>
      <c r="BA33" s="10">
        <f t="shared" ref="BA33:BA96" si="79">IFERROR(AZ33*INDEX($AU$4:$AU$24,MATCH($B33,$D$4:$D$24,0)),"-")</f>
        <v>10.385332763038829</v>
      </c>
      <c r="BB33" s="9">
        <f t="shared" ref="BB33:BB96" si="80">IFERROR(BA33/SUM($BA$32:$BA$229),"-")</f>
        <v>3.7745299374782219E-8</v>
      </c>
      <c r="BC33" s="13">
        <f t="shared" ref="BC33:BC96" si="81">IFERROR(AV33/SUMIFS($AV$32:$AV$229,$B$32:$B$229,B33),"-")</f>
        <v>9.7472588653384026E-8</v>
      </c>
      <c r="BD33" s="10">
        <f t="shared" ref="BD33:BD96" si="82">IFERROR(BC33*INDEX($AT$4:$AT$24,MATCH($B33,$D$4:$D$24,0)),"-")</f>
        <v>30.770604669342703</v>
      </c>
      <c r="BE33" s="13">
        <f t="shared" ref="BE33:BE96" si="83">IFERROR(BD33/SUM($BD$32:$BD$229),"-")</f>
        <v>3.702533866323686E-8</v>
      </c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2:70" x14ac:dyDescent="0.3">
      <c r="B34" s="96" t="str">
        <f t="shared" si="62"/>
        <v>WALMARTHELLMANNS BEST FOODS</v>
      </c>
      <c r="C34" s="96" t="str">
        <f t="shared" si="63"/>
        <v>WALMARTHELLMANNS BEST FOODSAIOLI</v>
      </c>
      <c r="D34" s="96" t="str">
        <f t="shared" si="64"/>
        <v>WALMARTHELLMANNS BEST FOODSAIOLIOTHER</v>
      </c>
      <c r="E34" s="3" t="s">
        <v>135</v>
      </c>
      <c r="F34" s="3" t="s">
        <v>106</v>
      </c>
      <c r="G34" s="3" t="s">
        <v>112</v>
      </c>
      <c r="H34" s="3" t="s">
        <v>115</v>
      </c>
      <c r="I34" s="20">
        <f>IFERROR(INDEX('Input - Walmart'!G$2:G$200,MATCH('Calculations - Walmart'!$D34,'Input - Walmart'!$B$2:$B$200,0)),"")</f>
        <v>2639499.6634399998</v>
      </c>
      <c r="J34" s="20">
        <f>IFERROR(INDEX('Input - Walmart'!H$2:H$200,MATCH('Calculations - Walmart'!$D34,'Input - Walmart'!$B$2:$B$200,0)),"")</f>
        <v>440053.85643599997</v>
      </c>
      <c r="K34" s="21">
        <f>IFERROR(INDEX('Input - Walmart'!I$2:I$200,MATCH('Calculations - Walmart'!$D34,'Input - Walmart'!$B$2:$B$200,0)),"")</f>
        <v>2.2504749762763101</v>
      </c>
      <c r="L34" s="21">
        <f>IFERROR(INDEX('Input - Walmart'!J$2:J$200,MATCH('Calculations - Walmart'!$D34,'Input - Walmart'!$B$2:$B$200,0)),"")</f>
        <v>13.4986385315893</v>
      </c>
      <c r="M34" s="20">
        <f>IFERROR(INDEX('Input - Walmart'!K$2:K$200,MATCH('Calculations - Walmart'!$D34,'Input - Walmart'!$B$2:$B$200,0)),"")</f>
        <v>4589521.5248980001</v>
      </c>
      <c r="N34" s="20">
        <f>IFERROR(INDEX('Input - Walmart'!L$2:L$200,MATCH('Calculations - Walmart'!$D34,'Input - Walmart'!$B$2:$B$200,0)),"")</f>
        <v>796195.47984699998</v>
      </c>
      <c r="O34" s="21">
        <f t="shared" si="65"/>
        <v>5.9981286945587309</v>
      </c>
      <c r="P34" s="21">
        <f t="shared" si="47"/>
        <v>5.7643149717201867</v>
      </c>
      <c r="Q34" s="21">
        <f t="shared" si="66"/>
        <v>-3.9984806532387491</v>
      </c>
      <c r="R34" s="9">
        <f t="shared" si="48"/>
        <v>3.1760301752449534E-3</v>
      </c>
      <c r="S34" s="9">
        <f t="shared" si="49"/>
        <v>1.6042630120466754E-3</v>
      </c>
      <c r="T34" s="22">
        <f>IFERROR(INDEX(Walmart!$S$11:$S$192,MATCH('Calculations - Walmart'!$D34,Walmart!$N$11:$N$192,0)),"")</f>
        <v>0</v>
      </c>
      <c r="U34" s="22">
        <f>IFERROR(INDEX(Walmart!$T$11:$T$192,MATCH('Calculations - Walmart'!$D34,Walmart!$N$11:$N$192,0)),"")</f>
        <v>0</v>
      </c>
      <c r="V34" s="16">
        <f t="shared" si="50"/>
        <v>0</v>
      </c>
      <c r="W34" s="16">
        <f t="shared" si="67"/>
        <v>0</v>
      </c>
      <c r="X34" s="16">
        <f t="shared" si="68"/>
        <v>0</v>
      </c>
      <c r="Y34" s="10">
        <f t="shared" si="51"/>
        <v>0</v>
      </c>
      <c r="Z34" s="10">
        <f t="shared" si="52"/>
        <v>4289813.8029507278</v>
      </c>
      <c r="AA34" s="13">
        <f t="shared" si="69"/>
        <v>3.2137477074645217E-3</v>
      </c>
      <c r="AB34" s="9">
        <f t="shared" si="53"/>
        <v>3.7717532219568375E-5</v>
      </c>
      <c r="AC34" s="16">
        <f t="shared" si="70"/>
        <v>2670845.5285943383</v>
      </c>
      <c r="AD34" s="16">
        <f t="shared" si="54"/>
        <v>445279.79718361585</v>
      </c>
      <c r="AE34" s="16">
        <f t="shared" si="55"/>
        <v>0</v>
      </c>
      <c r="AF34" s="16">
        <f t="shared" si="71"/>
        <v>0</v>
      </c>
      <c r="AG34" s="16"/>
      <c r="AH34" s="32">
        <f>IFERROR(INDEX(Walmart!$R$11:$R$192,MATCH('Calculations - Walmart'!D34,Walmart!$N$11:$N$192,0)),"")</f>
        <v>5.9981286945587309</v>
      </c>
      <c r="AI34" s="23">
        <f t="shared" si="72"/>
        <v>0</v>
      </c>
      <c r="AJ34" s="23">
        <f t="shared" si="73"/>
        <v>0</v>
      </c>
      <c r="AK34" s="9">
        <f t="shared" si="56"/>
        <v>0</v>
      </c>
      <c r="AL34" s="4">
        <f t="shared" si="57"/>
        <v>440053.85643599997</v>
      </c>
      <c r="AM34" s="4"/>
      <c r="AN34" s="4"/>
      <c r="AO34" s="4"/>
      <c r="AP34" s="4"/>
      <c r="AQ34" s="4"/>
      <c r="AR34" s="20">
        <f t="shared" si="58"/>
        <v>4289813.8029507278</v>
      </c>
      <c r="AS34" s="13">
        <f t="shared" si="74"/>
        <v>3.2137477074645217E-3</v>
      </c>
      <c r="AT34" s="13">
        <f t="shared" si="75"/>
        <v>3.2137477074645226E-3</v>
      </c>
      <c r="AU34" s="13">
        <f t="shared" si="59"/>
        <v>3.7717532219569243E-5</v>
      </c>
      <c r="AV34" s="16">
        <f t="shared" si="76"/>
        <v>2670845.5285943388</v>
      </c>
      <c r="AW34" s="16">
        <f t="shared" si="60"/>
        <v>445279.79718361597</v>
      </c>
      <c r="AX34" s="16">
        <f t="shared" si="61"/>
        <v>0</v>
      </c>
      <c r="AY34" s="16">
        <f t="shared" si="77"/>
        <v>0</v>
      </c>
      <c r="AZ34" s="13">
        <f t="shared" si="78"/>
        <v>4.8518524646585558E-3</v>
      </c>
      <c r="BA34" s="10">
        <f t="shared" si="79"/>
        <v>442898.8274450989</v>
      </c>
      <c r="BB34" s="9">
        <f t="shared" si="80"/>
        <v>1.6097075766461663E-3</v>
      </c>
      <c r="BC34" s="13">
        <f t="shared" si="81"/>
        <v>8.4604846204007628E-3</v>
      </c>
      <c r="BD34" s="10">
        <f t="shared" si="82"/>
        <v>2670845.5285943369</v>
      </c>
      <c r="BE34" s="13">
        <f t="shared" si="83"/>
        <v>3.2137477074645209E-3</v>
      </c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2:70" x14ac:dyDescent="0.3">
      <c r="B35" s="96" t="str">
        <f t="shared" si="62"/>
        <v>WALMARTKRAFT</v>
      </c>
      <c r="C35" s="96" t="str">
        <f t="shared" si="63"/>
        <v>WALMARTKRAFTAIOLI</v>
      </c>
      <c r="D35" s="96" t="str">
        <f t="shared" si="64"/>
        <v>WALMARTKRAFTAIOLIJAR 30OZ</v>
      </c>
      <c r="E35" s="3" t="s">
        <v>135</v>
      </c>
      <c r="F35" s="3" t="s">
        <v>107</v>
      </c>
      <c r="G35" s="3" t="s">
        <v>112</v>
      </c>
      <c r="H35" s="3" t="s">
        <v>118</v>
      </c>
      <c r="I35" s="20">
        <f>IFERROR(INDEX('Input - Walmart'!G$2:G$200,MATCH('Calculations - Walmart'!$D35,'Input - Walmart'!$B$2:$B$200,0)),"")</f>
        <v>498142.03722200001</v>
      </c>
      <c r="J35" s="20">
        <f>IFERROR(INDEX('Input - Walmart'!H$2:H$200,MATCH('Calculations - Walmart'!$D35,'Input - Walmart'!$B$2:$B$200,0)),"")</f>
        <v>200021.125168</v>
      </c>
      <c r="K35" s="21">
        <f>IFERROR(INDEX('Input - Walmart'!I$2:I$200,MATCH('Calculations - Walmart'!$D35,'Input - Walmart'!$B$2:$B$200,0)),"")</f>
        <v>2.8209679314216101</v>
      </c>
      <c r="L35" s="21">
        <f>IFERROR(INDEX('Input - Walmart'!J$2:J$200,MATCH('Calculations - Walmart'!$D35,'Input - Walmart'!$B$2:$B$200,0)),"")</f>
        <v>7.0254714901539099</v>
      </c>
      <c r="M35" s="20">
        <f>IFERROR(INDEX('Input - Walmart'!K$2:K$200,MATCH('Calculations - Walmart'!$D35,'Input - Walmart'!$B$2:$B$200,0)),"")</f>
        <v>933696.56901199999</v>
      </c>
      <c r="N35" s="20">
        <f>IFERROR(INDEX('Input - Walmart'!L$2:L$200,MATCH('Calculations - Walmart'!$D35,'Input - Walmart'!$B$2:$B$200,0)),"")</f>
        <v>373263.96270500001</v>
      </c>
      <c r="O35" s="21">
        <f t="shared" si="65"/>
        <v>2.4904471305398612</v>
      </c>
      <c r="P35" s="21">
        <f t="shared" si="47"/>
        <v>2.5014377553236344</v>
      </c>
      <c r="Q35" s="21">
        <f t="shared" si="66"/>
        <v>-2.745792451213878</v>
      </c>
      <c r="R35" s="9">
        <f t="shared" si="48"/>
        <v>5.993992587644938E-4</v>
      </c>
      <c r="S35" s="9">
        <f t="shared" si="49"/>
        <v>7.291982289028058E-4</v>
      </c>
      <c r="T35" s="22">
        <f>IFERROR(INDEX(Walmart!$S$11:$S$192,MATCH('Calculations - Walmart'!$D35,Walmart!$N$11:$N$192,0)),"")</f>
        <v>0.8</v>
      </c>
      <c r="U35" s="22">
        <f>IFERROR(INDEX(Walmart!$T$11:$T$192,MATCH('Calculations - Walmart'!$D35,Walmart!$N$11:$N$192,0)),"")</f>
        <v>0.3</v>
      </c>
      <c r="V35" s="16">
        <f t="shared" si="50"/>
        <v>398513.62977760006</v>
      </c>
      <c r="W35" s="16">
        <f t="shared" si="67"/>
        <v>119554.08893328001</v>
      </c>
      <c r="X35" s="16">
        <f t="shared" si="68"/>
        <v>278959.54084432003</v>
      </c>
      <c r="Y35" s="10">
        <f t="shared" si="51"/>
        <v>1.3946503931023224</v>
      </c>
      <c r="Z35" s="10">
        <f t="shared" si="52"/>
        <v>951692.37475914531</v>
      </c>
      <c r="AA35" s="13">
        <f t="shared" si="69"/>
        <v>7.1296781820457929E-4</v>
      </c>
      <c r="AB35" s="9">
        <f t="shared" si="53"/>
        <v>1.1356855944008549E-4</v>
      </c>
      <c r="AC35" s="16">
        <f t="shared" si="70"/>
        <v>592525.32638465788</v>
      </c>
      <c r="AD35" s="16">
        <f t="shared" si="54"/>
        <v>237919.25518861125</v>
      </c>
      <c r="AE35" s="16">
        <f t="shared" si="55"/>
        <v>474020.26110772631</v>
      </c>
      <c r="AF35" s="16">
        <f t="shared" si="71"/>
        <v>142206.07833231788</v>
      </c>
      <c r="AG35" s="16"/>
      <c r="AH35" s="32">
        <f>IFERROR(INDEX(Walmart!$R$11:$R$192,MATCH('Calculations - Walmart'!D35,Walmart!$N$11:$N$192,0)),"")</f>
        <v>2.4904471305398612</v>
      </c>
      <c r="AI35" s="23">
        <f t="shared" si="72"/>
        <v>0.8</v>
      </c>
      <c r="AJ35" s="23">
        <f t="shared" si="73"/>
        <v>0.3</v>
      </c>
      <c r="AK35" s="9">
        <f t="shared" si="56"/>
        <v>0</v>
      </c>
      <c r="AL35" s="4">
        <f t="shared" si="57"/>
        <v>200021.125168</v>
      </c>
      <c r="AM35" s="4"/>
      <c r="AN35" s="4"/>
      <c r="AO35" s="4"/>
      <c r="AP35" s="4"/>
      <c r="AQ35" s="4"/>
      <c r="AR35" s="20">
        <f t="shared" si="58"/>
        <v>951692.37475914531</v>
      </c>
      <c r="AS35" s="13">
        <f t="shared" si="74"/>
        <v>7.1296781820457929E-4</v>
      </c>
      <c r="AT35" s="13">
        <f t="shared" si="75"/>
        <v>7.129678182045794E-4</v>
      </c>
      <c r="AU35" s="13">
        <f t="shared" si="59"/>
        <v>1.135685594400856E-4</v>
      </c>
      <c r="AV35" s="16">
        <f t="shared" si="76"/>
        <v>592525.32638465788</v>
      </c>
      <c r="AW35" s="16">
        <f t="shared" si="60"/>
        <v>237919.25518861125</v>
      </c>
      <c r="AX35" s="16">
        <f t="shared" si="61"/>
        <v>474020.26110772631</v>
      </c>
      <c r="AY35" s="16">
        <f t="shared" si="77"/>
        <v>142206.07833231788</v>
      </c>
      <c r="AZ35" s="13">
        <f t="shared" si="78"/>
        <v>6.3052117515781094E-3</v>
      </c>
      <c r="BA35" s="10">
        <f t="shared" si="79"/>
        <v>235776.00203559594</v>
      </c>
      <c r="BB35" s="9">
        <f t="shared" si="80"/>
        <v>8.5692350792029761E-4</v>
      </c>
      <c r="BC35" s="13">
        <f t="shared" si="81"/>
        <v>5.295178713221267E-3</v>
      </c>
      <c r="BD35" s="10">
        <f t="shared" si="82"/>
        <v>592525.32638465648</v>
      </c>
      <c r="BE35" s="13">
        <f t="shared" si="83"/>
        <v>7.1296781820457777E-4</v>
      </c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</row>
    <row r="36" spans="2:70" x14ac:dyDescent="0.3">
      <c r="B36" s="96" t="str">
        <f t="shared" si="62"/>
        <v>WALMARTKRAFT</v>
      </c>
      <c r="C36" s="96" t="str">
        <f t="shared" si="63"/>
        <v>WALMARTKRAFTAIOLI</v>
      </c>
      <c r="D36" s="96" t="str">
        <f t="shared" si="64"/>
        <v>WALMARTKRAFTAIOLISQUEEZY 12OZ</v>
      </c>
      <c r="E36" s="3" t="s">
        <v>135</v>
      </c>
      <c r="F36" s="3" t="s">
        <v>107</v>
      </c>
      <c r="G36" s="3" t="s">
        <v>112</v>
      </c>
      <c r="H36" s="3" t="s">
        <v>117</v>
      </c>
      <c r="I36" s="20">
        <f>IFERROR(INDEX('Input - Walmart'!G$2:G$200,MATCH('Calculations - Walmart'!$D36,'Input - Walmart'!$B$2:$B$200,0)),"")</f>
        <v>7115096.8269999996</v>
      </c>
      <c r="J36" s="20">
        <f>IFERROR(INDEX('Input - Walmart'!H$2:H$200,MATCH('Calculations - Walmart'!$D36,'Input - Walmart'!$B$2:$B$200,0)),"")</f>
        <v>1142635.94245</v>
      </c>
      <c r="K36" s="21">
        <f>IFERROR(INDEX('Input - Walmart'!I$2:I$200,MATCH('Calculations - Walmart'!$D36,'Input - Walmart'!$B$2:$B$200,0)),"")</f>
        <v>2.2749204297669401</v>
      </c>
      <c r="L36" s="21">
        <f>IFERROR(INDEX('Input - Walmart'!J$2:J$200,MATCH('Calculations - Walmart'!$D36,'Input - Walmart'!$B$2:$B$200,0)),"")</f>
        <v>14.165736023327099</v>
      </c>
      <c r="M36" s="20">
        <f>IFERROR(INDEX('Input - Walmart'!K$2:K$200,MATCH('Calculations - Walmart'!$D36,'Input - Walmart'!$B$2:$B$200,0)),"")</f>
        <v>21767294.024950001</v>
      </c>
      <c r="N36" s="20">
        <f>IFERROR(INDEX('Input - Walmart'!L$2:L$200,MATCH('Calculations - Walmart'!$D36,'Input - Walmart'!$B$2:$B$200,0)),"")</f>
        <v>4372603.1333799995</v>
      </c>
      <c r="O36" s="21">
        <f t="shared" si="65"/>
        <v>6.2269149452309875</v>
      </c>
      <c r="P36" s="21">
        <f t="shared" si="47"/>
        <v>4.9781087743318695</v>
      </c>
      <c r="Q36" s="21">
        <f t="shared" si="66"/>
        <v>-3.9218133800820754</v>
      </c>
      <c r="R36" s="9">
        <f t="shared" si="48"/>
        <v>8.5613809826709623E-3</v>
      </c>
      <c r="S36" s="9">
        <f t="shared" si="49"/>
        <v>4.1656005325207898E-3</v>
      </c>
      <c r="T36" s="22">
        <f>IFERROR(INDEX(Walmart!$S$11:$S$192,MATCH('Calculations - Walmart'!$D36,Walmart!$N$11:$N$192,0)),"")</f>
        <v>0.8</v>
      </c>
      <c r="U36" s="22">
        <f>IFERROR(INDEX(Walmart!$T$11:$T$192,MATCH('Calculations - Walmart'!$D36,Walmart!$N$11:$N$192,0)),"")</f>
        <v>0.3</v>
      </c>
      <c r="V36" s="16">
        <f t="shared" si="50"/>
        <v>5692077.4616</v>
      </c>
      <c r="W36" s="16">
        <f t="shared" si="67"/>
        <v>1707623.2384800001</v>
      </c>
      <c r="X36" s="16">
        <f t="shared" si="68"/>
        <v>3984454.2231200002</v>
      </c>
      <c r="Y36" s="10">
        <f t="shared" si="51"/>
        <v>3.4870723693293537</v>
      </c>
      <c r="Z36" s="10">
        <f t="shared" si="52"/>
        <v>11650687.979256136</v>
      </c>
      <c r="AA36" s="13">
        <f t="shared" si="69"/>
        <v>8.7282044171624225E-3</v>
      </c>
      <c r="AB36" s="9">
        <f t="shared" si="53"/>
        <v>1.6682343449146014E-4</v>
      </c>
      <c r="AC36" s="16">
        <f t="shared" si="70"/>
        <v>7253738.5825557867</v>
      </c>
      <c r="AD36" s="16">
        <f t="shared" si="54"/>
        <v>1164900.8612380701</v>
      </c>
      <c r="AE36" s="16">
        <f t="shared" si="55"/>
        <v>5802990.8660446294</v>
      </c>
      <c r="AF36" s="16">
        <f t="shared" si="71"/>
        <v>1740897.2598133879</v>
      </c>
      <c r="AG36" s="16"/>
      <c r="AH36" s="32">
        <f>IFERROR(INDEX(Walmart!$R$11:$R$192,MATCH('Calculations - Walmart'!D36,Walmart!$N$11:$N$192,0)),"")</f>
        <v>6.2269149452309875</v>
      </c>
      <c r="AI36" s="23">
        <f t="shared" si="72"/>
        <v>0.8</v>
      </c>
      <c r="AJ36" s="23">
        <f t="shared" si="73"/>
        <v>0.3</v>
      </c>
      <c r="AK36" s="9">
        <f t="shared" si="56"/>
        <v>0</v>
      </c>
      <c r="AL36" s="4">
        <f t="shared" si="57"/>
        <v>1142635.94245</v>
      </c>
      <c r="AM36" s="4"/>
      <c r="AN36" s="4"/>
      <c r="AO36" s="4"/>
      <c r="AP36" s="4"/>
      <c r="AQ36" s="4"/>
      <c r="AR36" s="20">
        <f t="shared" si="58"/>
        <v>11650687.979256136</v>
      </c>
      <c r="AS36" s="13">
        <f t="shared" si="74"/>
        <v>8.7282044171624225E-3</v>
      </c>
      <c r="AT36" s="13">
        <f t="shared" si="75"/>
        <v>8.7282044171624242E-3</v>
      </c>
      <c r="AU36" s="13">
        <f t="shared" si="59"/>
        <v>1.6682343449146188E-4</v>
      </c>
      <c r="AV36" s="16">
        <f t="shared" si="76"/>
        <v>7253738.5825557876</v>
      </c>
      <c r="AW36" s="16">
        <f t="shared" si="60"/>
        <v>1164900.8612380701</v>
      </c>
      <c r="AX36" s="16">
        <f t="shared" si="61"/>
        <v>5802990.8660446303</v>
      </c>
      <c r="AY36" s="16">
        <f t="shared" si="77"/>
        <v>1740897.2598133888</v>
      </c>
      <c r="AZ36" s="13">
        <f t="shared" si="78"/>
        <v>3.0871593784534211E-2</v>
      </c>
      <c r="BA36" s="10">
        <f t="shared" si="79"/>
        <v>1154407.0597093981</v>
      </c>
      <c r="BB36" s="9">
        <f t="shared" si="80"/>
        <v>4.1956710548717554E-3</v>
      </c>
      <c r="BC36" s="13">
        <f t="shared" si="81"/>
        <v>6.4823966880845463E-2</v>
      </c>
      <c r="BD36" s="10">
        <f t="shared" si="82"/>
        <v>7253738.5825557709</v>
      </c>
      <c r="BE36" s="13">
        <f t="shared" si="83"/>
        <v>8.7282044171624051E-3</v>
      </c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</row>
    <row r="37" spans="2:70" x14ac:dyDescent="0.3">
      <c r="B37" s="96" t="str">
        <f t="shared" si="62"/>
        <v>WALMARTKRAFT</v>
      </c>
      <c r="C37" s="96" t="str">
        <f t="shared" si="63"/>
        <v>WALMARTKRAFTAIOLI</v>
      </c>
      <c r="D37" s="96" t="str">
        <f t="shared" si="64"/>
        <v>WALMARTKRAFTAIOLIOTHER</v>
      </c>
      <c r="E37" s="3" t="s">
        <v>135</v>
      </c>
      <c r="F37" s="3" t="s">
        <v>107</v>
      </c>
      <c r="G37" s="3" t="s">
        <v>112</v>
      </c>
      <c r="H37" s="3" t="s">
        <v>115</v>
      </c>
      <c r="I37" s="20">
        <f>IFERROR(INDEX('Input - Walmart'!G$2:G$200,MATCH('Calculations - Walmart'!$D37,'Input - Walmart'!$B$2:$B$200,0)),"")</f>
        <v>302449.27064330003</v>
      </c>
      <c r="J37" s="20">
        <f>IFERROR(INDEX('Input - Walmart'!H$2:H$200,MATCH('Calculations - Walmart'!$D37,'Input - Walmart'!$B$2:$B$200,0)),"")</f>
        <v>87785.492243000001</v>
      </c>
      <c r="K37" s="21">
        <f>IFERROR(INDEX('Input - Walmart'!I$2:I$200,MATCH('Calculations - Walmart'!$D37,'Input - Walmart'!$B$2:$B$200,0)),"")</f>
        <v>3.6417554999263202</v>
      </c>
      <c r="L37" s="21">
        <f>IFERROR(INDEX('Input - Walmart'!J$2:J$200,MATCH('Calculations - Walmart'!$D37,'Input - Walmart'!$B$2:$B$200,0)),"")</f>
        <v>12.5470196346911</v>
      </c>
      <c r="M37" s="20">
        <f>IFERROR(INDEX('Input - Walmart'!K$2:K$200,MATCH('Calculations - Walmart'!$D37,'Input - Walmart'!$B$2:$B$200,0)),"")</f>
        <v>769876.20711329998</v>
      </c>
      <c r="N37" s="20">
        <f>IFERROR(INDEX('Input - Walmart'!L$2:L$200,MATCH('Calculations - Walmart'!$D37,'Input - Walmart'!$B$2:$B$200,0)),"")</f>
        <v>216948.39211399999</v>
      </c>
      <c r="O37" s="21">
        <f t="shared" si="65"/>
        <v>3.4453218056360249</v>
      </c>
      <c r="P37" s="21">
        <f t="shared" si="47"/>
        <v>3.5486605805714047</v>
      </c>
      <c r="Q37" s="21">
        <f t="shared" si="66"/>
        <v>-1.8926808329307683</v>
      </c>
      <c r="R37" s="9">
        <f t="shared" si="48"/>
        <v>3.639280668791736E-4</v>
      </c>
      <c r="S37" s="9">
        <f t="shared" si="49"/>
        <v>3.2003132375738481E-4</v>
      </c>
      <c r="T37" s="22">
        <f>IFERROR(INDEX(Walmart!$S$11:$S$192,MATCH('Calculations - Walmart'!$D37,Walmart!$N$11:$N$192,0)),"")</f>
        <v>0.8</v>
      </c>
      <c r="U37" s="22">
        <f>IFERROR(INDEX(Walmart!$T$11:$T$192,MATCH('Calculations - Walmart'!$D37,Walmart!$N$11:$N$192,0)),"")</f>
        <v>0.3</v>
      </c>
      <c r="V37" s="16">
        <f t="shared" si="50"/>
        <v>241959.41651464003</v>
      </c>
      <c r="W37" s="16">
        <f t="shared" si="67"/>
        <v>72587.82495439201</v>
      </c>
      <c r="X37" s="16">
        <f t="shared" si="68"/>
        <v>169371.59156024802</v>
      </c>
      <c r="Y37" s="10">
        <f t="shared" si="51"/>
        <v>1.9293802111561742</v>
      </c>
      <c r="Z37" s="10">
        <f t="shared" si="52"/>
        <v>701947.7827286222</v>
      </c>
      <c r="AA37" s="13">
        <f t="shared" si="69"/>
        <v>5.2586969531223367E-4</v>
      </c>
      <c r="AB37" s="9">
        <f t="shared" si="53"/>
        <v>1.6194162843306007E-4</v>
      </c>
      <c r="AC37" s="16">
        <f t="shared" si="70"/>
        <v>437033.90937804396</v>
      </c>
      <c r="AD37" s="16">
        <f t="shared" si="54"/>
        <v>126848.501833159</v>
      </c>
      <c r="AE37" s="16">
        <f t="shared" si="55"/>
        <v>349627.12750243518</v>
      </c>
      <c r="AF37" s="16">
        <f t="shared" si="71"/>
        <v>104888.13825073052</v>
      </c>
      <c r="AG37" s="16"/>
      <c r="AH37" s="32">
        <f>IFERROR(INDEX(Walmart!$R$11:$R$192,MATCH('Calculations - Walmart'!D37,Walmart!$N$11:$N$192,0)),"")</f>
        <v>3.4453218056360249</v>
      </c>
      <c r="AI37" s="23">
        <f t="shared" si="72"/>
        <v>0.8</v>
      </c>
      <c r="AJ37" s="23">
        <f t="shared" si="73"/>
        <v>0.3</v>
      </c>
      <c r="AK37" s="9">
        <f t="shared" si="56"/>
        <v>0</v>
      </c>
      <c r="AL37" s="4">
        <f t="shared" si="57"/>
        <v>87785.492243000001</v>
      </c>
      <c r="AM37" s="4"/>
      <c r="AN37" s="4"/>
      <c r="AO37" s="4"/>
      <c r="AP37" s="4"/>
      <c r="AQ37" s="4"/>
      <c r="AR37" s="20">
        <f t="shared" si="58"/>
        <v>701947.7827286222</v>
      </c>
      <c r="AS37" s="13">
        <f t="shared" si="74"/>
        <v>5.2586969531223367E-4</v>
      </c>
      <c r="AT37" s="13">
        <f t="shared" si="75"/>
        <v>5.2586969531223378E-4</v>
      </c>
      <c r="AU37" s="13">
        <f t="shared" si="59"/>
        <v>1.6194162843306017E-4</v>
      </c>
      <c r="AV37" s="16">
        <f t="shared" si="76"/>
        <v>437033.90937804402</v>
      </c>
      <c r="AW37" s="16">
        <f t="shared" si="60"/>
        <v>126848.50183315901</v>
      </c>
      <c r="AX37" s="16">
        <f t="shared" si="61"/>
        <v>349627.12750243524</v>
      </c>
      <c r="AY37" s="16">
        <f t="shared" si="77"/>
        <v>104888.13825073055</v>
      </c>
      <c r="AZ37" s="13">
        <f t="shared" si="78"/>
        <v>3.3616726977161318E-3</v>
      </c>
      <c r="BA37" s="10">
        <f t="shared" si="79"/>
        <v>125705.80974086215</v>
      </c>
      <c r="BB37" s="9">
        <f t="shared" si="80"/>
        <v>4.5687543481561876E-4</v>
      </c>
      <c r="BC37" s="13">
        <f t="shared" si="81"/>
        <v>3.9056096859430571E-3</v>
      </c>
      <c r="BD37" s="10">
        <f t="shared" si="82"/>
        <v>437033.90937804303</v>
      </c>
      <c r="BE37" s="13">
        <f t="shared" si="83"/>
        <v>5.2586969531223258E-4</v>
      </c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2:70" x14ac:dyDescent="0.3">
      <c r="B38" s="96" t="str">
        <f t="shared" si="62"/>
        <v>WALMARTMCCORMICK AIOLI</v>
      </c>
      <c r="C38" s="96" t="str">
        <f t="shared" si="63"/>
        <v>WALMARTMCCORMICK AIOLIAIOLI</v>
      </c>
      <c r="D38" s="96" t="str">
        <f t="shared" si="64"/>
        <v>WALMARTMCCORMICK AIOLIAIOLIJAR 15OZ</v>
      </c>
      <c r="E38" s="3" t="s">
        <v>135</v>
      </c>
      <c r="F38" s="3" t="s">
        <v>108</v>
      </c>
      <c r="G38" s="3" t="s">
        <v>112</v>
      </c>
      <c r="H38" s="3" t="s">
        <v>116</v>
      </c>
      <c r="I38" s="20">
        <f>IFERROR(INDEX('Input - Walmart'!G$2:G$200,MATCH('Calculations - Walmart'!$D38,'Input - Walmart'!$B$2:$B$200,0)),"")</f>
        <v>6027214.6645</v>
      </c>
      <c r="J38" s="20">
        <f>IFERROR(INDEX('Input - Walmart'!H$2:H$200,MATCH('Calculations - Walmart'!$D38,'Input - Walmart'!$B$2:$B$200,0)),"")</f>
        <v>1127713.80269</v>
      </c>
      <c r="K38" s="21">
        <f>IFERROR(INDEX('Input - Walmart'!I$2:I$200,MATCH('Calculations - Walmart'!$D38,'Input - Walmart'!$B$2:$B$200,0)),"")</f>
        <v>2.5725041867958001</v>
      </c>
      <c r="L38" s="21">
        <f>IFERROR(INDEX('Input - Walmart'!J$2:J$200,MATCH('Calculations - Walmart'!$D38,'Input - Walmart'!$B$2:$B$200,0)),"")</f>
        <v>13.7490868003551</v>
      </c>
      <c r="M38" s="20">
        <f>IFERROR(INDEX('Input - Walmart'!K$2:K$200,MATCH('Calculations - Walmart'!$D38,'Input - Walmart'!$B$2:$B$200,0)),"")</f>
        <v>19301888.42464</v>
      </c>
      <c r="N38" s="20">
        <f>IFERROR(INDEX('Input - Walmart'!L$2:L$200,MATCH('Calculations - Walmart'!$D38,'Input - Walmart'!$B$2:$B$200,0)),"")</f>
        <v>4288840.4832499996</v>
      </c>
      <c r="O38" s="21">
        <f t="shared" si="65"/>
        <v>5.3446314571329543</v>
      </c>
      <c r="P38" s="21">
        <f t="shared" si="47"/>
        <v>4.5004911001057808</v>
      </c>
      <c r="Q38" s="21">
        <f t="shared" si="66"/>
        <v>-3.1796417726481128</v>
      </c>
      <c r="R38" s="9">
        <f t="shared" si="48"/>
        <v>7.2523652540204351E-3</v>
      </c>
      <c r="S38" s="9">
        <f t="shared" si="49"/>
        <v>4.1112002891700297E-3</v>
      </c>
      <c r="T38" s="22">
        <f>IFERROR(INDEX(Walmart!$S$11:$S$192,MATCH('Calculations - Walmart'!$D38,Walmart!$N$11:$N$192,0)),"")</f>
        <v>0</v>
      </c>
      <c r="U38" s="22">
        <f>IFERROR(INDEX(Walmart!$T$11:$T$192,MATCH('Calculations - Walmart'!$D38,Walmart!$N$11:$N$192,0)),"")</f>
        <v>0</v>
      </c>
      <c r="V38" s="16">
        <f t="shared" si="50"/>
        <v>0</v>
      </c>
      <c r="W38" s="16">
        <f t="shared" si="67"/>
        <v>0</v>
      </c>
      <c r="X38" s="16">
        <f t="shared" si="68"/>
        <v>0</v>
      </c>
      <c r="Y38" s="10">
        <f t="shared" si="51"/>
        <v>0</v>
      </c>
      <c r="Z38" s="10">
        <f t="shared" si="52"/>
        <v>10766124.811821667</v>
      </c>
      <c r="AA38" s="13">
        <f t="shared" si="69"/>
        <v>8.0655269719328172E-3</v>
      </c>
      <c r="AB38" s="9">
        <f t="shared" si="53"/>
        <v>8.1316171791238206E-4</v>
      </c>
      <c r="AC38" s="16">
        <f t="shared" si="70"/>
        <v>6703008.017309214</v>
      </c>
      <c r="AD38" s="16">
        <f t="shared" si="54"/>
        <v>1254157.198877271</v>
      </c>
      <c r="AE38" s="16">
        <f t="shared" si="55"/>
        <v>0</v>
      </c>
      <c r="AF38" s="16">
        <f t="shared" si="71"/>
        <v>0</v>
      </c>
      <c r="AG38" s="16"/>
      <c r="AH38" s="32">
        <f>IFERROR(INDEX(Walmart!$R$11:$R$192,MATCH('Calculations - Walmart'!D38,Walmart!$N$11:$N$192,0)),"")</f>
        <v>5.3446314571329543</v>
      </c>
      <c r="AI38" s="23">
        <f t="shared" si="72"/>
        <v>0</v>
      </c>
      <c r="AJ38" s="23">
        <f t="shared" si="73"/>
        <v>0</v>
      </c>
      <c r="AK38" s="9">
        <f t="shared" si="56"/>
        <v>0</v>
      </c>
      <c r="AL38" s="4">
        <f t="shared" si="57"/>
        <v>1127713.80269</v>
      </c>
      <c r="AM38" s="4"/>
      <c r="AN38" s="4"/>
      <c r="AO38" s="4"/>
      <c r="AP38" s="4"/>
      <c r="AQ38" s="4"/>
      <c r="AR38" s="20">
        <f t="shared" si="58"/>
        <v>10766124.811821667</v>
      </c>
      <c r="AS38" s="13">
        <f t="shared" si="74"/>
        <v>8.0655269719328172E-3</v>
      </c>
      <c r="AT38" s="13">
        <f t="shared" si="75"/>
        <v>8.0655269719328189E-3</v>
      </c>
      <c r="AU38" s="13">
        <f t="shared" si="59"/>
        <v>8.131617179123838E-4</v>
      </c>
      <c r="AV38" s="16">
        <f t="shared" si="76"/>
        <v>6703008.0173092159</v>
      </c>
      <c r="AW38" s="16">
        <f t="shared" si="60"/>
        <v>1254157.1988772715</v>
      </c>
      <c r="AX38" s="16">
        <f t="shared" si="61"/>
        <v>0</v>
      </c>
      <c r="AY38" s="16">
        <f t="shared" si="77"/>
        <v>0</v>
      </c>
      <c r="AZ38" s="13">
        <f t="shared" si="78"/>
        <v>0.11071649978737996</v>
      </c>
      <c r="BA38" s="10">
        <f t="shared" si="79"/>
        <v>1254869.7133264323</v>
      </c>
      <c r="BB38" s="9">
        <f t="shared" si="80"/>
        <v>4.5608007067838843E-3</v>
      </c>
      <c r="BC38" s="13">
        <f t="shared" si="81"/>
        <v>0.14493970824608243</v>
      </c>
      <c r="BD38" s="10">
        <f t="shared" si="82"/>
        <v>6703008.0173092121</v>
      </c>
      <c r="BE38" s="13">
        <f t="shared" si="83"/>
        <v>8.0655269719328154E-3</v>
      </c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</row>
    <row r="39" spans="2:70" x14ac:dyDescent="0.3">
      <c r="B39" s="96" t="str">
        <f t="shared" si="62"/>
        <v>WALMARTMCCORMICK AIOLI</v>
      </c>
      <c r="C39" s="96" t="str">
        <f t="shared" si="63"/>
        <v>WALMARTMCCORMICK AIOLIAIOLI</v>
      </c>
      <c r="D39" s="96" t="str">
        <f t="shared" si="64"/>
        <v>WALMARTMCCORMICK AIOLIAIOLIJAR 30OZ</v>
      </c>
      <c r="E39" s="3" t="s">
        <v>135</v>
      </c>
      <c r="F39" s="3" t="s">
        <v>108</v>
      </c>
      <c r="G39" s="3" t="s">
        <v>112</v>
      </c>
      <c r="H39" s="3" t="s">
        <v>118</v>
      </c>
      <c r="I39" s="20">
        <f>IFERROR(INDEX('Input - Walmart'!G$2:G$200,MATCH('Calculations - Walmart'!$D39,'Input - Walmart'!$B$2:$B$200,0)),"")</f>
        <v>37362903.691299997</v>
      </c>
      <c r="J39" s="20">
        <f>IFERROR(INDEX('Input - Walmart'!H$2:H$200,MATCH('Calculations - Walmart'!$D39,'Input - Walmart'!$B$2:$B$200,0)),"")</f>
        <v>9449518.0837999992</v>
      </c>
      <c r="K39" s="21">
        <f>IFERROR(INDEX('Input - Walmart'!I$2:I$200,MATCH('Calculations - Walmart'!$D39,'Input - Walmart'!$B$2:$B$200,0)),"")</f>
        <v>2.1694088175805</v>
      </c>
      <c r="L39" s="21">
        <f>IFERROR(INDEX('Input - Walmart'!J$2:J$200,MATCH('Calculations - Walmart'!$D39,'Input - Walmart'!$B$2:$B$200,0)),"")</f>
        <v>8.5777297846835694</v>
      </c>
      <c r="M39" s="20">
        <f>IFERROR(INDEX('Input - Walmart'!K$2:K$200,MATCH('Calculations - Walmart'!$D39,'Input - Walmart'!$B$2:$B$200,0)),"")</f>
        <v>104832733.1099</v>
      </c>
      <c r="N39" s="20">
        <f>IFERROR(INDEX('Input - Walmart'!L$2:L$200,MATCH('Calculations - Walmart'!$D39,'Input - Walmart'!$B$2:$B$200,0)),"")</f>
        <v>31481247.084800001</v>
      </c>
      <c r="O39" s="21">
        <f t="shared" si="65"/>
        <v>3.9539480595686629</v>
      </c>
      <c r="P39" s="21">
        <f t="shared" si="47"/>
        <v>3.3300057277755073</v>
      </c>
      <c r="Q39" s="21">
        <f t="shared" si="66"/>
        <v>-4.2756646989758185</v>
      </c>
      <c r="R39" s="9">
        <f t="shared" si="48"/>
        <v>4.4957652846860201E-2</v>
      </c>
      <c r="S39" s="9">
        <f t="shared" si="49"/>
        <v>3.4449220525604611E-2</v>
      </c>
      <c r="T39" s="22">
        <f>IFERROR(INDEX(Walmart!$S$11:$S$192,MATCH('Calculations - Walmart'!$D39,Walmart!$N$11:$N$192,0)),"")</f>
        <v>0</v>
      </c>
      <c r="U39" s="22">
        <f>IFERROR(INDEX(Walmart!$T$11:$T$192,MATCH('Calculations - Walmart'!$D39,Walmart!$N$11:$N$192,0)),"")</f>
        <v>0</v>
      </c>
      <c r="V39" s="16">
        <f t="shared" si="50"/>
        <v>0</v>
      </c>
      <c r="W39" s="16">
        <f t="shared" si="67"/>
        <v>0</v>
      </c>
      <c r="X39" s="16">
        <f t="shared" si="68"/>
        <v>0</v>
      </c>
      <c r="Y39" s="10">
        <f t="shared" si="51"/>
        <v>0</v>
      </c>
      <c r="Z39" s="10">
        <f t="shared" si="52"/>
        <v>59209158.20480863</v>
      </c>
      <c r="AA39" s="13">
        <f t="shared" si="69"/>
        <v>4.4357005963923765E-2</v>
      </c>
      <c r="AB39" s="9">
        <f t="shared" si="53"/>
        <v>-6.0064688293643559E-4</v>
      </c>
      <c r="AC39" s="16">
        <f t="shared" si="70"/>
        <v>36863724.792524353</v>
      </c>
      <c r="AD39" s="16">
        <f t="shared" si="54"/>
        <v>9323269.8652459849</v>
      </c>
      <c r="AE39" s="16">
        <f t="shared" si="55"/>
        <v>0</v>
      </c>
      <c r="AF39" s="16">
        <f t="shared" si="71"/>
        <v>0</v>
      </c>
      <c r="AG39" s="16"/>
      <c r="AH39" s="32">
        <f>IFERROR(INDEX(Walmart!$R$11:$R$192,MATCH('Calculations - Walmart'!D39,Walmart!$N$11:$N$192,0)),"")</f>
        <v>3.9539480595686629</v>
      </c>
      <c r="AI39" s="23">
        <f t="shared" si="72"/>
        <v>0</v>
      </c>
      <c r="AJ39" s="23">
        <f t="shared" si="73"/>
        <v>0</v>
      </c>
      <c r="AK39" s="9">
        <f t="shared" si="56"/>
        <v>0</v>
      </c>
      <c r="AL39" s="4">
        <f t="shared" si="57"/>
        <v>9449518.0837999992</v>
      </c>
      <c r="AM39" s="4"/>
      <c r="AN39" s="4"/>
      <c r="AO39" s="4"/>
      <c r="AP39" s="4"/>
      <c r="AQ39" s="4"/>
      <c r="AR39" s="20">
        <f t="shared" si="58"/>
        <v>59209158.20480863</v>
      </c>
      <c r="AS39" s="13">
        <f t="shared" si="74"/>
        <v>4.4357005963923765E-2</v>
      </c>
      <c r="AT39" s="13">
        <f t="shared" si="75"/>
        <v>4.4357005963923772E-2</v>
      </c>
      <c r="AU39" s="13">
        <f t="shared" si="59"/>
        <v>-6.0064688293642865E-4</v>
      </c>
      <c r="AV39" s="16">
        <f t="shared" si="76"/>
        <v>36863724.792524353</v>
      </c>
      <c r="AW39" s="16">
        <f t="shared" si="60"/>
        <v>9323269.8652459849</v>
      </c>
      <c r="AX39" s="16">
        <f t="shared" si="61"/>
        <v>0</v>
      </c>
      <c r="AY39" s="16">
        <f t="shared" si="77"/>
        <v>0</v>
      </c>
      <c r="AZ39" s="13">
        <f t="shared" si="78"/>
        <v>0.82305456363624907</v>
      </c>
      <c r="BA39" s="10">
        <f t="shared" si="79"/>
        <v>9328566.6211059038</v>
      </c>
      <c r="BB39" s="9">
        <f t="shared" si="80"/>
        <v>3.3904502425227342E-2</v>
      </c>
      <c r="BC39" s="13">
        <f t="shared" si="81"/>
        <v>0.79710743333366918</v>
      </c>
      <c r="BD39" s="10">
        <f t="shared" si="82"/>
        <v>36863724.792524338</v>
      </c>
      <c r="BE39" s="13">
        <f t="shared" si="83"/>
        <v>4.4357005963923758E-2</v>
      </c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</row>
    <row r="40" spans="2:70" x14ac:dyDescent="0.3">
      <c r="B40" s="96" t="str">
        <f t="shared" si="62"/>
        <v>WALMARTMCCORMICK AIOLI</v>
      </c>
      <c r="C40" s="96" t="str">
        <f t="shared" si="63"/>
        <v>WALMARTMCCORMICK AIOLIAIOLI</v>
      </c>
      <c r="D40" s="96" t="str">
        <f t="shared" si="64"/>
        <v>WALMARTMCCORMICK AIOLIAIOLIOTHER</v>
      </c>
      <c r="E40" s="3" t="s">
        <v>135</v>
      </c>
      <c r="F40" s="3" t="s">
        <v>108</v>
      </c>
      <c r="G40" s="3" t="s">
        <v>112</v>
      </c>
      <c r="H40" s="3" t="s">
        <v>115</v>
      </c>
      <c r="I40" s="20">
        <f>IFERROR(INDEX('Input - Walmart'!G$2:G$200,MATCH('Calculations - Walmart'!$D40,'Input - Walmart'!$B$2:$B$200,0)),"")</f>
        <v>1628077.20425</v>
      </c>
      <c r="J40" s="20">
        <f>IFERROR(INDEX('Input - Walmart'!H$2:H$200,MATCH('Calculations - Walmart'!$D40,'Input - Walmart'!$B$2:$B$200,0)),"")</f>
        <v>455727.449005</v>
      </c>
      <c r="K40" s="21">
        <f>IFERROR(INDEX('Input - Walmart'!I$2:I$200,MATCH('Calculations - Walmart'!$D40,'Input - Walmart'!$B$2:$B$200,0)),"")</f>
        <v>4.2881271539436296</v>
      </c>
      <c r="L40" s="21">
        <f>IFERROR(INDEX('Input - Walmart'!J$2:J$200,MATCH('Calculations - Walmart'!$D40,'Input - Walmart'!$B$2:$B$200,0)),"")</f>
        <v>15.319248562937601</v>
      </c>
      <c r="M40" s="20">
        <f>IFERROR(INDEX('Input - Walmart'!K$2:K$200,MATCH('Calculations - Walmart'!$D40,'Input - Walmart'!$B$2:$B$200,0)),"")</f>
        <v>5551871.3081</v>
      </c>
      <c r="N40" s="20">
        <f>IFERROR(INDEX('Input - Walmart'!L$2:L$200,MATCH('Calculations - Walmart'!$D40,'Input - Walmart'!$B$2:$B$200,0)),"")</f>
        <v>1832478.756822</v>
      </c>
      <c r="O40" s="21">
        <f t="shared" si="65"/>
        <v>3.572480015861712</v>
      </c>
      <c r="P40" s="21">
        <f t="shared" si="47"/>
        <v>3.0297056854991347</v>
      </c>
      <c r="Q40" s="21">
        <f t="shared" si="66"/>
        <v>-1.5206224595065365</v>
      </c>
      <c r="R40" s="9">
        <f t="shared" si="48"/>
        <v>1.9590160968565632E-3</v>
      </c>
      <c r="S40" s="9">
        <f t="shared" si="49"/>
        <v>1.661402756322484E-3</v>
      </c>
      <c r="T40" s="22">
        <f>IFERROR(INDEX(Walmart!$S$11:$S$192,MATCH('Calculations - Walmart'!$D40,Walmart!$N$11:$N$192,0)),"")</f>
        <v>0</v>
      </c>
      <c r="U40" s="22">
        <f>IFERROR(INDEX(Walmart!$T$11:$T$192,MATCH('Calculations - Walmart'!$D40,Walmart!$N$11:$N$192,0)),"")</f>
        <v>0</v>
      </c>
      <c r="V40" s="16">
        <f t="shared" si="50"/>
        <v>0</v>
      </c>
      <c r="W40" s="16">
        <f t="shared" si="67"/>
        <v>0</v>
      </c>
      <c r="X40" s="16">
        <f t="shared" si="68"/>
        <v>0</v>
      </c>
      <c r="Y40" s="10">
        <f t="shared" si="51"/>
        <v>0</v>
      </c>
      <c r="Z40" s="10">
        <f t="shared" si="52"/>
        <v>4304739.6362555325</v>
      </c>
      <c r="AA40" s="13">
        <f t="shared" si="69"/>
        <v>3.2249295127289644E-3</v>
      </c>
      <c r="AB40" s="9">
        <f t="shared" si="53"/>
        <v>1.2659134158724012E-3</v>
      </c>
      <c r="AC40" s="16">
        <f t="shared" si="70"/>
        <v>2680138.3783481577</v>
      </c>
      <c r="AD40" s="16">
        <f t="shared" si="54"/>
        <v>750217.87846213777</v>
      </c>
      <c r="AE40" s="16">
        <f t="shared" si="55"/>
        <v>0</v>
      </c>
      <c r="AF40" s="16">
        <f t="shared" si="71"/>
        <v>0</v>
      </c>
      <c r="AG40" s="16"/>
      <c r="AH40" s="32">
        <f>IFERROR(INDEX(Walmart!$R$11:$R$192,MATCH('Calculations - Walmart'!D40,Walmart!$N$11:$N$192,0)),"")</f>
        <v>3.572480015861712</v>
      </c>
      <c r="AI40" s="23">
        <f t="shared" si="72"/>
        <v>0</v>
      </c>
      <c r="AJ40" s="23">
        <f t="shared" si="73"/>
        <v>0</v>
      </c>
      <c r="AK40" s="9">
        <f t="shared" si="56"/>
        <v>0</v>
      </c>
      <c r="AL40" s="4">
        <f t="shared" si="57"/>
        <v>455727.449005</v>
      </c>
      <c r="AM40" s="4"/>
      <c r="AN40" s="4"/>
      <c r="AO40" s="4"/>
      <c r="AP40" s="4"/>
      <c r="AQ40" s="4"/>
      <c r="AR40" s="20">
        <f t="shared" si="58"/>
        <v>4304739.6362555325</v>
      </c>
      <c r="AS40" s="13">
        <f t="shared" si="74"/>
        <v>3.2249295127289644E-3</v>
      </c>
      <c r="AT40" s="13">
        <f t="shared" si="75"/>
        <v>3.2249295127289653E-3</v>
      </c>
      <c r="AU40" s="13">
        <f t="shared" si="59"/>
        <v>1.2659134158724021E-3</v>
      </c>
      <c r="AV40" s="16">
        <f t="shared" si="76"/>
        <v>2680138.3783481582</v>
      </c>
      <c r="AW40" s="16">
        <f t="shared" si="60"/>
        <v>750217.87846213789</v>
      </c>
      <c r="AX40" s="16">
        <f t="shared" si="61"/>
        <v>0</v>
      </c>
      <c r="AY40" s="16">
        <f t="shared" si="77"/>
        <v>0</v>
      </c>
      <c r="AZ40" s="13">
        <f t="shared" si="78"/>
        <v>6.6228936576371009E-2</v>
      </c>
      <c r="BA40" s="10">
        <f t="shared" si="79"/>
        <v>750644.09383521986</v>
      </c>
      <c r="BB40" s="9">
        <f t="shared" si="80"/>
        <v>2.728202041494523E-3</v>
      </c>
      <c r="BC40" s="13">
        <f t="shared" si="81"/>
        <v>5.7952858420248346E-2</v>
      </c>
      <c r="BD40" s="10">
        <f t="shared" si="82"/>
        <v>2680138.3783481568</v>
      </c>
      <c r="BE40" s="13">
        <f t="shared" si="83"/>
        <v>3.224929512728964E-3</v>
      </c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2:70" x14ac:dyDescent="0.3">
      <c r="B41" s="96" t="str">
        <f t="shared" si="62"/>
        <v>WALMARTDUKES</v>
      </c>
      <c r="C41" s="96" t="str">
        <f t="shared" si="63"/>
        <v>WALMARTDUKESMAYO</v>
      </c>
      <c r="D41" s="96" t="str">
        <f t="shared" si="64"/>
        <v>WALMARTDUKESMAYOJAR 15OZ</v>
      </c>
      <c r="E41" s="3" t="s">
        <v>135</v>
      </c>
      <c r="F41" s="3" t="s">
        <v>105</v>
      </c>
      <c r="G41" s="3" t="s">
        <v>113</v>
      </c>
      <c r="H41" s="3" t="s">
        <v>116</v>
      </c>
      <c r="I41" s="20">
        <f>IFERROR(INDEX('Input - Walmart'!G$2:G$200,MATCH('Calculations - Walmart'!$D41,'Input - Walmart'!$B$2:$B$200,0)),"")</f>
        <v>5894215.92086</v>
      </c>
      <c r="J41" s="20">
        <f>IFERROR(INDEX('Input - Walmart'!H$2:H$200,MATCH('Calculations - Walmart'!$D41,'Input - Walmart'!$B$2:$B$200,0)),"")</f>
        <v>1484241.6758099999</v>
      </c>
      <c r="K41" s="21">
        <f>IFERROR(INDEX('Input - Walmart'!I$2:I$200,MATCH('Calculations - Walmart'!$D41,'Input - Walmart'!$B$2:$B$200,0)),"")</f>
        <v>2.2923660269096802</v>
      </c>
      <c r="L41" s="21">
        <f>IFERROR(INDEX('Input - Walmart'!J$2:J$200,MATCH('Calculations - Walmart'!$D41,'Input - Walmart'!$B$2:$B$200,0)),"")</f>
        <v>9.1034368273453996</v>
      </c>
      <c r="M41" s="20">
        <f>IFERROR(INDEX('Input - Walmart'!K$2:K$200,MATCH('Calculations - Walmart'!$D41,'Input - Walmart'!$B$2:$B$200,0)),"")</f>
        <v>17378263.418570001</v>
      </c>
      <c r="N41" s="20">
        <f>IFERROR(INDEX('Input - Walmart'!L$2:L$200,MATCH('Calculations - Walmart'!$D41,'Input - Walmart'!$B$2:$B$200,0)),"")</f>
        <v>4879740.8557599997</v>
      </c>
      <c r="O41" s="21">
        <f t="shared" si="65"/>
        <v>3.9711968858732734</v>
      </c>
      <c r="P41" s="21">
        <f t="shared" si="47"/>
        <v>3.5613086703276187</v>
      </c>
      <c r="Q41" s="21">
        <f t="shared" si="66"/>
        <v>-3.8688729786220586</v>
      </c>
      <c r="R41" s="9">
        <f t="shared" si="48"/>
        <v>7.0923318852266718E-3</v>
      </c>
      <c r="S41" s="9">
        <f t="shared" si="49"/>
        <v>5.4109604690771688E-3</v>
      </c>
      <c r="T41" s="22">
        <f>IFERROR(INDEX(Walmart!$S$11:$S$192,MATCH('Calculations - Walmart'!$D41,Walmart!$N$11:$N$192,0)),"")</f>
        <v>0</v>
      </c>
      <c r="U41" s="22">
        <f>IFERROR(INDEX(Walmart!$T$11:$T$192,MATCH('Calculations - Walmart'!$D41,Walmart!$N$11:$N$192,0)),"")</f>
        <v>0</v>
      </c>
      <c r="V41" s="16">
        <f t="shared" si="50"/>
        <v>0</v>
      </c>
      <c r="W41" s="16">
        <f t="shared" si="67"/>
        <v>0</v>
      </c>
      <c r="X41" s="16">
        <f t="shared" si="68"/>
        <v>0</v>
      </c>
      <c r="Y41" s="10">
        <f t="shared" si="51"/>
        <v>0</v>
      </c>
      <c r="Z41" s="10">
        <f t="shared" si="52"/>
        <v>9702958.1265548039</v>
      </c>
      <c r="AA41" s="13">
        <f t="shared" si="69"/>
        <v>7.2690472983677687E-3</v>
      </c>
      <c r="AB41" s="9">
        <f t="shared" si="53"/>
        <v>1.7671541314109689E-4</v>
      </c>
      <c r="AC41" s="16">
        <f t="shared" si="70"/>
        <v>6041078.5914813867</v>
      </c>
      <c r="AD41" s="16">
        <f t="shared" si="54"/>
        <v>1521223.6424165464</v>
      </c>
      <c r="AE41" s="16">
        <f t="shared" si="55"/>
        <v>0</v>
      </c>
      <c r="AF41" s="16">
        <f t="shared" si="71"/>
        <v>0</v>
      </c>
      <c r="AG41" s="16"/>
      <c r="AH41" s="32">
        <f>IFERROR(INDEX(Walmart!$R$11:$R$192,MATCH('Calculations - Walmart'!D41,Walmart!$N$11:$N$192,0)),"")</f>
        <v>3.9711968858732734</v>
      </c>
      <c r="AI41" s="23">
        <f t="shared" si="72"/>
        <v>0</v>
      </c>
      <c r="AJ41" s="23">
        <f t="shared" si="73"/>
        <v>0</v>
      </c>
      <c r="AK41" s="9">
        <f t="shared" si="56"/>
        <v>0</v>
      </c>
      <c r="AL41" s="4">
        <f t="shared" si="57"/>
        <v>1484241.6758099999</v>
      </c>
      <c r="AM41" s="4"/>
      <c r="AN41" s="4"/>
      <c r="AO41" s="4"/>
      <c r="AP41" s="4"/>
      <c r="AQ41" s="4"/>
      <c r="AR41" s="20">
        <f t="shared" si="58"/>
        <v>9702958.1265548039</v>
      </c>
      <c r="AS41" s="13">
        <f t="shared" si="74"/>
        <v>7.2690472983677687E-3</v>
      </c>
      <c r="AT41" s="13">
        <f t="shared" si="75"/>
        <v>7.2690472983677704E-3</v>
      </c>
      <c r="AU41" s="13">
        <f t="shared" si="59"/>
        <v>1.7671541314109862E-4</v>
      </c>
      <c r="AV41" s="16">
        <f t="shared" si="76"/>
        <v>6041078.5914813885</v>
      </c>
      <c r="AW41" s="16">
        <f t="shared" si="60"/>
        <v>1521223.6424165468</v>
      </c>
      <c r="AX41" s="16">
        <f t="shared" si="61"/>
        <v>0</v>
      </c>
      <c r="AY41" s="16">
        <f t="shared" si="77"/>
        <v>0</v>
      </c>
      <c r="AZ41" s="13">
        <f t="shared" si="78"/>
        <v>6.4338718872453501E-2</v>
      </c>
      <c r="BA41" s="10">
        <f t="shared" si="79"/>
        <v>1517472.1871718538</v>
      </c>
      <c r="BB41" s="9">
        <f t="shared" si="80"/>
        <v>5.5152245291124743E-3</v>
      </c>
      <c r="BC41" s="13">
        <f t="shared" si="81"/>
        <v>9.2017786725511766E-2</v>
      </c>
      <c r="BD41" s="10">
        <f t="shared" si="82"/>
        <v>6041078.5914813858</v>
      </c>
      <c r="BE41" s="13">
        <f t="shared" si="83"/>
        <v>7.2690472983677687E-3</v>
      </c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</row>
    <row r="42" spans="2:70" x14ac:dyDescent="0.3">
      <c r="B42" s="96" t="str">
        <f t="shared" si="62"/>
        <v>WALMARTDUKES</v>
      </c>
      <c r="C42" s="96" t="str">
        <f t="shared" si="63"/>
        <v>WALMARTDUKESMAYO</v>
      </c>
      <c r="D42" s="96" t="str">
        <f t="shared" si="64"/>
        <v>WALMARTDUKESMAYOJAR 30OZ</v>
      </c>
      <c r="E42" s="3" t="s">
        <v>135</v>
      </c>
      <c r="F42" s="3" t="s">
        <v>105</v>
      </c>
      <c r="G42" s="3" t="s">
        <v>113</v>
      </c>
      <c r="H42" s="3" t="s">
        <v>118</v>
      </c>
      <c r="I42" s="20">
        <f>IFERROR(INDEX('Input - Walmart'!G$2:G$200,MATCH('Calculations - Walmart'!$D42,'Input - Walmart'!$B$2:$B$200,0)),"")</f>
        <v>34377359.582199998</v>
      </c>
      <c r="J42" s="20">
        <f>IFERROR(INDEX('Input - Walmart'!H$2:H$200,MATCH('Calculations - Walmart'!$D42,'Input - Walmart'!$B$2:$B$200,0)),"")</f>
        <v>13896541.047499999</v>
      </c>
      <c r="K42" s="21">
        <f>IFERROR(INDEX('Input - Walmart'!I$2:I$200,MATCH('Calculations - Walmart'!$D42,'Input - Walmart'!$B$2:$B$200,0)),"")</f>
        <v>2.2958213367887299</v>
      </c>
      <c r="L42" s="21">
        <f>IFERROR(INDEX('Input - Walmart'!J$2:J$200,MATCH('Calculations - Walmart'!$D42,'Input - Walmart'!$B$2:$B$200,0)),"")</f>
        <v>5.6794187389150199</v>
      </c>
      <c r="M42" s="20">
        <f>IFERROR(INDEX('Input - Walmart'!K$2:K$200,MATCH('Calculations - Walmart'!$D42,'Input - Walmart'!$B$2:$B$200,0)),"")</f>
        <v>101859631.8151</v>
      </c>
      <c r="N42" s="20">
        <f>IFERROR(INDEX('Input - Walmart'!L$2:L$200,MATCH('Calculations - Walmart'!$D42,'Input - Walmart'!$B$2:$B$200,0)),"")</f>
        <v>46111363.664039999</v>
      </c>
      <c r="O42" s="21">
        <f t="shared" si="65"/>
        <v>2.4738069325808612</v>
      </c>
      <c r="P42" s="21">
        <f t="shared" si="47"/>
        <v>2.2089919646973128</v>
      </c>
      <c r="Q42" s="21">
        <f t="shared" si="66"/>
        <v>-3.8585566220038232</v>
      </c>
      <c r="R42" s="9">
        <f t="shared" si="48"/>
        <v>4.1365237848152263E-2</v>
      </c>
      <c r="S42" s="9">
        <f t="shared" si="49"/>
        <v>5.0661314454665929E-2</v>
      </c>
      <c r="T42" s="22">
        <f>IFERROR(INDEX(Walmart!$S$11:$S$192,MATCH('Calculations - Walmart'!$D42,Walmart!$N$11:$N$192,0)),"")</f>
        <v>0</v>
      </c>
      <c r="U42" s="22">
        <f>IFERROR(INDEX(Walmart!$T$11:$T$192,MATCH('Calculations - Walmart'!$D42,Walmart!$N$11:$N$192,0)),"")</f>
        <v>0</v>
      </c>
      <c r="V42" s="16">
        <f t="shared" si="50"/>
        <v>0</v>
      </c>
      <c r="W42" s="16">
        <f t="shared" si="67"/>
        <v>0</v>
      </c>
      <c r="X42" s="16">
        <f t="shared" si="68"/>
        <v>0</v>
      </c>
      <c r="Y42" s="10">
        <f t="shared" si="51"/>
        <v>0</v>
      </c>
      <c r="Z42" s="10">
        <f t="shared" si="52"/>
        <v>56650817.606736638</v>
      </c>
      <c r="AA42" s="13">
        <f t="shared" si="69"/>
        <v>4.2440405008816594E-2</v>
      </c>
      <c r="AB42" s="9">
        <f t="shared" si="53"/>
        <v>1.0751671606643309E-3</v>
      </c>
      <c r="AC42" s="16">
        <f t="shared" si="70"/>
        <v>35270897.4902573</v>
      </c>
      <c r="AD42" s="16">
        <f t="shared" si="54"/>
        <v>14257740.580207709</v>
      </c>
      <c r="AE42" s="16">
        <f t="shared" si="55"/>
        <v>0</v>
      </c>
      <c r="AF42" s="16">
        <f t="shared" si="71"/>
        <v>0</v>
      </c>
      <c r="AG42" s="16"/>
      <c r="AH42" s="32">
        <f>IFERROR(INDEX(Walmart!$R$11:$R$192,MATCH('Calculations - Walmart'!D42,Walmart!$N$11:$N$192,0)),"")</f>
        <v>2.4738069325808612</v>
      </c>
      <c r="AI42" s="23">
        <f t="shared" si="72"/>
        <v>0</v>
      </c>
      <c r="AJ42" s="23">
        <f t="shared" si="73"/>
        <v>0</v>
      </c>
      <c r="AK42" s="9">
        <f t="shared" si="56"/>
        <v>0</v>
      </c>
      <c r="AL42" s="4">
        <f t="shared" si="57"/>
        <v>13896541.047499999</v>
      </c>
      <c r="AM42" s="4"/>
      <c r="AN42" s="4"/>
      <c r="AO42" s="4"/>
      <c r="AP42" s="4"/>
      <c r="AQ42" s="4"/>
      <c r="AR42" s="20">
        <f t="shared" si="58"/>
        <v>56650817.606736638</v>
      </c>
      <c r="AS42" s="13">
        <f t="shared" si="74"/>
        <v>4.2440405008816594E-2</v>
      </c>
      <c r="AT42" s="13">
        <f t="shared" si="75"/>
        <v>4.2440405008816601E-2</v>
      </c>
      <c r="AU42" s="13">
        <f t="shared" si="59"/>
        <v>1.0751671606643379E-3</v>
      </c>
      <c r="AV42" s="16">
        <f t="shared" si="76"/>
        <v>35270897.490257308</v>
      </c>
      <c r="AW42" s="16">
        <f t="shared" si="60"/>
        <v>14257740.580207713</v>
      </c>
      <c r="AX42" s="16">
        <f t="shared" si="61"/>
        <v>0</v>
      </c>
      <c r="AY42" s="16">
        <f t="shared" si="77"/>
        <v>0</v>
      </c>
      <c r="AZ42" s="13">
        <f t="shared" si="78"/>
        <v>0.60301768745135698</v>
      </c>
      <c r="BA42" s="10">
        <f t="shared" si="79"/>
        <v>14222579.888389826</v>
      </c>
      <c r="BB42" s="9">
        <f t="shared" si="80"/>
        <v>5.1691702906200225E-2</v>
      </c>
      <c r="BC42" s="13">
        <f t="shared" si="81"/>
        <v>0.53724676375713465</v>
      </c>
      <c r="BD42" s="10">
        <f t="shared" si="82"/>
        <v>35270897.490257293</v>
      </c>
      <c r="BE42" s="13">
        <f t="shared" si="83"/>
        <v>4.2440405008816594E-2</v>
      </c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</row>
    <row r="43" spans="2:70" x14ac:dyDescent="0.3">
      <c r="B43" s="96" t="str">
        <f t="shared" si="62"/>
        <v>WALMARTDUKES</v>
      </c>
      <c r="C43" s="96" t="str">
        <f t="shared" si="63"/>
        <v>WALMARTDUKESMAYO</v>
      </c>
      <c r="D43" s="96" t="str">
        <f t="shared" si="64"/>
        <v>WALMARTDUKESMAYOJAR 48OZ</v>
      </c>
      <c r="E43" s="3" t="s">
        <v>135</v>
      </c>
      <c r="F43" s="3" t="s">
        <v>105</v>
      </c>
      <c r="G43" s="3" t="s">
        <v>113</v>
      </c>
      <c r="H43" s="3" t="s">
        <v>121</v>
      </c>
      <c r="I43" s="20">
        <f>IFERROR(INDEX('Input - Walmart'!G$2:G$200,MATCH('Calculations - Walmart'!$D43,'Input - Walmart'!$B$2:$B$200,0)),"")</f>
        <v>7390972.8591999998</v>
      </c>
      <c r="J43" s="20">
        <f>IFERROR(INDEX('Input - Walmart'!H$2:H$200,MATCH('Calculations - Walmart'!$D43,'Input - Walmart'!$B$2:$B$200,0)),"")</f>
        <v>3181479.63473</v>
      </c>
      <c r="K43" s="21">
        <f>IFERROR(INDEX('Input - Walmart'!I$2:I$200,MATCH('Calculations - Walmart'!$D43,'Input - Walmart'!$B$2:$B$200,0)),"")</f>
        <v>2.23755458795207</v>
      </c>
      <c r="L43" s="21">
        <f>IFERROR(INDEX('Input - Walmart'!J$2:J$200,MATCH('Calculations - Walmart'!$D43,'Input - Walmart'!$B$2:$B$200,0)),"")</f>
        <v>5.1981175834041302</v>
      </c>
      <c r="M43" s="20">
        <f>IFERROR(INDEX('Input - Walmart'!K$2:K$200,MATCH('Calculations - Walmart'!$D43,'Input - Walmart'!$B$2:$B$200,0)),"")</f>
        <v>22580188.585659999</v>
      </c>
      <c r="N43" s="20">
        <f>IFERROR(INDEX('Input - Walmart'!L$2:L$200,MATCH('Calculations - Walmart'!$D43,'Input - Walmart'!$B$2:$B$200,0)),"")</f>
        <v>10908561.367930001</v>
      </c>
      <c r="O43" s="21">
        <f t="shared" si="65"/>
        <v>2.3231243659452949</v>
      </c>
      <c r="P43" s="21">
        <f t="shared" si="47"/>
        <v>2.0699510984137039</v>
      </c>
      <c r="Q43" s="21">
        <f t="shared" si="66"/>
        <v>-4.0402258200780574</v>
      </c>
      <c r="R43" s="9">
        <f t="shared" si="48"/>
        <v>8.8933342748157805E-3</v>
      </c>
      <c r="S43" s="9">
        <f t="shared" si="49"/>
        <v>1.1598421481665634E-2</v>
      </c>
      <c r="T43" s="22">
        <f>IFERROR(INDEX(Walmart!$S$11:$S$192,MATCH('Calculations - Walmart'!$D43,Walmart!$N$11:$N$192,0)),"")</f>
        <v>0</v>
      </c>
      <c r="U43" s="22">
        <f>IFERROR(INDEX(Walmart!$T$11:$T$192,MATCH('Calculations - Walmart'!$D43,Walmart!$N$11:$N$192,0)),"")</f>
        <v>0</v>
      </c>
      <c r="V43" s="16">
        <f t="shared" si="50"/>
        <v>0</v>
      </c>
      <c r="W43" s="16">
        <f t="shared" si="67"/>
        <v>0</v>
      </c>
      <c r="X43" s="16">
        <f t="shared" si="68"/>
        <v>0</v>
      </c>
      <c r="Y43" s="10">
        <f t="shared" si="51"/>
        <v>0</v>
      </c>
      <c r="Z43" s="10">
        <f t="shared" si="52"/>
        <v>11964339.044866081</v>
      </c>
      <c r="AA43" s="13">
        <f t="shared" si="69"/>
        <v>8.9631785767295379E-3</v>
      </c>
      <c r="AB43" s="9">
        <f t="shared" si="53"/>
        <v>6.9844301913757345E-5</v>
      </c>
      <c r="AC43" s="16">
        <f t="shared" si="70"/>
        <v>7449018.2810701942</v>
      </c>
      <c r="AD43" s="16">
        <f t="shared" si="54"/>
        <v>3206465.5643345802</v>
      </c>
      <c r="AE43" s="16">
        <f t="shared" si="55"/>
        <v>0</v>
      </c>
      <c r="AF43" s="16">
        <f t="shared" si="71"/>
        <v>0</v>
      </c>
      <c r="AG43" s="16"/>
      <c r="AH43" s="32">
        <f>IFERROR(INDEX(Walmart!$R$11:$R$192,MATCH('Calculations - Walmart'!D43,Walmart!$N$11:$N$192,0)),"")</f>
        <v>2.3231243659452949</v>
      </c>
      <c r="AI43" s="23">
        <f t="shared" si="72"/>
        <v>0</v>
      </c>
      <c r="AJ43" s="23">
        <f t="shared" si="73"/>
        <v>0</v>
      </c>
      <c r="AK43" s="9">
        <f t="shared" si="56"/>
        <v>0</v>
      </c>
      <c r="AL43" s="4">
        <f t="shared" si="57"/>
        <v>3181479.63473</v>
      </c>
      <c r="AM43" s="4"/>
      <c r="AN43" s="4"/>
      <c r="AO43" s="4"/>
      <c r="AP43" s="4"/>
      <c r="AQ43" s="4"/>
      <c r="AR43" s="20">
        <f t="shared" si="58"/>
        <v>11964339.044866081</v>
      </c>
      <c r="AS43" s="13">
        <f t="shared" si="74"/>
        <v>8.9631785767295379E-3</v>
      </c>
      <c r="AT43" s="13">
        <f t="shared" si="75"/>
        <v>8.9631785767295396E-3</v>
      </c>
      <c r="AU43" s="13">
        <f t="shared" si="59"/>
        <v>6.984430191375908E-5</v>
      </c>
      <c r="AV43" s="16">
        <f t="shared" si="76"/>
        <v>7449018.2810701961</v>
      </c>
      <c r="AW43" s="16">
        <f t="shared" si="60"/>
        <v>3206465.5643345811</v>
      </c>
      <c r="AX43" s="16">
        <f t="shared" si="61"/>
        <v>0</v>
      </c>
      <c r="AY43" s="16">
        <f t="shared" si="77"/>
        <v>0</v>
      </c>
      <c r="AZ43" s="13">
        <f t="shared" si="78"/>
        <v>0.13561443614576418</v>
      </c>
      <c r="BA43" s="10">
        <f t="shared" si="79"/>
        <v>3198558.1720729535</v>
      </c>
      <c r="BB43" s="9">
        <f t="shared" si="80"/>
        <v>1.1625100372539542E-2</v>
      </c>
      <c r="BC43" s="13">
        <f t="shared" si="81"/>
        <v>0.11346354216753733</v>
      </c>
      <c r="BD43" s="10">
        <f t="shared" si="82"/>
        <v>7449018.2810701923</v>
      </c>
      <c r="BE43" s="13">
        <f t="shared" si="83"/>
        <v>8.9631785767295361E-3</v>
      </c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2:70" x14ac:dyDescent="0.3">
      <c r="B44" s="96" t="str">
        <f t="shared" si="62"/>
        <v>WALMARTDUKES</v>
      </c>
      <c r="C44" s="96" t="str">
        <f t="shared" si="63"/>
        <v>WALMARTDUKESMAYO</v>
      </c>
      <c r="D44" s="96" t="str">
        <f t="shared" si="64"/>
        <v>WALMARTDUKESMAYOSQUEEZY 12OZ</v>
      </c>
      <c r="E44" s="3" t="s">
        <v>135</v>
      </c>
      <c r="F44" s="3" t="s">
        <v>105</v>
      </c>
      <c r="G44" s="3" t="s">
        <v>113</v>
      </c>
      <c r="H44" s="3" t="s">
        <v>117</v>
      </c>
      <c r="I44" s="20">
        <f>IFERROR(INDEX('Input - Walmart'!G$2:G$200,MATCH('Calculations - Walmart'!$D44,'Input - Walmart'!$B$2:$B$200,0)),"")</f>
        <v>649782.56217501999</v>
      </c>
      <c r="J44" s="20">
        <f>IFERROR(INDEX('Input - Walmart'!H$2:H$200,MATCH('Calculations - Walmart'!$D44,'Input - Walmart'!$B$2:$B$200,0)),"")</f>
        <v>143335.631344689</v>
      </c>
      <c r="K44" s="21">
        <f>IFERROR(INDEX('Input - Walmart'!I$2:I$200,MATCH('Calculations - Walmart'!$D44,'Input - Walmart'!$B$2:$B$200,0)),"")</f>
        <v>2.52611821409314</v>
      </c>
      <c r="L44" s="21">
        <f>IFERROR(INDEX('Input - Walmart'!J$2:J$200,MATCH('Calculations - Walmart'!$D44,'Input - Walmart'!$B$2:$B$200,0)),"")</f>
        <v>11.4516366245541</v>
      </c>
      <c r="M44" s="20">
        <f>IFERROR(INDEX('Input - Walmart'!K$2:K$200,MATCH('Calculations - Walmart'!$D44,'Input - Walmart'!$B$2:$B$200,0)),"")</f>
        <v>1812463.5686530101</v>
      </c>
      <c r="N44" s="20">
        <f>IFERROR(INDEX('Input - Walmart'!L$2:L$200,MATCH('Calculations - Walmart'!$D44,'Input - Walmart'!$B$2:$B$200,0)),"")</f>
        <v>397306.66339933698</v>
      </c>
      <c r="O44" s="21">
        <f t="shared" si="65"/>
        <v>4.5332940321896888</v>
      </c>
      <c r="P44" s="21">
        <f t="shared" si="47"/>
        <v>4.5618755878536188</v>
      </c>
      <c r="Q44" s="21">
        <f t="shared" si="66"/>
        <v>-3.2762861709052715</v>
      </c>
      <c r="R44" s="9">
        <f t="shared" si="48"/>
        <v>7.8186371962867863E-4</v>
      </c>
      <c r="S44" s="9">
        <f t="shared" si="49"/>
        <v>5.2254524829527444E-4</v>
      </c>
      <c r="T44" s="22">
        <f>IFERROR(INDEX(Walmart!$S$11:$S$192,MATCH('Calculations - Walmart'!$D44,Walmart!$N$11:$N$192,0)),"")</f>
        <v>0</v>
      </c>
      <c r="U44" s="22">
        <f>IFERROR(INDEX(Walmart!$T$11:$T$192,MATCH('Calculations - Walmart'!$D44,Walmart!$N$11:$N$192,0)),"")</f>
        <v>0</v>
      </c>
      <c r="V44" s="16">
        <f t="shared" si="50"/>
        <v>0</v>
      </c>
      <c r="W44" s="16">
        <f t="shared" si="67"/>
        <v>0</v>
      </c>
      <c r="X44" s="16">
        <f t="shared" si="68"/>
        <v>0</v>
      </c>
      <c r="Y44" s="10">
        <f t="shared" si="51"/>
        <v>0</v>
      </c>
      <c r="Z44" s="10">
        <f t="shared" si="52"/>
        <v>1145605.0638427224</v>
      </c>
      <c r="AA44" s="13">
        <f t="shared" si="69"/>
        <v>8.5823903243816002E-4</v>
      </c>
      <c r="AB44" s="9">
        <f t="shared" si="53"/>
        <v>7.6375312809481388E-5</v>
      </c>
      <c r="AC44" s="16">
        <f t="shared" si="70"/>
        <v>713255.7035913174</v>
      </c>
      <c r="AD44" s="16">
        <f t="shared" si="54"/>
        <v>157337.18098289732</v>
      </c>
      <c r="AE44" s="16">
        <f t="shared" si="55"/>
        <v>0</v>
      </c>
      <c r="AF44" s="16">
        <f t="shared" si="71"/>
        <v>0</v>
      </c>
      <c r="AG44" s="16"/>
      <c r="AH44" s="32">
        <f>IFERROR(INDEX(Walmart!$R$11:$R$192,MATCH('Calculations - Walmart'!D44,Walmart!$N$11:$N$192,0)),"")</f>
        <v>4.5332940321896888</v>
      </c>
      <c r="AI44" s="23">
        <f t="shared" si="72"/>
        <v>0</v>
      </c>
      <c r="AJ44" s="23">
        <f t="shared" si="73"/>
        <v>0</v>
      </c>
      <c r="AK44" s="9">
        <f t="shared" si="56"/>
        <v>0</v>
      </c>
      <c r="AL44" s="4">
        <f t="shared" si="57"/>
        <v>143335.631344689</v>
      </c>
      <c r="AM44" s="4"/>
      <c r="AN44" s="4"/>
      <c r="AO44" s="4"/>
      <c r="AP44" s="4"/>
      <c r="AQ44" s="4"/>
      <c r="AR44" s="20">
        <f t="shared" si="58"/>
        <v>1145605.0638427224</v>
      </c>
      <c r="AS44" s="13">
        <f t="shared" si="74"/>
        <v>8.5823903243816002E-4</v>
      </c>
      <c r="AT44" s="13">
        <f t="shared" si="75"/>
        <v>8.5823903243816024E-4</v>
      </c>
      <c r="AU44" s="13">
        <f t="shared" si="59"/>
        <v>7.6375312809481605E-5</v>
      </c>
      <c r="AV44" s="16">
        <f t="shared" si="76"/>
        <v>713255.70359131764</v>
      </c>
      <c r="AW44" s="16">
        <f t="shared" si="60"/>
        <v>157337.18098289738</v>
      </c>
      <c r="AX44" s="16">
        <f t="shared" si="61"/>
        <v>0</v>
      </c>
      <c r="AY44" s="16">
        <f t="shared" si="77"/>
        <v>0</v>
      </c>
      <c r="AZ44" s="13">
        <f t="shared" si="78"/>
        <v>6.6544276417912071E-3</v>
      </c>
      <c r="BA44" s="10">
        <f t="shared" si="79"/>
        <v>156949.17531671812</v>
      </c>
      <c r="BB44" s="9">
        <f t="shared" si="80"/>
        <v>5.7042886772375981E-4</v>
      </c>
      <c r="BC44" s="13">
        <f t="shared" si="81"/>
        <v>1.0864320041518683E-2</v>
      </c>
      <c r="BD44" s="10">
        <f t="shared" si="82"/>
        <v>713255.70359131729</v>
      </c>
      <c r="BE44" s="13">
        <f t="shared" si="83"/>
        <v>8.5823903243815991E-4</v>
      </c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2:70" x14ac:dyDescent="0.3">
      <c r="B45" s="96" t="str">
        <f t="shared" si="62"/>
        <v>WALMARTDUKES</v>
      </c>
      <c r="C45" s="96" t="str">
        <f t="shared" si="63"/>
        <v>WALMARTDUKESMAYO</v>
      </c>
      <c r="D45" s="96" t="str">
        <f t="shared" si="64"/>
        <v>WALMARTDUKESMAYOSQUEEZY 18 TO 22OZ</v>
      </c>
      <c r="E45" s="3" t="s">
        <v>135</v>
      </c>
      <c r="F45" s="3" t="s">
        <v>105</v>
      </c>
      <c r="G45" s="3" t="s">
        <v>113</v>
      </c>
      <c r="H45" s="3" t="s">
        <v>120</v>
      </c>
      <c r="I45" s="20">
        <f>IFERROR(INDEX('Input - Walmart'!G$2:G$200,MATCH('Calculations - Walmart'!$D45,'Input - Walmart'!$B$2:$B$200,0)),"")</f>
        <v>13144739.140900001</v>
      </c>
      <c r="J45" s="20">
        <f>IFERROR(INDEX('Input - Walmart'!H$2:H$200,MATCH('Calculations - Walmart'!$D45,'Input - Walmart'!$B$2:$B$200,0)),"")</f>
        <v>3333243.56238</v>
      </c>
      <c r="K45" s="21">
        <f>IFERROR(INDEX('Input - Walmart'!I$2:I$200,MATCH('Calculations - Walmart'!$D45,'Input - Walmart'!$B$2:$B$200,0)),"")</f>
        <v>2.1948270344919401</v>
      </c>
      <c r="L45" s="21">
        <f>IFERROR(INDEX('Input - Walmart'!J$2:J$200,MATCH('Calculations - Walmart'!$D45,'Input - Walmart'!$B$2:$B$200,0)),"")</f>
        <v>8.6553617483601801</v>
      </c>
      <c r="M45" s="20">
        <f>IFERROR(INDEX('Input - Walmart'!K$2:K$200,MATCH('Calculations - Walmart'!$D45,'Input - Walmart'!$B$2:$B$200,0)),"")</f>
        <v>40945730.389300004</v>
      </c>
      <c r="N45" s="20">
        <f>IFERROR(INDEX('Input - Walmart'!L$2:L$200,MATCH('Calculations - Walmart'!$D45,'Input - Walmart'!$B$2:$B$200,0)),"")</f>
        <v>12156594.966120001</v>
      </c>
      <c r="O45" s="21">
        <f t="shared" si="65"/>
        <v>3.9435279465489779</v>
      </c>
      <c r="P45" s="21">
        <f t="shared" si="47"/>
        <v>3.3681907230942794</v>
      </c>
      <c r="Q45" s="21">
        <f t="shared" si="66"/>
        <v>-4.1847061170038593</v>
      </c>
      <c r="R45" s="9">
        <f t="shared" si="48"/>
        <v>1.581666735384709E-2</v>
      </c>
      <c r="S45" s="9">
        <f t="shared" si="49"/>
        <v>1.2151692978167636E-2</v>
      </c>
      <c r="T45" s="22">
        <f>IFERROR(INDEX(Walmart!$S$11:$S$192,MATCH('Calculations - Walmart'!$D45,Walmart!$N$11:$N$192,0)),"")</f>
        <v>0</v>
      </c>
      <c r="U45" s="22">
        <f>IFERROR(INDEX(Walmart!$T$11:$T$192,MATCH('Calculations - Walmart'!$D45,Walmart!$N$11:$N$192,0)),"")</f>
        <v>0</v>
      </c>
      <c r="V45" s="16">
        <f t="shared" si="50"/>
        <v>0</v>
      </c>
      <c r="W45" s="16">
        <f t="shared" si="67"/>
        <v>0</v>
      </c>
      <c r="X45" s="16">
        <f t="shared" si="68"/>
        <v>0</v>
      </c>
      <c r="Y45" s="10">
        <f t="shared" si="51"/>
        <v>0</v>
      </c>
      <c r="Z45" s="10">
        <f t="shared" si="52"/>
        <v>20997583.984345835</v>
      </c>
      <c r="AA45" s="13">
        <f t="shared" si="69"/>
        <v>1.5730504980325428E-2</v>
      </c>
      <c r="AB45" s="9">
        <f t="shared" si="53"/>
        <v>-8.6162373521662255E-5</v>
      </c>
      <c r="AC45" s="16">
        <f t="shared" si="70"/>
        <v>13073132.278445024</v>
      </c>
      <c r="AD45" s="16">
        <f t="shared" si="54"/>
        <v>3315085.4908700362</v>
      </c>
      <c r="AE45" s="16">
        <f t="shared" si="55"/>
        <v>0</v>
      </c>
      <c r="AF45" s="16">
        <f t="shared" si="71"/>
        <v>0</v>
      </c>
      <c r="AG45" s="16"/>
      <c r="AH45" s="32">
        <f>IFERROR(INDEX(Walmart!$R$11:$R$192,MATCH('Calculations - Walmart'!D45,Walmart!$N$11:$N$192,0)),"")</f>
        <v>3.9435279465489779</v>
      </c>
      <c r="AI45" s="23">
        <f t="shared" si="72"/>
        <v>0</v>
      </c>
      <c r="AJ45" s="23">
        <f t="shared" si="73"/>
        <v>0</v>
      </c>
      <c r="AK45" s="9">
        <f t="shared" si="56"/>
        <v>0</v>
      </c>
      <c r="AL45" s="4">
        <f t="shared" si="57"/>
        <v>3333243.56238</v>
      </c>
      <c r="AM45" s="4"/>
      <c r="AN45" s="4"/>
      <c r="AO45" s="4"/>
      <c r="AP45" s="4"/>
      <c r="AQ45" s="4"/>
      <c r="AR45" s="20">
        <f t="shared" si="58"/>
        <v>20997583.984345835</v>
      </c>
      <c r="AS45" s="13">
        <f t="shared" si="74"/>
        <v>1.5730504980325428E-2</v>
      </c>
      <c r="AT45" s="13">
        <f t="shared" si="75"/>
        <v>1.5730504980325431E-2</v>
      </c>
      <c r="AU45" s="13">
        <f t="shared" si="59"/>
        <v>-8.6162373521658786E-5</v>
      </c>
      <c r="AV45" s="16">
        <f t="shared" si="76"/>
        <v>13073132.278445028</v>
      </c>
      <c r="AW45" s="16">
        <f t="shared" si="60"/>
        <v>3315085.4908700371</v>
      </c>
      <c r="AX45" s="16">
        <f t="shared" si="61"/>
        <v>0</v>
      </c>
      <c r="AY45" s="16">
        <f t="shared" si="77"/>
        <v>0</v>
      </c>
      <c r="AZ45" s="13">
        <f t="shared" si="78"/>
        <v>0.14020841346931517</v>
      </c>
      <c r="BA45" s="10">
        <f t="shared" si="79"/>
        <v>3306910.2334624063</v>
      </c>
      <c r="BB45" s="9">
        <f t="shared" si="80"/>
        <v>1.2018903930724516E-2</v>
      </c>
      <c r="BC45" s="13">
        <f t="shared" si="81"/>
        <v>0.19913011883816084</v>
      </c>
      <c r="BD45" s="10">
        <f t="shared" si="82"/>
        <v>13073132.27844502</v>
      </c>
      <c r="BE45" s="13">
        <f t="shared" si="83"/>
        <v>1.5730504980325424E-2</v>
      </c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</row>
    <row r="46" spans="2:70" x14ac:dyDescent="0.3">
      <c r="B46" s="96" t="str">
        <f t="shared" si="62"/>
        <v>WALMARTDUKES</v>
      </c>
      <c r="C46" s="96" t="str">
        <f t="shared" si="63"/>
        <v>WALMARTDUKESMAYO</v>
      </c>
      <c r="D46" s="96" t="str">
        <f t="shared" si="64"/>
        <v>WALMARTDUKESMAYOOTHER</v>
      </c>
      <c r="E46" s="3" t="s">
        <v>135</v>
      </c>
      <c r="F46" s="3" t="s">
        <v>105</v>
      </c>
      <c r="G46" s="3" t="s">
        <v>113</v>
      </c>
      <c r="H46" s="3" t="s">
        <v>115</v>
      </c>
      <c r="I46" s="20">
        <f>IFERROR(INDEX('Input - Walmart'!G$2:G$200,MATCH('Calculations - Walmart'!$D46,'Input - Walmart'!$B$2:$B$200,0)),"")</f>
        <v>1819625.86427</v>
      </c>
      <c r="J46" s="20">
        <f>IFERROR(INDEX('Input - Walmart'!H$2:H$200,MATCH('Calculations - Walmart'!$D46,'Input - Walmart'!$B$2:$B$200,0)),"")</f>
        <v>711028.74066999997</v>
      </c>
      <c r="K46" s="21">
        <f>IFERROR(INDEX('Input - Walmart'!I$2:I$200,MATCH('Calculations - Walmart'!$D46,'Input - Walmart'!$B$2:$B$200,0)),"")</f>
        <v>3.96345604732972</v>
      </c>
      <c r="L46" s="21">
        <f>IFERROR(INDEX('Input - Walmart'!J$2:J$200,MATCH('Calculations - Walmart'!$D46,'Input - Walmart'!$B$2:$B$200,0)),"")</f>
        <v>10.143059939915601</v>
      </c>
      <c r="M46" s="20">
        <f>IFERROR(INDEX('Input - Walmart'!K$2:K$200,MATCH('Calculations - Walmart'!$D46,'Input - Walmart'!$B$2:$B$200,0)),"")</f>
        <v>5852066.9702671003</v>
      </c>
      <c r="N46" s="20">
        <f>IFERROR(INDEX('Input - Walmart'!L$2:L$200,MATCH('Calculations - Walmart'!$D46,'Input - Walmart'!$B$2:$B$200,0)),"")</f>
        <v>3665512.1419779002</v>
      </c>
      <c r="O46" s="21">
        <f t="shared" si="65"/>
        <v>2.5591453062155725</v>
      </c>
      <c r="P46" s="21">
        <f t="shared" si="47"/>
        <v>1.5965209617637062</v>
      </c>
      <c r="Q46" s="21">
        <f t="shared" si="66"/>
        <v>-1.687219219770556</v>
      </c>
      <c r="R46" s="9">
        <f t="shared" si="48"/>
        <v>2.1895008105611256E-3</v>
      </c>
      <c r="S46" s="9">
        <f t="shared" si="49"/>
        <v>2.5921306959956277E-3</v>
      </c>
      <c r="T46" s="22">
        <f>IFERROR(INDEX(Walmart!$S$11:$S$192,MATCH('Calculations - Walmart'!$D46,Walmart!$N$11:$N$192,0)),"")</f>
        <v>0</v>
      </c>
      <c r="U46" s="22">
        <f>IFERROR(INDEX(Walmart!$T$11:$T$192,MATCH('Calculations - Walmart'!$D46,Walmart!$N$11:$N$192,0)),"")</f>
        <v>0</v>
      </c>
      <c r="V46" s="16">
        <f t="shared" si="50"/>
        <v>0</v>
      </c>
      <c r="W46" s="16">
        <f t="shared" si="67"/>
        <v>0</v>
      </c>
      <c r="X46" s="16">
        <f t="shared" si="68"/>
        <v>0</v>
      </c>
      <c r="Y46" s="10">
        <f t="shared" si="51"/>
        <v>0</v>
      </c>
      <c r="Z46" s="10">
        <f t="shared" si="52"/>
        <v>4515816.4999442575</v>
      </c>
      <c r="AA46" s="13">
        <f t="shared" si="69"/>
        <v>3.3830594031945701E-3</v>
      </c>
      <c r="AB46" s="9">
        <f t="shared" si="53"/>
        <v>1.1935585926334444E-3</v>
      </c>
      <c r="AC46" s="16">
        <f t="shared" si="70"/>
        <v>2811555.2004920403</v>
      </c>
      <c r="AD46" s="16">
        <f t="shared" si="54"/>
        <v>1098630.5442146729</v>
      </c>
      <c r="AE46" s="16">
        <f t="shared" si="55"/>
        <v>0</v>
      </c>
      <c r="AF46" s="16">
        <f t="shared" si="71"/>
        <v>0</v>
      </c>
      <c r="AG46" s="16"/>
      <c r="AH46" s="32">
        <f>IFERROR(INDEX(Walmart!$R$11:$R$192,MATCH('Calculations - Walmart'!D46,Walmart!$N$11:$N$192,0)),"")</f>
        <v>2.5591453062155725</v>
      </c>
      <c r="AI46" s="23">
        <f t="shared" si="72"/>
        <v>0</v>
      </c>
      <c r="AJ46" s="23">
        <f t="shared" si="73"/>
        <v>0</v>
      </c>
      <c r="AK46" s="9">
        <f t="shared" si="56"/>
        <v>0</v>
      </c>
      <c r="AL46" s="4">
        <f t="shared" si="57"/>
        <v>711028.74066999997</v>
      </c>
      <c r="AM46" s="4"/>
      <c r="AN46" s="4"/>
      <c r="AO46" s="4"/>
      <c r="AP46" s="4"/>
      <c r="AQ46" s="4"/>
      <c r="AR46" s="20">
        <f t="shared" si="58"/>
        <v>4515816.4999442575</v>
      </c>
      <c r="AS46" s="13">
        <f t="shared" si="74"/>
        <v>3.3830594031945701E-3</v>
      </c>
      <c r="AT46" s="13">
        <f t="shared" si="75"/>
        <v>3.3830594031945709E-3</v>
      </c>
      <c r="AU46" s="13">
        <f t="shared" si="59"/>
        <v>1.1935585926334453E-3</v>
      </c>
      <c r="AV46" s="16">
        <f t="shared" si="76"/>
        <v>2811555.2004920407</v>
      </c>
      <c r="AW46" s="16">
        <f t="shared" si="60"/>
        <v>1098630.5442146731</v>
      </c>
      <c r="AX46" s="16">
        <f t="shared" si="61"/>
        <v>0</v>
      </c>
      <c r="AY46" s="16">
        <f t="shared" si="77"/>
        <v>0</v>
      </c>
      <c r="AZ46" s="13">
        <f t="shared" si="78"/>
        <v>4.646554244754722E-2</v>
      </c>
      <c r="BA46" s="10">
        <f t="shared" si="79"/>
        <v>1095921.2362587918</v>
      </c>
      <c r="BB46" s="9">
        <f t="shared" si="80"/>
        <v>3.9831054139150713E-3</v>
      </c>
      <c r="BC46" s="13">
        <f t="shared" si="81"/>
        <v>4.2825644938752343E-2</v>
      </c>
      <c r="BD46" s="10">
        <f t="shared" si="82"/>
        <v>2811555.2004920393</v>
      </c>
      <c r="BE46" s="13">
        <f t="shared" si="83"/>
        <v>3.3830594031945696E-3</v>
      </c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</row>
    <row r="47" spans="2:70" x14ac:dyDescent="0.3">
      <c r="B47" s="96" t="str">
        <f t="shared" si="62"/>
        <v>WALMARTHELLMANNS BEST FOODS</v>
      </c>
      <c r="C47" s="96" t="str">
        <f t="shared" si="63"/>
        <v>WALMARTHELLMANNS BEST FOODSMAYO</v>
      </c>
      <c r="D47" s="96" t="str">
        <f t="shared" si="64"/>
        <v>WALMARTHELLMANNS BEST FOODSMAYOJAR 8OZ</v>
      </c>
      <c r="E47" s="3" t="s">
        <v>135</v>
      </c>
      <c r="F47" s="3" t="s">
        <v>106</v>
      </c>
      <c r="G47" s="3" t="s">
        <v>113</v>
      </c>
      <c r="H47" s="3" t="s">
        <v>119</v>
      </c>
      <c r="I47" s="20">
        <f>IFERROR(INDEX('Input - Walmart'!G$2:G$200,MATCH('Calculations - Walmart'!$D47,'Input - Walmart'!$B$2:$B$200,0)),"")</f>
        <v>7.47</v>
      </c>
      <c r="J47" s="20">
        <f>IFERROR(INDEX('Input - Walmart'!H$2:H$200,MATCH('Calculations - Walmart'!$D47,'Input - Walmart'!$B$2:$B$200,0)),"")</f>
        <v>2.5</v>
      </c>
      <c r="K47" s="21">
        <f>IFERROR(INDEX('Input - Walmart'!I$2:I$200,MATCH('Calculations - Walmart'!$D47,'Input - Walmart'!$B$2:$B$200,0)),"")</f>
        <v>4.5448720520735</v>
      </c>
      <c r="L47" s="21">
        <f>IFERROR(INDEX('Input - Walmart'!J$2:J$200,MATCH('Calculations - Walmart'!$D47,'Input - Walmart'!$B$2:$B$200,0)),"")</f>
        <v>13.5800776915956</v>
      </c>
      <c r="M47" s="20">
        <f>IFERROR(INDEX('Input - Walmart'!K$2:K$200,MATCH('Calculations - Walmart'!$D47,'Input - Walmart'!$B$2:$B$200,0)),"")</f>
        <v>317.47000000000003</v>
      </c>
      <c r="N47" s="20">
        <f>IFERROR(INDEX('Input - Walmart'!L$2:L$200,MATCH('Calculations - Walmart'!$D47,'Input - Walmart'!$B$2:$B$200,0)),"")</f>
        <v>143</v>
      </c>
      <c r="O47" s="21">
        <f t="shared" si="65"/>
        <v>2.988</v>
      </c>
      <c r="P47" s="21">
        <f t="shared" si="47"/>
        <v>2.2200699300699305</v>
      </c>
      <c r="Q47" s="21">
        <f t="shared" si="66"/>
        <v>-1.4104881435919137</v>
      </c>
      <c r="R47" s="9">
        <f t="shared" si="48"/>
        <v>8.9884252450176942E-9</v>
      </c>
      <c r="S47" s="9">
        <f t="shared" si="49"/>
        <v>9.1140151857753022E-9</v>
      </c>
      <c r="T47" s="22">
        <f>IFERROR(INDEX(Walmart!$S$11:$S$192,MATCH('Calculations - Walmart'!$D47,Walmart!$N$11:$N$192,0)),"")</f>
        <v>0</v>
      </c>
      <c r="U47" s="22">
        <f>IFERROR(INDEX(Walmart!$T$11:$T$192,MATCH('Calculations - Walmart'!$D47,Walmart!$N$11:$N$192,0)),"")</f>
        <v>0</v>
      </c>
      <c r="V47" s="16">
        <f t="shared" si="50"/>
        <v>0</v>
      </c>
      <c r="W47" s="16">
        <f t="shared" si="67"/>
        <v>0</v>
      </c>
      <c r="X47" s="16">
        <f t="shared" si="68"/>
        <v>0</v>
      </c>
      <c r="Y47" s="10">
        <f t="shared" si="51"/>
        <v>0</v>
      </c>
      <c r="Z47" s="10">
        <f t="shared" si="52"/>
        <v>20.710097114494502</v>
      </c>
      <c r="AA47" s="13">
        <f t="shared" si="69"/>
        <v>1.5515131933533661E-8</v>
      </c>
      <c r="AB47" s="9">
        <f t="shared" si="53"/>
        <v>6.5267066885159673E-9</v>
      </c>
      <c r="AC47" s="16">
        <f t="shared" si="70"/>
        <v>12.894142453678302</v>
      </c>
      <c r="AD47" s="16">
        <f t="shared" si="54"/>
        <v>4.3153087194371826</v>
      </c>
      <c r="AE47" s="16">
        <f t="shared" si="55"/>
        <v>0</v>
      </c>
      <c r="AF47" s="16">
        <f t="shared" si="71"/>
        <v>0</v>
      </c>
      <c r="AG47" s="16"/>
      <c r="AH47" s="32">
        <f>IFERROR(INDEX(Walmart!$R$11:$R$192,MATCH('Calculations - Walmart'!D47,Walmart!$N$11:$N$192,0)),"")</f>
        <v>2.988</v>
      </c>
      <c r="AI47" s="23">
        <f t="shared" si="72"/>
        <v>0</v>
      </c>
      <c r="AJ47" s="23">
        <f t="shared" si="73"/>
        <v>0</v>
      </c>
      <c r="AK47" s="9">
        <f t="shared" si="56"/>
        <v>0</v>
      </c>
      <c r="AL47" s="4">
        <f t="shared" si="57"/>
        <v>2.5</v>
      </c>
      <c r="AM47" s="4"/>
      <c r="AN47" s="4"/>
      <c r="AO47" s="4"/>
      <c r="AP47" s="4"/>
      <c r="AQ47" s="4"/>
      <c r="AR47" s="20">
        <f t="shared" si="58"/>
        <v>20.710097114494502</v>
      </c>
      <c r="AS47" s="13">
        <f t="shared" si="74"/>
        <v>1.5515131933533661E-8</v>
      </c>
      <c r="AT47" s="13">
        <f t="shared" si="75"/>
        <v>1.5515131933533665E-8</v>
      </c>
      <c r="AU47" s="13">
        <f t="shared" si="59"/>
        <v>6.5267066885159706E-9</v>
      </c>
      <c r="AV47" s="16">
        <f t="shared" si="76"/>
        <v>12.894142453678306</v>
      </c>
      <c r="AW47" s="16">
        <f t="shared" si="60"/>
        <v>4.3153087194371844</v>
      </c>
      <c r="AX47" s="16">
        <f t="shared" si="61"/>
        <v>0</v>
      </c>
      <c r="AY47" s="16">
        <f t="shared" si="77"/>
        <v>0</v>
      </c>
      <c r="AZ47" s="13">
        <f t="shared" si="78"/>
        <v>4.702041587916498E-8</v>
      </c>
      <c r="BA47" s="10">
        <f t="shared" si="79"/>
        <v>4.2922341951979854</v>
      </c>
      <c r="BB47" s="9">
        <f t="shared" si="80"/>
        <v>1.5600045600948034E-8</v>
      </c>
      <c r="BC47" s="13">
        <f t="shared" si="81"/>
        <v>4.0845003110313201E-8</v>
      </c>
      <c r="BD47" s="10">
        <f t="shared" si="82"/>
        <v>12.894142453678299</v>
      </c>
      <c r="BE47" s="13">
        <f t="shared" si="83"/>
        <v>1.5515131933533658E-8</v>
      </c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2:70" x14ac:dyDescent="0.3">
      <c r="B48" s="96" t="str">
        <f t="shared" si="62"/>
        <v>WALMARTHELLMANNS BEST FOODS</v>
      </c>
      <c r="C48" s="96" t="str">
        <f t="shared" si="63"/>
        <v>WALMARTHELLMANNS BEST FOODSMAYO</v>
      </c>
      <c r="D48" s="96" t="str">
        <f t="shared" si="64"/>
        <v>WALMARTHELLMANNS BEST FOODSMAYOJAR 15OZ</v>
      </c>
      <c r="E48" s="3" t="s">
        <v>135</v>
      </c>
      <c r="F48" s="3" t="s">
        <v>106</v>
      </c>
      <c r="G48" s="3" t="s">
        <v>113</v>
      </c>
      <c r="H48" s="3" t="s">
        <v>116</v>
      </c>
      <c r="I48" s="20">
        <f>IFERROR(INDEX('Input - Walmart'!G$2:G$200,MATCH('Calculations - Walmart'!$D48,'Input - Walmart'!$B$2:$B$200,0)),"")</f>
        <v>25471063.4016</v>
      </c>
      <c r="J48" s="20">
        <f>IFERROR(INDEX('Input - Walmart'!H$2:H$200,MATCH('Calculations - Walmart'!$D48,'Input - Walmart'!$B$2:$B$200,0)),"")</f>
        <v>6002794.5806999998</v>
      </c>
      <c r="K48" s="21">
        <f>IFERROR(INDEX('Input - Walmart'!I$2:I$200,MATCH('Calculations - Walmart'!$D48,'Input - Walmart'!$B$2:$B$200,0)),"")</f>
        <v>2.56100305222339</v>
      </c>
      <c r="L48" s="21">
        <f>IFERROR(INDEX('Input - Walmart'!J$2:J$200,MATCH('Calculations - Walmart'!$D48,'Input - Walmart'!$B$2:$B$200,0)),"")</f>
        <v>10.866850470713</v>
      </c>
      <c r="M48" s="20">
        <f>IFERROR(INDEX('Input - Walmart'!K$2:K$200,MATCH('Calculations - Walmart'!$D48,'Input - Walmart'!$B$2:$B$200,0)),"")</f>
        <v>74324324.518900007</v>
      </c>
      <c r="N48" s="20">
        <f>IFERROR(INDEX('Input - Walmart'!L$2:L$200,MATCH('Calculations - Walmart'!$D48,'Input - Walmart'!$B$2:$B$200,0)),"")</f>
        <v>18548823.65721</v>
      </c>
      <c r="O48" s="21">
        <f t="shared" si="65"/>
        <v>4.2432009057071145</v>
      </c>
      <c r="P48" s="21">
        <f t="shared" si="47"/>
        <v>4.0069562303488642</v>
      </c>
      <c r="Q48" s="21">
        <f t="shared" si="66"/>
        <v>-3.2030686889934703</v>
      </c>
      <c r="R48" s="9">
        <f t="shared" si="48"/>
        <v>3.0648560816116159E-2</v>
      </c>
      <c r="S48" s="9">
        <f t="shared" si="49"/>
        <v>2.1883824386235796E-2</v>
      </c>
      <c r="T48" s="22">
        <f>IFERROR(INDEX(Walmart!$S$11:$S$192,MATCH('Calculations - Walmart'!$D48,Walmart!$N$11:$N$192,0)),"")</f>
        <v>0</v>
      </c>
      <c r="U48" s="22">
        <f>IFERROR(INDEX(Walmart!$T$11:$T$192,MATCH('Calculations - Walmart'!$D48,Walmart!$N$11:$N$192,0)),"")</f>
        <v>0</v>
      </c>
      <c r="V48" s="16">
        <f t="shared" si="50"/>
        <v>0</v>
      </c>
      <c r="W48" s="16">
        <f t="shared" si="67"/>
        <v>0</v>
      </c>
      <c r="X48" s="16">
        <f t="shared" si="68"/>
        <v>0</v>
      </c>
      <c r="Y48" s="10">
        <f t="shared" si="51"/>
        <v>0</v>
      </c>
      <c r="Z48" s="10">
        <f t="shared" si="52"/>
        <v>45351267.258236617</v>
      </c>
      <c r="AA48" s="13">
        <f t="shared" si="69"/>
        <v>3.3975258105961852E-2</v>
      </c>
      <c r="AB48" s="9">
        <f t="shared" si="53"/>
        <v>3.3266972898456926E-3</v>
      </c>
      <c r="AC48" s="16">
        <f t="shared" si="70"/>
        <v>28235777.806820422</v>
      </c>
      <c r="AD48" s="16">
        <f t="shared" si="54"/>
        <v>6654357.9798079412</v>
      </c>
      <c r="AE48" s="16">
        <f t="shared" si="55"/>
        <v>0</v>
      </c>
      <c r="AF48" s="16">
        <f t="shared" si="71"/>
        <v>0</v>
      </c>
      <c r="AG48" s="16"/>
      <c r="AH48" s="32">
        <f>IFERROR(INDEX(Walmart!$R$11:$R$192,MATCH('Calculations - Walmart'!D48,Walmart!$N$11:$N$192,0)),"")</f>
        <v>4.2432009057071145</v>
      </c>
      <c r="AI48" s="23">
        <f t="shared" si="72"/>
        <v>0</v>
      </c>
      <c r="AJ48" s="23">
        <f t="shared" si="73"/>
        <v>0</v>
      </c>
      <c r="AK48" s="9">
        <f t="shared" si="56"/>
        <v>0</v>
      </c>
      <c r="AL48" s="4">
        <f t="shared" si="57"/>
        <v>6002794.5806999998</v>
      </c>
      <c r="AM48" s="4"/>
      <c r="AN48" s="4"/>
      <c r="AO48" s="4"/>
      <c r="AP48" s="4"/>
      <c r="AQ48" s="4"/>
      <c r="AR48" s="20">
        <f t="shared" si="58"/>
        <v>45351267.258236617</v>
      </c>
      <c r="AS48" s="13">
        <f t="shared" si="74"/>
        <v>3.3975258105961852E-2</v>
      </c>
      <c r="AT48" s="13">
        <f t="shared" si="75"/>
        <v>3.3975258105961859E-2</v>
      </c>
      <c r="AU48" s="13">
        <f t="shared" si="59"/>
        <v>3.3266972898456995E-3</v>
      </c>
      <c r="AV48" s="16">
        <f t="shared" si="76"/>
        <v>28235777.80682043</v>
      </c>
      <c r="AW48" s="16">
        <f t="shared" si="60"/>
        <v>6654357.9798079431</v>
      </c>
      <c r="AX48" s="16">
        <f t="shared" si="61"/>
        <v>0</v>
      </c>
      <c r="AY48" s="16">
        <f t="shared" si="77"/>
        <v>0</v>
      </c>
      <c r="AZ48" s="13">
        <f t="shared" si="78"/>
        <v>7.2507136791876564E-2</v>
      </c>
      <c r="BA48" s="10">
        <f t="shared" si="79"/>
        <v>6618776.2510176543</v>
      </c>
      <c r="BB48" s="9">
        <f t="shared" si="80"/>
        <v>2.4055819566850215E-2</v>
      </c>
      <c r="BC48" s="13">
        <f t="shared" si="81"/>
        <v>8.9442972767273435E-2</v>
      </c>
      <c r="BD48" s="10">
        <f t="shared" si="82"/>
        <v>28235777.806820415</v>
      </c>
      <c r="BE48" s="13">
        <f t="shared" si="83"/>
        <v>3.3975258105961845E-2</v>
      </c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</row>
    <row r="49" spans="2:70" x14ac:dyDescent="0.3">
      <c r="B49" s="96" t="str">
        <f t="shared" si="62"/>
        <v>WALMARTHELLMANNS BEST FOODS</v>
      </c>
      <c r="C49" s="96" t="str">
        <f t="shared" si="63"/>
        <v>WALMARTHELLMANNS BEST FOODSMAYO</v>
      </c>
      <c r="D49" s="96" t="str">
        <f t="shared" si="64"/>
        <v>WALMARTHELLMANNS BEST FOODSMAYOJAR 30OZ</v>
      </c>
      <c r="E49" s="3" t="s">
        <v>135</v>
      </c>
      <c r="F49" s="3" t="s">
        <v>106</v>
      </c>
      <c r="G49" s="3" t="s">
        <v>113</v>
      </c>
      <c r="H49" s="3" t="s">
        <v>118</v>
      </c>
      <c r="I49" s="20">
        <f>IFERROR(INDEX('Input - Walmart'!G$2:G$200,MATCH('Calculations - Walmart'!$D49,'Input - Walmart'!$B$2:$B$200,0)),"")</f>
        <v>157624894.83000001</v>
      </c>
      <c r="J49" s="20">
        <f>IFERROR(INDEX('Input - Walmart'!H$2:H$200,MATCH('Calculations - Walmart'!$D49,'Input - Walmart'!$B$2:$B$200,0)),"")</f>
        <v>52521433.441100001</v>
      </c>
      <c r="K49" s="21">
        <f>IFERROR(INDEX('Input - Walmart'!I$2:I$200,MATCH('Calculations - Walmart'!$D49,'Input - Walmart'!$B$2:$B$200,0)),"")</f>
        <v>2.2589881832840901</v>
      </c>
      <c r="L49" s="21">
        <f>IFERROR(INDEX('Input - Walmart'!J$2:J$200,MATCH('Calculations - Walmart'!$D49,'Input - Walmart'!$B$2:$B$200,0)),"")</f>
        <v>6.7795707672694201</v>
      </c>
      <c r="M49" s="20">
        <f>IFERROR(INDEX('Input - Walmart'!K$2:K$200,MATCH('Calculations - Walmart'!$D49,'Input - Walmart'!$B$2:$B$200,0)),"")</f>
        <v>502526996.67500001</v>
      </c>
      <c r="N49" s="20">
        <f>IFERROR(INDEX('Input - Walmart'!L$2:L$200,MATCH('Calculations - Walmart'!$D49,'Input - Walmart'!$B$2:$B$200,0)),"")</f>
        <v>191790477.12909999</v>
      </c>
      <c r="O49" s="21">
        <f t="shared" si="65"/>
        <v>3.0011537100709171</v>
      </c>
      <c r="P49" s="21">
        <f t="shared" si="47"/>
        <v>2.6201874263899652</v>
      </c>
      <c r="Q49" s="21">
        <f t="shared" si="66"/>
        <v>-3.9714431528319882</v>
      </c>
      <c r="R49" s="9">
        <f t="shared" si="48"/>
        <v>0.18966527228021837</v>
      </c>
      <c r="S49" s="9">
        <f t="shared" si="49"/>
        <v>0.19147245678434888</v>
      </c>
      <c r="T49" s="22">
        <f>IFERROR(INDEX(Walmart!$S$11:$S$192,MATCH('Calculations - Walmart'!$D49,Walmart!$N$11:$N$192,0)),"")</f>
        <v>0</v>
      </c>
      <c r="U49" s="22">
        <f>IFERROR(INDEX(Walmart!$T$11:$T$192,MATCH('Calculations - Walmart'!$D49,Walmart!$N$11:$N$192,0)),"")</f>
        <v>0</v>
      </c>
      <c r="V49" s="16">
        <f t="shared" si="50"/>
        <v>0</v>
      </c>
      <c r="W49" s="16">
        <f t="shared" si="67"/>
        <v>0</v>
      </c>
      <c r="X49" s="16">
        <f t="shared" si="68"/>
        <v>0</v>
      </c>
      <c r="Y49" s="10">
        <f t="shared" si="51"/>
        <v>0</v>
      </c>
      <c r="Z49" s="10">
        <f t="shared" si="52"/>
        <v>256848834.82118407</v>
      </c>
      <c r="AA49" s="13">
        <f t="shared" si="69"/>
        <v>0.19242032218361876</v>
      </c>
      <c r="AB49" s="9">
        <f t="shared" si="53"/>
        <v>2.7550499034003917E-3</v>
      </c>
      <c r="AC49" s="16">
        <f t="shared" si="70"/>
        <v>159914530.91389677</v>
      </c>
      <c r="AD49" s="16">
        <f t="shared" si="54"/>
        <v>53284352.073429123</v>
      </c>
      <c r="AE49" s="16">
        <f t="shared" si="55"/>
        <v>0</v>
      </c>
      <c r="AF49" s="16">
        <f t="shared" si="71"/>
        <v>0</v>
      </c>
      <c r="AG49" s="16"/>
      <c r="AH49" s="32">
        <f>IFERROR(INDEX(Walmart!$R$11:$R$192,MATCH('Calculations - Walmart'!D49,Walmart!$N$11:$N$192,0)),"")</f>
        <v>3.0011537100709171</v>
      </c>
      <c r="AI49" s="23">
        <f t="shared" si="72"/>
        <v>0</v>
      </c>
      <c r="AJ49" s="23">
        <f t="shared" si="73"/>
        <v>0</v>
      </c>
      <c r="AK49" s="9">
        <f t="shared" si="56"/>
        <v>0</v>
      </c>
      <c r="AL49" s="4">
        <f t="shared" si="57"/>
        <v>52521433.441100001</v>
      </c>
      <c r="AM49" s="4"/>
      <c r="AN49" s="4"/>
      <c r="AO49" s="4"/>
      <c r="AP49" s="4"/>
      <c r="AQ49" s="4"/>
      <c r="AR49" s="20">
        <f t="shared" si="58"/>
        <v>256848834.82118407</v>
      </c>
      <c r="AS49" s="13">
        <f t="shared" si="74"/>
        <v>0.19242032218361876</v>
      </c>
      <c r="AT49" s="13">
        <f t="shared" si="75"/>
        <v>0.19242032218361882</v>
      </c>
      <c r="AU49" s="13">
        <f t="shared" si="59"/>
        <v>2.7550499034004472E-3</v>
      </c>
      <c r="AV49" s="16">
        <f t="shared" si="76"/>
        <v>159914530.9138968</v>
      </c>
      <c r="AW49" s="16">
        <f t="shared" si="60"/>
        <v>53284352.07342913</v>
      </c>
      <c r="AX49" s="16">
        <f t="shared" si="61"/>
        <v>0</v>
      </c>
      <c r="AY49" s="16">
        <f t="shared" si="77"/>
        <v>0</v>
      </c>
      <c r="AZ49" s="13">
        <f t="shared" si="78"/>
        <v>0.58059632745609291</v>
      </c>
      <c r="BA49" s="10">
        <f t="shared" si="79"/>
        <v>52999433.622994676</v>
      </c>
      <c r="BB49" s="9">
        <f t="shared" si="80"/>
        <v>0.19262545885034085</v>
      </c>
      <c r="BC49" s="13">
        <f t="shared" si="81"/>
        <v>0.50656408799788721</v>
      </c>
      <c r="BD49" s="10">
        <f t="shared" si="82"/>
        <v>159914530.91389671</v>
      </c>
      <c r="BE49" s="13">
        <f t="shared" si="83"/>
        <v>0.19242032218361874</v>
      </c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</row>
    <row r="50" spans="2:70" x14ac:dyDescent="0.3">
      <c r="B50" s="96" t="str">
        <f t="shared" si="62"/>
        <v>WALMARTHELLMANNS BEST FOODS</v>
      </c>
      <c r="C50" s="96" t="str">
        <f t="shared" si="63"/>
        <v>WALMARTHELLMANNS BEST FOODSMAYO</v>
      </c>
      <c r="D50" s="96" t="str">
        <f t="shared" si="64"/>
        <v>WALMARTHELLMANNS BEST FOODSMAYOJAR 48OZ</v>
      </c>
      <c r="E50" s="3" t="s">
        <v>135</v>
      </c>
      <c r="F50" s="3" t="s">
        <v>106</v>
      </c>
      <c r="G50" s="3" t="s">
        <v>113</v>
      </c>
      <c r="H50" s="3" t="s">
        <v>121</v>
      </c>
      <c r="I50" s="20">
        <f>IFERROR(INDEX('Input - Walmart'!G$2:G$200,MATCH('Calculations - Walmart'!$D50,'Input - Walmart'!$B$2:$B$200,0)),"")</f>
        <v>37853476.674500003</v>
      </c>
      <c r="J50" s="20">
        <f>IFERROR(INDEX('Input - Walmart'!H$2:H$200,MATCH('Calculations - Walmart'!$D50,'Input - Walmart'!$B$2:$B$200,0)),"")</f>
        <v>14408645.5459</v>
      </c>
      <c r="K50" s="21">
        <f>IFERROR(INDEX('Input - Walmart'!I$2:I$200,MATCH('Calculations - Walmart'!$D50,'Input - Walmart'!$B$2:$B$200,0)),"")</f>
        <v>2.36190155257614</v>
      </c>
      <c r="L50" s="21">
        <f>IFERROR(INDEX('Input - Walmart'!J$2:J$200,MATCH('Calculations - Walmart'!$D50,'Input - Walmart'!$B$2:$B$200,0)),"")</f>
        <v>6.2050374577607004</v>
      </c>
      <c r="M50" s="20">
        <f>IFERROR(INDEX('Input - Walmart'!K$2:K$200,MATCH('Calculations - Walmart'!$D50,'Input - Walmart'!$B$2:$B$200,0)),"")</f>
        <v>125002195.18350001</v>
      </c>
      <c r="N50" s="20">
        <f>IFERROR(INDEX('Input - Walmart'!L$2:L$200,MATCH('Calculations - Walmart'!$D50,'Input - Walmart'!$B$2:$B$200,0)),"")</f>
        <v>51895087.772</v>
      </c>
      <c r="O50" s="21">
        <f t="shared" si="65"/>
        <v>2.6271363643386496</v>
      </c>
      <c r="P50" s="21">
        <f t="shared" si="47"/>
        <v>2.4087481214540878</v>
      </c>
      <c r="Q50" s="21">
        <f t="shared" si="66"/>
        <v>-3.6713373228352002</v>
      </c>
      <c r="R50" s="9">
        <f t="shared" si="48"/>
        <v>4.5547944491668574E-2</v>
      </c>
      <c r="S50" s="9">
        <f t="shared" si="49"/>
        <v>5.2528245724714512E-2</v>
      </c>
      <c r="T50" s="22">
        <f>IFERROR(INDEX(Walmart!$S$11:$S$192,MATCH('Calculations - Walmart'!$D50,Walmart!$N$11:$N$192,0)),"")</f>
        <v>0</v>
      </c>
      <c r="U50" s="22">
        <f>IFERROR(INDEX(Walmart!$T$11:$T$192,MATCH('Calculations - Walmart'!$D50,Walmart!$N$11:$N$192,0)),"")</f>
        <v>0</v>
      </c>
      <c r="V50" s="16">
        <f t="shared" si="50"/>
        <v>0</v>
      </c>
      <c r="W50" s="16">
        <f t="shared" si="67"/>
        <v>0</v>
      </c>
      <c r="X50" s="16">
        <f t="shared" si="68"/>
        <v>0</v>
      </c>
      <c r="Y50" s="10">
        <f t="shared" si="51"/>
        <v>0</v>
      </c>
      <c r="Z50" s="10">
        <f t="shared" si="52"/>
        <v>63629831.001203187</v>
      </c>
      <c r="AA50" s="13">
        <f t="shared" si="69"/>
        <v>4.7668787714239269E-2</v>
      </c>
      <c r="AB50" s="9">
        <f t="shared" si="53"/>
        <v>2.1208432225706952E-3</v>
      </c>
      <c r="AC50" s="16">
        <f t="shared" si="70"/>
        <v>39616043.357844755</v>
      </c>
      <c r="AD50" s="16">
        <f t="shared" si="54"/>
        <v>15079553.500001749</v>
      </c>
      <c r="AE50" s="16">
        <f t="shared" si="55"/>
        <v>0</v>
      </c>
      <c r="AF50" s="16">
        <f t="shared" si="71"/>
        <v>0</v>
      </c>
      <c r="AG50" s="16"/>
      <c r="AH50" s="32">
        <f>IFERROR(INDEX(Walmart!$R$11:$R$192,MATCH('Calculations - Walmart'!D50,Walmart!$N$11:$N$192,0)),"")</f>
        <v>2.6271363643386496</v>
      </c>
      <c r="AI50" s="23">
        <f t="shared" si="72"/>
        <v>0</v>
      </c>
      <c r="AJ50" s="23">
        <f t="shared" si="73"/>
        <v>0</v>
      </c>
      <c r="AK50" s="9">
        <f t="shared" si="56"/>
        <v>0</v>
      </c>
      <c r="AL50" s="4">
        <f t="shared" si="57"/>
        <v>14408645.5459</v>
      </c>
      <c r="AM50" s="4"/>
      <c r="AN50" s="4"/>
      <c r="AO50" s="4"/>
      <c r="AP50" s="4"/>
      <c r="AQ50" s="4"/>
      <c r="AR50" s="20">
        <f t="shared" si="58"/>
        <v>63629831.001203187</v>
      </c>
      <c r="AS50" s="13">
        <f t="shared" si="74"/>
        <v>4.7668787714239269E-2</v>
      </c>
      <c r="AT50" s="13">
        <f t="shared" si="75"/>
        <v>4.7668787714239283E-2</v>
      </c>
      <c r="AU50" s="13">
        <f t="shared" si="59"/>
        <v>2.1208432225707091E-3</v>
      </c>
      <c r="AV50" s="16">
        <f t="shared" si="76"/>
        <v>39616043.35784477</v>
      </c>
      <c r="AW50" s="16">
        <f t="shared" si="60"/>
        <v>15079553.500001755</v>
      </c>
      <c r="AX50" s="16">
        <f t="shared" si="61"/>
        <v>0</v>
      </c>
      <c r="AY50" s="16">
        <f t="shared" si="77"/>
        <v>0</v>
      </c>
      <c r="AZ50" s="13">
        <f t="shared" si="78"/>
        <v>0.16430965266713904</v>
      </c>
      <c r="BA50" s="10">
        <f t="shared" si="79"/>
        <v>14998921.140795374</v>
      </c>
      <c r="BB50" s="9">
        <f t="shared" si="80"/>
        <v>5.4513300794072468E-2</v>
      </c>
      <c r="BC50" s="13">
        <f t="shared" si="81"/>
        <v>0.12549244123697986</v>
      </c>
      <c r="BD50" s="10">
        <f t="shared" si="82"/>
        <v>39616043.357844748</v>
      </c>
      <c r="BE50" s="13">
        <f t="shared" si="83"/>
        <v>4.7668787714239269E-2</v>
      </c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2:70" x14ac:dyDescent="0.3">
      <c r="B51" s="96" t="str">
        <f t="shared" si="62"/>
        <v>WALMARTHELLMANNS BEST FOODS</v>
      </c>
      <c r="C51" s="96" t="str">
        <f t="shared" si="63"/>
        <v>WALMARTHELLMANNS BEST FOODSMAYO</v>
      </c>
      <c r="D51" s="96" t="str">
        <f t="shared" si="64"/>
        <v>WALMARTHELLMANNS BEST FOODSMAYOSQUEEZY 12OZ</v>
      </c>
      <c r="E51" s="3" t="s">
        <v>135</v>
      </c>
      <c r="F51" s="3" t="s">
        <v>106</v>
      </c>
      <c r="G51" s="3" t="s">
        <v>113</v>
      </c>
      <c r="H51" s="3" t="s">
        <v>117</v>
      </c>
      <c r="I51" s="20">
        <f>IFERROR(INDEX('Input - Walmart'!G$2:G$200,MATCH('Calculations - Walmart'!$D51,'Input - Walmart'!$B$2:$B$200,0)),"")</f>
        <v>23385980.9223</v>
      </c>
      <c r="J51" s="20">
        <f>IFERROR(INDEX('Input - Walmart'!H$2:H$200,MATCH('Calculations - Walmart'!$D51,'Input - Walmart'!$B$2:$B$200,0)),"")</f>
        <v>3921464.1188400001</v>
      </c>
      <c r="K51" s="21">
        <f>IFERROR(INDEX('Input - Walmart'!I$2:I$200,MATCH('Calculations - Walmart'!$D51,'Input - Walmart'!$B$2:$B$200,0)),"")</f>
        <v>2.2922317395439999</v>
      </c>
      <c r="L51" s="21">
        <f>IFERROR(INDEX('Input - Walmart'!J$2:J$200,MATCH('Calculations - Walmart'!$D51,'Input - Walmart'!$B$2:$B$200,0)),"")</f>
        <v>13.669916670389799</v>
      </c>
      <c r="M51" s="20">
        <f>IFERROR(INDEX('Input - Walmart'!K$2:K$200,MATCH('Calculations - Walmart'!$D51,'Input - Walmart'!$B$2:$B$200,0)),"")</f>
        <v>81700493.954400003</v>
      </c>
      <c r="N51" s="20">
        <f>IFERROR(INDEX('Input - Walmart'!L$2:L$200,MATCH('Calculations - Walmart'!$D51,'Input - Walmart'!$B$2:$B$200,0)),"")</f>
        <v>15514337.41336</v>
      </c>
      <c r="O51" s="21">
        <f t="shared" si="65"/>
        <v>5.9635840628876533</v>
      </c>
      <c r="P51" s="21">
        <f t="shared" si="47"/>
        <v>5.2661284705619806</v>
      </c>
      <c r="Q51" s="21">
        <f t="shared" si="66"/>
        <v>-3.8692750278401427</v>
      </c>
      <c r="R51" s="9">
        <f t="shared" si="48"/>
        <v>2.8139644083199931E-2</v>
      </c>
      <c r="S51" s="9">
        <f t="shared" si="49"/>
        <v>1.4296113411832291E-2</v>
      </c>
      <c r="T51" s="22">
        <f>IFERROR(INDEX(Walmart!$S$11:$S$192,MATCH('Calculations - Walmart'!$D51,Walmart!$N$11:$N$192,0)),"")</f>
        <v>0</v>
      </c>
      <c r="U51" s="22">
        <f>IFERROR(INDEX(Walmart!$T$11:$T$192,MATCH('Calculations - Walmart'!$D51,Walmart!$N$11:$N$192,0)),"")</f>
        <v>0</v>
      </c>
      <c r="V51" s="16">
        <f t="shared" si="50"/>
        <v>0</v>
      </c>
      <c r="W51" s="16">
        <f t="shared" si="67"/>
        <v>0</v>
      </c>
      <c r="X51" s="16">
        <f t="shared" si="68"/>
        <v>0</v>
      </c>
      <c r="Y51" s="10">
        <f t="shared" si="51"/>
        <v>0</v>
      </c>
      <c r="Z51" s="10">
        <f t="shared" si="52"/>
        <v>38496034.326383181</v>
      </c>
      <c r="AA51" s="13">
        <f t="shared" si="69"/>
        <v>2.8839606506415653E-2</v>
      </c>
      <c r="AB51" s="9">
        <f t="shared" si="53"/>
        <v>6.999624232157213E-4</v>
      </c>
      <c r="AC51" s="16">
        <f t="shared" si="70"/>
        <v>23967697.870362699</v>
      </c>
      <c r="AD51" s="16">
        <f t="shared" si="54"/>
        <v>4019008.9747401322</v>
      </c>
      <c r="AE51" s="16">
        <f t="shared" si="55"/>
        <v>0</v>
      </c>
      <c r="AF51" s="16">
        <f t="shared" si="71"/>
        <v>0</v>
      </c>
      <c r="AG51" s="16"/>
      <c r="AH51" s="32">
        <f>IFERROR(INDEX(Walmart!$R$11:$R$192,MATCH('Calculations - Walmart'!D51,Walmart!$N$11:$N$192,0)),"")</f>
        <v>5.9635840628876533</v>
      </c>
      <c r="AI51" s="23">
        <f t="shared" si="72"/>
        <v>0</v>
      </c>
      <c r="AJ51" s="23">
        <f t="shared" si="73"/>
        <v>0</v>
      </c>
      <c r="AK51" s="9">
        <f t="shared" si="56"/>
        <v>0</v>
      </c>
      <c r="AL51" s="4">
        <f t="shared" si="57"/>
        <v>3921464.1188400001</v>
      </c>
      <c r="AM51" s="4"/>
      <c r="AN51" s="4"/>
      <c r="AO51" s="4"/>
      <c r="AP51" s="4"/>
      <c r="AQ51" s="4"/>
      <c r="AR51" s="20">
        <f t="shared" si="58"/>
        <v>38496034.326383181</v>
      </c>
      <c r="AS51" s="13">
        <f t="shared" si="74"/>
        <v>2.8839606506415653E-2</v>
      </c>
      <c r="AT51" s="13">
        <f t="shared" si="75"/>
        <v>2.883960650641566E-2</v>
      </c>
      <c r="AU51" s="13">
        <f t="shared" si="59"/>
        <v>6.9996242321572824E-4</v>
      </c>
      <c r="AV51" s="16">
        <f t="shared" si="76"/>
        <v>23967697.870362706</v>
      </c>
      <c r="AW51" s="16">
        <f t="shared" si="60"/>
        <v>4019008.9747401332</v>
      </c>
      <c r="AX51" s="16">
        <f t="shared" si="61"/>
        <v>0</v>
      </c>
      <c r="AY51" s="16">
        <f t="shared" si="77"/>
        <v>0</v>
      </c>
      <c r="AZ51" s="13">
        <f t="shared" si="78"/>
        <v>4.3791878102066424E-2</v>
      </c>
      <c r="BA51" s="10">
        <f t="shared" si="79"/>
        <v>3997518.8042715667</v>
      </c>
      <c r="BB51" s="9">
        <f t="shared" si="80"/>
        <v>1.4528907976888057E-2</v>
      </c>
      <c r="BC51" s="13">
        <f t="shared" si="81"/>
        <v>7.5922900462662729E-2</v>
      </c>
      <c r="BD51" s="10">
        <f t="shared" si="82"/>
        <v>23967697.870362692</v>
      </c>
      <c r="BE51" s="13">
        <f t="shared" si="83"/>
        <v>2.8839606506415646E-2</v>
      </c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</row>
    <row r="52" spans="2:70" x14ac:dyDescent="0.3">
      <c r="B52" s="96" t="str">
        <f t="shared" si="62"/>
        <v>WALMARTHELLMANNS BEST FOODS</v>
      </c>
      <c r="C52" s="96" t="str">
        <f t="shared" si="63"/>
        <v>WALMARTHELLMANNS BEST FOODSMAYO</v>
      </c>
      <c r="D52" s="96" t="str">
        <f t="shared" si="64"/>
        <v>WALMARTHELLMANNS BEST FOODSMAYOSQUEEZY 18 TO 22OZ</v>
      </c>
      <c r="E52" s="3" t="s">
        <v>135</v>
      </c>
      <c r="F52" s="3" t="s">
        <v>106</v>
      </c>
      <c r="G52" s="3" t="s">
        <v>113</v>
      </c>
      <c r="H52" s="3" t="s">
        <v>120</v>
      </c>
      <c r="I52" s="20">
        <f>IFERROR(INDEX('Input - Walmart'!G$2:G$200,MATCH('Calculations - Walmart'!$D52,'Input - Walmart'!$B$2:$B$200,0)),"")</f>
        <v>54016429.742899999</v>
      </c>
      <c r="J52" s="20">
        <f>IFERROR(INDEX('Input - Walmart'!H$2:H$200,MATCH('Calculations - Walmart'!$D52,'Input - Walmart'!$B$2:$B$200,0)),"")</f>
        <v>11470977.813899999</v>
      </c>
      <c r="K52" s="21">
        <f>IFERROR(INDEX('Input - Walmart'!I$2:I$200,MATCH('Calculations - Walmart'!$D52,'Input - Walmart'!$B$2:$B$200,0)),"")</f>
        <v>2.1941084811864999</v>
      </c>
      <c r="L52" s="21">
        <f>IFERROR(INDEX('Input - Walmart'!J$2:J$200,MATCH('Calculations - Walmart'!$D52,'Input - Walmart'!$B$2:$B$200,0)),"")</f>
        <v>10.3319794131845</v>
      </c>
      <c r="M52" s="20">
        <f>IFERROR(INDEX('Input - Walmart'!K$2:K$200,MATCH('Calculations - Walmart'!$D52,'Input - Walmart'!$B$2:$B$200,0)),"")</f>
        <v>173605389.90979999</v>
      </c>
      <c r="N52" s="20">
        <f>IFERROR(INDEX('Input - Walmart'!L$2:L$200,MATCH('Calculations - Walmart'!$D52,'Input - Walmart'!$B$2:$B$200,0)),"")</f>
        <v>43846194.417000003</v>
      </c>
      <c r="O52" s="21">
        <f t="shared" si="65"/>
        <v>4.7089647124454723</v>
      </c>
      <c r="P52" s="21">
        <f t="shared" si="47"/>
        <v>3.9594175097323814</v>
      </c>
      <c r="Q52" s="21">
        <f t="shared" si="66"/>
        <v>-4.1872242587473378</v>
      </c>
      <c r="R52" s="9">
        <f t="shared" si="48"/>
        <v>6.4996337449371749E-2</v>
      </c>
      <c r="S52" s="9">
        <f t="shared" si="49"/>
        <v>4.1818666396630469E-2</v>
      </c>
      <c r="T52" s="22">
        <f>IFERROR(INDEX(Walmart!$S$11:$S$192,MATCH('Calculations - Walmart'!$D52,Walmart!$N$11:$N$192,0)),"")</f>
        <v>0</v>
      </c>
      <c r="U52" s="22">
        <f>IFERROR(INDEX(Walmart!$T$11:$T$192,MATCH('Calculations - Walmart'!$D52,Walmart!$N$11:$N$192,0)),"")</f>
        <v>0</v>
      </c>
      <c r="V52" s="16">
        <f t="shared" si="50"/>
        <v>0</v>
      </c>
      <c r="W52" s="16">
        <f t="shared" si="67"/>
        <v>0</v>
      </c>
      <c r="X52" s="16">
        <f t="shared" si="68"/>
        <v>0</v>
      </c>
      <c r="Y52" s="10">
        <f t="shared" si="51"/>
        <v>0</v>
      </c>
      <c r="Z52" s="10">
        <f t="shared" si="52"/>
        <v>86267168.182605475</v>
      </c>
      <c r="AA52" s="13">
        <f t="shared" si="69"/>
        <v>6.4627726682590703E-2</v>
      </c>
      <c r="AB52" s="9">
        <f t="shared" si="53"/>
        <v>-3.6861076678104676E-4</v>
      </c>
      <c r="AC52" s="16">
        <f t="shared" si="70"/>
        <v>53710088.826355055</v>
      </c>
      <c r="AD52" s="16">
        <f t="shared" si="54"/>
        <v>11405922.98014104</v>
      </c>
      <c r="AE52" s="16">
        <f t="shared" si="55"/>
        <v>0</v>
      </c>
      <c r="AF52" s="16">
        <f t="shared" si="71"/>
        <v>0</v>
      </c>
      <c r="AG52" s="16"/>
      <c r="AH52" s="32">
        <f>IFERROR(INDEX(Walmart!$R$11:$R$192,MATCH('Calculations - Walmart'!D52,Walmart!$N$11:$N$192,0)),"")</f>
        <v>4.7089647124454723</v>
      </c>
      <c r="AI52" s="23">
        <f t="shared" si="72"/>
        <v>0</v>
      </c>
      <c r="AJ52" s="23">
        <f t="shared" si="73"/>
        <v>0</v>
      </c>
      <c r="AK52" s="9">
        <f t="shared" si="56"/>
        <v>0</v>
      </c>
      <c r="AL52" s="4">
        <f t="shared" si="57"/>
        <v>11470977.813899999</v>
      </c>
      <c r="AM52" s="4"/>
      <c r="AN52" s="4"/>
      <c r="AO52" s="4"/>
      <c r="AP52" s="4"/>
      <c r="AQ52" s="4"/>
      <c r="AR52" s="20">
        <f t="shared" si="58"/>
        <v>86267168.182605475</v>
      </c>
      <c r="AS52" s="13">
        <f t="shared" si="74"/>
        <v>6.4627726682590703E-2</v>
      </c>
      <c r="AT52" s="13">
        <f t="shared" si="75"/>
        <v>6.4627726682590717E-2</v>
      </c>
      <c r="AU52" s="13">
        <f t="shared" si="59"/>
        <v>-3.6861076678103288E-4</v>
      </c>
      <c r="AV52" s="16">
        <f t="shared" si="76"/>
        <v>53710088.826355062</v>
      </c>
      <c r="AW52" s="16">
        <f t="shared" si="60"/>
        <v>11405922.980141042</v>
      </c>
      <c r="AX52" s="16">
        <f t="shared" si="61"/>
        <v>0</v>
      </c>
      <c r="AY52" s="16">
        <f t="shared" si="77"/>
        <v>0</v>
      </c>
      <c r="AZ52" s="13">
        <f t="shared" si="78"/>
        <v>0.12428108320414766</v>
      </c>
      <c r="BA52" s="10">
        <f t="shared" si="79"/>
        <v>11344934.007303422</v>
      </c>
      <c r="BB52" s="9">
        <f t="shared" si="80"/>
        <v>4.1232952305277459E-2</v>
      </c>
      <c r="BC52" s="13">
        <f t="shared" si="81"/>
        <v>0.17013839835016323</v>
      </c>
      <c r="BD52" s="10">
        <f t="shared" si="82"/>
        <v>53710088.826355033</v>
      </c>
      <c r="BE52" s="13">
        <f t="shared" si="83"/>
        <v>6.4627726682590689E-2</v>
      </c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</row>
    <row r="53" spans="2:70" x14ac:dyDescent="0.3">
      <c r="B53" s="96" t="str">
        <f t="shared" si="62"/>
        <v>WALMARTHELLMANNS BEST FOODS</v>
      </c>
      <c r="C53" s="96" t="str">
        <f t="shared" si="63"/>
        <v>WALMARTHELLMANNS BEST FOODSMAYO</v>
      </c>
      <c r="D53" s="96" t="str">
        <f t="shared" si="64"/>
        <v>WALMARTHELLMANNS BEST FOODSMAYOOTHER</v>
      </c>
      <c r="E53" s="3" t="s">
        <v>135</v>
      </c>
      <c r="F53" s="3" t="s">
        <v>106</v>
      </c>
      <c r="G53" s="3" t="s">
        <v>113</v>
      </c>
      <c r="H53" s="3" t="s">
        <v>115</v>
      </c>
      <c r="I53" s="20">
        <f>IFERROR(INDEX('Input - Walmart'!G$2:G$200,MATCH('Calculations - Walmart'!$D53,'Input - Walmart'!$B$2:$B$200,0)),"")</f>
        <v>10054956.5351</v>
      </c>
      <c r="J53" s="20">
        <f>IFERROR(INDEX('Input - Walmart'!H$2:H$200,MATCH('Calculations - Walmart'!$D53,'Input - Walmart'!$B$2:$B$200,0)),"")</f>
        <v>1177854.3780199999</v>
      </c>
      <c r="K53" s="21">
        <f>IFERROR(INDEX('Input - Walmart'!I$2:I$200,MATCH('Calculations - Walmart'!$D53,'Input - Walmart'!$B$2:$B$200,0)),"")</f>
        <v>1.41833461848683</v>
      </c>
      <c r="L53" s="21">
        <f>IFERROR(INDEX('Input - Walmart'!J$2:J$200,MATCH('Calculations - Walmart'!$D53,'Input - Walmart'!$B$2:$B$200,0)),"")</f>
        <v>12.1078574798748</v>
      </c>
      <c r="M53" s="20">
        <f>IFERROR(INDEX('Input - Walmart'!K$2:K$200,MATCH('Calculations - Walmart'!$D53,'Input - Walmart'!$B$2:$B$200,0)),"")</f>
        <v>23826271.237489998</v>
      </c>
      <c r="N53" s="20">
        <f>IFERROR(INDEX('Input - Walmart'!L$2:L$200,MATCH('Calculations - Walmart'!$D53,'Input - Walmart'!$B$2:$B$200,0)),"")</f>
        <v>3791465.8511390002</v>
      </c>
      <c r="O53" s="21">
        <f t="shared" si="65"/>
        <v>8.5366720392062483</v>
      </c>
      <c r="P53" s="21">
        <f t="shared" si="47"/>
        <v>6.2841845800437079</v>
      </c>
      <c r="Q53" s="21">
        <f t="shared" si="66"/>
        <v>-11.952154517083997</v>
      </c>
      <c r="R53" s="9">
        <f t="shared" si="48"/>
        <v>1.2098825322309034E-2</v>
      </c>
      <c r="S53" s="9">
        <f t="shared" si="49"/>
        <v>4.2939930751624816E-3</v>
      </c>
      <c r="T53" s="22">
        <f>IFERROR(INDEX(Walmart!$S$11:$S$192,MATCH('Calculations - Walmart'!$D53,Walmart!$N$11:$N$192,0)),"")</f>
        <v>0</v>
      </c>
      <c r="U53" s="22">
        <f>IFERROR(INDEX(Walmart!$T$11:$T$192,MATCH('Calculations - Walmart'!$D53,Walmart!$N$11:$N$192,0)),"")</f>
        <v>0</v>
      </c>
      <c r="V53" s="16">
        <f t="shared" si="50"/>
        <v>0</v>
      </c>
      <c r="W53" s="16">
        <f t="shared" si="67"/>
        <v>0</v>
      </c>
      <c r="X53" s="16">
        <f t="shared" si="68"/>
        <v>0</v>
      </c>
      <c r="Y53" s="10">
        <f t="shared" si="51"/>
        <v>0</v>
      </c>
      <c r="Z53" s="10">
        <f t="shared" si="52"/>
        <v>12158124.738106368</v>
      </c>
      <c r="AA53" s="13">
        <f t="shared" si="69"/>
        <v>9.1083546510295505E-3</v>
      </c>
      <c r="AB53" s="9">
        <f t="shared" si="53"/>
        <v>-2.9904706712794837E-3</v>
      </c>
      <c r="AC53" s="16">
        <f t="shared" si="70"/>
        <v>7569669.5904441271</v>
      </c>
      <c r="AD53" s="16">
        <f t="shared" si="54"/>
        <v>886723.72040052805</v>
      </c>
      <c r="AE53" s="16">
        <f t="shared" si="55"/>
        <v>0</v>
      </c>
      <c r="AF53" s="16">
        <f t="shared" si="71"/>
        <v>0</v>
      </c>
      <c r="AG53" s="16"/>
      <c r="AH53" s="32">
        <f>IFERROR(INDEX(Walmart!$R$11:$R$192,MATCH('Calculations - Walmart'!D53,Walmart!$N$11:$N$192,0)),"")</f>
        <v>8.5366720392062483</v>
      </c>
      <c r="AI53" s="23">
        <f t="shared" si="72"/>
        <v>0</v>
      </c>
      <c r="AJ53" s="23">
        <f t="shared" si="73"/>
        <v>0</v>
      </c>
      <c r="AK53" s="9">
        <f t="shared" si="56"/>
        <v>0</v>
      </c>
      <c r="AL53" s="4">
        <f t="shared" si="57"/>
        <v>1177854.3780199999</v>
      </c>
      <c r="AM53" s="4"/>
      <c r="AN53" s="4"/>
      <c r="AO53" s="4"/>
      <c r="AP53" s="4"/>
      <c r="AQ53" s="4"/>
      <c r="AR53" s="20">
        <f t="shared" si="58"/>
        <v>12158124.738106368</v>
      </c>
      <c r="AS53" s="13">
        <f t="shared" si="74"/>
        <v>9.1083546510295505E-3</v>
      </c>
      <c r="AT53" s="13">
        <f t="shared" si="75"/>
        <v>9.1083546510295522E-3</v>
      </c>
      <c r="AU53" s="13">
        <f t="shared" si="59"/>
        <v>-2.9904706712794819E-3</v>
      </c>
      <c r="AV53" s="16">
        <f t="shared" si="76"/>
        <v>7569669.590444129</v>
      </c>
      <c r="AW53" s="16">
        <f t="shared" si="60"/>
        <v>886723.72040052828</v>
      </c>
      <c r="AX53" s="16">
        <f t="shared" si="61"/>
        <v>0</v>
      </c>
      <c r="AY53" s="16">
        <f t="shared" si="77"/>
        <v>0</v>
      </c>
      <c r="AZ53" s="13">
        <f t="shared" si="78"/>
        <v>9.6619085247256938E-3</v>
      </c>
      <c r="BA53" s="10">
        <f t="shared" si="79"/>
        <v>881982.29184694774</v>
      </c>
      <c r="BB53" s="9">
        <f t="shared" si="80"/>
        <v>3.2055482870515621E-3</v>
      </c>
      <c r="BC53" s="13">
        <f t="shared" si="81"/>
        <v>2.3978576247041007E-2</v>
      </c>
      <c r="BD53" s="10">
        <f t="shared" si="82"/>
        <v>7569669.5904441243</v>
      </c>
      <c r="BE53" s="13">
        <f t="shared" si="83"/>
        <v>9.1083546510295488E-3</v>
      </c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2:70" x14ac:dyDescent="0.3">
      <c r="B54" s="96" t="str">
        <f t="shared" si="62"/>
        <v>WALMARTKRAFT</v>
      </c>
      <c r="C54" s="96" t="str">
        <f t="shared" si="63"/>
        <v>WALMARTKRAFTMAYO</v>
      </c>
      <c r="D54" s="96" t="str">
        <f t="shared" si="64"/>
        <v>WALMARTKRAFTMAYOJAR 15OZ</v>
      </c>
      <c r="E54" s="3" t="s">
        <v>135</v>
      </c>
      <c r="F54" s="3" t="s">
        <v>107</v>
      </c>
      <c r="G54" s="3" t="s">
        <v>113</v>
      </c>
      <c r="H54" s="3" t="s">
        <v>116</v>
      </c>
      <c r="I54" s="20">
        <f>IFERROR(INDEX('Input - Walmart'!G$2:G$200,MATCH('Calculations - Walmart'!$D54,'Input - Walmart'!$B$2:$B$200,0)),"")</f>
        <v>7366098.8638000004</v>
      </c>
      <c r="J54" s="20">
        <f>IFERROR(INDEX('Input - Walmart'!H$2:H$200,MATCH('Calculations - Walmart'!$D54,'Input - Walmart'!$B$2:$B$200,0)),"")</f>
        <v>1736995.2321599999</v>
      </c>
      <c r="K54" s="21">
        <f>IFERROR(INDEX('Input - Walmart'!I$2:I$200,MATCH('Calculations - Walmart'!$D54,'Input - Walmart'!$B$2:$B$200,0)),"")</f>
        <v>1.8536305957747501</v>
      </c>
      <c r="L54" s="21">
        <f>IFERROR(INDEX('Input - Walmart'!J$2:J$200,MATCH('Calculations - Walmart'!$D54,'Input - Walmart'!$B$2:$B$200,0)),"")</f>
        <v>7.8607160069531101</v>
      </c>
      <c r="M54" s="20">
        <f>IFERROR(INDEX('Input - Walmart'!K$2:K$200,MATCH('Calculations - Walmart'!$D54,'Input - Walmart'!$B$2:$B$200,0)),"")</f>
        <v>22616575.827029999</v>
      </c>
      <c r="N54" s="20">
        <f>IFERROR(INDEX('Input - Walmart'!L$2:L$200,MATCH('Calculations - Walmart'!$D54,'Input - Walmart'!$B$2:$B$200,0)),"")</f>
        <v>6055584.97389</v>
      </c>
      <c r="O54" s="21">
        <f t="shared" si="65"/>
        <v>4.2407133464840081</v>
      </c>
      <c r="P54" s="21">
        <f t="shared" si="47"/>
        <v>3.7348292402049332</v>
      </c>
      <c r="Q54" s="21">
        <f t="shared" si="66"/>
        <v>-5.8573345715918208</v>
      </c>
      <c r="R54" s="9">
        <f t="shared" si="48"/>
        <v>8.8634041478816705E-3</v>
      </c>
      <c r="S54" s="9">
        <f t="shared" si="49"/>
        <v>6.3324003694102144E-3</v>
      </c>
      <c r="T54" s="22">
        <f>IFERROR(INDEX(Walmart!$S$11:$S$192,MATCH('Calculations - Walmart'!$D54,Walmart!$N$11:$N$192,0)),"")</f>
        <v>0.8</v>
      </c>
      <c r="U54" s="22">
        <f>IFERROR(INDEX(Walmart!$T$11:$T$192,MATCH('Calculations - Walmart'!$D54,Walmart!$N$11:$N$192,0)),"")</f>
        <v>0.3</v>
      </c>
      <c r="V54" s="16">
        <f t="shared" si="50"/>
        <v>5892879.0910400003</v>
      </c>
      <c r="W54" s="16">
        <f t="shared" si="67"/>
        <v>1767863.727312</v>
      </c>
      <c r="X54" s="16">
        <f t="shared" si="68"/>
        <v>4125015.3637280003</v>
      </c>
      <c r="Y54" s="10">
        <f t="shared" si="51"/>
        <v>2.374799474031045</v>
      </c>
      <c r="Z54" s="10">
        <f t="shared" si="52"/>
        <v>10510062.544620672</v>
      </c>
      <c r="AA54" s="13">
        <f t="shared" si="69"/>
        <v>7.8736959130604432E-3</v>
      </c>
      <c r="AB54" s="9">
        <f t="shared" si="53"/>
        <v>-9.897082348212273E-4</v>
      </c>
      <c r="AC54" s="16">
        <f t="shared" si="70"/>
        <v>6543583.2047625519</v>
      </c>
      <c r="AD54" s="16">
        <f t="shared" si="54"/>
        <v>1543038.3216512057</v>
      </c>
      <c r="AE54" s="16">
        <f t="shared" si="55"/>
        <v>5234866.5638100421</v>
      </c>
      <c r="AF54" s="16">
        <f t="shared" si="71"/>
        <v>1570459.9691430125</v>
      </c>
      <c r="AG54" s="16"/>
      <c r="AH54" s="32">
        <f>IFERROR(INDEX(Walmart!$R$11:$R$192,MATCH('Calculations - Walmart'!D54,Walmart!$N$11:$N$192,0)),"")</f>
        <v>4.2407133464840081</v>
      </c>
      <c r="AI54" s="23">
        <f t="shared" si="72"/>
        <v>0.8</v>
      </c>
      <c r="AJ54" s="23">
        <f t="shared" si="73"/>
        <v>0.3</v>
      </c>
      <c r="AK54" s="9">
        <f t="shared" si="56"/>
        <v>0</v>
      </c>
      <c r="AL54" s="4">
        <f t="shared" si="57"/>
        <v>1736995.2321599999</v>
      </c>
      <c r="AM54" s="4"/>
      <c r="AN54" s="4"/>
      <c r="AO54" s="4"/>
      <c r="AP54" s="4"/>
      <c r="AQ54" s="4"/>
      <c r="AR54" s="20">
        <f t="shared" si="58"/>
        <v>10510062.544620672</v>
      </c>
      <c r="AS54" s="13">
        <f t="shared" si="74"/>
        <v>7.8736959130604432E-3</v>
      </c>
      <c r="AT54" s="13">
        <f t="shared" si="75"/>
        <v>7.873695913060445E-3</v>
      </c>
      <c r="AU54" s="13">
        <f t="shared" si="59"/>
        <v>-9.8970823482122557E-4</v>
      </c>
      <c r="AV54" s="16">
        <f t="shared" si="76"/>
        <v>6543583.2047625538</v>
      </c>
      <c r="AW54" s="16">
        <f t="shared" si="60"/>
        <v>1543038.3216512061</v>
      </c>
      <c r="AX54" s="16">
        <f t="shared" si="61"/>
        <v>5234866.563810043</v>
      </c>
      <c r="AY54" s="16">
        <f t="shared" si="77"/>
        <v>1570459.9691430125</v>
      </c>
      <c r="AZ54" s="13">
        <f t="shared" si="78"/>
        <v>4.0892795125378592E-2</v>
      </c>
      <c r="BA54" s="10">
        <f t="shared" si="79"/>
        <v>1529138.1362900815</v>
      </c>
      <c r="BB54" s="9">
        <f t="shared" si="80"/>
        <v>5.5576242048865259E-3</v>
      </c>
      <c r="BC54" s="13">
        <f t="shared" si="81"/>
        <v>5.8477572098845639E-2</v>
      </c>
      <c r="BD54" s="10">
        <f t="shared" si="82"/>
        <v>6543583.2047625389</v>
      </c>
      <c r="BE54" s="13">
        <f t="shared" si="83"/>
        <v>7.8736959130604293E-3</v>
      </c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2:70" x14ac:dyDescent="0.3">
      <c r="B55" s="96" t="str">
        <f t="shared" si="62"/>
        <v>WALMARTKRAFT</v>
      </c>
      <c r="C55" s="96" t="str">
        <f t="shared" si="63"/>
        <v>WALMARTKRAFTMAYO</v>
      </c>
      <c r="D55" s="96" t="str">
        <f t="shared" si="64"/>
        <v>WALMARTKRAFTMAYOJAR 30OZ</v>
      </c>
      <c r="E55" s="3" t="s">
        <v>135</v>
      </c>
      <c r="F55" s="3" t="s">
        <v>107</v>
      </c>
      <c r="G55" s="3" t="s">
        <v>113</v>
      </c>
      <c r="H55" s="3" t="s">
        <v>118</v>
      </c>
      <c r="I55" s="20">
        <f>IFERROR(INDEX('Input - Walmart'!G$2:G$200,MATCH('Calculations - Walmart'!$D55,'Input - Walmart'!$B$2:$B$200,0)),"")</f>
        <v>49239384.421300001</v>
      </c>
      <c r="J55" s="20">
        <f>IFERROR(INDEX('Input - Walmart'!H$2:H$200,MATCH('Calculations - Walmart'!$D55,'Input - Walmart'!$B$2:$B$200,0)),"")</f>
        <v>20010244.403299998</v>
      </c>
      <c r="K55" s="21">
        <f>IFERROR(INDEX('Input - Walmart'!I$2:I$200,MATCH('Calculations - Walmart'!$D55,'Input - Walmart'!$B$2:$B$200,0)),"")</f>
        <v>1.9929683041272701</v>
      </c>
      <c r="L55" s="21">
        <f>IFERROR(INDEX('Input - Walmart'!J$2:J$200,MATCH('Calculations - Walmart'!$D55,'Input - Walmart'!$B$2:$B$200,0)),"")</f>
        <v>4.9041146369109496</v>
      </c>
      <c r="M55" s="20">
        <f>IFERROR(INDEX('Input - Walmart'!K$2:K$200,MATCH('Calculations - Walmart'!$D55,'Input - Walmart'!$B$2:$B$200,0)),"")</f>
        <v>176812567.9718</v>
      </c>
      <c r="N55" s="20">
        <f>IFERROR(INDEX('Input - Walmart'!L$2:L$200,MATCH('Calculations - Walmart'!$D55,'Input - Walmart'!$B$2:$B$200,0)),"")</f>
        <v>83102237.960500002</v>
      </c>
      <c r="O55" s="21">
        <f t="shared" si="65"/>
        <v>2.4607087963992917</v>
      </c>
      <c r="P55" s="21">
        <f t="shared" si="47"/>
        <v>2.1276510995509197</v>
      </c>
      <c r="Q55" s="21">
        <f t="shared" si="66"/>
        <v>-5.0354074538104783</v>
      </c>
      <c r="R55" s="9">
        <f t="shared" si="48"/>
        <v>5.9248263183606951E-2</v>
      </c>
      <c r="S55" s="9">
        <f t="shared" si="49"/>
        <v>7.2949468545100579E-2</v>
      </c>
      <c r="T55" s="22">
        <f>IFERROR(INDEX(Walmart!$S$11:$S$192,MATCH('Calculations - Walmart'!$D55,Walmart!$N$11:$N$192,0)),"")</f>
        <v>0.8</v>
      </c>
      <c r="U55" s="22">
        <f>IFERROR(INDEX(Walmart!$T$11:$T$192,MATCH('Calculations - Walmart'!$D55,Walmart!$N$11:$N$192,0)),"")</f>
        <v>0.3</v>
      </c>
      <c r="V55" s="16">
        <f t="shared" si="50"/>
        <v>39391507.537040003</v>
      </c>
      <c r="W55" s="16">
        <f t="shared" si="67"/>
        <v>11817452.261112001</v>
      </c>
      <c r="X55" s="16">
        <f t="shared" si="68"/>
        <v>27574055.275928002</v>
      </c>
      <c r="Y55" s="10">
        <f t="shared" si="51"/>
        <v>1.3779969259836033</v>
      </c>
      <c r="Z55" s="10">
        <f t="shared" si="52"/>
        <v>73685958.443844467</v>
      </c>
      <c r="AA55" s="13">
        <f t="shared" si="69"/>
        <v>5.5202414579939081E-2</v>
      </c>
      <c r="AB55" s="9">
        <f t="shared" si="53"/>
        <v>-4.0458486036678704E-3</v>
      </c>
      <c r="AC55" s="16">
        <f t="shared" si="70"/>
        <v>45877005.779262416</v>
      </c>
      <c r="AD55" s="16">
        <f t="shared" si="54"/>
        <v>18643817.523793697</v>
      </c>
      <c r="AE55" s="16">
        <f t="shared" si="55"/>
        <v>36701604.623409934</v>
      </c>
      <c r="AF55" s="16">
        <f t="shared" si="71"/>
        <v>11010481.387022983</v>
      </c>
      <c r="AG55" s="16"/>
      <c r="AH55" s="32">
        <f>IFERROR(INDEX(Walmart!$R$11:$R$192,MATCH('Calculations - Walmart'!D55,Walmart!$N$11:$N$192,0)),"")</f>
        <v>2.4607087963992917</v>
      </c>
      <c r="AI55" s="23">
        <f t="shared" si="72"/>
        <v>0.8</v>
      </c>
      <c r="AJ55" s="23">
        <f t="shared" si="73"/>
        <v>0.3</v>
      </c>
      <c r="AK55" s="9">
        <f t="shared" si="56"/>
        <v>0</v>
      </c>
      <c r="AL55" s="4">
        <f t="shared" si="57"/>
        <v>20010244.403299998</v>
      </c>
      <c r="AM55" s="4"/>
      <c r="AN55" s="4"/>
      <c r="AO55" s="4"/>
      <c r="AP55" s="4"/>
      <c r="AQ55" s="4"/>
      <c r="AR55" s="20">
        <f t="shared" si="58"/>
        <v>73685958.443844467</v>
      </c>
      <c r="AS55" s="13">
        <f t="shared" si="74"/>
        <v>5.5202414579939081E-2</v>
      </c>
      <c r="AT55" s="13">
        <f t="shared" si="75"/>
        <v>5.5202414579939095E-2</v>
      </c>
      <c r="AU55" s="13">
        <f t="shared" si="59"/>
        <v>-4.0458486036678565E-3</v>
      </c>
      <c r="AV55" s="16">
        <f t="shared" si="76"/>
        <v>45877005.779262424</v>
      </c>
      <c r="AW55" s="16">
        <f t="shared" si="60"/>
        <v>18643817.523793701</v>
      </c>
      <c r="AX55" s="16">
        <f t="shared" si="61"/>
        <v>36701604.623409942</v>
      </c>
      <c r="AY55" s="16">
        <f t="shared" si="77"/>
        <v>11010481.387022987</v>
      </c>
      <c r="AZ55" s="13">
        <f t="shared" si="78"/>
        <v>0.49408870775133878</v>
      </c>
      <c r="BA55" s="10">
        <f t="shared" si="79"/>
        <v>18475868.02067158</v>
      </c>
      <c r="BB55" s="9">
        <f t="shared" si="80"/>
        <v>6.715019976357077E-2</v>
      </c>
      <c r="BC55" s="13">
        <f t="shared" si="81"/>
        <v>0.40998575691425415</v>
      </c>
      <c r="BD55" s="10">
        <f t="shared" si="82"/>
        <v>45877005.779262319</v>
      </c>
      <c r="BE55" s="13">
        <f t="shared" si="83"/>
        <v>5.5202414579938977E-2</v>
      </c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</row>
    <row r="56" spans="2:70" x14ac:dyDescent="0.3">
      <c r="B56" s="96" t="str">
        <f t="shared" si="62"/>
        <v>WALMARTKRAFT</v>
      </c>
      <c r="C56" s="96" t="str">
        <f t="shared" si="63"/>
        <v>WALMARTKRAFTMAYO</v>
      </c>
      <c r="D56" s="96" t="str">
        <f t="shared" si="64"/>
        <v>WALMARTKRAFTMAYOJAR 48OZ</v>
      </c>
      <c r="E56" s="3" t="s">
        <v>135</v>
      </c>
      <c r="F56" s="3" t="s">
        <v>107</v>
      </c>
      <c r="G56" s="3" t="s">
        <v>113</v>
      </c>
      <c r="H56" s="3" t="s">
        <v>121</v>
      </c>
      <c r="I56" s="20">
        <f>IFERROR(INDEX('Input - Walmart'!G$2:G$200,MATCH('Calculations - Walmart'!$D56,'Input - Walmart'!$B$2:$B$200,0)),"")</f>
        <v>11178993.1776</v>
      </c>
      <c r="J56" s="20">
        <f>IFERROR(INDEX('Input - Walmart'!H$2:H$200,MATCH('Calculations - Walmart'!$D56,'Input - Walmart'!$B$2:$B$200,0)),"")</f>
        <v>4295668.1014299998</v>
      </c>
      <c r="K56" s="21">
        <f>IFERROR(INDEX('Input - Walmart'!I$2:I$200,MATCH('Calculations - Walmart'!$D56,'Input - Walmart'!$B$2:$B$200,0)),"")</f>
        <v>1.72476865296184</v>
      </c>
      <c r="L56" s="21">
        <f>IFERROR(INDEX('Input - Walmart'!J$2:J$200,MATCH('Calculations - Walmart'!$D56,'Input - Walmart'!$B$2:$B$200,0)),"")</f>
        <v>4.48851646568788</v>
      </c>
      <c r="M56" s="20">
        <f>IFERROR(INDEX('Input - Walmart'!K$2:K$200,MATCH('Calculations - Walmart'!$D56,'Input - Walmart'!$B$2:$B$200,0)),"")</f>
        <v>36505816.224600002</v>
      </c>
      <c r="N56" s="20">
        <f>IFERROR(INDEX('Input - Walmart'!L$2:L$200,MATCH('Calculations - Walmart'!$D56,'Input - Walmart'!$B$2:$B$200,0)),"")</f>
        <v>17351633.949299999</v>
      </c>
      <c r="O56" s="21">
        <f t="shared" si="65"/>
        <v>2.6023875480227594</v>
      </c>
      <c r="P56" s="21">
        <f t="shared" si="47"/>
        <v>2.1038834919677822</v>
      </c>
      <c r="Q56" s="21">
        <f t="shared" si="66"/>
        <v>-6.8987531118612786</v>
      </c>
      <c r="R56" s="9">
        <f t="shared" si="48"/>
        <v>1.3451344644099118E-2</v>
      </c>
      <c r="S56" s="9">
        <f t="shared" si="49"/>
        <v>1.5660313723793434E-2</v>
      </c>
      <c r="T56" s="22">
        <f>IFERROR(INDEX(Walmart!$S$11:$S$192,MATCH('Calculations - Walmart'!$D56,Walmart!$N$11:$N$192,0)),"")</f>
        <v>0.8</v>
      </c>
      <c r="U56" s="22">
        <f>IFERROR(INDEX(Walmart!$T$11:$T$192,MATCH('Calculations - Walmart'!$D56,Walmart!$N$11:$N$192,0)),"")</f>
        <v>0.3</v>
      </c>
      <c r="V56" s="16">
        <f t="shared" si="50"/>
        <v>8943194.54208</v>
      </c>
      <c r="W56" s="16">
        <f t="shared" si="67"/>
        <v>2682958.3626239998</v>
      </c>
      <c r="X56" s="16">
        <f t="shared" si="68"/>
        <v>6260236.1794560002</v>
      </c>
      <c r="Y56" s="10">
        <f t="shared" si="51"/>
        <v>1.4573370268927455</v>
      </c>
      <c r="Z56" s="10">
        <f t="shared" si="52"/>
        <v>15230085.090999374</v>
      </c>
      <c r="AA56" s="13">
        <f t="shared" si="69"/>
        <v>1.1409737880003509E-2</v>
      </c>
      <c r="AB56" s="9">
        <f t="shared" si="53"/>
        <v>-2.0416067640956093E-3</v>
      </c>
      <c r="AC56" s="16">
        <f t="shared" si="70"/>
        <v>9482277.4446357898</v>
      </c>
      <c r="AD56" s="16">
        <f t="shared" si="54"/>
        <v>3643683.8363449094</v>
      </c>
      <c r="AE56" s="16">
        <f t="shared" si="55"/>
        <v>7585821.9557086322</v>
      </c>
      <c r="AF56" s="16">
        <f t="shared" si="71"/>
        <v>2275746.5867125895</v>
      </c>
      <c r="AG56" s="16"/>
      <c r="AH56" s="32">
        <f>IFERROR(INDEX(Walmart!$R$11:$R$192,MATCH('Calculations - Walmart'!D56,Walmart!$N$11:$N$192,0)),"")</f>
        <v>2.6023875480227594</v>
      </c>
      <c r="AI56" s="23">
        <f t="shared" si="72"/>
        <v>0.8</v>
      </c>
      <c r="AJ56" s="23">
        <f t="shared" si="73"/>
        <v>0.3</v>
      </c>
      <c r="AK56" s="9">
        <f t="shared" si="56"/>
        <v>0</v>
      </c>
      <c r="AL56" s="4">
        <f t="shared" si="57"/>
        <v>4295668.1014299998</v>
      </c>
      <c r="AM56" s="4"/>
      <c r="AN56" s="4"/>
      <c r="AO56" s="4"/>
      <c r="AP56" s="4"/>
      <c r="AQ56" s="4"/>
      <c r="AR56" s="20">
        <f t="shared" si="58"/>
        <v>15230085.090999374</v>
      </c>
      <c r="AS56" s="13">
        <f t="shared" si="74"/>
        <v>1.1409737880003509E-2</v>
      </c>
      <c r="AT56" s="13">
        <f t="shared" si="75"/>
        <v>1.1409737880003511E-2</v>
      </c>
      <c r="AU56" s="13">
        <f t="shared" si="59"/>
        <v>-2.0416067640956076E-3</v>
      </c>
      <c r="AV56" s="16">
        <f t="shared" si="76"/>
        <v>9482277.4446357917</v>
      </c>
      <c r="AW56" s="16">
        <f t="shared" si="60"/>
        <v>3643683.8363449099</v>
      </c>
      <c r="AX56" s="16">
        <f t="shared" si="61"/>
        <v>7585821.9557086341</v>
      </c>
      <c r="AY56" s="16">
        <f t="shared" si="77"/>
        <v>2275746.5867125904</v>
      </c>
      <c r="AZ56" s="13">
        <f t="shared" si="78"/>
        <v>9.6563004645186315E-2</v>
      </c>
      <c r="BA56" s="10">
        <f t="shared" si="79"/>
        <v>3610860.3607306886</v>
      </c>
      <c r="BB56" s="9">
        <f t="shared" si="80"/>
        <v>1.3123605032799504E-2</v>
      </c>
      <c r="BC56" s="13">
        <f t="shared" si="81"/>
        <v>8.4739590768307255E-2</v>
      </c>
      <c r="BD56" s="10">
        <f t="shared" si="82"/>
        <v>9482277.4446357712</v>
      </c>
      <c r="BE56" s="13">
        <f t="shared" si="83"/>
        <v>1.1409737880003488E-2</v>
      </c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</row>
    <row r="57" spans="2:70" x14ac:dyDescent="0.3">
      <c r="B57" s="96" t="str">
        <f t="shared" si="62"/>
        <v>WALMARTKRAFT</v>
      </c>
      <c r="C57" s="96" t="str">
        <f t="shared" si="63"/>
        <v>WALMARTKRAFTMAYO</v>
      </c>
      <c r="D57" s="96" t="str">
        <f t="shared" si="64"/>
        <v>WALMARTKRAFTMAYOSQUEEZY 12OZ</v>
      </c>
      <c r="E57" s="3" t="s">
        <v>135</v>
      </c>
      <c r="F57" s="3" t="s">
        <v>107</v>
      </c>
      <c r="G57" s="3" t="s">
        <v>113</v>
      </c>
      <c r="H57" s="3" t="s">
        <v>117</v>
      </c>
      <c r="I57" s="20">
        <f>IFERROR(INDEX('Input - Walmart'!G$2:G$200,MATCH('Calculations - Walmart'!$D57,'Input - Walmart'!$B$2:$B$200,0)),"")</f>
        <v>12629476.900599999</v>
      </c>
      <c r="J57" s="20">
        <f>IFERROR(INDEX('Input - Walmart'!H$2:H$200,MATCH('Calculations - Walmart'!$D57,'Input - Walmart'!$B$2:$B$200,0)),"")</f>
        <v>2382548.2722800002</v>
      </c>
      <c r="K57" s="21">
        <f>IFERROR(INDEX('Input - Walmart'!I$2:I$200,MATCH('Calculations - Walmart'!$D57,'Input - Walmart'!$B$2:$B$200,0)),"")</f>
        <v>1.8654371780202501</v>
      </c>
      <c r="L57" s="21">
        <f>IFERROR(INDEX('Input - Walmart'!J$2:J$200,MATCH('Calculations - Walmart'!$D57,'Input - Walmart'!$B$2:$B$200,0)),"")</f>
        <v>9.8883603003693903</v>
      </c>
      <c r="M57" s="20">
        <f>IFERROR(INDEX('Input - Walmart'!K$2:K$200,MATCH('Calculations - Walmart'!$D57,'Input - Walmart'!$B$2:$B$200,0)),"")</f>
        <v>47999927.386699997</v>
      </c>
      <c r="N57" s="20">
        <f>IFERROR(INDEX('Input - Walmart'!L$2:L$200,MATCH('Calculations - Walmart'!$D57,'Input - Walmart'!$B$2:$B$200,0)),"")</f>
        <v>10816788.439999999</v>
      </c>
      <c r="O57" s="21">
        <f t="shared" si="65"/>
        <v>5.3008272896456834</v>
      </c>
      <c r="P57" s="21">
        <f t="shared" si="47"/>
        <v>4.4375396313750963</v>
      </c>
      <c r="Q57" s="21">
        <f t="shared" si="66"/>
        <v>-5.777426862383984</v>
      </c>
      <c r="R57" s="9">
        <f t="shared" si="48"/>
        <v>1.519666787211792E-2</v>
      </c>
      <c r="S57" s="9">
        <f t="shared" si="49"/>
        <v>8.6858324537610523E-3</v>
      </c>
      <c r="T57" s="22">
        <f>IFERROR(INDEX(Walmart!$S$11:$S$192,MATCH('Calculations - Walmart'!$D57,Walmart!$N$11:$N$192,0)),"")</f>
        <v>0.8</v>
      </c>
      <c r="U57" s="22">
        <f>IFERROR(INDEX(Walmart!$T$11:$T$192,MATCH('Calculations - Walmart'!$D57,Walmart!$N$11:$N$192,0)),"")</f>
        <v>0.3</v>
      </c>
      <c r="V57" s="16">
        <f t="shared" si="50"/>
        <v>10103581.520479999</v>
      </c>
      <c r="W57" s="16">
        <f t="shared" si="67"/>
        <v>3031074.4561439999</v>
      </c>
      <c r="X57" s="16">
        <f t="shared" si="68"/>
        <v>7072507.064336</v>
      </c>
      <c r="Y57" s="10">
        <f t="shared" si="51"/>
        <v>2.9684632822015828</v>
      </c>
      <c r="Z57" s="10">
        <f t="shared" si="52"/>
        <v>18094486.324963618</v>
      </c>
      <c r="AA57" s="13">
        <f t="shared" si="69"/>
        <v>1.3555626564631081E-2</v>
      </c>
      <c r="AB57" s="9">
        <f t="shared" si="53"/>
        <v>-1.6410413074868391E-3</v>
      </c>
      <c r="AC57" s="16">
        <f t="shared" si="70"/>
        <v>11265658.630684294</v>
      </c>
      <c r="AD57" s="16">
        <f t="shared" si="54"/>
        <v>2125264.2304890696</v>
      </c>
      <c r="AE57" s="16">
        <f t="shared" si="55"/>
        <v>9012526.9045474362</v>
      </c>
      <c r="AF57" s="16">
        <f t="shared" si="71"/>
        <v>2703758.0713642314</v>
      </c>
      <c r="AG57" s="16"/>
      <c r="AH57" s="32">
        <f>IFERROR(INDEX(Walmart!$R$11:$R$192,MATCH('Calculations - Walmart'!D57,Walmart!$N$11:$N$192,0)),"")</f>
        <v>5.3008272896456834</v>
      </c>
      <c r="AI57" s="23">
        <f t="shared" si="72"/>
        <v>0.8</v>
      </c>
      <c r="AJ57" s="23">
        <f t="shared" si="73"/>
        <v>0.3</v>
      </c>
      <c r="AK57" s="9">
        <f t="shared" si="56"/>
        <v>0</v>
      </c>
      <c r="AL57" s="4">
        <f t="shared" si="57"/>
        <v>2382548.2722800002</v>
      </c>
      <c r="AM57" s="4"/>
      <c r="AN57" s="4"/>
      <c r="AO57" s="4"/>
      <c r="AP57" s="4"/>
      <c r="AQ57" s="4"/>
      <c r="AR57" s="20">
        <f t="shared" si="58"/>
        <v>18094486.324963618</v>
      </c>
      <c r="AS57" s="13">
        <f t="shared" si="74"/>
        <v>1.3555626564631081E-2</v>
      </c>
      <c r="AT57" s="13">
        <f t="shared" si="75"/>
        <v>1.3555626564631084E-2</v>
      </c>
      <c r="AU57" s="13">
        <f t="shared" si="59"/>
        <v>-1.6410413074868357E-3</v>
      </c>
      <c r="AV57" s="16">
        <f t="shared" si="76"/>
        <v>11265658.630684296</v>
      </c>
      <c r="AW57" s="16">
        <f t="shared" si="60"/>
        <v>2125264.2304890701</v>
      </c>
      <c r="AX57" s="16">
        <f t="shared" si="61"/>
        <v>9012526.9045474362</v>
      </c>
      <c r="AY57" s="16">
        <f t="shared" si="77"/>
        <v>2703758.0713642295</v>
      </c>
      <c r="AZ57" s="13">
        <f t="shared" si="78"/>
        <v>5.6322641858748294E-2</v>
      </c>
      <c r="BA57" s="10">
        <f t="shared" si="79"/>
        <v>2106119.1669280087</v>
      </c>
      <c r="BB57" s="9">
        <f t="shared" si="80"/>
        <v>7.6546510630443616E-3</v>
      </c>
      <c r="BC57" s="13">
        <f t="shared" si="81"/>
        <v>0.10067700588529903</v>
      </c>
      <c r="BD57" s="10">
        <f t="shared" si="82"/>
        <v>11265658.63068427</v>
      </c>
      <c r="BE57" s="13">
        <f t="shared" si="83"/>
        <v>1.3555626564631053E-2</v>
      </c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2:70" x14ac:dyDescent="0.3">
      <c r="B58" s="96" t="str">
        <f t="shared" si="62"/>
        <v>WALMARTKRAFT</v>
      </c>
      <c r="C58" s="96" t="str">
        <f t="shared" si="63"/>
        <v>WALMARTKRAFTMAYO</v>
      </c>
      <c r="D58" s="96" t="str">
        <f t="shared" si="64"/>
        <v>WALMARTKRAFTMAYOSQUEEZY 18 TO 22OZ</v>
      </c>
      <c r="E58" s="3" t="s">
        <v>135</v>
      </c>
      <c r="F58" s="3" t="s">
        <v>107</v>
      </c>
      <c r="G58" s="3" t="s">
        <v>113</v>
      </c>
      <c r="H58" s="3" t="s">
        <v>120</v>
      </c>
      <c r="I58" s="20">
        <f>IFERROR(INDEX('Input - Walmart'!G$2:G$200,MATCH('Calculations - Walmart'!$D58,'Input - Walmart'!$B$2:$B$200,0)),"")</f>
        <v>21146604.329500001</v>
      </c>
      <c r="J58" s="20">
        <f>IFERROR(INDEX('Input - Walmart'!H$2:H$200,MATCH('Calculations - Walmart'!$D58,'Input - Walmart'!$B$2:$B$200,0)),"")</f>
        <v>6003793.6717999997</v>
      </c>
      <c r="K58" s="21">
        <f>IFERROR(INDEX('Input - Walmart'!I$2:I$200,MATCH('Calculations - Walmart'!$D58,'Input - Walmart'!$B$2:$B$200,0)),"")</f>
        <v>2.1219105236017599</v>
      </c>
      <c r="L58" s="21">
        <f>IFERROR(INDEX('Input - Walmart'!J$2:J$200,MATCH('Calculations - Walmart'!$D58,'Input - Walmart'!$B$2:$B$200,0)),"")</f>
        <v>7.4738081816452198</v>
      </c>
      <c r="M58" s="20">
        <f>IFERROR(INDEX('Input - Walmart'!K$2:K$200,MATCH('Calculations - Walmart'!$D58,'Input - Walmart'!$B$2:$B$200,0)),"")</f>
        <v>81483000.123799995</v>
      </c>
      <c r="N58" s="20">
        <f>IFERROR(INDEX('Input - Walmart'!L$2:L$200,MATCH('Calculations - Walmart'!$D58,'Input - Walmart'!$B$2:$B$200,0)),"")</f>
        <v>27998245.163400002</v>
      </c>
      <c r="O58" s="21">
        <f t="shared" si="65"/>
        <v>3.5222070386639435</v>
      </c>
      <c r="P58" s="21">
        <f t="shared" si="47"/>
        <v>2.9102895430859568</v>
      </c>
      <c r="Q58" s="21">
        <f t="shared" si="66"/>
        <v>-4.4566833939199419</v>
      </c>
      <c r="R58" s="9">
        <f t="shared" si="48"/>
        <v>2.5445069906516505E-2</v>
      </c>
      <c r="S58" s="9">
        <f t="shared" si="49"/>
        <v>2.1887466678818746E-2</v>
      </c>
      <c r="T58" s="22">
        <f>IFERROR(INDEX(Walmart!$S$11:$S$192,MATCH('Calculations - Walmart'!$D58,Walmart!$N$11:$N$192,0)),"")</f>
        <v>0.8</v>
      </c>
      <c r="U58" s="22">
        <f>IFERROR(INDEX(Walmart!$T$11:$T$192,MATCH('Calculations - Walmart'!$D58,Walmart!$N$11:$N$192,0)),"")</f>
        <v>0.3</v>
      </c>
      <c r="V58" s="16">
        <f t="shared" si="50"/>
        <v>16917283.463600002</v>
      </c>
      <c r="W58" s="16">
        <f t="shared" si="67"/>
        <v>5075185.0390800005</v>
      </c>
      <c r="X58" s="16">
        <f t="shared" si="68"/>
        <v>11842098.424520001</v>
      </c>
      <c r="Y58" s="10">
        <f t="shared" si="51"/>
        <v>1.9724359416518085</v>
      </c>
      <c r="Z58" s="10">
        <f t="shared" si="52"/>
        <v>33008903.297354314</v>
      </c>
      <c r="AA58" s="13">
        <f t="shared" si="69"/>
        <v>2.4728879193969287E-2</v>
      </c>
      <c r="AB58" s="9">
        <f t="shared" si="53"/>
        <v>-7.1619071254721764E-4</v>
      </c>
      <c r="AC58" s="16">
        <f t="shared" si="70"/>
        <v>20551400.556103412</v>
      </c>
      <c r="AD58" s="16">
        <f t="shared" si="54"/>
        <v>5834807.6448961515</v>
      </c>
      <c r="AE58" s="16">
        <f t="shared" si="55"/>
        <v>16441120.44488273</v>
      </c>
      <c r="AF58" s="16">
        <f t="shared" si="71"/>
        <v>4932336.1334648188</v>
      </c>
      <c r="AG58" s="16"/>
      <c r="AH58" s="32">
        <f>IFERROR(INDEX(Walmart!$R$11:$R$192,MATCH('Calculations - Walmart'!D58,Walmart!$N$11:$N$192,0)),"")</f>
        <v>3.5222070386639435</v>
      </c>
      <c r="AI58" s="23">
        <f t="shared" si="72"/>
        <v>0.8</v>
      </c>
      <c r="AJ58" s="23">
        <f t="shared" si="73"/>
        <v>0.3</v>
      </c>
      <c r="AK58" s="9">
        <f t="shared" si="56"/>
        <v>0</v>
      </c>
      <c r="AL58" s="4">
        <f t="shared" si="57"/>
        <v>6003793.6717999997</v>
      </c>
      <c r="AM58" s="4"/>
      <c r="AN58" s="4"/>
      <c r="AO58" s="4"/>
      <c r="AP58" s="4"/>
      <c r="AQ58" s="4"/>
      <c r="AR58" s="20">
        <f t="shared" si="58"/>
        <v>33008903.297354314</v>
      </c>
      <c r="AS58" s="13">
        <f t="shared" si="74"/>
        <v>2.4728879193969287E-2</v>
      </c>
      <c r="AT58" s="13">
        <f t="shared" si="75"/>
        <v>2.4728879193969294E-2</v>
      </c>
      <c r="AU58" s="13">
        <f t="shared" si="59"/>
        <v>-7.161907125472107E-4</v>
      </c>
      <c r="AV58" s="16">
        <f t="shared" si="76"/>
        <v>20551400.556103416</v>
      </c>
      <c r="AW58" s="16">
        <f t="shared" si="60"/>
        <v>5834807.6448961524</v>
      </c>
      <c r="AX58" s="16">
        <f t="shared" si="61"/>
        <v>16441120.444882734</v>
      </c>
      <c r="AY58" s="16">
        <f t="shared" si="77"/>
        <v>4932336.1334648207</v>
      </c>
      <c r="AZ58" s="13">
        <f t="shared" si="78"/>
        <v>0.15463102261997191</v>
      </c>
      <c r="BA58" s="10">
        <f t="shared" si="79"/>
        <v>5782245.8214647211</v>
      </c>
      <c r="BB58" s="9">
        <f t="shared" si="80"/>
        <v>2.10154652305919E-2</v>
      </c>
      <c r="BC58" s="13">
        <f t="shared" si="81"/>
        <v>0.18366023173314311</v>
      </c>
      <c r="BD58" s="10">
        <f t="shared" si="82"/>
        <v>20551400.556103371</v>
      </c>
      <c r="BE58" s="13">
        <f t="shared" si="83"/>
        <v>2.4728879193969242E-2</v>
      </c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</row>
    <row r="59" spans="2:70" x14ac:dyDescent="0.3">
      <c r="B59" s="96" t="str">
        <f t="shared" si="62"/>
        <v>WALMARTKRAFT</v>
      </c>
      <c r="C59" s="96" t="str">
        <f t="shared" si="63"/>
        <v>WALMARTKRAFTMAYO</v>
      </c>
      <c r="D59" s="96" t="str">
        <f t="shared" si="64"/>
        <v>WALMARTKRAFTMAYOOTHER</v>
      </c>
      <c r="E59" s="3" t="s">
        <v>135</v>
      </c>
      <c r="F59" s="3" t="s">
        <v>107</v>
      </c>
      <c r="G59" s="3" t="s">
        <v>113</v>
      </c>
      <c r="H59" s="3" t="s">
        <v>115</v>
      </c>
      <c r="I59" s="20">
        <f>IFERROR(INDEX('Input - Walmart'!G$2:G$200,MATCH('Calculations - Walmart'!$D59,'Input - Walmart'!$B$2:$B$200,0)),"")</f>
        <v>6479258.1820999999</v>
      </c>
      <c r="J59" s="20">
        <f>IFERROR(INDEX('Input - Walmart'!H$2:H$200,MATCH('Calculations - Walmart'!$D59,'Input - Walmart'!$B$2:$B$200,0)),"")</f>
        <v>2889708.8892999999</v>
      </c>
      <c r="K59" s="21">
        <f>IFERROR(INDEX('Input - Walmart'!I$2:I$200,MATCH('Calculations - Walmart'!$D59,'Input - Walmart'!$B$2:$B$200,0)),"")</f>
        <v>3.9062004303610198</v>
      </c>
      <c r="L59" s="21">
        <f>IFERROR(INDEX('Input - Walmart'!J$2:J$200,MATCH('Calculations - Walmart'!$D59,'Input - Walmart'!$B$2:$B$200,0)),"")</f>
        <v>8.7584189511456607</v>
      </c>
      <c r="M59" s="20">
        <f>IFERROR(INDEX('Input - Walmart'!K$2:K$200,MATCH('Calculations - Walmart'!$D59,'Input - Walmart'!$B$2:$B$200,0)),"")</f>
        <v>23389113.392700002</v>
      </c>
      <c r="N59" s="20">
        <f>IFERROR(INDEX('Input - Walmart'!L$2:L$200,MATCH('Calculations - Walmart'!$D59,'Input - Walmart'!$B$2:$B$200,0)),"")</f>
        <v>14681549.114320001</v>
      </c>
      <c r="O59" s="21">
        <f t="shared" si="65"/>
        <v>2.2421837044178967</v>
      </c>
      <c r="P59" s="21">
        <f t="shared" si="47"/>
        <v>1.5930957428659125</v>
      </c>
      <c r="Q59" s="21">
        <f t="shared" si="66"/>
        <v>-1.7204594520615619</v>
      </c>
      <c r="R59" s="9">
        <f t="shared" si="48"/>
        <v>7.7962955572925159E-3</v>
      </c>
      <c r="S59" s="9">
        <f t="shared" si="49"/>
        <v>1.0534740279820032E-2</v>
      </c>
      <c r="T59" s="22">
        <f>IFERROR(INDEX(Walmart!$S$11:$S$192,MATCH('Calculations - Walmart'!$D59,Walmart!$N$11:$N$192,0)),"")</f>
        <v>0.8</v>
      </c>
      <c r="U59" s="22">
        <f>IFERROR(INDEX(Walmart!$T$11:$T$192,MATCH('Calculations - Walmart'!$D59,Walmart!$N$11:$N$192,0)),"")</f>
        <v>0.3</v>
      </c>
      <c r="V59" s="16">
        <f t="shared" si="50"/>
        <v>5183406.5456800004</v>
      </c>
      <c r="W59" s="16">
        <f t="shared" si="67"/>
        <v>1555021.963704</v>
      </c>
      <c r="X59" s="16">
        <f t="shared" si="68"/>
        <v>3628384.5819760002</v>
      </c>
      <c r="Y59" s="10">
        <f t="shared" si="51"/>
        <v>1.2556228744740223</v>
      </c>
      <c r="Z59" s="10">
        <f t="shared" si="52"/>
        <v>15894269.6407196</v>
      </c>
      <c r="AA59" s="13">
        <f t="shared" si="69"/>
        <v>1.1907316952672936E-2</v>
      </c>
      <c r="AB59" s="9">
        <f t="shared" si="53"/>
        <v>4.1110213953804205E-3</v>
      </c>
      <c r="AC59" s="16">
        <f t="shared" si="70"/>
        <v>9895799.8995175194</v>
      </c>
      <c r="AD59" s="16">
        <f t="shared" si="54"/>
        <v>4413465.2660347521</v>
      </c>
      <c r="AE59" s="16">
        <f t="shared" si="55"/>
        <v>7916639.9196140161</v>
      </c>
      <c r="AF59" s="16">
        <f t="shared" si="71"/>
        <v>2374991.9758842047</v>
      </c>
      <c r="AG59" s="16"/>
      <c r="AH59" s="32">
        <f>IFERROR(INDEX(Walmart!$R$11:$R$192,MATCH('Calculations - Walmart'!D59,Walmart!$N$11:$N$192,0)),"")</f>
        <v>2.2421837044178967</v>
      </c>
      <c r="AI59" s="23">
        <f t="shared" si="72"/>
        <v>0.8</v>
      </c>
      <c r="AJ59" s="23">
        <f t="shared" si="73"/>
        <v>0.3</v>
      </c>
      <c r="AK59" s="9">
        <f t="shared" si="56"/>
        <v>0</v>
      </c>
      <c r="AL59" s="4">
        <f t="shared" si="57"/>
        <v>2889708.8892999999</v>
      </c>
      <c r="AM59" s="4"/>
      <c r="AN59" s="4"/>
      <c r="AO59" s="4"/>
      <c r="AP59" s="4"/>
      <c r="AQ59" s="4"/>
      <c r="AR59" s="20">
        <f t="shared" si="58"/>
        <v>15894269.6407196</v>
      </c>
      <c r="AS59" s="13">
        <f t="shared" si="74"/>
        <v>1.1907316952672936E-2</v>
      </c>
      <c r="AT59" s="13">
        <f t="shared" si="75"/>
        <v>1.190731695267294E-2</v>
      </c>
      <c r="AU59" s="13">
        <f t="shared" si="59"/>
        <v>4.111021395380424E-3</v>
      </c>
      <c r="AV59" s="16">
        <f t="shared" si="76"/>
        <v>9895799.8995175231</v>
      </c>
      <c r="AW59" s="16">
        <f t="shared" si="60"/>
        <v>4413465.266034754</v>
      </c>
      <c r="AX59" s="16">
        <f t="shared" si="61"/>
        <v>7916639.9196140189</v>
      </c>
      <c r="AY59" s="16">
        <f t="shared" si="77"/>
        <v>2374991.9758842057</v>
      </c>
      <c r="AZ59" s="13">
        <f t="shared" si="78"/>
        <v>0.1169633497655477</v>
      </c>
      <c r="BA59" s="10">
        <f t="shared" si="79"/>
        <v>4373707.3517808039</v>
      </c>
      <c r="BB59" s="9">
        <f t="shared" si="80"/>
        <v>1.5896158277969964E-2</v>
      </c>
      <c r="BC59" s="13">
        <f t="shared" si="81"/>
        <v>8.8435087320141131E-2</v>
      </c>
      <c r="BD59" s="10">
        <f t="shared" si="82"/>
        <v>9895799.8995175008</v>
      </c>
      <c r="BE59" s="13">
        <f t="shared" si="83"/>
        <v>1.1907316952672916E-2</v>
      </c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</row>
    <row r="60" spans="2:70" x14ac:dyDescent="0.3">
      <c r="B60" s="96" t="str">
        <f t="shared" si="62"/>
        <v>WALMARTPRIVATE LABEL</v>
      </c>
      <c r="C60" s="96" t="str">
        <f t="shared" si="63"/>
        <v>WALMARTPRIVATE LABELMAYO</v>
      </c>
      <c r="D60" s="96" t="str">
        <f t="shared" si="64"/>
        <v>WALMARTPRIVATE LABELMAYOJAR 15OZ</v>
      </c>
      <c r="E60" s="3" t="s">
        <v>135</v>
      </c>
      <c r="F60" s="3" t="s">
        <v>110</v>
      </c>
      <c r="G60" s="3" t="s">
        <v>113</v>
      </c>
      <c r="H60" s="3" t="s">
        <v>116</v>
      </c>
      <c r="I60" s="20">
        <f>IFERROR(INDEX('Input - Walmart'!G$2:G$200,MATCH('Calculations - Walmart'!$D60,'Input - Walmart'!$B$2:$B$200,0)),"")</f>
        <v>15078935.872400001</v>
      </c>
      <c r="J60" s="20">
        <f>IFERROR(INDEX('Input - Walmart'!H$2:H$200,MATCH('Calculations - Walmart'!$D60,'Input - Walmart'!$B$2:$B$200,0)),"")</f>
        <v>6670959.5477999998</v>
      </c>
      <c r="K60" s="21">
        <f>IFERROR(INDEX('Input - Walmart'!I$2:I$200,MATCH('Calculations - Walmart'!$D60,'Input - Walmart'!$B$2:$B$200,0)),"")</f>
        <v>2.9264294590724602</v>
      </c>
      <c r="L60" s="21">
        <f>IFERROR(INDEX('Input - Walmart'!J$2:J$200,MATCH('Calculations - Walmart'!$D60,'Input - Walmart'!$B$2:$B$200,0)),"")</f>
        <v>6.6148568031728798</v>
      </c>
      <c r="M60" s="20">
        <f>IFERROR(INDEX('Input - Walmart'!K$2:K$200,MATCH('Calculations - Walmart'!$D60,'Input - Walmart'!$B$2:$B$200,0)),"")</f>
        <v>37081492.497400001</v>
      </c>
      <c r="N60" s="20">
        <f>IFERROR(INDEX('Input - Walmart'!L$2:L$200,MATCH('Calculations - Walmart'!$D60,'Input - Walmart'!$B$2:$B$200,0)),"")</f>
        <v>16491848.049070001</v>
      </c>
      <c r="O60" s="21">
        <f t="shared" si="65"/>
        <v>2.2603848463408607</v>
      </c>
      <c r="P60" s="21">
        <f t="shared" si="47"/>
        <v>2.2484740574293056</v>
      </c>
      <c r="Q60" s="21">
        <f t="shared" si="66"/>
        <v>-2.5954752593990111</v>
      </c>
      <c r="R60" s="9">
        <f t="shared" si="48"/>
        <v>1.8144027826436825E-2</v>
      </c>
      <c r="S60" s="9">
        <f t="shared" si="49"/>
        <v>2.4319690648936777E-2</v>
      </c>
      <c r="T60" s="22">
        <f>IFERROR(INDEX(Walmart!$S$11:$S$192,MATCH('Calculations - Walmart'!$D60,Walmart!$N$11:$N$192,0)),"")</f>
        <v>0</v>
      </c>
      <c r="U60" s="22">
        <f>IFERROR(INDEX(Walmart!$T$11:$T$192,MATCH('Calculations - Walmart'!$D60,Walmart!$N$11:$N$192,0)),"")</f>
        <v>0</v>
      </c>
      <c r="V60" s="16">
        <f t="shared" si="50"/>
        <v>0</v>
      </c>
      <c r="W60" s="16">
        <f t="shared" si="67"/>
        <v>0</v>
      </c>
      <c r="X60" s="16">
        <f t="shared" si="68"/>
        <v>0</v>
      </c>
      <c r="Y60" s="10">
        <f t="shared" si="51"/>
        <v>0</v>
      </c>
      <c r="Z60" s="10">
        <f t="shared" si="52"/>
        <v>29603189.010427952</v>
      </c>
      <c r="AA60" s="13">
        <f t="shared" si="69"/>
        <v>2.2177461583638456E-2</v>
      </c>
      <c r="AB60" s="9">
        <f t="shared" si="53"/>
        <v>4.0334337572016307E-3</v>
      </c>
      <c r="AC60" s="16">
        <f t="shared" si="70"/>
        <v>18430996.922581974</v>
      </c>
      <c r="AD60" s="16">
        <f t="shared" si="54"/>
        <v>8153919.8744931882</v>
      </c>
      <c r="AE60" s="16">
        <f t="shared" si="55"/>
        <v>0</v>
      </c>
      <c r="AF60" s="16">
        <f t="shared" si="71"/>
        <v>0</v>
      </c>
      <c r="AG60" s="16"/>
      <c r="AH60" s="32">
        <f>IFERROR(INDEX(Walmart!$R$11:$R$192,MATCH('Calculations - Walmart'!D60,Walmart!$N$11:$N$192,0)),"")</f>
        <v>2.2603848463408607</v>
      </c>
      <c r="AI60" s="23">
        <f t="shared" si="72"/>
        <v>0</v>
      </c>
      <c r="AJ60" s="23">
        <f t="shared" si="73"/>
        <v>0</v>
      </c>
      <c r="AK60" s="9">
        <f t="shared" si="56"/>
        <v>0</v>
      </c>
      <c r="AL60" s="4">
        <f t="shared" si="57"/>
        <v>6670959.5477999998</v>
      </c>
      <c r="AM60" s="4"/>
      <c r="AN60" s="4"/>
      <c r="AO60" s="4"/>
      <c r="AP60" s="4"/>
      <c r="AQ60" s="4"/>
      <c r="AR60" s="20">
        <f t="shared" si="58"/>
        <v>29603189.010427952</v>
      </c>
      <c r="AS60" s="13">
        <f t="shared" si="74"/>
        <v>2.2177461583638456E-2</v>
      </c>
      <c r="AT60" s="13">
        <f t="shared" si="75"/>
        <v>2.2177461583638459E-2</v>
      </c>
      <c r="AU60" s="13">
        <f t="shared" si="59"/>
        <v>4.0334337572016342E-3</v>
      </c>
      <c r="AV60" s="16">
        <f t="shared" si="76"/>
        <v>18430996.922581978</v>
      </c>
      <c r="AW60" s="16">
        <f t="shared" si="60"/>
        <v>8153919.8744931892</v>
      </c>
      <c r="AX60" s="16">
        <f t="shared" si="61"/>
        <v>0</v>
      </c>
      <c r="AY60" s="16">
        <f t="shared" si="77"/>
        <v>0</v>
      </c>
      <c r="AZ60" s="13">
        <f t="shared" si="78"/>
        <v>0.14149017300432945</v>
      </c>
      <c r="BA60" s="10">
        <f t="shared" si="79"/>
        <v>8162406.0508707808</v>
      </c>
      <c r="BB60" s="9">
        <f t="shared" si="80"/>
        <v>2.9666113454269446E-2</v>
      </c>
      <c r="BC60" s="13">
        <f t="shared" si="81"/>
        <v>0.16347772319304033</v>
      </c>
      <c r="BD60" s="10">
        <f t="shared" si="82"/>
        <v>18430996.922581971</v>
      </c>
      <c r="BE60" s="13">
        <f t="shared" si="83"/>
        <v>2.2177461583638453E-2</v>
      </c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2:70" x14ac:dyDescent="0.3">
      <c r="B61" s="96" t="str">
        <f t="shared" si="62"/>
        <v>WALMARTPRIVATE LABEL</v>
      </c>
      <c r="C61" s="96" t="str">
        <f t="shared" si="63"/>
        <v>WALMARTPRIVATE LABELMAYO</v>
      </c>
      <c r="D61" s="96" t="str">
        <f t="shared" si="64"/>
        <v>WALMARTPRIVATE LABELMAYOJAR 30OZ</v>
      </c>
      <c r="E61" s="3" t="s">
        <v>135</v>
      </c>
      <c r="F61" s="3" t="s">
        <v>110</v>
      </c>
      <c r="G61" s="3" t="s">
        <v>113</v>
      </c>
      <c r="H61" s="3" t="s">
        <v>118</v>
      </c>
      <c r="I61" s="20">
        <f>IFERROR(INDEX('Input - Walmart'!G$2:G$200,MATCH('Calculations - Walmart'!$D61,'Input - Walmart'!$B$2:$B$200,0)),"")</f>
        <v>59146387.092399999</v>
      </c>
      <c r="J61" s="20">
        <f>IFERROR(INDEX('Input - Walmart'!H$2:H$200,MATCH('Calculations - Walmart'!$D61,'Input - Walmart'!$B$2:$B$200,0)),"")</f>
        <v>32728196.579500001</v>
      </c>
      <c r="K61" s="21">
        <f>IFERROR(INDEX('Input - Walmart'!I$2:I$200,MATCH('Calculations - Walmart'!$D61,'Input - Walmart'!$B$2:$B$200,0)),"")</f>
        <v>2.2835620037719901</v>
      </c>
      <c r="L61" s="21">
        <f>IFERROR(INDEX('Input - Walmart'!J$2:J$200,MATCH('Calculations - Walmart'!$D61,'Input - Walmart'!$B$2:$B$200,0)),"")</f>
        <v>4.1268525718033402</v>
      </c>
      <c r="M61" s="20">
        <f>IFERROR(INDEX('Input - Walmart'!K$2:K$200,MATCH('Calculations - Walmart'!$D61,'Input - Walmart'!$B$2:$B$200,0)),"")</f>
        <v>167084731.3276</v>
      </c>
      <c r="N61" s="20">
        <f>IFERROR(INDEX('Input - Walmart'!L$2:L$200,MATCH('Calculations - Walmart'!$D61,'Input - Walmart'!$B$2:$B$200,0)),"")</f>
        <v>104962624.3017</v>
      </c>
      <c r="O61" s="21">
        <f t="shared" si="65"/>
        <v>1.8071997016006556</v>
      </c>
      <c r="P61" s="21">
        <f t="shared" si="47"/>
        <v>1.591849788809957</v>
      </c>
      <c r="Q61" s="21">
        <f t="shared" si="66"/>
        <v>-3.8954097934548884</v>
      </c>
      <c r="R61" s="9">
        <f t="shared" si="48"/>
        <v>7.1169060092759959E-2</v>
      </c>
      <c r="S61" s="9">
        <f t="shared" si="49"/>
        <v>0.11931411225144092</v>
      </c>
      <c r="T61" s="22">
        <f>IFERROR(INDEX(Walmart!$S$11:$S$192,MATCH('Calculations - Walmart'!$D61,Walmart!$N$11:$N$192,0)),"")</f>
        <v>0</v>
      </c>
      <c r="U61" s="22">
        <f>IFERROR(INDEX(Walmart!$T$11:$T$192,MATCH('Calculations - Walmart'!$D61,Walmart!$N$11:$N$192,0)),"")</f>
        <v>0</v>
      </c>
      <c r="V61" s="16">
        <f t="shared" si="50"/>
        <v>0</v>
      </c>
      <c r="W61" s="16">
        <f t="shared" si="67"/>
        <v>0</v>
      </c>
      <c r="X61" s="16">
        <f t="shared" si="68"/>
        <v>0</v>
      </c>
      <c r="Y61" s="10">
        <f t="shared" si="51"/>
        <v>0</v>
      </c>
      <c r="Z61" s="10">
        <f t="shared" si="52"/>
        <v>97105414.658497423</v>
      </c>
      <c r="AA61" s="13">
        <f t="shared" si="69"/>
        <v>7.2747284165685794E-2</v>
      </c>
      <c r="AB61" s="9">
        <f t="shared" si="53"/>
        <v>1.5782240729258351E-3</v>
      </c>
      <c r="AC61" s="16">
        <f t="shared" si="70"/>
        <v>60457999.917048112</v>
      </c>
      <c r="AD61" s="16">
        <f t="shared" si="54"/>
        <v>33453967.407973692</v>
      </c>
      <c r="AE61" s="16">
        <f t="shared" si="55"/>
        <v>0</v>
      </c>
      <c r="AF61" s="16">
        <f t="shared" si="71"/>
        <v>0</v>
      </c>
      <c r="AG61" s="16"/>
      <c r="AH61" s="32">
        <f>IFERROR(INDEX(Walmart!$R$11:$R$192,MATCH('Calculations - Walmart'!D61,Walmart!$N$11:$N$192,0)),"")</f>
        <v>1.8071997016006556</v>
      </c>
      <c r="AI61" s="23">
        <f t="shared" si="72"/>
        <v>0</v>
      </c>
      <c r="AJ61" s="23">
        <f t="shared" si="73"/>
        <v>0</v>
      </c>
      <c r="AK61" s="9">
        <f t="shared" si="56"/>
        <v>0</v>
      </c>
      <c r="AL61" s="4">
        <f t="shared" si="57"/>
        <v>32728196.579500001</v>
      </c>
      <c r="AM61" s="4"/>
      <c r="AN61" s="4"/>
      <c r="AO61" s="4"/>
      <c r="AP61" s="4"/>
      <c r="AQ61" s="4"/>
      <c r="AR61" s="20">
        <f t="shared" si="58"/>
        <v>97105414.658497423</v>
      </c>
      <c r="AS61" s="13">
        <f t="shared" si="74"/>
        <v>7.2747284165685794E-2</v>
      </c>
      <c r="AT61" s="13">
        <f t="shared" si="75"/>
        <v>7.2747284165685808E-2</v>
      </c>
      <c r="AU61" s="13">
        <f t="shared" si="59"/>
        <v>1.578224072925849E-3</v>
      </c>
      <c r="AV61" s="16">
        <f t="shared" si="76"/>
        <v>60457999.917048119</v>
      </c>
      <c r="AW61" s="16">
        <f t="shared" si="60"/>
        <v>33453967.407973696</v>
      </c>
      <c r="AX61" s="16">
        <f t="shared" si="61"/>
        <v>0</v>
      </c>
      <c r="AY61" s="16">
        <f t="shared" si="77"/>
        <v>0</v>
      </c>
      <c r="AZ61" s="13">
        <f t="shared" si="78"/>
        <v>0.58050700878755013</v>
      </c>
      <c r="BA61" s="10">
        <f t="shared" si="79"/>
        <v>33488784.560009044</v>
      </c>
      <c r="BB61" s="9">
        <f t="shared" si="80"/>
        <v>0.12171436657415843</v>
      </c>
      <c r="BC61" s="13">
        <f t="shared" si="81"/>
        <v>0.53624533804433372</v>
      </c>
      <c r="BD61" s="10">
        <f t="shared" si="82"/>
        <v>60457999.917048097</v>
      </c>
      <c r="BE61" s="13">
        <f t="shared" si="83"/>
        <v>7.2747284165685794E-2</v>
      </c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</row>
    <row r="62" spans="2:70" x14ac:dyDescent="0.3">
      <c r="B62" s="96" t="str">
        <f t="shared" si="62"/>
        <v>WALMARTPRIVATE LABEL</v>
      </c>
      <c r="C62" s="96" t="str">
        <f t="shared" si="63"/>
        <v>WALMARTPRIVATE LABELMAYO</v>
      </c>
      <c r="D62" s="96" t="str">
        <f t="shared" si="64"/>
        <v>WALMARTPRIVATE LABELMAYOJAR 48OZ</v>
      </c>
      <c r="E62" s="3" t="s">
        <v>135</v>
      </c>
      <c r="F62" s="3" t="s">
        <v>110</v>
      </c>
      <c r="G62" s="3" t="s">
        <v>113</v>
      </c>
      <c r="H62" s="3" t="s">
        <v>121</v>
      </c>
      <c r="I62" s="20">
        <f>IFERROR(INDEX('Input - Walmart'!G$2:G$200,MATCH('Calculations - Walmart'!$D62,'Input - Walmart'!$B$2:$B$200,0)),"")</f>
        <v>16698636.1765</v>
      </c>
      <c r="J62" s="20">
        <f>IFERROR(INDEX('Input - Walmart'!H$2:H$200,MATCH('Calculations - Walmart'!$D62,'Input - Walmart'!$B$2:$B$200,0)),"")</f>
        <v>10116335.8686</v>
      </c>
      <c r="K62" s="21">
        <f>IFERROR(INDEX('Input - Walmart'!I$2:I$200,MATCH('Calculations - Walmart'!$D62,'Input - Walmart'!$B$2:$B$200,0)),"")</f>
        <v>2.28824962936288</v>
      </c>
      <c r="L62" s="21">
        <f>IFERROR(INDEX('Input - Walmart'!J$2:J$200,MATCH('Calculations - Walmart'!$D62,'Input - Walmart'!$B$2:$B$200,0)),"")</f>
        <v>3.77712331204259</v>
      </c>
      <c r="M62" s="20">
        <f>IFERROR(INDEX('Input - Walmart'!K$2:K$200,MATCH('Calculations - Walmart'!$D62,'Input - Walmart'!$B$2:$B$200,0)),"")</f>
        <v>40864014.337750003</v>
      </c>
      <c r="N62" s="20">
        <f>IFERROR(INDEX('Input - Walmart'!L$2:L$200,MATCH('Calculations - Walmart'!$D62,'Input - Walmart'!$B$2:$B$200,0)),"")</f>
        <v>26855528.020119999</v>
      </c>
      <c r="O62" s="21">
        <f t="shared" si="65"/>
        <v>1.650660515170393</v>
      </c>
      <c r="P62" s="21">
        <f t="shared" si="47"/>
        <v>1.5216239392923101</v>
      </c>
      <c r="Q62" s="21">
        <f t="shared" si="66"/>
        <v>-3.8812353491402272</v>
      </c>
      <c r="R62" s="9">
        <f t="shared" si="48"/>
        <v>2.0092964252505802E-2</v>
      </c>
      <c r="S62" s="9">
        <f t="shared" si="49"/>
        <v>3.6880175492329512E-2</v>
      </c>
      <c r="T62" s="22">
        <f>IFERROR(INDEX(Walmart!$S$11:$S$192,MATCH('Calculations - Walmart'!$D62,Walmart!$N$11:$N$192,0)),"")</f>
        <v>0</v>
      </c>
      <c r="U62" s="22">
        <f>IFERROR(INDEX(Walmart!$T$11:$T$192,MATCH('Calculations - Walmart'!$D62,Walmart!$N$11:$N$192,0)),"")</f>
        <v>0</v>
      </c>
      <c r="V62" s="16">
        <f t="shared" si="50"/>
        <v>0</v>
      </c>
      <c r="W62" s="16">
        <f t="shared" si="67"/>
        <v>0</v>
      </c>
      <c r="X62" s="16">
        <f t="shared" si="68"/>
        <v>0</v>
      </c>
      <c r="Y62" s="10">
        <f t="shared" si="51"/>
        <v>0</v>
      </c>
      <c r="Z62" s="10">
        <f t="shared" si="52"/>
        <v>27454642.109120842</v>
      </c>
      <c r="AA62" s="13">
        <f t="shared" si="69"/>
        <v>2.0567860795439621E-2</v>
      </c>
      <c r="AB62" s="9">
        <f t="shared" si="53"/>
        <v>4.7489654293381839E-4</v>
      </c>
      <c r="AC62" s="16">
        <f t="shared" si="70"/>
        <v>17093307.888063937</v>
      </c>
      <c r="AD62" s="16">
        <f t="shared" si="54"/>
        <v>10355435.130947834</v>
      </c>
      <c r="AE62" s="16">
        <f t="shared" si="55"/>
        <v>0</v>
      </c>
      <c r="AF62" s="16">
        <f t="shared" si="71"/>
        <v>0</v>
      </c>
      <c r="AG62" s="16"/>
      <c r="AH62" s="32">
        <f>IFERROR(INDEX(Walmart!$R$11:$R$192,MATCH('Calculations - Walmart'!D62,Walmart!$N$11:$N$192,0)),"")</f>
        <v>1.650660515170393</v>
      </c>
      <c r="AI62" s="23">
        <f t="shared" si="72"/>
        <v>0</v>
      </c>
      <c r="AJ62" s="23">
        <f t="shared" si="73"/>
        <v>0</v>
      </c>
      <c r="AK62" s="9">
        <f t="shared" si="56"/>
        <v>0</v>
      </c>
      <c r="AL62" s="4">
        <f t="shared" si="57"/>
        <v>10116335.8686</v>
      </c>
      <c r="AM62" s="4"/>
      <c r="AN62" s="4"/>
      <c r="AO62" s="4"/>
      <c r="AP62" s="4"/>
      <c r="AQ62" s="4"/>
      <c r="AR62" s="20">
        <f t="shared" si="58"/>
        <v>27454642.109120842</v>
      </c>
      <c r="AS62" s="13">
        <f t="shared" si="74"/>
        <v>2.0567860795439621E-2</v>
      </c>
      <c r="AT62" s="13">
        <f t="shared" si="75"/>
        <v>2.0567860795439624E-2</v>
      </c>
      <c r="AU62" s="13">
        <f t="shared" si="59"/>
        <v>4.7489654293382186E-4</v>
      </c>
      <c r="AV62" s="16">
        <f t="shared" si="76"/>
        <v>17093307.888063937</v>
      </c>
      <c r="AW62" s="16">
        <f t="shared" si="60"/>
        <v>10355435.130947834</v>
      </c>
      <c r="AX62" s="16">
        <f t="shared" si="61"/>
        <v>0</v>
      </c>
      <c r="AY62" s="16">
        <f t="shared" si="77"/>
        <v>0</v>
      </c>
      <c r="AZ62" s="13">
        <f t="shared" si="78"/>
        <v>0.17969177165896419</v>
      </c>
      <c r="BA62" s="10">
        <f t="shared" si="79"/>
        <v>10366212.530081082</v>
      </c>
      <c r="BB62" s="9">
        <f t="shared" si="80"/>
        <v>3.7675807242601896E-2</v>
      </c>
      <c r="BC62" s="13">
        <f t="shared" si="81"/>
        <v>0.15161280027965349</v>
      </c>
      <c r="BD62" s="10">
        <f t="shared" si="82"/>
        <v>17093307.888063934</v>
      </c>
      <c r="BE62" s="13">
        <f t="shared" si="83"/>
        <v>2.0567860795439621E-2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</row>
    <row r="63" spans="2:70" x14ac:dyDescent="0.3">
      <c r="B63" s="96" t="str">
        <f t="shared" si="62"/>
        <v>WALMARTPRIVATE LABEL</v>
      </c>
      <c r="C63" s="96" t="str">
        <f t="shared" si="63"/>
        <v>WALMARTPRIVATE LABELMAYO</v>
      </c>
      <c r="D63" s="96" t="str">
        <f t="shared" si="64"/>
        <v>WALMARTPRIVATE LABELMAYOSQUEEZY 18 TO 22OZ</v>
      </c>
      <c r="E63" s="3" t="s">
        <v>135</v>
      </c>
      <c r="F63" s="3" t="s">
        <v>110</v>
      </c>
      <c r="G63" s="3" t="s">
        <v>113</v>
      </c>
      <c r="H63" s="3" t="s">
        <v>120</v>
      </c>
      <c r="I63" s="20">
        <f>IFERROR(INDEX('Input - Walmart'!G$2:G$200,MATCH('Calculations - Walmart'!$D63,'Input - Walmart'!$B$2:$B$200,0)),"")</f>
        <v>17224180.5482</v>
      </c>
      <c r="J63" s="20">
        <f>IFERROR(INDEX('Input - Walmart'!H$2:H$200,MATCH('Calculations - Walmart'!$D63,'Input - Walmart'!$B$2:$B$200,0)),"")</f>
        <v>5822157.2758200001</v>
      </c>
      <c r="K63" s="21">
        <f>IFERROR(INDEX('Input - Walmart'!I$2:I$200,MATCH('Calculations - Walmart'!$D63,'Input - Walmart'!$B$2:$B$200,0)),"")</f>
        <v>2.1259138039772201</v>
      </c>
      <c r="L63" s="21">
        <f>IFERROR(INDEX('Input - Walmart'!J$2:J$200,MATCH('Calculations - Walmart'!$D63,'Input - Walmart'!$B$2:$B$200,0)),"")</f>
        <v>6.2892707041235303</v>
      </c>
      <c r="M63" s="20">
        <f>IFERROR(INDEX('Input - Walmart'!K$2:K$200,MATCH('Calculations - Walmart'!$D63,'Input - Walmart'!$B$2:$B$200,0)),"")</f>
        <v>49199672.254809998</v>
      </c>
      <c r="N63" s="20">
        <f>IFERROR(INDEX('Input - Walmart'!L$2:L$200,MATCH('Calculations - Walmart'!$D63,'Input - Walmart'!$B$2:$B$200,0)),"")</f>
        <v>19645169.164840002</v>
      </c>
      <c r="O63" s="21">
        <f t="shared" si="65"/>
        <v>2.9583846214072129</v>
      </c>
      <c r="P63" s="21">
        <f t="shared" si="47"/>
        <v>2.5044158104204697</v>
      </c>
      <c r="Q63" s="21">
        <f t="shared" si="66"/>
        <v>-4.4408372846462942</v>
      </c>
      <c r="R63" s="9">
        <f t="shared" si="48"/>
        <v>2.0725335912206638E-2</v>
      </c>
      <c r="S63" s="9">
        <f t="shared" si="49"/>
        <v>2.122529193031826E-2</v>
      </c>
      <c r="T63" s="22">
        <f>IFERROR(INDEX(Walmart!$S$11:$S$192,MATCH('Calculations - Walmart'!$D63,Walmart!$N$11:$N$192,0)),"")</f>
        <v>0</v>
      </c>
      <c r="U63" s="22">
        <f>IFERROR(INDEX(Walmart!$T$11:$T$192,MATCH('Calculations - Walmart'!$D63,Walmart!$N$11:$N$192,0)),"")</f>
        <v>0</v>
      </c>
      <c r="V63" s="16">
        <f t="shared" si="50"/>
        <v>0</v>
      </c>
      <c r="W63" s="16">
        <f t="shared" si="67"/>
        <v>0</v>
      </c>
      <c r="X63" s="16">
        <f t="shared" si="68"/>
        <v>0</v>
      </c>
      <c r="Y63" s="10">
        <f t="shared" si="51"/>
        <v>0</v>
      </c>
      <c r="Z63" s="10">
        <f t="shared" si="52"/>
        <v>26920651.868907195</v>
      </c>
      <c r="AA63" s="13">
        <f t="shared" si="69"/>
        <v>2.0167817812428421E-2</v>
      </c>
      <c r="AB63" s="9">
        <f t="shared" si="53"/>
        <v>-5.5751809977821684E-4</v>
      </c>
      <c r="AC63" s="16">
        <f t="shared" si="70"/>
        <v>16760844.636533853</v>
      </c>
      <c r="AD63" s="16">
        <f t="shared" si="54"/>
        <v>5665539.4012159351</v>
      </c>
      <c r="AE63" s="16">
        <f t="shared" si="55"/>
        <v>0</v>
      </c>
      <c r="AF63" s="16">
        <f t="shared" si="71"/>
        <v>0</v>
      </c>
      <c r="AG63" s="16"/>
      <c r="AH63" s="32">
        <f>IFERROR(INDEX(Walmart!$R$11:$R$192,MATCH('Calculations - Walmart'!D63,Walmart!$N$11:$N$192,0)),"")</f>
        <v>2.9583846214072129</v>
      </c>
      <c r="AI63" s="23">
        <f t="shared" si="72"/>
        <v>0</v>
      </c>
      <c r="AJ63" s="23">
        <f t="shared" si="73"/>
        <v>0</v>
      </c>
      <c r="AK63" s="9">
        <f t="shared" si="56"/>
        <v>0</v>
      </c>
      <c r="AL63" s="4">
        <f t="shared" si="57"/>
        <v>5822157.2758200001</v>
      </c>
      <c r="AM63" s="4"/>
      <c r="AN63" s="4"/>
      <c r="AO63" s="4"/>
      <c r="AP63" s="4"/>
      <c r="AQ63" s="4"/>
      <c r="AR63" s="20">
        <f t="shared" si="58"/>
        <v>26920651.868907195</v>
      </c>
      <c r="AS63" s="13">
        <f t="shared" si="74"/>
        <v>2.0167817812428421E-2</v>
      </c>
      <c r="AT63" s="13">
        <f t="shared" si="75"/>
        <v>2.0167817812428424E-2</v>
      </c>
      <c r="AU63" s="13">
        <f t="shared" si="59"/>
        <v>-5.5751809977821337E-4</v>
      </c>
      <c r="AV63" s="16">
        <f t="shared" si="76"/>
        <v>16760844.636533856</v>
      </c>
      <c r="AW63" s="16">
        <f t="shared" si="60"/>
        <v>5665539.401215937</v>
      </c>
      <c r="AX63" s="16">
        <f t="shared" si="61"/>
        <v>0</v>
      </c>
      <c r="AY63" s="16">
        <f t="shared" si="77"/>
        <v>0</v>
      </c>
      <c r="AZ63" s="13">
        <f t="shared" si="78"/>
        <v>9.8310771062208036E-2</v>
      </c>
      <c r="BA63" s="10">
        <f t="shared" si="79"/>
        <v>5671435.8004169287</v>
      </c>
      <c r="BB63" s="9">
        <f t="shared" si="80"/>
        <v>2.0612728263601256E-2</v>
      </c>
      <c r="BC63" s="13">
        <f t="shared" si="81"/>
        <v>0.14866394538950362</v>
      </c>
      <c r="BD63" s="10">
        <f t="shared" si="82"/>
        <v>16760844.636533851</v>
      </c>
      <c r="BE63" s="13">
        <f t="shared" si="83"/>
        <v>2.0167817812428421E-2</v>
      </c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</row>
    <row r="64" spans="2:70" x14ac:dyDescent="0.3">
      <c r="B64" s="96" t="str">
        <f t="shared" si="62"/>
        <v>WALMARTPRIVATE LABEL</v>
      </c>
      <c r="C64" s="96" t="str">
        <f t="shared" si="63"/>
        <v>WALMARTPRIVATE LABELMAYO</v>
      </c>
      <c r="D64" s="96" t="str">
        <f t="shared" si="64"/>
        <v>WALMARTPRIVATE LABELMAYOOTHER</v>
      </c>
      <c r="E64" s="3" t="s">
        <v>135</v>
      </c>
      <c r="F64" s="3" t="s">
        <v>110</v>
      </c>
      <c r="G64" s="3" t="s">
        <v>113</v>
      </c>
      <c r="H64" s="3" t="s">
        <v>115</v>
      </c>
      <c r="I64" s="20">
        <f>IFERROR(INDEX('Input - Walmart'!G$2:G$200,MATCH('Calculations - Walmart'!$D64,'Input - Walmart'!$B$2:$B$200,0)),"")</f>
        <v>10.97</v>
      </c>
      <c r="J64" s="20">
        <f>IFERROR(INDEX('Input - Walmart'!H$2:H$200,MATCH('Calculations - Walmart'!$D64,'Input - Walmart'!$B$2:$B$200,0)),"")</f>
        <v>8</v>
      </c>
      <c r="K64" s="21">
        <f>IFERROR(INDEX('Input - Walmart'!I$2:I$200,MATCH('Calculations - Walmart'!$D64,'Input - Walmart'!$B$2:$B$200,0)),"")</f>
        <v>5.3748632065205504</v>
      </c>
      <c r="L64" s="21">
        <f>IFERROR(INDEX('Input - Walmart'!J$2:J$200,MATCH('Calculations - Walmart'!$D64,'Input - Walmart'!$B$2:$B$200,0)),"")</f>
        <v>7.3702811719413104</v>
      </c>
      <c r="M64" s="20">
        <f>IFERROR(INDEX('Input - Walmart'!K$2:K$200,MATCH('Calculations - Walmart'!$D64,'Input - Walmart'!$B$2:$B$200,0)),"")</f>
        <v>193957.37385951</v>
      </c>
      <c r="N64" s="20">
        <f>IFERROR(INDEX('Input - Walmart'!L$2:L$200,MATCH('Calculations - Walmart'!$D64,'Input - Walmart'!$B$2:$B$200,0)),"")</f>
        <v>186297.70621932001</v>
      </c>
      <c r="O64" s="21">
        <f t="shared" si="65"/>
        <v>1.3712500000000001</v>
      </c>
      <c r="P64" s="21">
        <f t="shared" si="47"/>
        <v>1.0411152010168745</v>
      </c>
      <c r="Q64" s="21">
        <f t="shared" si="66"/>
        <v>-1.1428928777813452</v>
      </c>
      <c r="R64" s="9">
        <f t="shared" ref="R64:R127" si="84">I64/SUM(I$32:I$229)</f>
        <v>1.3199869469590912E-8</v>
      </c>
      <c r="S64" s="9">
        <f t="shared" ref="S64:S127" si="85">J64/SUM(J$32:J$229)</f>
        <v>2.916484859448097E-8</v>
      </c>
      <c r="T64" s="22">
        <f>IFERROR(INDEX(Walmart!$S$11:$S$192,MATCH('Calculations - Walmart'!$D64,Walmart!$N$11:$N$192,0)),"")</f>
        <v>0</v>
      </c>
      <c r="U64" s="22">
        <f>IFERROR(INDEX(Walmart!$T$11:$T$192,MATCH('Calculations - Walmart'!$D64,Walmart!$N$11:$N$192,0)),"")</f>
        <v>0</v>
      </c>
      <c r="V64" s="16">
        <f t="shared" si="50"/>
        <v>0</v>
      </c>
      <c r="W64" s="16">
        <f t="shared" si="67"/>
        <v>0</v>
      </c>
      <c r="X64" s="16">
        <f t="shared" si="68"/>
        <v>0</v>
      </c>
      <c r="Y64" s="10">
        <f t="shared" si="51"/>
        <v>0</v>
      </c>
      <c r="Z64" s="10">
        <f t="shared" si="52"/>
        <v>34.966124687765245</v>
      </c>
      <c r="AA64" s="13">
        <f t="shared" si="69"/>
        <v>2.6195146972796215E-8</v>
      </c>
      <c r="AB64" s="9">
        <f t="shared" si="53"/>
        <v>1.2995277503205302E-8</v>
      </c>
      <c r="AC64" s="16">
        <f t="shared" si="70"/>
        <v>21.769969995050285</v>
      </c>
      <c r="AD64" s="16">
        <f t="shared" si="54"/>
        <v>15.876003642698475</v>
      </c>
      <c r="AE64" s="16">
        <f t="shared" si="55"/>
        <v>0</v>
      </c>
      <c r="AF64" s="16">
        <f t="shared" si="71"/>
        <v>0</v>
      </c>
      <c r="AG64" s="16"/>
      <c r="AH64" s="32">
        <f>IFERROR(INDEX(Walmart!$R$11:$R$192,MATCH('Calculations - Walmart'!D64,Walmart!$N$11:$N$192,0)),"")</f>
        <v>1.3712500000000001</v>
      </c>
      <c r="AI64" s="23">
        <f t="shared" si="72"/>
        <v>0</v>
      </c>
      <c r="AJ64" s="23">
        <f t="shared" si="73"/>
        <v>0</v>
      </c>
      <c r="AK64" s="9">
        <f t="shared" si="56"/>
        <v>0</v>
      </c>
      <c r="AL64" s="4">
        <f t="shared" si="57"/>
        <v>8</v>
      </c>
      <c r="AM64" s="4"/>
      <c r="AN64" s="4"/>
      <c r="AO64" s="4"/>
      <c r="AP64" s="4"/>
      <c r="AQ64" s="4"/>
      <c r="AR64" s="20">
        <f t="shared" si="58"/>
        <v>34.966124687765245</v>
      </c>
      <c r="AS64" s="13">
        <f t="shared" si="74"/>
        <v>2.6195146972796215E-8</v>
      </c>
      <c r="AT64" s="13">
        <f t="shared" si="75"/>
        <v>2.6195146972796221E-8</v>
      </c>
      <c r="AU64" s="13">
        <f t="shared" si="59"/>
        <v>1.2995277503205309E-8</v>
      </c>
      <c r="AV64" s="16">
        <f t="shared" si="76"/>
        <v>21.769969995050293</v>
      </c>
      <c r="AW64" s="16">
        <f t="shared" si="60"/>
        <v>15.87600364269848</v>
      </c>
      <c r="AX64" s="16">
        <f t="shared" si="61"/>
        <v>0</v>
      </c>
      <c r="AY64" s="16">
        <f t="shared" si="77"/>
        <v>0</v>
      </c>
      <c r="AZ64" s="13">
        <f t="shared" si="78"/>
        <v>2.7548694819157665E-7</v>
      </c>
      <c r="BA64" s="10">
        <f t="shared" si="79"/>
        <v>15.892526562859208</v>
      </c>
      <c r="BB64" s="9">
        <f t="shared" si="80"/>
        <v>5.7761093132395051E-8</v>
      </c>
      <c r="BC64" s="13">
        <f t="shared" si="81"/>
        <v>1.9309346877548402E-7</v>
      </c>
      <c r="BD64" s="10">
        <f t="shared" si="82"/>
        <v>21.769969995050285</v>
      </c>
      <c r="BE64" s="13">
        <f t="shared" si="83"/>
        <v>2.6195146972796218E-8</v>
      </c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</row>
    <row r="65" spans="2:70" x14ac:dyDescent="0.3">
      <c r="B65" s="96" t="str">
        <f t="shared" si="62"/>
        <v>WALMARTRESTOFCATEGORY</v>
      </c>
      <c r="C65" s="96" t="str">
        <f t="shared" si="63"/>
        <v>WALMARTRESTOFCATEGORYRESTOFCATEGORY</v>
      </c>
      <c r="D65" s="96" t="str">
        <f t="shared" si="64"/>
        <v>WALMARTRESTOFCATEGORYRESTOFCATEGORYJAR 8OZ</v>
      </c>
      <c r="E65" s="3" t="s">
        <v>135</v>
      </c>
      <c r="F65" s="3" t="s">
        <v>111</v>
      </c>
      <c r="G65" s="3" t="s">
        <v>111</v>
      </c>
      <c r="H65" s="3" t="s">
        <v>119</v>
      </c>
      <c r="I65" s="20">
        <f>IFERROR(INDEX('Input - Walmart'!G$2:G$200,MATCH('Calculations - Walmart'!$D65,'Input - Walmart'!$B$2:$B$200,0)),"")</f>
        <v>13304.33</v>
      </c>
      <c r="J65" s="20">
        <f>IFERROR(INDEX('Input - Walmart'!H$2:H$200,MATCH('Calculations - Walmart'!$D65,'Input - Walmart'!$B$2:$B$200,0)),"")</f>
        <v>2526.875</v>
      </c>
      <c r="K65" s="21">
        <f>IFERROR(INDEX('Input - Walmart'!I$2:I$200,MATCH('Calculations - Walmart'!$D65,'Input - Walmart'!$B$2:$B$200,0)),"")</f>
        <v>1.8937348931682401</v>
      </c>
      <c r="L65" s="21">
        <f>IFERROR(INDEX('Input - Walmart'!J$2:J$200,MATCH('Calculations - Walmart'!$D65,'Input - Walmart'!$B$2:$B$200,0)),"")</f>
        <v>9.9707638688993203</v>
      </c>
      <c r="M65" s="20">
        <f>IFERROR(INDEX('Input - Walmart'!K$2:K$200,MATCH('Calculations - Walmart'!$D65,'Input - Walmart'!$B$2:$B$200,0)),"")</f>
        <v>79060.956261300002</v>
      </c>
      <c r="N65" s="20">
        <f>IFERROR(INDEX('Input - Walmart'!L$2:L$200,MATCH('Calculations - Walmart'!$D65,'Input - Walmart'!$B$2:$B$200,0)),"")</f>
        <v>18050.193205920001</v>
      </c>
      <c r="O65" s="21">
        <f t="shared" si="65"/>
        <v>5.2651318327974277</v>
      </c>
      <c r="P65" s="21">
        <f t="shared" si="47"/>
        <v>4.3800614962597759</v>
      </c>
      <c r="Q65" s="21">
        <f t="shared" si="66"/>
        <v>-5.5945001568365518</v>
      </c>
      <c r="R65" s="9">
        <f t="shared" si="84"/>
        <v>1.6008698211518909E-5</v>
      </c>
      <c r="S65" s="9">
        <f t="shared" si="85"/>
        <v>9.2119908490223873E-6</v>
      </c>
      <c r="T65" s="22">
        <f>IFERROR(INDEX(Walmart!$S$11:$S$192,MATCH('Calculations - Walmart'!$D65,Walmart!$N$11:$N$192,0)),"")</f>
        <v>0</v>
      </c>
      <c r="U65" s="22">
        <f>IFERROR(INDEX(Walmart!$T$11:$T$192,MATCH('Calculations - Walmart'!$D65,Walmart!$N$11:$N$192,0)),"")</f>
        <v>0</v>
      </c>
      <c r="V65" s="16">
        <f t="shared" si="50"/>
        <v>0</v>
      </c>
      <c r="W65" s="16">
        <f t="shared" si="67"/>
        <v>0</v>
      </c>
      <c r="X65" s="16">
        <f t="shared" si="68"/>
        <v>0</v>
      </c>
      <c r="Y65" s="10">
        <f t="shared" si="51"/>
        <v>0</v>
      </c>
      <c r="Z65" s="10">
        <f t="shared" si="52"/>
        <v>19249.601975612484</v>
      </c>
      <c r="AA65" s="13">
        <f t="shared" si="69"/>
        <v>1.4420990527881823E-5</v>
      </c>
      <c r="AB65" s="9">
        <f t="shared" si="53"/>
        <v>-1.5877076836370858E-6</v>
      </c>
      <c r="AC65" s="16">
        <f t="shared" si="70"/>
        <v>11984.835642148699</v>
      </c>
      <c r="AD65" s="16">
        <f t="shared" si="54"/>
        <v>2276.2650628219903</v>
      </c>
      <c r="AE65" s="16">
        <f t="shared" si="55"/>
        <v>0</v>
      </c>
      <c r="AF65" s="16">
        <f t="shared" si="71"/>
        <v>0</v>
      </c>
      <c r="AG65" s="16"/>
      <c r="AH65" s="32">
        <f>IFERROR(INDEX(Walmart!$R$11:$R$192,MATCH('Calculations - Walmart'!D65,Walmart!$N$11:$N$192,0)),"")</f>
        <v>5.2651318327974277</v>
      </c>
      <c r="AI65" s="23">
        <f t="shared" si="72"/>
        <v>0</v>
      </c>
      <c r="AJ65" s="23">
        <f t="shared" si="73"/>
        <v>0</v>
      </c>
      <c r="AK65" s="9">
        <f t="shared" si="56"/>
        <v>0</v>
      </c>
      <c r="AL65" s="4">
        <f t="shared" si="57"/>
        <v>2526.875</v>
      </c>
      <c r="AM65" s="4"/>
      <c r="AN65" s="4"/>
      <c r="AO65" s="4"/>
      <c r="AP65" s="4"/>
      <c r="AQ65" s="4"/>
      <c r="AR65" s="20">
        <f t="shared" si="58"/>
        <v>19249.601975612484</v>
      </c>
      <c r="AS65" s="13">
        <f t="shared" si="74"/>
        <v>1.4420990527881823E-5</v>
      </c>
      <c r="AT65" s="13">
        <f t="shared" si="75"/>
        <v>1.4420990527881826E-5</v>
      </c>
      <c r="AU65" s="13">
        <f t="shared" si="59"/>
        <v>-1.5877076836370824E-6</v>
      </c>
      <c r="AV65" s="16">
        <f t="shared" si="76"/>
        <v>11984.835642148702</v>
      </c>
      <c r="AW65" s="16">
        <f t="shared" si="60"/>
        <v>2276.2650628219913</v>
      </c>
      <c r="AX65" s="16">
        <f t="shared" si="61"/>
        <v>0</v>
      </c>
      <c r="AY65" s="16">
        <f t="shared" si="77"/>
        <v>0</v>
      </c>
      <c r="AZ65" s="13">
        <f t="shared" si="78"/>
        <v>1.1022752583772297E-4</v>
      </c>
      <c r="BA65" s="10">
        <f t="shared" si="79"/>
        <v>2213.7967607738351</v>
      </c>
      <c r="BB65" s="9">
        <f t="shared" si="80"/>
        <v>8.0460032814472004E-6</v>
      </c>
      <c r="BC65" s="13">
        <f t="shared" si="81"/>
        <v>1.8291952415512951E-4</v>
      </c>
      <c r="BD65" s="10">
        <f t="shared" si="82"/>
        <v>11984.835642148697</v>
      </c>
      <c r="BE65" s="13">
        <f t="shared" si="83"/>
        <v>1.4420990527881823E-5</v>
      </c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</row>
    <row r="66" spans="2:70" x14ac:dyDescent="0.3">
      <c r="B66" s="96" t="str">
        <f t="shared" si="62"/>
        <v>WALMARTRESTOFCATEGORY</v>
      </c>
      <c r="C66" s="96" t="str">
        <f t="shared" si="63"/>
        <v>WALMARTRESTOFCATEGORYRESTOFCATEGORY</v>
      </c>
      <c r="D66" s="96" t="str">
        <f t="shared" si="64"/>
        <v>WALMARTRESTOFCATEGORYRESTOFCATEGORYJAR 15OZ</v>
      </c>
      <c r="E66" s="3" t="s">
        <v>135</v>
      </c>
      <c r="F66" s="3" t="s">
        <v>111</v>
      </c>
      <c r="G66" s="3" t="s">
        <v>111</v>
      </c>
      <c r="H66" s="3" t="s">
        <v>116</v>
      </c>
      <c r="I66" s="20">
        <f>IFERROR(INDEX('Input - Walmart'!G$2:G$200,MATCH('Calculations - Walmart'!$D66,'Input - Walmart'!$B$2:$B$200,0)),"")</f>
        <v>7208470.3671500003</v>
      </c>
      <c r="J66" s="20">
        <f>IFERROR(INDEX('Input - Walmart'!H$2:H$200,MATCH('Calculations - Walmart'!$D66,'Input - Walmart'!$B$2:$B$200,0)),"")</f>
        <v>1919205.6670580001</v>
      </c>
      <c r="K66" s="21">
        <f>IFERROR(INDEX('Input - Walmart'!I$2:I$200,MATCH('Calculations - Walmart'!$D66,'Input - Walmart'!$B$2:$B$200,0)),"")</f>
        <v>2.1242629169624201</v>
      </c>
      <c r="L66" s="21">
        <f>IFERROR(INDEX('Input - Walmart'!J$2:J$200,MATCH('Calculations - Walmart'!$D66,'Input - Walmart'!$B$2:$B$200,0)),"")</f>
        <v>7.9786583333887702</v>
      </c>
      <c r="M66" s="20">
        <f>IFERROR(INDEX('Input - Walmart'!K$2:K$200,MATCH('Calculations - Walmart'!$D66,'Input - Walmart'!$B$2:$B$200,0)),"")</f>
        <v>26869254.390445899</v>
      </c>
      <c r="N66" s="20">
        <f>IFERROR(INDEX('Input - Walmart'!L$2:L$200,MATCH('Calculations - Walmart'!$D66,'Input - Walmart'!$B$2:$B$200,0)),"")</f>
        <v>8242633.7606370999</v>
      </c>
      <c r="O66" s="21">
        <f t="shared" si="65"/>
        <v>3.7559655491222315</v>
      </c>
      <c r="P66" s="21">
        <f t="shared" si="47"/>
        <v>3.2597899131174168</v>
      </c>
      <c r="Q66" s="21">
        <f t="shared" si="66"/>
        <v>-4.4473582865377983</v>
      </c>
      <c r="R66" s="9">
        <f t="shared" si="84"/>
        <v>8.6737345416402992E-3</v>
      </c>
      <c r="S66" s="9">
        <f t="shared" si="85"/>
        <v>6.9966678376770534E-3</v>
      </c>
      <c r="T66" s="22">
        <f>IFERROR(INDEX(Walmart!$S$11:$S$192,MATCH('Calculations - Walmart'!$D66,Walmart!$N$11:$N$192,0)),"")</f>
        <v>0</v>
      </c>
      <c r="U66" s="22">
        <f>IFERROR(INDEX(Walmart!$T$11:$T$192,MATCH('Calculations - Walmart'!$D66,Walmart!$N$11:$N$192,0)),"")</f>
        <v>0</v>
      </c>
      <c r="V66" s="16">
        <f t="shared" si="50"/>
        <v>0</v>
      </c>
      <c r="W66" s="16">
        <f t="shared" si="67"/>
        <v>0</v>
      </c>
      <c r="X66" s="16">
        <f t="shared" si="68"/>
        <v>0</v>
      </c>
      <c r="Y66" s="10">
        <f t="shared" si="51"/>
        <v>0</v>
      </c>
      <c r="Z66" s="10">
        <f t="shared" si="52"/>
        <v>11260578.328054633</v>
      </c>
      <c r="AA66" s="13">
        <f t="shared" si="69"/>
        <v>8.435950707608348E-3</v>
      </c>
      <c r="AB66" s="9">
        <f t="shared" si="53"/>
        <v>-2.3778383403195123E-4</v>
      </c>
      <c r="AC66" s="16">
        <f t="shared" si="70"/>
        <v>7010855.6357816495</v>
      </c>
      <c r="AD66" s="16">
        <f t="shared" si="54"/>
        <v>1866592.1037055533</v>
      </c>
      <c r="AE66" s="16">
        <f t="shared" si="55"/>
        <v>0</v>
      </c>
      <c r="AF66" s="16">
        <f t="shared" si="71"/>
        <v>0</v>
      </c>
      <c r="AG66" s="16"/>
      <c r="AH66" s="32">
        <f>IFERROR(INDEX(Walmart!$R$11:$R$192,MATCH('Calculations - Walmart'!D66,Walmart!$N$11:$N$192,0)),"")</f>
        <v>3.7559655491222315</v>
      </c>
      <c r="AI66" s="23">
        <f t="shared" si="72"/>
        <v>0</v>
      </c>
      <c r="AJ66" s="23">
        <f t="shared" si="73"/>
        <v>0</v>
      </c>
      <c r="AK66" s="9">
        <f t="shared" si="56"/>
        <v>0</v>
      </c>
      <c r="AL66" s="4">
        <f t="shared" si="57"/>
        <v>1919205.6670580001</v>
      </c>
      <c r="AM66" s="4"/>
      <c r="AN66" s="4"/>
      <c r="AO66" s="4"/>
      <c r="AP66" s="4"/>
      <c r="AQ66" s="4"/>
      <c r="AR66" s="20">
        <f t="shared" si="58"/>
        <v>11260578.328054633</v>
      </c>
      <c r="AS66" s="13">
        <f t="shared" si="74"/>
        <v>8.435950707608348E-3</v>
      </c>
      <c r="AT66" s="13">
        <f t="shared" si="75"/>
        <v>8.4359507076083497E-3</v>
      </c>
      <c r="AU66" s="13">
        <f t="shared" si="59"/>
        <v>-2.377838340319495E-4</v>
      </c>
      <c r="AV66" s="16">
        <f t="shared" si="76"/>
        <v>7010855.6357816514</v>
      </c>
      <c r="AW66" s="16">
        <f t="shared" si="60"/>
        <v>1866592.1037055538</v>
      </c>
      <c r="AX66" s="16">
        <f t="shared" si="61"/>
        <v>0</v>
      </c>
      <c r="AY66" s="16">
        <f t="shared" si="77"/>
        <v>0</v>
      </c>
      <c r="AZ66" s="13">
        <f t="shared" si="78"/>
        <v>9.0389222547138687E-2</v>
      </c>
      <c r="BA66" s="10">
        <f t="shared" si="79"/>
        <v>1815366.5934433946</v>
      </c>
      <c r="BB66" s="9">
        <f t="shared" si="80"/>
        <v>6.5979162255027785E-3</v>
      </c>
      <c r="BC66" s="13">
        <f t="shared" si="81"/>
        <v>0.10700375166659928</v>
      </c>
      <c r="BD66" s="10">
        <f t="shared" si="82"/>
        <v>7010855.6357816486</v>
      </c>
      <c r="BE66" s="13">
        <f t="shared" si="83"/>
        <v>8.435950707608348E-3</v>
      </c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</row>
    <row r="67" spans="2:70" x14ac:dyDescent="0.3">
      <c r="B67" s="96" t="str">
        <f t="shared" si="62"/>
        <v>WALMARTRESTOFCATEGORY</v>
      </c>
      <c r="C67" s="96" t="str">
        <f t="shared" si="63"/>
        <v>WALMARTRESTOFCATEGORYRESTOFCATEGORY</v>
      </c>
      <c r="D67" s="96" t="str">
        <f t="shared" si="64"/>
        <v>WALMARTRESTOFCATEGORYRESTOFCATEGORYJAR 30OZ</v>
      </c>
      <c r="E67" s="3" t="s">
        <v>135</v>
      </c>
      <c r="F67" s="3" t="s">
        <v>111</v>
      </c>
      <c r="G67" s="3" t="s">
        <v>111</v>
      </c>
      <c r="H67" s="3" t="s">
        <v>118</v>
      </c>
      <c r="I67" s="20">
        <f>IFERROR(INDEX('Input - Walmart'!G$2:G$200,MATCH('Calculations - Walmart'!$D67,'Input - Walmart'!$B$2:$B$200,0)),"")</f>
        <v>19234050.044190001</v>
      </c>
      <c r="J67" s="20">
        <f>IFERROR(INDEX('Input - Walmart'!H$2:H$200,MATCH('Calculations - Walmart'!$D67,'Input - Walmart'!$B$2:$B$200,0)),"")</f>
        <v>9418377.6393400002</v>
      </c>
      <c r="K67" s="21">
        <f>IFERROR(INDEX('Input - Walmart'!I$2:I$200,MATCH('Calculations - Walmart'!$D67,'Input - Walmart'!$B$2:$B$200,0)),"")</f>
        <v>2.4374388743973299</v>
      </c>
      <c r="L67" s="21">
        <f>IFERROR(INDEX('Input - Walmart'!J$2:J$200,MATCH('Calculations - Walmart'!$D67,'Input - Walmart'!$B$2:$B$200,0)),"")</f>
        <v>4.9776960624290396</v>
      </c>
      <c r="M67" s="20">
        <f>IFERROR(INDEX('Input - Walmart'!K$2:K$200,MATCH('Calculations - Walmart'!$D67,'Input - Walmart'!$B$2:$B$200,0)),"")</f>
        <v>71603266.618430004</v>
      </c>
      <c r="N67" s="20">
        <f>IFERROR(INDEX('Input - Walmart'!L$2:L$200,MATCH('Calculations - Walmart'!$D67,'Input - Walmart'!$B$2:$B$200,0)),"")</f>
        <v>39650895.681390002</v>
      </c>
      <c r="O67" s="21">
        <f t="shared" si="65"/>
        <v>2.0421829300887793</v>
      </c>
      <c r="P67" s="21">
        <f t="shared" si="47"/>
        <v>1.8058423495345333</v>
      </c>
      <c r="Q67" s="21">
        <f t="shared" si="66"/>
        <v>-3.4784087790142211</v>
      </c>
      <c r="R67" s="9">
        <f t="shared" si="84"/>
        <v>2.3143751135358916E-2</v>
      </c>
      <c r="S67" s="9">
        <f t="shared" si="85"/>
        <v>3.4335694732124521E-2</v>
      </c>
      <c r="T67" s="22">
        <f>IFERROR(INDEX(Walmart!$S$11:$S$192,MATCH('Calculations - Walmart'!$D67,Walmart!$N$11:$N$192,0)),"")</f>
        <v>0</v>
      </c>
      <c r="U67" s="22">
        <f>IFERROR(INDEX(Walmart!$T$11:$T$192,MATCH('Calculations - Walmart'!$D67,Walmart!$N$11:$N$192,0)),"")</f>
        <v>0</v>
      </c>
      <c r="V67" s="16">
        <f t="shared" si="50"/>
        <v>0</v>
      </c>
      <c r="W67" s="16">
        <f t="shared" si="67"/>
        <v>0</v>
      </c>
      <c r="X67" s="16">
        <f t="shared" si="68"/>
        <v>0</v>
      </c>
      <c r="Y67" s="10">
        <f t="shared" si="51"/>
        <v>0</v>
      </c>
      <c r="Z67" s="10">
        <f t="shared" si="52"/>
        <v>33057935.667001218</v>
      </c>
      <c r="AA67" s="13">
        <f t="shared" si="69"/>
        <v>2.4765612178845205E-2</v>
      </c>
      <c r="AB67" s="9">
        <f t="shared" si="53"/>
        <v>1.6218610434862897E-3</v>
      </c>
      <c r="AC67" s="16">
        <f t="shared" si="70"/>
        <v>20581928.194654468</v>
      </c>
      <c r="AD67" s="16">
        <f t="shared" si="54"/>
        <v>10078395.9612079</v>
      </c>
      <c r="AE67" s="16">
        <f t="shared" si="55"/>
        <v>0</v>
      </c>
      <c r="AF67" s="16">
        <f t="shared" si="71"/>
        <v>0</v>
      </c>
      <c r="AG67" s="16"/>
      <c r="AH67" s="32">
        <f>IFERROR(INDEX(Walmart!$R$11:$R$192,MATCH('Calculations - Walmart'!D67,Walmart!$N$11:$N$192,0)),"")</f>
        <v>2.0421829300887793</v>
      </c>
      <c r="AI67" s="23">
        <f t="shared" si="72"/>
        <v>0</v>
      </c>
      <c r="AJ67" s="23">
        <f t="shared" si="73"/>
        <v>0</v>
      </c>
      <c r="AK67" s="9">
        <f t="shared" si="56"/>
        <v>0</v>
      </c>
      <c r="AL67" s="4">
        <f t="shared" si="57"/>
        <v>9418377.6393400002</v>
      </c>
      <c r="AM67" s="4"/>
      <c r="AN67" s="4"/>
      <c r="AO67" s="4"/>
      <c r="AP67" s="4"/>
      <c r="AQ67" s="4"/>
      <c r="AR67" s="20">
        <f t="shared" si="58"/>
        <v>33057935.667001218</v>
      </c>
      <c r="AS67" s="13">
        <f t="shared" si="74"/>
        <v>2.4765612178845205E-2</v>
      </c>
      <c r="AT67" s="13">
        <f t="shared" si="75"/>
        <v>2.4765612178845212E-2</v>
      </c>
      <c r="AU67" s="13">
        <f t="shared" si="59"/>
        <v>1.6218610434862966E-3</v>
      </c>
      <c r="AV67" s="16">
        <f t="shared" si="76"/>
        <v>20581928.194654476</v>
      </c>
      <c r="AW67" s="16">
        <f t="shared" si="60"/>
        <v>10078395.961207904</v>
      </c>
      <c r="AX67" s="16">
        <f t="shared" si="61"/>
        <v>0</v>
      </c>
      <c r="AY67" s="16">
        <f t="shared" si="77"/>
        <v>0</v>
      </c>
      <c r="AZ67" s="13">
        <f t="shared" si="78"/>
        <v>0.48804362433942217</v>
      </c>
      <c r="BA67" s="10">
        <f t="shared" si="79"/>
        <v>9801811.176180657</v>
      </c>
      <c r="BB67" s="9">
        <f t="shared" si="80"/>
        <v>3.5624500986309114E-2</v>
      </c>
      <c r="BC67" s="13">
        <f t="shared" si="81"/>
        <v>0.31413334516836655</v>
      </c>
      <c r="BD67" s="10">
        <f t="shared" si="82"/>
        <v>20581928.194654465</v>
      </c>
      <c r="BE67" s="13">
        <f t="shared" si="83"/>
        <v>2.4765612178845205E-2</v>
      </c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</row>
    <row r="68" spans="2:70" x14ac:dyDescent="0.3">
      <c r="B68" s="96" t="str">
        <f t="shared" si="62"/>
        <v>WALMARTRESTOFCATEGORY</v>
      </c>
      <c r="C68" s="96" t="str">
        <f t="shared" si="63"/>
        <v>WALMARTRESTOFCATEGORYRESTOFCATEGORY</v>
      </c>
      <c r="D68" s="96" t="str">
        <f t="shared" si="64"/>
        <v>WALMARTRESTOFCATEGORYRESTOFCATEGORYSQUEEZY 12OZ</v>
      </c>
      <c r="E68" s="3" t="s">
        <v>135</v>
      </c>
      <c r="F68" s="3" t="s">
        <v>111</v>
      </c>
      <c r="G68" s="3" t="s">
        <v>111</v>
      </c>
      <c r="H68" s="3" t="s">
        <v>117</v>
      </c>
      <c r="I68" s="20">
        <f>IFERROR(INDEX('Input - Walmart'!G$2:G$200,MATCH('Calculations - Walmart'!$D68,'Input - Walmart'!$B$2:$B$200,0)),"")</f>
        <v>65.78</v>
      </c>
      <c r="J68" s="20">
        <f>IFERROR(INDEX('Input - Walmart'!H$2:H$200,MATCH('Calculations - Walmart'!$D68,'Input - Walmart'!$B$2:$B$200,0)),"")</f>
        <v>21.125</v>
      </c>
      <c r="K68" s="21">
        <f>IFERROR(INDEX('Input - Walmart'!I$2:I$200,MATCH('Calculations - Walmart'!$D68,'Input - Walmart'!$B$2:$B$200,0)),"")</f>
        <v>3.2232566873585702</v>
      </c>
      <c r="L68" s="21">
        <f>IFERROR(INDEX('Input - Walmart'!J$2:J$200,MATCH('Calculations - Walmart'!$D68,'Input - Walmart'!$B$2:$B$200,0)),"")</f>
        <v>10.0367254387904</v>
      </c>
      <c r="M68" s="20">
        <f>IFERROR(INDEX('Input - Walmart'!K$2:K$200,MATCH('Calculations - Walmart'!$D68,'Input - Walmart'!$B$2:$B$200,0)),"")</f>
        <v>447.22682202499999</v>
      </c>
      <c r="N68" s="20">
        <f>IFERROR(INDEX('Input - Walmart'!L$2:L$200,MATCH('Calculations - Walmart'!$D68,'Input - Walmart'!$B$2:$B$200,0)),"")</f>
        <v>144.63314940000001</v>
      </c>
      <c r="O68" s="21">
        <f t="shared" si="65"/>
        <v>3.1138461538461537</v>
      </c>
      <c r="P68" s="21">
        <f t="shared" si="47"/>
        <v>3.0921460528259779</v>
      </c>
      <c r="Q68" s="21">
        <f t="shared" si="66"/>
        <v>-2.2489530913951445</v>
      </c>
      <c r="R68" s="9">
        <f t="shared" si="84"/>
        <v>7.9151086026407482E-8</v>
      </c>
      <c r="S68" s="9">
        <f t="shared" si="85"/>
        <v>7.7013428319801306E-8</v>
      </c>
      <c r="T68" s="22">
        <f>IFERROR(INDEX(Walmart!$S$11:$S$192,MATCH('Calculations - Walmart'!$D68,Walmart!$N$11:$N$192,0)),"")</f>
        <v>0</v>
      </c>
      <c r="U68" s="22">
        <f>IFERROR(INDEX(Walmart!$T$11:$T$192,MATCH('Calculations - Walmart'!$D68,Walmart!$N$11:$N$192,0)),"")</f>
        <v>0</v>
      </c>
      <c r="V68" s="16">
        <f t="shared" si="50"/>
        <v>0</v>
      </c>
      <c r="W68" s="16">
        <f t="shared" si="67"/>
        <v>0</v>
      </c>
      <c r="X68" s="16">
        <f t="shared" si="68"/>
        <v>0</v>
      </c>
      <c r="Y68" s="10">
        <f t="shared" si="51"/>
        <v>0</v>
      </c>
      <c r="Z68" s="10">
        <f t="shared" si="52"/>
        <v>138.9029124472236</v>
      </c>
      <c r="AA68" s="13">
        <f t="shared" si="69"/>
        <v>1.0406020795829336E-7</v>
      </c>
      <c r="AB68" s="9">
        <f t="shared" si="53"/>
        <v>2.4909121931885879E-8</v>
      </c>
      <c r="AC68" s="16">
        <f t="shared" si="70"/>
        <v>86.481194676378621</v>
      </c>
      <c r="AD68" s="16">
        <f t="shared" si="54"/>
        <v>27.773110938560329</v>
      </c>
      <c r="AE68" s="16">
        <f t="shared" si="55"/>
        <v>0</v>
      </c>
      <c r="AF68" s="16">
        <f t="shared" si="71"/>
        <v>0</v>
      </c>
      <c r="AG68" s="16"/>
      <c r="AH68" s="32">
        <f>IFERROR(INDEX(Walmart!$R$11:$R$192,MATCH('Calculations - Walmart'!D68,Walmart!$N$11:$N$192,0)),"")</f>
        <v>3.1138461538461537</v>
      </c>
      <c r="AI68" s="23">
        <f t="shared" si="72"/>
        <v>0</v>
      </c>
      <c r="AJ68" s="23">
        <f t="shared" si="73"/>
        <v>0</v>
      </c>
      <c r="AK68" s="9">
        <f t="shared" si="56"/>
        <v>0</v>
      </c>
      <c r="AL68" s="4">
        <f t="shared" si="57"/>
        <v>21.125</v>
      </c>
      <c r="AM68" s="4"/>
      <c r="AN68" s="4"/>
      <c r="AO68" s="4"/>
      <c r="AP68" s="4"/>
      <c r="AQ68" s="4"/>
      <c r="AR68" s="20">
        <f t="shared" si="58"/>
        <v>138.9029124472236</v>
      </c>
      <c r="AS68" s="13">
        <f t="shared" si="74"/>
        <v>1.0406020795829336E-7</v>
      </c>
      <c r="AT68" s="13">
        <f t="shared" si="75"/>
        <v>1.0406020795829339E-7</v>
      </c>
      <c r="AU68" s="13">
        <f t="shared" si="59"/>
        <v>2.4909121931885906E-8</v>
      </c>
      <c r="AV68" s="16">
        <f t="shared" si="76"/>
        <v>86.481194676378635</v>
      </c>
      <c r="AW68" s="16">
        <f t="shared" si="60"/>
        <v>27.773110938560333</v>
      </c>
      <c r="AX68" s="16">
        <f t="shared" si="61"/>
        <v>0</v>
      </c>
      <c r="AY68" s="16">
        <f t="shared" si="77"/>
        <v>0</v>
      </c>
      <c r="AZ68" s="13">
        <f t="shared" si="78"/>
        <v>1.3449054565634786E-6</v>
      </c>
      <c r="BA68" s="10">
        <f t="shared" si="79"/>
        <v>27.010924183044235</v>
      </c>
      <c r="BB68" s="9">
        <f t="shared" si="80"/>
        <v>9.817070313885883E-8</v>
      </c>
      <c r="BC68" s="13">
        <f t="shared" si="81"/>
        <v>1.3199262343604548E-6</v>
      </c>
      <c r="BD68" s="10">
        <f t="shared" si="82"/>
        <v>86.481194676378593</v>
      </c>
      <c r="BE68" s="13">
        <f t="shared" si="83"/>
        <v>1.0406020795829335E-7</v>
      </c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</row>
    <row r="69" spans="2:70" x14ac:dyDescent="0.3">
      <c r="B69" s="96" t="str">
        <f t="shared" si="62"/>
        <v>WALMARTRESTOFCATEGORY</v>
      </c>
      <c r="C69" s="96" t="str">
        <f t="shared" si="63"/>
        <v>WALMARTRESTOFCATEGORYRESTOFCATEGORY</v>
      </c>
      <c r="D69" s="96" t="str">
        <f t="shared" si="64"/>
        <v>WALMARTRESTOFCATEGORYRESTOFCATEGORYSQUEEZY 18 TO 22OZ</v>
      </c>
      <c r="E69" s="3" t="s">
        <v>135</v>
      </c>
      <c r="F69" s="3" t="s">
        <v>111</v>
      </c>
      <c r="G69" s="3" t="s">
        <v>111</v>
      </c>
      <c r="H69" s="3" t="s">
        <v>120</v>
      </c>
      <c r="I69" s="20">
        <f>IFERROR(INDEX('Input - Walmart'!G$2:G$200,MATCH('Calculations - Walmart'!$D69,'Input - Walmart'!$B$2:$B$200,0)),"")</f>
        <v>9940704.9214299992</v>
      </c>
      <c r="J69" s="20">
        <f>IFERROR(INDEX('Input - Walmart'!H$2:H$200,MATCH('Calculations - Walmart'!$D69,'Input - Walmart'!$B$2:$B$200,0)),"")</f>
        <v>1948129.89992</v>
      </c>
      <c r="K69" s="21">
        <f>IFERROR(INDEX('Input - Walmart'!I$2:I$200,MATCH('Calculations - Walmart'!$D69,'Input - Walmart'!$B$2:$B$200,0)),"")</f>
        <v>1.4866558302497901</v>
      </c>
      <c r="L69" s="21">
        <f>IFERROR(INDEX('Input - Walmart'!J$2:J$200,MATCH('Calculations - Walmart'!$D69,'Input - Walmart'!$B$2:$B$200,0)),"")</f>
        <v>7.5859453360084403</v>
      </c>
      <c r="M69" s="20">
        <f>IFERROR(INDEX('Input - Walmart'!K$2:K$200,MATCH('Calculations - Walmart'!$D69,'Input - Walmart'!$B$2:$B$200,0)),"")</f>
        <v>37585319.504249997</v>
      </c>
      <c r="N69" s="20">
        <f>IFERROR(INDEX('Input - Walmart'!L$2:L$200,MATCH('Calculations - Walmart'!$D69,'Input - Walmart'!$B$2:$B$200,0)),"")</f>
        <v>9064075.7796999998</v>
      </c>
      <c r="O69" s="21">
        <f t="shared" si="65"/>
        <v>5.1026910073287279</v>
      </c>
      <c r="P69" s="21">
        <f t="shared" si="47"/>
        <v>4.1466245889543947</v>
      </c>
      <c r="Q69" s="21">
        <f t="shared" si="66"/>
        <v>-10.274201374374947</v>
      </c>
      <c r="R69" s="9">
        <f t="shared" si="84"/>
        <v>1.1961349808440835E-2</v>
      </c>
      <c r="S69" s="9">
        <f t="shared" si="85"/>
        <v>7.1021141966935205E-3</v>
      </c>
      <c r="T69" s="22">
        <f>IFERROR(INDEX(Walmart!$S$11:$S$192,MATCH('Calculations - Walmart'!$D69,Walmart!$N$11:$N$192,0)),"")</f>
        <v>0</v>
      </c>
      <c r="U69" s="22">
        <f>IFERROR(INDEX(Walmart!$T$11:$T$192,MATCH('Calculations - Walmart'!$D69,Walmart!$N$11:$N$192,0)),"")</f>
        <v>0</v>
      </c>
      <c r="V69" s="16">
        <f t="shared" si="50"/>
        <v>0</v>
      </c>
      <c r="W69" s="16">
        <f t="shared" si="67"/>
        <v>0</v>
      </c>
      <c r="X69" s="16">
        <f t="shared" si="68"/>
        <v>0</v>
      </c>
      <c r="Y69" s="10">
        <f t="shared" si="51"/>
        <v>0</v>
      </c>
      <c r="Z69" s="10">
        <f t="shared" si="52"/>
        <v>12359555.924833357</v>
      </c>
      <c r="AA69" s="13">
        <f t="shared" si="69"/>
        <v>9.2592584068313631E-3</v>
      </c>
      <c r="AB69" s="9">
        <f t="shared" si="53"/>
        <v>-2.7020914016094716E-3</v>
      </c>
      <c r="AC69" s="16">
        <f t="shared" si="70"/>
        <v>7695080.9973492883</v>
      </c>
      <c r="AD69" s="16">
        <f t="shared" si="54"/>
        <v>1508043.6942580389</v>
      </c>
      <c r="AE69" s="16">
        <f t="shared" si="55"/>
        <v>0</v>
      </c>
      <c r="AF69" s="16">
        <f t="shared" si="71"/>
        <v>0</v>
      </c>
      <c r="AG69" s="16"/>
      <c r="AH69" s="32">
        <f>IFERROR(INDEX(Walmart!$R$11:$R$192,MATCH('Calculations - Walmart'!D69,Walmart!$N$11:$N$192,0)),"")</f>
        <v>5.1026910073287279</v>
      </c>
      <c r="AI69" s="23">
        <f t="shared" si="72"/>
        <v>0</v>
      </c>
      <c r="AJ69" s="23">
        <f t="shared" si="73"/>
        <v>0</v>
      </c>
      <c r="AK69" s="9">
        <f t="shared" si="56"/>
        <v>0</v>
      </c>
      <c r="AL69" s="4">
        <f t="shared" si="57"/>
        <v>1948129.89992</v>
      </c>
      <c r="AM69" s="4"/>
      <c r="AN69" s="4"/>
      <c r="AO69" s="4"/>
      <c r="AP69" s="4"/>
      <c r="AQ69" s="4"/>
      <c r="AR69" s="20">
        <f t="shared" si="58"/>
        <v>12359555.924833357</v>
      </c>
      <c r="AS69" s="13">
        <f t="shared" si="74"/>
        <v>9.2592584068313631E-3</v>
      </c>
      <c r="AT69" s="13">
        <f t="shared" si="75"/>
        <v>9.2592584068313648E-3</v>
      </c>
      <c r="AU69" s="13">
        <f t="shared" si="59"/>
        <v>-2.7020914016094699E-3</v>
      </c>
      <c r="AV69" s="16">
        <f t="shared" si="76"/>
        <v>7695080.9973492902</v>
      </c>
      <c r="AW69" s="16">
        <f t="shared" si="60"/>
        <v>1508043.6942580391</v>
      </c>
      <c r="AX69" s="16">
        <f t="shared" si="61"/>
        <v>0</v>
      </c>
      <c r="AY69" s="16">
        <f t="shared" si="77"/>
        <v>0</v>
      </c>
      <c r="AZ69" s="13">
        <f t="shared" si="78"/>
        <v>7.3026611877600386E-2</v>
      </c>
      <c r="BA69" s="10">
        <f t="shared" si="79"/>
        <v>1466657.9476974262</v>
      </c>
      <c r="BB69" s="9">
        <f t="shared" si="80"/>
        <v>5.3305411178798312E-3</v>
      </c>
      <c r="BC69" s="13">
        <f t="shared" si="81"/>
        <v>0.11744679663524808</v>
      </c>
      <c r="BD69" s="10">
        <f t="shared" si="82"/>
        <v>7695080.9973492865</v>
      </c>
      <c r="BE69" s="13">
        <f t="shared" si="83"/>
        <v>9.2592584068313614E-3</v>
      </c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</row>
    <row r="70" spans="2:70" x14ac:dyDescent="0.3">
      <c r="B70" s="96" t="str">
        <f t="shared" si="62"/>
        <v>WALMARTRESTOFCATEGORY</v>
      </c>
      <c r="C70" s="96" t="str">
        <f t="shared" si="63"/>
        <v>WALMARTRESTOFCATEGORYRESTOFCATEGORY</v>
      </c>
      <c r="D70" s="96" t="str">
        <f t="shared" si="64"/>
        <v>WALMARTRESTOFCATEGORYRESTOFCATEGORYOTHER</v>
      </c>
      <c r="E70" s="3" t="s">
        <v>135</v>
      </c>
      <c r="F70" s="3" t="s">
        <v>111</v>
      </c>
      <c r="G70" s="3" t="s">
        <v>111</v>
      </c>
      <c r="H70" s="3" t="s">
        <v>115</v>
      </c>
      <c r="I70" s="20">
        <f>IFERROR(INDEX('Input - Walmart'!G$2:G$200,MATCH('Calculations - Walmart'!$D70,'Input - Walmart'!$B$2:$B$200,0)),"")</f>
        <v>31147476.762430001</v>
      </c>
      <c r="J70" s="20">
        <f>IFERROR(INDEX('Input - Walmart'!H$2:H$200,MATCH('Calculations - Walmart'!$D70,'Input - Walmart'!$B$2:$B$200,0)),"")</f>
        <v>7416151.1759200003</v>
      </c>
      <c r="K70" s="21">
        <f>IFERROR(INDEX('Input - Walmart'!I$2:I$200,MATCH('Calculations - Walmart'!$D70,'Input - Walmart'!$B$2:$B$200,0)),"")</f>
        <v>2.11665063247872</v>
      </c>
      <c r="L70" s="21">
        <f>IFERROR(INDEX('Input - Walmart'!J$2:J$200,MATCH('Calculations - Walmart'!$D70,'Input - Walmart'!$B$2:$B$200,0)),"")</f>
        <v>8.8898304289401207</v>
      </c>
      <c r="M70" s="20">
        <f>IFERROR(INDEX('Input - Walmart'!K$2:K$200,MATCH('Calculations - Walmart'!$D70,'Input - Walmart'!$B$2:$B$200,0)),"")</f>
        <v>79572893.199140996</v>
      </c>
      <c r="N70" s="20">
        <f>IFERROR(INDEX('Input - Walmart'!L$2:L$200,MATCH('Calculations - Walmart'!$D70,'Input - Walmart'!$B$2:$B$200,0)),"")</f>
        <v>22114098.065730002</v>
      </c>
      <c r="O70" s="21">
        <f t="shared" si="65"/>
        <v>4.1999517031913856</v>
      </c>
      <c r="P70" s="21">
        <f t="shared" si="47"/>
        <v>3.5982879773177059</v>
      </c>
      <c r="Q70" s="21">
        <f t="shared" si="66"/>
        <v>-4.477676235136407</v>
      </c>
      <c r="R70" s="9">
        <f t="shared" si="84"/>
        <v>3.7478817463189804E-2</v>
      </c>
      <c r="S70" s="9">
        <f t="shared" si="85"/>
        <v>2.7036365774936101E-2</v>
      </c>
      <c r="T70" s="22">
        <f>IFERROR(INDEX(Walmart!$S$11:$S$192,MATCH('Calculations - Walmart'!$D70,Walmart!$N$11:$N$192,0)),"")</f>
        <v>0</v>
      </c>
      <c r="U70" s="22">
        <f>IFERROR(INDEX(Walmart!$T$11:$T$192,MATCH('Calculations - Walmart'!$D70,Walmart!$N$11:$N$192,0)),"")</f>
        <v>0</v>
      </c>
      <c r="V70" s="16">
        <f t="shared" si="50"/>
        <v>0</v>
      </c>
      <c r="W70" s="16">
        <f t="shared" si="67"/>
        <v>0</v>
      </c>
      <c r="X70" s="16">
        <f t="shared" si="68"/>
        <v>0</v>
      </c>
      <c r="Y70" s="10">
        <f t="shared" si="51"/>
        <v>0</v>
      </c>
      <c r="Z70" s="10">
        <f t="shared" si="52"/>
        <v>48537901.57587184</v>
      </c>
      <c r="AA70" s="13">
        <f t="shared" si="69"/>
        <v>3.6362550236399706E-2</v>
      </c>
      <c r="AB70" s="9">
        <f t="shared" si="53"/>
        <v>-1.1162672267900978E-3</v>
      </c>
      <c r="AC70" s="16">
        <f t="shared" si="70"/>
        <v>30219781.870742042</v>
      </c>
      <c r="AD70" s="16">
        <f t="shared" si="54"/>
        <v>7195268.8998254826</v>
      </c>
      <c r="AE70" s="16">
        <f t="shared" si="55"/>
        <v>0</v>
      </c>
      <c r="AF70" s="16">
        <f t="shared" si="71"/>
        <v>0</v>
      </c>
      <c r="AG70" s="16"/>
      <c r="AH70" s="32">
        <f>IFERROR(INDEX(Walmart!$R$11:$R$192,MATCH('Calculations - Walmart'!D70,Walmart!$N$11:$N$192,0)),"")</f>
        <v>4.1999517031913856</v>
      </c>
      <c r="AI70" s="23">
        <f t="shared" si="72"/>
        <v>0</v>
      </c>
      <c r="AJ70" s="23">
        <f t="shared" si="73"/>
        <v>0</v>
      </c>
      <c r="AK70" s="9">
        <f t="shared" si="56"/>
        <v>0</v>
      </c>
      <c r="AL70" s="4">
        <f t="shared" si="57"/>
        <v>7416151.1759200003</v>
      </c>
      <c r="AM70" s="4"/>
      <c r="AN70" s="4"/>
      <c r="AO70" s="4"/>
      <c r="AP70" s="4"/>
      <c r="AQ70" s="4"/>
      <c r="AR70" s="20">
        <f t="shared" si="58"/>
        <v>48537901.57587184</v>
      </c>
      <c r="AS70" s="13">
        <f t="shared" si="74"/>
        <v>3.6362550236399706E-2</v>
      </c>
      <c r="AT70" s="13">
        <f t="shared" si="75"/>
        <v>3.6362550236399713E-2</v>
      </c>
      <c r="AU70" s="13">
        <f t="shared" si="59"/>
        <v>-1.1162672267900908E-3</v>
      </c>
      <c r="AV70" s="16">
        <f t="shared" si="76"/>
        <v>30219781.870742045</v>
      </c>
      <c r="AW70" s="16">
        <f t="shared" si="60"/>
        <v>7195268.8998254836</v>
      </c>
      <c r="AX70" s="16">
        <f t="shared" si="61"/>
        <v>0</v>
      </c>
      <c r="AY70" s="16">
        <f t="shared" si="77"/>
        <v>0</v>
      </c>
      <c r="AZ70" s="13">
        <f t="shared" si="78"/>
        <v>0.34842896880454444</v>
      </c>
      <c r="BA70" s="10">
        <f t="shared" si="79"/>
        <v>6997806.7332732417</v>
      </c>
      <c r="BB70" s="9">
        <f t="shared" si="80"/>
        <v>2.5433398827075959E-2</v>
      </c>
      <c r="BC70" s="13">
        <f t="shared" si="81"/>
        <v>0.46123186707939656</v>
      </c>
      <c r="BD70" s="10">
        <f t="shared" si="82"/>
        <v>30219781.870742034</v>
      </c>
      <c r="BE70" s="13">
        <f t="shared" si="83"/>
        <v>3.6362550236399706E-2</v>
      </c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</row>
    <row r="71" spans="2:70" x14ac:dyDescent="0.3">
      <c r="B71" s="96" t="str">
        <f t="shared" si="62"/>
        <v>WALMARTMIRACLE WHIP</v>
      </c>
      <c r="C71" s="96" t="str">
        <f t="shared" si="63"/>
        <v>WALMARTMIRACLE WHIPWHIPPED DRESSING</v>
      </c>
      <c r="D71" s="96" t="str">
        <f t="shared" si="64"/>
        <v>WALMARTMIRACLE WHIPWHIPPED DRESSINGJAR 15OZ</v>
      </c>
      <c r="E71" s="3" t="s">
        <v>135</v>
      </c>
      <c r="F71" s="3" t="s">
        <v>109</v>
      </c>
      <c r="G71" s="3" t="s">
        <v>114</v>
      </c>
      <c r="H71" s="3" t="s">
        <v>116</v>
      </c>
      <c r="I71" s="20">
        <f>IFERROR(INDEX('Input - Walmart'!G$2:G$200,MATCH('Calculations - Walmart'!$D71,'Input - Walmart'!$B$2:$B$200,0)),"")</f>
        <v>16154985.856000001</v>
      </c>
      <c r="J71" s="20">
        <f>IFERROR(INDEX('Input - Walmart'!H$2:H$200,MATCH('Calculations - Walmart'!$D71,'Input - Walmart'!$B$2:$B$200,0)),"")</f>
        <v>3207872.0939799999</v>
      </c>
      <c r="K71" s="21">
        <f>IFERROR(INDEX('Input - Walmart'!I$2:I$200,MATCH('Calculations - Walmart'!$D71,'Input - Walmart'!$B$2:$B$200,0)),"")</f>
        <v>1.8671257802987899</v>
      </c>
      <c r="L71" s="21">
        <f>IFERROR(INDEX('Input - Walmart'!J$2:J$200,MATCH('Calculations - Walmart'!$D71,'Input - Walmart'!$B$2:$B$200,0)),"")</f>
        <v>9.4029280745655193</v>
      </c>
      <c r="M71" s="20">
        <f>IFERROR(INDEX('Input - Walmart'!K$2:K$200,MATCH('Calculations - Walmart'!$D71,'Input - Walmart'!$B$2:$B$200,0)),"")</f>
        <v>54644030.18</v>
      </c>
      <c r="N71" s="20">
        <f>IFERROR(INDEX('Input - Walmart'!L$2:L$200,MATCH('Calculations - Walmart'!$D71,'Input - Walmart'!$B$2:$B$200,0)),"")</f>
        <v>11741924.71383</v>
      </c>
      <c r="O71" s="21">
        <f t="shared" si="65"/>
        <v>5.0360442632101785</v>
      </c>
      <c r="P71" s="21">
        <f t="shared" si="47"/>
        <v>4.6537540915790903</v>
      </c>
      <c r="Q71" s="21">
        <f t="shared" si="66"/>
        <v>-5.7661761576009871</v>
      </c>
      <c r="R71" s="9">
        <f t="shared" si="84"/>
        <v>1.9438806251803775E-2</v>
      </c>
      <c r="S71" s="9">
        <f t="shared" si="85"/>
        <v>1.1694637991423415E-2</v>
      </c>
      <c r="T71" s="22">
        <f>IFERROR(INDEX(Walmart!$S$11:$S$192,MATCH('Calculations - Walmart'!$D71,Walmart!$N$11:$N$192,0)),"")</f>
        <v>0.8</v>
      </c>
      <c r="U71" s="22">
        <f>IFERROR(INDEX(Walmart!$T$11:$T$192,MATCH('Calculations - Walmart'!$D71,Walmart!$N$11:$N$192,0)),"")</f>
        <v>0.3</v>
      </c>
      <c r="V71" s="16">
        <f t="shared" si="50"/>
        <v>12923988.684800001</v>
      </c>
      <c r="W71" s="16">
        <f t="shared" si="67"/>
        <v>3877196.6054400001</v>
      </c>
      <c r="X71" s="16">
        <f t="shared" si="68"/>
        <v>9046792.0793600008</v>
      </c>
      <c r="Y71" s="10">
        <f t="shared" si="51"/>
        <v>2.8201847873977002</v>
      </c>
      <c r="Z71" s="10">
        <f t="shared" si="52"/>
        <v>23159188.214049913</v>
      </c>
      <c r="AA71" s="13">
        <f t="shared" si="69"/>
        <v>1.7349887768659675E-2</v>
      </c>
      <c r="AB71" s="9">
        <f t="shared" si="53"/>
        <v>-2.0889184831440998E-3</v>
      </c>
      <c r="AC71" s="16">
        <f t="shared" si="70"/>
        <v>14418950.828314159</v>
      </c>
      <c r="AD71" s="16">
        <f t="shared" si="54"/>
        <v>2863150.1382243484</v>
      </c>
      <c r="AE71" s="16">
        <f t="shared" si="55"/>
        <v>11535160.662651328</v>
      </c>
      <c r="AF71" s="16">
        <f t="shared" si="71"/>
        <v>3460548.1987953987</v>
      </c>
      <c r="AG71" s="16"/>
      <c r="AH71" s="32">
        <f>IFERROR(INDEX(Walmart!$R$11:$R$192,MATCH('Calculations - Walmart'!D71,Walmart!$N$11:$N$192,0)),"")</f>
        <v>5.0360442632101785</v>
      </c>
      <c r="AI71" s="23">
        <f t="shared" si="72"/>
        <v>0.8</v>
      </c>
      <c r="AJ71" s="23">
        <f t="shared" si="73"/>
        <v>0.3</v>
      </c>
      <c r="AK71" s="9">
        <f t="shared" si="56"/>
        <v>0</v>
      </c>
      <c r="AL71" s="4">
        <f t="shared" si="57"/>
        <v>3207872.0939799999</v>
      </c>
      <c r="AM71" s="4"/>
      <c r="AN71" s="4"/>
      <c r="AO71" s="4"/>
      <c r="AP71" s="4"/>
      <c r="AQ71" s="4"/>
      <c r="AR71" s="20">
        <f t="shared" si="58"/>
        <v>23159188.214049913</v>
      </c>
      <c r="AS71" s="13">
        <f t="shared" si="74"/>
        <v>1.7349887768659675E-2</v>
      </c>
      <c r="AT71" s="13">
        <f t="shared" si="75"/>
        <v>1.7349887768659679E-2</v>
      </c>
      <c r="AU71" s="13">
        <f t="shared" si="59"/>
        <v>-2.0889184831440963E-3</v>
      </c>
      <c r="AV71" s="16">
        <f t="shared" si="76"/>
        <v>14418950.828314161</v>
      </c>
      <c r="AW71" s="16">
        <f t="shared" si="60"/>
        <v>2863150.1382243489</v>
      </c>
      <c r="AX71" s="16">
        <f t="shared" si="61"/>
        <v>11535160.66265133</v>
      </c>
      <c r="AY71" s="16">
        <f t="shared" si="77"/>
        <v>3460548.1987953987</v>
      </c>
      <c r="AZ71" s="13">
        <f t="shared" si="78"/>
        <v>8.380056315486345E-2</v>
      </c>
      <c r="BA71" s="10">
        <f t="shared" si="79"/>
        <v>2830080.04890732</v>
      </c>
      <c r="BB71" s="9">
        <f t="shared" si="80"/>
        <v>1.0285873465776949E-2</v>
      </c>
      <c r="BC71" s="13">
        <f t="shared" si="81"/>
        <v>0.12723636022757423</v>
      </c>
      <c r="BD71" s="10">
        <f t="shared" si="82"/>
        <v>14418950.828314157</v>
      </c>
      <c r="BE71" s="13">
        <f t="shared" si="83"/>
        <v>1.7349887768659675E-2</v>
      </c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</row>
    <row r="72" spans="2:70" x14ac:dyDescent="0.3">
      <c r="B72" s="96" t="str">
        <f t="shared" si="62"/>
        <v>WALMARTMIRACLE WHIP</v>
      </c>
      <c r="C72" s="96" t="str">
        <f t="shared" si="63"/>
        <v>WALMARTMIRACLE WHIPWHIPPED DRESSING</v>
      </c>
      <c r="D72" s="96" t="str">
        <f t="shared" si="64"/>
        <v>WALMARTMIRACLE WHIPWHIPPED DRESSINGJAR 30OZ</v>
      </c>
      <c r="E72" s="3" t="s">
        <v>135</v>
      </c>
      <c r="F72" s="3" t="s">
        <v>109</v>
      </c>
      <c r="G72" s="3" t="s">
        <v>114</v>
      </c>
      <c r="H72" s="3" t="s">
        <v>118</v>
      </c>
      <c r="I72" s="20">
        <f>IFERROR(INDEX('Input - Walmart'!G$2:G$200,MATCH('Calculations - Walmart'!$D72,'Input - Walmart'!$B$2:$B$200,0)),"")</f>
        <v>64550789.302199997</v>
      </c>
      <c r="J72" s="20">
        <f>IFERROR(INDEX('Input - Walmart'!H$2:H$200,MATCH('Calculations - Walmart'!$D72,'Input - Walmart'!$B$2:$B$200,0)),"")</f>
        <v>22843418.919</v>
      </c>
      <c r="K72" s="21">
        <f>IFERROR(INDEX('Input - Walmart'!I$2:I$200,MATCH('Calculations - Walmart'!$D72,'Input - Walmart'!$B$2:$B$200,0)),"")</f>
        <v>2.0759704557815102</v>
      </c>
      <c r="L72" s="21">
        <f>IFERROR(INDEX('Input - Walmart'!J$2:J$200,MATCH('Calculations - Walmart'!$D72,'Input - Walmart'!$B$2:$B$200,0)),"")</f>
        <v>5.8662642384623602</v>
      </c>
      <c r="M72" s="20">
        <f>IFERROR(INDEX('Input - Walmart'!K$2:K$200,MATCH('Calculations - Walmart'!$D72,'Input - Walmart'!$B$2:$B$200,0)),"")</f>
        <v>229180695.65619999</v>
      </c>
      <c r="N72" s="20">
        <f>IFERROR(INDEX('Input - Walmart'!L$2:L$200,MATCH('Calculations - Walmart'!$D72,'Input - Walmart'!$B$2:$B$200,0)),"")</f>
        <v>88741126.119599998</v>
      </c>
      <c r="O72" s="21">
        <f t="shared" si="65"/>
        <v>2.8257937015071732</v>
      </c>
      <c r="P72" s="21">
        <f t="shared" si="47"/>
        <v>2.5825759225471616</v>
      </c>
      <c r="Q72" s="21">
        <f t="shared" si="66"/>
        <v>-4.6469677425932279</v>
      </c>
      <c r="R72" s="9">
        <f t="shared" si="84"/>
        <v>7.7672013942397936E-2</v>
      </c>
      <c r="S72" s="9">
        <f t="shared" si="85"/>
        <v>8.3278106769117136E-2</v>
      </c>
      <c r="T72" s="22">
        <f>IFERROR(INDEX(Walmart!$S$11:$S$192,MATCH('Calculations - Walmart'!$D72,Walmart!$N$11:$N$192,0)),"")</f>
        <v>0.8</v>
      </c>
      <c r="U72" s="22">
        <f>IFERROR(INDEX(Walmart!$T$11:$T$192,MATCH('Calculations - Walmart'!$D72,Walmart!$N$11:$N$192,0)),"")</f>
        <v>0.3</v>
      </c>
      <c r="V72" s="16">
        <f t="shared" si="50"/>
        <v>51640631.441760004</v>
      </c>
      <c r="W72" s="16">
        <f t="shared" si="67"/>
        <v>15492189.432528</v>
      </c>
      <c r="X72" s="16">
        <f t="shared" si="68"/>
        <v>36148442.009232</v>
      </c>
      <c r="Y72" s="10">
        <f t="shared" si="51"/>
        <v>1.582444472844017</v>
      </c>
      <c r="Z72" s="10">
        <f t="shared" si="52"/>
        <v>99278160.395472109</v>
      </c>
      <c r="AA72" s="13">
        <f t="shared" si="69"/>
        <v>7.4375013701709652E-2</v>
      </c>
      <c r="AB72" s="9">
        <f t="shared" si="53"/>
        <v>-3.2970002406882831E-3</v>
      </c>
      <c r="AC72" s="16">
        <f t="shared" si="70"/>
        <v>61810755.188705742</v>
      </c>
      <c r="AD72" s="16">
        <f t="shared" si="54"/>
        <v>21873767.768587701</v>
      </c>
      <c r="AE72" s="16">
        <f t="shared" si="55"/>
        <v>49448604.150964595</v>
      </c>
      <c r="AF72" s="16">
        <f t="shared" si="71"/>
        <v>14834581.245289378</v>
      </c>
      <c r="AG72" s="16"/>
      <c r="AH72" s="32">
        <f>IFERROR(INDEX(Walmart!$R$11:$R$192,MATCH('Calculations - Walmart'!D72,Walmart!$N$11:$N$192,0)),"")</f>
        <v>2.8257937015071732</v>
      </c>
      <c r="AI72" s="23">
        <f t="shared" si="72"/>
        <v>0.8</v>
      </c>
      <c r="AJ72" s="23">
        <f t="shared" si="73"/>
        <v>0.3</v>
      </c>
      <c r="AK72" s="9">
        <f t="shared" si="56"/>
        <v>0</v>
      </c>
      <c r="AL72" s="4">
        <f t="shared" si="57"/>
        <v>22843418.919</v>
      </c>
      <c r="AM72" s="4"/>
      <c r="AN72" s="4"/>
      <c r="AO72" s="4"/>
      <c r="AP72" s="4"/>
      <c r="AQ72" s="4"/>
      <c r="AR72" s="20">
        <f t="shared" si="58"/>
        <v>99278160.395472109</v>
      </c>
      <c r="AS72" s="13">
        <f t="shared" si="74"/>
        <v>7.4375013701709652E-2</v>
      </c>
      <c r="AT72" s="13">
        <f t="shared" si="75"/>
        <v>7.4375013701709666E-2</v>
      </c>
      <c r="AU72" s="13">
        <f t="shared" si="59"/>
        <v>-3.2970002406882692E-3</v>
      </c>
      <c r="AV72" s="16">
        <f t="shared" si="76"/>
        <v>61810755.18870575</v>
      </c>
      <c r="AW72" s="16">
        <f t="shared" si="60"/>
        <v>21873767.768587705</v>
      </c>
      <c r="AX72" s="16">
        <f t="shared" si="61"/>
        <v>49448604.150964603</v>
      </c>
      <c r="AY72" s="16">
        <f t="shared" si="77"/>
        <v>14834581.245289385</v>
      </c>
      <c r="AZ72" s="13">
        <f t="shared" si="78"/>
        <v>0.64021583529781312</v>
      </c>
      <c r="BA72" s="10">
        <f t="shared" si="79"/>
        <v>21621120.363147851</v>
      </c>
      <c r="BB72" s="9">
        <f t="shared" si="80"/>
        <v>7.8581561086774429E-2</v>
      </c>
      <c r="BC72" s="13">
        <f t="shared" si="81"/>
        <v>0.54543327089271176</v>
      </c>
      <c r="BD72" s="10">
        <f t="shared" si="82"/>
        <v>61810755.188705735</v>
      </c>
      <c r="BE72" s="13">
        <f t="shared" si="83"/>
        <v>7.4375013701709652E-2</v>
      </c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</row>
    <row r="73" spans="2:70" x14ac:dyDescent="0.3">
      <c r="B73" s="96" t="str">
        <f t="shared" si="62"/>
        <v>WALMARTMIRACLE WHIP</v>
      </c>
      <c r="C73" s="96" t="str">
        <f t="shared" si="63"/>
        <v>WALMARTMIRACLE WHIPWHIPPED DRESSING</v>
      </c>
      <c r="D73" s="96" t="str">
        <f t="shared" si="64"/>
        <v>WALMARTMIRACLE WHIPWHIPPED DRESSINGJAR 48OZ</v>
      </c>
      <c r="E73" s="3" t="s">
        <v>135</v>
      </c>
      <c r="F73" s="3" t="s">
        <v>109</v>
      </c>
      <c r="G73" s="3" t="s">
        <v>114</v>
      </c>
      <c r="H73" s="3" t="s">
        <v>121</v>
      </c>
      <c r="I73" s="20">
        <f>IFERROR(INDEX('Input - Walmart'!G$2:G$200,MATCH('Calculations - Walmart'!$D73,'Input - Walmart'!$B$2:$B$200,0)),"")</f>
        <v>10361030.512700001</v>
      </c>
      <c r="J73" s="20">
        <f>IFERROR(INDEX('Input - Walmart'!H$2:H$200,MATCH('Calculations - Walmart'!$D73,'Input - Walmart'!$B$2:$B$200,0)),"")</f>
        <v>3645719.1436600001</v>
      </c>
      <c r="K73" s="21">
        <f>IFERROR(INDEX('Input - Walmart'!I$2:I$200,MATCH('Calculations - Walmart'!$D73,'Input - Walmart'!$B$2:$B$200,0)),"")</f>
        <v>1.8892267513215899</v>
      </c>
      <c r="L73" s="21">
        <f>IFERROR(INDEX('Input - Walmart'!J$2:J$200,MATCH('Calculations - Walmart'!$D73,'Input - Walmart'!$B$2:$B$200,0)),"")</f>
        <v>5.3691289000943501</v>
      </c>
      <c r="M73" s="20">
        <f>IFERROR(INDEX('Input - Walmart'!K$2:K$200,MATCH('Calculations - Walmart'!$D73,'Input - Walmart'!$B$2:$B$200,0)),"")</f>
        <v>39005730.766800001</v>
      </c>
      <c r="N73" s="20">
        <f>IFERROR(INDEX('Input - Walmart'!L$2:L$200,MATCH('Calculations - Walmart'!$D73,'Input - Walmart'!$B$2:$B$200,0)),"")</f>
        <v>15536523.320280001</v>
      </c>
      <c r="O73" s="21">
        <f t="shared" si="65"/>
        <v>2.8419716671587554</v>
      </c>
      <c r="P73" s="21">
        <f t="shared" si="47"/>
        <v>2.5105829639431221</v>
      </c>
      <c r="Q73" s="21">
        <f t="shared" si="66"/>
        <v>-5.6228627766414565</v>
      </c>
      <c r="R73" s="9">
        <f t="shared" si="84"/>
        <v>1.2467114889524941E-2</v>
      </c>
      <c r="S73" s="9">
        <f t="shared" si="85"/>
        <v>1.3290855855355589E-2</v>
      </c>
      <c r="T73" s="22">
        <f>IFERROR(INDEX(Walmart!$S$11:$S$192,MATCH('Calculations - Walmart'!$D73,Walmart!$N$11:$N$192,0)),"")</f>
        <v>0.8</v>
      </c>
      <c r="U73" s="22">
        <f>IFERROR(INDEX(Walmart!$T$11:$T$192,MATCH('Calculations - Walmart'!$D73,Walmart!$N$11:$N$192,0)),"")</f>
        <v>0.3</v>
      </c>
      <c r="V73" s="16">
        <f t="shared" si="50"/>
        <v>8288824.4101600014</v>
      </c>
      <c r="W73" s="16">
        <f t="shared" si="67"/>
        <v>2486647.3230480002</v>
      </c>
      <c r="X73" s="16">
        <f t="shared" si="68"/>
        <v>5802177.0871120011</v>
      </c>
      <c r="Y73" s="10">
        <f t="shared" si="51"/>
        <v>1.5915041336089033</v>
      </c>
      <c r="Z73" s="10">
        <f t="shared" si="52"/>
        <v>14967683.264276065</v>
      </c>
      <c r="AA73" s="13">
        <f t="shared" si="69"/>
        <v>1.1213157490317019E-2</v>
      </c>
      <c r="AB73" s="9">
        <f t="shared" si="53"/>
        <v>-1.2539573992079219E-3</v>
      </c>
      <c r="AC73" s="16">
        <f t="shared" si="70"/>
        <v>9318905.6113135908</v>
      </c>
      <c r="AD73" s="16">
        <f t="shared" si="54"/>
        <v>3279028.3305780147</v>
      </c>
      <c r="AE73" s="16">
        <f t="shared" si="55"/>
        <v>7455124.4890508726</v>
      </c>
      <c r="AF73" s="16">
        <f t="shared" si="71"/>
        <v>2236537.3467152603</v>
      </c>
      <c r="AG73" s="16"/>
      <c r="AH73" s="32">
        <f>IFERROR(INDEX(Walmart!$R$11:$R$192,MATCH('Calculations - Walmart'!D73,Walmart!$N$11:$N$192,0)),"")</f>
        <v>2.8419716671587554</v>
      </c>
      <c r="AI73" s="23">
        <f t="shared" si="72"/>
        <v>0.8</v>
      </c>
      <c r="AJ73" s="23">
        <f t="shared" si="73"/>
        <v>0.3</v>
      </c>
      <c r="AK73" s="9">
        <f t="shared" si="56"/>
        <v>0</v>
      </c>
      <c r="AL73" s="4">
        <f t="shared" si="57"/>
        <v>3645719.1436600001</v>
      </c>
      <c r="AM73" s="4"/>
      <c r="AN73" s="4"/>
      <c r="AO73" s="4"/>
      <c r="AP73" s="4"/>
      <c r="AQ73" s="4"/>
      <c r="AR73" s="20">
        <f t="shared" si="58"/>
        <v>14967683.264276065</v>
      </c>
      <c r="AS73" s="13">
        <f t="shared" si="74"/>
        <v>1.1213157490317019E-2</v>
      </c>
      <c r="AT73" s="13">
        <f t="shared" si="75"/>
        <v>1.1213157490317021E-2</v>
      </c>
      <c r="AU73" s="13">
        <f t="shared" si="59"/>
        <v>-1.2539573992079202E-3</v>
      </c>
      <c r="AV73" s="16">
        <f t="shared" si="76"/>
        <v>9318905.6113135926</v>
      </c>
      <c r="AW73" s="16">
        <f t="shared" si="60"/>
        <v>3279028.3305780152</v>
      </c>
      <c r="AX73" s="16">
        <f t="shared" si="61"/>
        <v>7455124.4890508745</v>
      </c>
      <c r="AY73" s="16">
        <f t="shared" si="77"/>
        <v>2236537.3467152622</v>
      </c>
      <c r="AZ73" s="13">
        <f t="shared" si="78"/>
        <v>9.5972759875457864E-2</v>
      </c>
      <c r="BA73" s="10">
        <f t="shared" si="79"/>
        <v>3241154.7457046304</v>
      </c>
      <c r="BB73" s="9">
        <f t="shared" si="80"/>
        <v>1.177991682962889E-2</v>
      </c>
      <c r="BC73" s="13">
        <f t="shared" si="81"/>
        <v>8.2232309784947763E-2</v>
      </c>
      <c r="BD73" s="10">
        <f t="shared" si="82"/>
        <v>9318905.6113135908</v>
      </c>
      <c r="BE73" s="13">
        <f t="shared" si="83"/>
        <v>1.1213157490317019E-2</v>
      </c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</row>
    <row r="74" spans="2:70" x14ac:dyDescent="0.3">
      <c r="B74" s="96" t="str">
        <f t="shared" si="62"/>
        <v>WALMARTMIRACLE WHIP</v>
      </c>
      <c r="C74" s="96" t="str">
        <f t="shared" si="63"/>
        <v>WALMARTMIRACLE WHIPWHIPPED DRESSING</v>
      </c>
      <c r="D74" s="96" t="str">
        <f t="shared" si="64"/>
        <v>WALMARTMIRACLE WHIPWHIPPED DRESSINGSQUEEZY 12OZ</v>
      </c>
      <c r="E74" s="3" t="s">
        <v>135</v>
      </c>
      <c r="F74" s="3" t="s">
        <v>109</v>
      </c>
      <c r="G74" s="3" t="s">
        <v>114</v>
      </c>
      <c r="H74" s="3" t="s">
        <v>117</v>
      </c>
      <c r="I74" s="20">
        <f>IFERROR(INDEX('Input - Walmart'!G$2:G$200,MATCH('Calculations - Walmart'!$D74,'Input - Walmart'!$B$2:$B$200,0)),"")</f>
        <v>12380955.8829</v>
      </c>
      <c r="J74" s="20">
        <f>IFERROR(INDEX('Input - Walmart'!H$2:H$200,MATCH('Calculations - Walmart'!$D74,'Input - Walmart'!$B$2:$B$200,0)),"")</f>
        <v>1964968.0910799999</v>
      </c>
      <c r="K74" s="21">
        <f>IFERROR(INDEX('Input - Walmart'!I$2:I$200,MATCH('Calculations - Walmart'!$D74,'Input - Walmart'!$B$2:$B$200,0)),"")</f>
        <v>1.87726946596299</v>
      </c>
      <c r="L74" s="21">
        <f>IFERROR(INDEX('Input - Walmart'!J$2:J$200,MATCH('Calculations - Walmart'!$D74,'Input - Walmart'!$B$2:$B$200,0)),"")</f>
        <v>11.8283805950398</v>
      </c>
      <c r="M74" s="20">
        <f>IFERROR(INDEX('Input - Walmart'!K$2:K$200,MATCH('Calculations - Walmart'!$D74,'Input - Walmart'!$B$2:$B$200,0)),"")</f>
        <v>45020698.891599998</v>
      </c>
      <c r="N74" s="20">
        <f>IFERROR(INDEX('Input - Walmart'!L$2:L$200,MATCH('Calculations - Walmart'!$D74,'Input - Walmart'!$B$2:$B$200,0)),"")</f>
        <v>7812960.5693100002</v>
      </c>
      <c r="O74" s="21">
        <f t="shared" si="65"/>
        <v>6.3008432244286929</v>
      </c>
      <c r="P74" s="21">
        <f t="shared" si="47"/>
        <v>5.762309753417326</v>
      </c>
      <c r="Q74" s="21">
        <f t="shared" si="66"/>
        <v>-5.6995030535018278</v>
      </c>
      <c r="R74" s="9">
        <f t="shared" si="84"/>
        <v>1.489763004221E-2</v>
      </c>
      <c r="S74" s="9">
        <f t="shared" si="85"/>
        <v>7.1634996086668108E-3</v>
      </c>
      <c r="T74" s="22">
        <f>IFERROR(INDEX(Walmart!$S$11:$S$192,MATCH('Calculations - Walmart'!$D74,Walmart!$N$11:$N$192,0)),"")</f>
        <v>0.8</v>
      </c>
      <c r="U74" s="22">
        <f>IFERROR(INDEX(Walmart!$T$11:$T$192,MATCH('Calculations - Walmart'!$D74,Walmart!$N$11:$N$192,0)),"")</f>
        <v>0.3</v>
      </c>
      <c r="V74" s="16">
        <f t="shared" si="50"/>
        <v>9904764.7063200008</v>
      </c>
      <c r="W74" s="16">
        <f t="shared" si="67"/>
        <v>2971429.4118960002</v>
      </c>
      <c r="X74" s="16">
        <f t="shared" si="68"/>
        <v>6933335.2944240011</v>
      </c>
      <c r="Y74" s="10">
        <f t="shared" si="51"/>
        <v>3.5284722056800684</v>
      </c>
      <c r="Z74" s="10">
        <f t="shared" si="52"/>
        <v>17811673.160651535</v>
      </c>
      <c r="AA74" s="13">
        <f t="shared" si="69"/>
        <v>1.3343754861056541E-2</v>
      </c>
      <c r="AB74" s="9">
        <f t="shared" si="53"/>
        <v>-1.5538751811534583E-3</v>
      </c>
      <c r="AC74" s="16">
        <f t="shared" si="70"/>
        <v>11089578.663108317</v>
      </c>
      <c r="AD74" s="16">
        <f t="shared" si="54"/>
        <v>1760015.01197704</v>
      </c>
      <c r="AE74" s="16">
        <f t="shared" si="55"/>
        <v>8871662.9304866549</v>
      </c>
      <c r="AF74" s="16">
        <f t="shared" si="71"/>
        <v>2661498.8791459966</v>
      </c>
      <c r="AG74" s="16"/>
      <c r="AH74" s="32">
        <f>IFERROR(INDEX(Walmart!$R$11:$R$192,MATCH('Calculations - Walmart'!D74,Walmart!$N$11:$N$192,0)),"")</f>
        <v>6.3008432244286929</v>
      </c>
      <c r="AI74" s="23">
        <f t="shared" si="72"/>
        <v>0.8</v>
      </c>
      <c r="AJ74" s="23">
        <f t="shared" si="73"/>
        <v>0.3</v>
      </c>
      <c r="AK74" s="9">
        <f t="shared" si="56"/>
        <v>0</v>
      </c>
      <c r="AL74" s="4">
        <f t="shared" si="57"/>
        <v>1964968.0910799999</v>
      </c>
      <c r="AM74" s="4"/>
      <c r="AN74" s="4"/>
      <c r="AO74" s="4"/>
      <c r="AP74" s="4"/>
      <c r="AQ74" s="4"/>
      <c r="AR74" s="20">
        <f t="shared" si="58"/>
        <v>17811673.160651535</v>
      </c>
      <c r="AS74" s="13">
        <f t="shared" si="74"/>
        <v>1.3343754861056541E-2</v>
      </c>
      <c r="AT74" s="13">
        <f t="shared" si="75"/>
        <v>1.3343754861056545E-2</v>
      </c>
      <c r="AU74" s="13">
        <f t="shared" si="59"/>
        <v>-1.5538751811534548E-3</v>
      </c>
      <c r="AV74" s="16">
        <f t="shared" si="76"/>
        <v>11089578.663108319</v>
      </c>
      <c r="AW74" s="16">
        <f t="shared" si="60"/>
        <v>1760015.0119770402</v>
      </c>
      <c r="AX74" s="16">
        <f t="shared" si="61"/>
        <v>8871662.9304866549</v>
      </c>
      <c r="AY74" s="16">
        <f t="shared" si="77"/>
        <v>2661498.8791459957</v>
      </c>
      <c r="AZ74" s="13">
        <f t="shared" si="78"/>
        <v>5.1513278048408363E-2</v>
      </c>
      <c r="BA74" s="10">
        <f t="shared" si="79"/>
        <v>1739686.4050806207</v>
      </c>
      <c r="BB74" s="9">
        <f t="shared" si="80"/>
        <v>6.3228579840702752E-3</v>
      </c>
      <c r="BC74" s="13">
        <f t="shared" si="81"/>
        <v>9.7857163281292819E-2</v>
      </c>
      <c r="BD74" s="10">
        <f t="shared" si="82"/>
        <v>11089578.663108317</v>
      </c>
      <c r="BE74" s="13">
        <f t="shared" si="83"/>
        <v>1.3343754861056545E-2</v>
      </c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</row>
    <row r="75" spans="2:70" x14ac:dyDescent="0.3">
      <c r="B75" s="96" t="str">
        <f t="shared" si="62"/>
        <v>WALMARTMIRACLE WHIP</v>
      </c>
      <c r="C75" s="96" t="str">
        <f t="shared" si="63"/>
        <v>WALMARTMIRACLE WHIPWHIPPED DRESSING</v>
      </c>
      <c r="D75" s="96" t="str">
        <f t="shared" si="64"/>
        <v>WALMARTMIRACLE WHIPWHIPPED DRESSINGSQUEEZY 18 TO 22OZ</v>
      </c>
      <c r="E75" s="3" t="s">
        <v>135</v>
      </c>
      <c r="F75" s="3" t="s">
        <v>109</v>
      </c>
      <c r="G75" s="3" t="s">
        <v>114</v>
      </c>
      <c r="H75" s="3" t="s">
        <v>120</v>
      </c>
      <c r="I75" s="20">
        <f>IFERROR(INDEX('Input - Walmart'!G$2:G$200,MATCH('Calculations - Walmart'!$D75,'Input - Walmart'!$B$2:$B$200,0)),"")</f>
        <v>14618360.4882</v>
      </c>
      <c r="J75" s="20">
        <f>IFERROR(INDEX('Input - Walmart'!H$2:H$200,MATCH('Calculations - Walmart'!$D75,'Input - Walmart'!$B$2:$B$200,0)),"")</f>
        <v>3278642.6526199998</v>
      </c>
      <c r="K75" s="21">
        <f>IFERROR(INDEX('Input - Walmart'!I$2:I$200,MATCH('Calculations - Walmart'!$D75,'Input - Walmart'!$B$2:$B$200,0)),"")</f>
        <v>2.0051107812488498</v>
      </c>
      <c r="L75" s="21">
        <f>IFERROR(INDEX('Input - Walmart'!J$2:J$200,MATCH('Calculations - Walmart'!$D75,'Input - Walmart'!$B$2:$B$200,0)),"")</f>
        <v>8.9401119074837307</v>
      </c>
      <c r="M75" s="20">
        <f>IFERROR(INDEX('Input - Walmart'!K$2:K$200,MATCH('Calculations - Walmart'!$D75,'Input - Walmart'!$B$2:$B$200,0)),"")</f>
        <v>53627957.282590002</v>
      </c>
      <c r="N75" s="20">
        <f>IFERROR(INDEX('Input - Walmart'!L$2:L$200,MATCH('Calculations - Walmart'!$D75,'Input - Walmart'!$B$2:$B$200,0)),"")</f>
        <v>13114124.567740001</v>
      </c>
      <c r="O75" s="21">
        <f t="shared" si="65"/>
        <v>4.458662329826736</v>
      </c>
      <c r="P75" s="21">
        <f t="shared" si="47"/>
        <v>4.0893280375353243</v>
      </c>
      <c r="Q75" s="21">
        <f t="shared" si="66"/>
        <v>-4.9745760301043349</v>
      </c>
      <c r="R75" s="9">
        <f t="shared" si="84"/>
        <v>1.75898313859312E-2</v>
      </c>
      <c r="S75" s="9">
        <f t="shared" si="85"/>
        <v>1.1952639569883719E-2</v>
      </c>
      <c r="T75" s="22">
        <f>IFERROR(INDEX(Walmart!$S$11:$S$192,MATCH('Calculations - Walmart'!$D75,Walmart!$N$11:$N$192,0)),"")</f>
        <v>0.8</v>
      </c>
      <c r="U75" s="22">
        <f>IFERROR(INDEX(Walmart!$T$11:$T$192,MATCH('Calculations - Walmart'!$D75,Walmart!$N$11:$N$192,0)),"")</f>
        <v>0.3</v>
      </c>
      <c r="V75" s="16">
        <f t="shared" si="50"/>
        <v>11694688.390560001</v>
      </c>
      <c r="W75" s="16">
        <f t="shared" si="67"/>
        <v>3508406.5171680003</v>
      </c>
      <c r="X75" s="16">
        <f t="shared" si="68"/>
        <v>8186281.8733920008</v>
      </c>
      <c r="Y75" s="10">
        <f t="shared" si="51"/>
        <v>2.4968509047029728</v>
      </c>
      <c r="Z75" s="10">
        <f t="shared" si="52"/>
        <v>21964896.353636049</v>
      </c>
      <c r="AA75" s="13">
        <f t="shared" si="69"/>
        <v>1.645517464012982E-2</v>
      </c>
      <c r="AB75" s="9">
        <f t="shared" si="53"/>
        <v>-1.1346567458013802E-3</v>
      </c>
      <c r="AC75" s="16">
        <f t="shared" si="70"/>
        <v>13675382.640569292</v>
      </c>
      <c r="AD75" s="16">
        <f t="shared" si="54"/>
        <v>3067149.2095479495</v>
      </c>
      <c r="AE75" s="16">
        <f t="shared" si="55"/>
        <v>10940306.112455435</v>
      </c>
      <c r="AF75" s="16">
        <f t="shared" si="71"/>
        <v>3282091.8337366292</v>
      </c>
      <c r="AG75" s="16"/>
      <c r="AH75" s="32">
        <f>IFERROR(INDEX(Walmart!$R$11:$R$192,MATCH('Calculations - Walmart'!D75,Walmart!$N$11:$N$192,0)),"")</f>
        <v>4.458662329826736</v>
      </c>
      <c r="AI75" s="23">
        <f t="shared" si="72"/>
        <v>0.8</v>
      </c>
      <c r="AJ75" s="23">
        <f t="shared" si="73"/>
        <v>0.3</v>
      </c>
      <c r="AK75" s="9">
        <f t="shared" si="56"/>
        <v>0</v>
      </c>
      <c r="AL75" s="4">
        <f t="shared" si="57"/>
        <v>3278642.6526199998</v>
      </c>
      <c r="AM75" s="4"/>
      <c r="AN75" s="4"/>
      <c r="AO75" s="4"/>
      <c r="AP75" s="4"/>
      <c r="AQ75" s="4"/>
      <c r="AR75" s="20">
        <f t="shared" si="58"/>
        <v>21964896.353636049</v>
      </c>
      <c r="AS75" s="13">
        <f t="shared" si="74"/>
        <v>1.645517464012982E-2</v>
      </c>
      <c r="AT75" s="13">
        <f t="shared" si="75"/>
        <v>1.6455174640129824E-2</v>
      </c>
      <c r="AU75" s="13">
        <f t="shared" si="59"/>
        <v>-1.1346567458013768E-3</v>
      </c>
      <c r="AV75" s="16">
        <f t="shared" si="76"/>
        <v>13675382.640569294</v>
      </c>
      <c r="AW75" s="16">
        <f t="shared" si="60"/>
        <v>3067149.20954795</v>
      </c>
      <c r="AX75" s="16">
        <f t="shared" si="61"/>
        <v>10940306.112455435</v>
      </c>
      <c r="AY75" s="16">
        <f t="shared" si="77"/>
        <v>3282091.8337366283</v>
      </c>
      <c r="AZ75" s="13">
        <f t="shared" si="78"/>
        <v>8.9771342273903626E-2</v>
      </c>
      <c r="BA75" s="10">
        <f t="shared" si="79"/>
        <v>3031722.8807102628</v>
      </c>
      <c r="BB75" s="9">
        <f t="shared" si="80"/>
        <v>1.1018740599343295E-2</v>
      </c>
      <c r="BC75" s="13">
        <f t="shared" si="81"/>
        <v>0.12067493208233851</v>
      </c>
      <c r="BD75" s="10">
        <f t="shared" si="82"/>
        <v>13675382.64056929</v>
      </c>
      <c r="BE75" s="13">
        <f t="shared" si="83"/>
        <v>1.645517464012982E-2</v>
      </c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</row>
    <row r="76" spans="2:70" x14ac:dyDescent="0.3">
      <c r="B76" s="96" t="str">
        <f t="shared" si="62"/>
        <v>WALMARTMIRACLE WHIP</v>
      </c>
      <c r="C76" s="96" t="str">
        <f t="shared" si="63"/>
        <v>WALMARTMIRACLE WHIPWHIPPED DRESSING</v>
      </c>
      <c r="D76" s="96" t="str">
        <f t="shared" si="64"/>
        <v>WALMARTMIRACLE WHIPWHIPPED DRESSINGOTHER</v>
      </c>
      <c r="E76" s="3" t="s">
        <v>135</v>
      </c>
      <c r="F76" s="3" t="s">
        <v>109</v>
      </c>
      <c r="G76" s="3" t="s">
        <v>114</v>
      </c>
      <c r="H76" s="3" t="s">
        <v>115</v>
      </c>
      <c r="I76" s="20">
        <f>IFERROR(INDEX('Input - Walmart'!G$2:G$200,MATCH('Calculations - Walmart'!$D76,'Input - Walmart'!$B$2:$B$200,0)),"")</f>
        <v>1725567.60834</v>
      </c>
      <c r="J76" s="20">
        <f>IFERROR(INDEX('Input - Walmart'!H$2:H$200,MATCH('Calculations - Walmart'!$D76,'Input - Walmart'!$B$2:$B$200,0)),"")</f>
        <v>758378.98336099996</v>
      </c>
      <c r="K76" s="21">
        <f>IFERROR(INDEX('Input - Walmart'!I$2:I$200,MATCH('Calculations - Walmart'!$D76,'Input - Walmart'!$B$2:$B$200,0)),"")</f>
        <v>4.6044846821476604</v>
      </c>
      <c r="L76" s="21">
        <f>IFERROR(INDEX('Input - Walmart'!J$2:J$200,MATCH('Calculations - Walmart'!$D76,'Input - Walmart'!$B$2:$B$200,0)),"")</f>
        <v>10.476753437178999</v>
      </c>
      <c r="M76" s="20">
        <f>IFERROR(INDEX('Input - Walmart'!K$2:K$200,MATCH('Calculations - Walmart'!$D76,'Input - Walmart'!$B$2:$B$200,0)),"")</f>
        <v>7048276.6853799997</v>
      </c>
      <c r="N76" s="20">
        <f>IFERROR(INDEX('Input - Walmart'!L$2:L$200,MATCH('Calculations - Walmart'!$D76,'Input - Walmart'!$B$2:$B$200,0)),"")</f>
        <v>3862152.892891</v>
      </c>
      <c r="O76" s="21">
        <f t="shared" si="65"/>
        <v>2.2753367988819959</v>
      </c>
      <c r="P76" s="21">
        <f t="shared" si="47"/>
        <v>1.8249605546050867</v>
      </c>
      <c r="Q76" s="21">
        <f t="shared" si="66"/>
        <v>-1.3871608401511852</v>
      </c>
      <c r="R76" s="9">
        <f t="shared" si="84"/>
        <v>2.0763233537868893E-3</v>
      </c>
      <c r="S76" s="9">
        <f t="shared" si="85"/>
        <v>2.7647510283699958E-3</v>
      </c>
      <c r="T76" s="22">
        <f>IFERROR(INDEX(Walmart!$S$11:$S$192,MATCH('Calculations - Walmart'!$D76,Walmart!$N$11:$N$192,0)),"")</f>
        <v>0.8</v>
      </c>
      <c r="U76" s="22">
        <f>IFERROR(INDEX(Walmart!$T$11:$T$192,MATCH('Calculations - Walmart'!$D76,Walmart!$N$11:$N$192,0)),"")</f>
        <v>0.3</v>
      </c>
      <c r="V76" s="16">
        <f t="shared" si="50"/>
        <v>1380454.0866720001</v>
      </c>
      <c r="W76" s="16">
        <f t="shared" si="67"/>
        <v>414136.22600160004</v>
      </c>
      <c r="X76" s="16">
        <f t="shared" si="68"/>
        <v>966317.86067040008</v>
      </c>
      <c r="Y76" s="10">
        <f t="shared" si="51"/>
        <v>1.2741886073739177</v>
      </c>
      <c r="Z76" s="10">
        <f t="shared" si="52"/>
        <v>4835458.614475836</v>
      </c>
      <c r="AA76" s="13">
        <f t="shared" si="69"/>
        <v>3.6225218041217116E-3</v>
      </c>
      <c r="AB76" s="9">
        <f t="shared" si="53"/>
        <v>1.5461984503348223E-3</v>
      </c>
      <c r="AC76" s="16">
        <f t="shared" si="70"/>
        <v>3010564.9364763577</v>
      </c>
      <c r="AD76" s="16">
        <f t="shared" si="54"/>
        <v>1323129.3661472981</v>
      </c>
      <c r="AE76" s="16">
        <f t="shared" si="55"/>
        <v>2408451.9491810864</v>
      </c>
      <c r="AF76" s="16">
        <f t="shared" si="71"/>
        <v>722535.58475432615</v>
      </c>
      <c r="AG76" s="16"/>
      <c r="AH76" s="32">
        <f>IFERROR(INDEX(Walmart!$R$11:$R$192,MATCH('Calculations - Walmart'!D76,Walmart!$N$11:$N$192,0)),"")</f>
        <v>2.2753367988819959</v>
      </c>
      <c r="AI76" s="23">
        <f t="shared" si="72"/>
        <v>0.8</v>
      </c>
      <c r="AJ76" s="23">
        <f t="shared" si="73"/>
        <v>0.3</v>
      </c>
      <c r="AK76" s="9">
        <f t="shared" si="56"/>
        <v>0</v>
      </c>
      <c r="AL76" s="4">
        <f t="shared" si="57"/>
        <v>758378.98336099996</v>
      </c>
      <c r="AM76" s="4"/>
      <c r="AN76" s="4"/>
      <c r="AO76" s="4"/>
      <c r="AP76" s="4"/>
      <c r="AQ76" s="4"/>
      <c r="AR76" s="20">
        <f t="shared" si="58"/>
        <v>4835458.614475836</v>
      </c>
      <c r="AS76" s="13">
        <f t="shared" si="74"/>
        <v>3.6225218041217116E-3</v>
      </c>
      <c r="AT76" s="13">
        <f t="shared" si="75"/>
        <v>3.6225218041217124E-3</v>
      </c>
      <c r="AU76" s="13">
        <f t="shared" si="59"/>
        <v>1.5461984503348232E-3</v>
      </c>
      <c r="AV76" s="16">
        <f t="shared" si="76"/>
        <v>3010564.9364763587</v>
      </c>
      <c r="AW76" s="16">
        <f t="shared" si="60"/>
        <v>1323129.3661472986</v>
      </c>
      <c r="AX76" s="16">
        <f t="shared" si="61"/>
        <v>2408451.9491810868</v>
      </c>
      <c r="AY76" s="16">
        <f t="shared" si="77"/>
        <v>722535.58475432592</v>
      </c>
      <c r="AZ76" s="13">
        <f t="shared" si="78"/>
        <v>3.8726221349553606E-2</v>
      </c>
      <c r="BA76" s="10">
        <f t="shared" si="79"/>
        <v>1307846.8960692147</v>
      </c>
      <c r="BB76" s="9">
        <f t="shared" si="80"/>
        <v>4.7533452952226432E-3</v>
      </c>
      <c r="BC76" s="13">
        <f t="shared" si="81"/>
        <v>2.6565963731134803E-2</v>
      </c>
      <c r="BD76" s="10">
        <f t="shared" si="82"/>
        <v>3010564.9364763582</v>
      </c>
      <c r="BE76" s="13">
        <f t="shared" si="83"/>
        <v>3.6225218041217124E-3</v>
      </c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</row>
    <row r="77" spans="2:70" x14ac:dyDescent="0.3">
      <c r="B77" s="96" t="str">
        <f t="shared" si="62"/>
        <v/>
      </c>
      <c r="C77" s="96" t="str">
        <f t="shared" si="63"/>
        <v/>
      </c>
      <c r="D77" s="96" t="str">
        <f t="shared" si="64"/>
        <v/>
      </c>
      <c r="E77" s="3"/>
      <c r="F77" s="3"/>
      <c r="G77" s="3"/>
      <c r="H77" s="3"/>
      <c r="I77" s="20">
        <f>IFERROR(INDEX('Input - Walmart'!G$2:G$200,MATCH('Calculations - Walmart'!$D77,'Input - Walmart'!$B$2:$B$200,0)),"")</f>
        <v>0</v>
      </c>
      <c r="J77" s="20">
        <f>IFERROR(INDEX('Input - Walmart'!H$2:H$200,MATCH('Calculations - Walmart'!$D77,'Input - Walmart'!$B$2:$B$200,0)),"")</f>
        <v>0</v>
      </c>
      <c r="K77" s="21">
        <f>IFERROR(INDEX('Input - Walmart'!I$2:I$200,MATCH('Calculations - Walmart'!$D77,'Input - Walmart'!$B$2:$B$200,0)),"")</f>
        <v>0</v>
      </c>
      <c r="L77" s="21">
        <f>IFERROR(INDEX('Input - Walmart'!J$2:J$200,MATCH('Calculations - Walmart'!$D77,'Input - Walmart'!$B$2:$B$200,0)),"")</f>
        <v>0</v>
      </c>
      <c r="M77" s="20">
        <f>IFERROR(INDEX('Input - Walmart'!K$2:K$200,MATCH('Calculations - Walmart'!$D77,'Input - Walmart'!$B$2:$B$200,0)),"")</f>
        <v>0</v>
      </c>
      <c r="N77" s="20">
        <f>IFERROR(INDEX('Input - Walmart'!L$2:L$200,MATCH('Calculations - Walmart'!$D77,'Input - Walmart'!$B$2:$B$200,0)),"")</f>
        <v>0</v>
      </c>
      <c r="O77" s="21" t="str">
        <f t="shared" si="65"/>
        <v/>
      </c>
      <c r="P77" s="21" t="str">
        <f t="shared" si="47"/>
        <v/>
      </c>
      <c r="Q77" s="21">
        <f t="shared" si="66"/>
        <v>0</v>
      </c>
      <c r="R77" s="9">
        <f t="shared" si="84"/>
        <v>0</v>
      </c>
      <c r="S77" s="9">
        <f t="shared" si="85"/>
        <v>0</v>
      </c>
      <c r="T77" s="22" t="str">
        <f>IFERROR(INDEX(Walmart!$S$11:$S$192,MATCH('Calculations - Walmart'!$D77,Walmart!$N$11:$N$192,0)),"")</f>
        <v/>
      </c>
      <c r="U77" s="22" t="str">
        <f>IFERROR(INDEX(Walmart!$T$11:$T$192,MATCH('Calculations - Walmart'!$D77,Walmart!$N$11:$N$192,0)),"")</f>
        <v/>
      </c>
      <c r="V77" s="16" t="e">
        <f t="shared" si="50"/>
        <v>#VALUE!</v>
      </c>
      <c r="W77" s="16" t="e">
        <f t="shared" si="67"/>
        <v>#VALUE!</v>
      </c>
      <c r="X77" s="16" t="e">
        <f t="shared" si="68"/>
        <v>#VALUE!</v>
      </c>
      <c r="Y77" s="10" t="str">
        <f t="shared" si="51"/>
        <v>-</v>
      </c>
      <c r="Z77" s="10" t="str">
        <f t="shared" si="52"/>
        <v>-</v>
      </c>
      <c r="AA77" s="13" t="str">
        <f t="shared" si="69"/>
        <v>-</v>
      </c>
      <c r="AB77" s="9" t="str">
        <f t="shared" si="53"/>
        <v>-</v>
      </c>
      <c r="AC77" s="16" t="str">
        <f t="shared" si="70"/>
        <v>-</v>
      </c>
      <c r="AD77" s="16" t="str">
        <f t="shared" si="54"/>
        <v>-</v>
      </c>
      <c r="AE77" s="16" t="str">
        <f t="shared" si="55"/>
        <v>-</v>
      </c>
      <c r="AF77" s="16" t="str">
        <f t="shared" si="71"/>
        <v>-</v>
      </c>
      <c r="AG77" s="16"/>
      <c r="AH77" s="32" t="str">
        <f>IFERROR(INDEX(Walmart!$R$11:$R$192,MATCH('Calculations - Walmart'!D77,Walmart!$N$11:$N$192,0)),"")</f>
        <v/>
      </c>
      <c r="AI77" s="23" t="str">
        <f t="shared" si="72"/>
        <v/>
      </c>
      <c r="AJ77" s="23" t="str">
        <f t="shared" si="73"/>
        <v/>
      </c>
      <c r="AK77" s="9" t="str">
        <f t="shared" si="56"/>
        <v/>
      </c>
      <c r="AL77" s="4" t="str">
        <f t="shared" si="57"/>
        <v/>
      </c>
      <c r="AM77" s="4"/>
      <c r="AN77" s="4"/>
      <c r="AO77" s="4"/>
      <c r="AP77" s="4"/>
      <c r="AQ77" s="4"/>
      <c r="AR77" s="20" t="str">
        <f t="shared" si="58"/>
        <v>-</v>
      </c>
      <c r="AS77" s="13" t="str">
        <f t="shared" si="74"/>
        <v>-</v>
      </c>
      <c r="AT77" s="13" t="str">
        <f t="shared" si="75"/>
        <v>-</v>
      </c>
      <c r="AU77" s="13" t="str">
        <f t="shared" si="59"/>
        <v>-</v>
      </c>
      <c r="AV77" s="16" t="str">
        <f t="shared" si="76"/>
        <v>-</v>
      </c>
      <c r="AW77" s="16" t="str">
        <f t="shared" si="60"/>
        <v>-</v>
      </c>
      <c r="AX77" s="16" t="str">
        <f t="shared" si="61"/>
        <v>-</v>
      </c>
      <c r="AY77" s="16" t="str">
        <f t="shared" si="77"/>
        <v>-</v>
      </c>
      <c r="AZ77" s="13" t="str">
        <f t="shared" si="78"/>
        <v>-</v>
      </c>
      <c r="BA77" s="10" t="str">
        <f t="shared" si="79"/>
        <v>-</v>
      </c>
      <c r="BB77" s="9" t="str">
        <f t="shared" si="80"/>
        <v>-</v>
      </c>
      <c r="BC77" s="13" t="str">
        <f t="shared" si="81"/>
        <v>-</v>
      </c>
      <c r="BD77" s="10" t="str">
        <f t="shared" si="82"/>
        <v>-</v>
      </c>
      <c r="BE77" s="13" t="str">
        <f t="shared" si="83"/>
        <v>-</v>
      </c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</row>
    <row r="78" spans="2:70" x14ac:dyDescent="0.3">
      <c r="B78" s="96" t="str">
        <f t="shared" si="62"/>
        <v/>
      </c>
      <c r="C78" s="96" t="str">
        <f t="shared" si="63"/>
        <v/>
      </c>
      <c r="D78" s="96" t="str">
        <f t="shared" si="64"/>
        <v/>
      </c>
      <c r="E78" s="3"/>
      <c r="F78" s="3"/>
      <c r="G78" s="3"/>
      <c r="H78" s="3"/>
      <c r="I78" s="20">
        <f>IFERROR(INDEX('Input - Walmart'!G$2:G$200,MATCH('Calculations - Walmart'!$D78,'Input - Walmart'!$B$2:$B$200,0)),"")</f>
        <v>0</v>
      </c>
      <c r="J78" s="20">
        <f>IFERROR(INDEX('Input - Walmart'!H$2:H$200,MATCH('Calculations - Walmart'!$D78,'Input - Walmart'!$B$2:$B$200,0)),"")</f>
        <v>0</v>
      </c>
      <c r="K78" s="21">
        <f>IFERROR(INDEX('Input - Walmart'!I$2:I$200,MATCH('Calculations - Walmart'!$D78,'Input - Walmart'!$B$2:$B$200,0)),"")</f>
        <v>0</v>
      </c>
      <c r="L78" s="21">
        <f>IFERROR(INDEX('Input - Walmart'!J$2:J$200,MATCH('Calculations - Walmart'!$D78,'Input - Walmart'!$B$2:$B$200,0)),"")</f>
        <v>0</v>
      </c>
      <c r="M78" s="20">
        <f>IFERROR(INDEX('Input - Walmart'!K$2:K$200,MATCH('Calculations - Walmart'!$D78,'Input - Walmart'!$B$2:$B$200,0)),"")</f>
        <v>0</v>
      </c>
      <c r="N78" s="20">
        <f>IFERROR(INDEX('Input - Walmart'!L$2:L$200,MATCH('Calculations - Walmart'!$D78,'Input - Walmart'!$B$2:$B$200,0)),"")</f>
        <v>0</v>
      </c>
      <c r="O78" s="21" t="str">
        <f t="shared" si="65"/>
        <v/>
      </c>
      <c r="P78" s="21" t="str">
        <f t="shared" si="47"/>
        <v/>
      </c>
      <c r="Q78" s="21">
        <f t="shared" si="66"/>
        <v>0</v>
      </c>
      <c r="R78" s="9">
        <f t="shared" si="84"/>
        <v>0</v>
      </c>
      <c r="S78" s="9">
        <f t="shared" si="85"/>
        <v>0</v>
      </c>
      <c r="T78" s="22" t="str">
        <f>IFERROR(INDEX(Walmart!$S$11:$S$192,MATCH('Calculations - Walmart'!$D78,Walmart!$N$11:$N$192,0)),"")</f>
        <v/>
      </c>
      <c r="U78" s="22" t="str">
        <f>IFERROR(INDEX(Walmart!$T$11:$T$192,MATCH('Calculations - Walmart'!$D78,Walmart!$N$11:$N$192,0)),"")</f>
        <v/>
      </c>
      <c r="V78" s="16" t="e">
        <f t="shared" si="50"/>
        <v>#VALUE!</v>
      </c>
      <c r="W78" s="16" t="e">
        <f t="shared" si="67"/>
        <v>#VALUE!</v>
      </c>
      <c r="X78" s="16" t="e">
        <f t="shared" si="68"/>
        <v>#VALUE!</v>
      </c>
      <c r="Y78" s="10" t="str">
        <f t="shared" si="51"/>
        <v>-</v>
      </c>
      <c r="Z78" s="10" t="str">
        <f t="shared" si="52"/>
        <v>-</v>
      </c>
      <c r="AA78" s="13" t="str">
        <f t="shared" si="69"/>
        <v>-</v>
      </c>
      <c r="AB78" s="9" t="str">
        <f t="shared" si="53"/>
        <v>-</v>
      </c>
      <c r="AC78" s="16" t="str">
        <f t="shared" si="70"/>
        <v>-</v>
      </c>
      <c r="AD78" s="16" t="str">
        <f t="shared" si="54"/>
        <v>-</v>
      </c>
      <c r="AE78" s="16" t="str">
        <f t="shared" si="55"/>
        <v>-</v>
      </c>
      <c r="AF78" s="16" t="str">
        <f t="shared" si="71"/>
        <v>-</v>
      </c>
      <c r="AG78" s="16"/>
      <c r="AH78" s="32" t="str">
        <f>IFERROR(INDEX(Walmart!$R$11:$R$192,MATCH('Calculations - Walmart'!D78,Walmart!$N$11:$N$192,0)),"")</f>
        <v/>
      </c>
      <c r="AI78" s="23" t="str">
        <f t="shared" si="72"/>
        <v/>
      </c>
      <c r="AJ78" s="23" t="str">
        <f t="shared" si="73"/>
        <v/>
      </c>
      <c r="AK78" s="9" t="str">
        <f t="shared" si="56"/>
        <v/>
      </c>
      <c r="AL78" s="4" t="str">
        <f t="shared" si="57"/>
        <v/>
      </c>
      <c r="AM78" s="4"/>
      <c r="AN78" s="4"/>
      <c r="AO78" s="4"/>
      <c r="AP78" s="4"/>
      <c r="AQ78" s="4"/>
      <c r="AR78" s="20" t="str">
        <f t="shared" si="58"/>
        <v>-</v>
      </c>
      <c r="AS78" s="13" t="str">
        <f t="shared" si="74"/>
        <v>-</v>
      </c>
      <c r="AT78" s="13" t="str">
        <f t="shared" si="75"/>
        <v>-</v>
      </c>
      <c r="AU78" s="13" t="str">
        <f t="shared" si="59"/>
        <v>-</v>
      </c>
      <c r="AV78" s="16" t="str">
        <f t="shared" si="76"/>
        <v>-</v>
      </c>
      <c r="AW78" s="16" t="str">
        <f t="shared" si="60"/>
        <v>-</v>
      </c>
      <c r="AX78" s="16" t="str">
        <f t="shared" si="61"/>
        <v>-</v>
      </c>
      <c r="AY78" s="16" t="str">
        <f t="shared" si="77"/>
        <v>-</v>
      </c>
      <c r="AZ78" s="13" t="str">
        <f t="shared" si="78"/>
        <v>-</v>
      </c>
      <c r="BA78" s="10" t="str">
        <f t="shared" si="79"/>
        <v>-</v>
      </c>
      <c r="BB78" s="9" t="str">
        <f t="shared" si="80"/>
        <v>-</v>
      </c>
      <c r="BC78" s="13" t="str">
        <f t="shared" si="81"/>
        <v>-</v>
      </c>
      <c r="BD78" s="10" t="str">
        <f t="shared" si="82"/>
        <v>-</v>
      </c>
      <c r="BE78" s="13" t="str">
        <f t="shared" si="83"/>
        <v>-</v>
      </c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</row>
    <row r="79" spans="2:70" x14ac:dyDescent="0.3">
      <c r="B79" s="96" t="str">
        <f t="shared" si="62"/>
        <v/>
      </c>
      <c r="C79" s="96" t="str">
        <f t="shared" si="63"/>
        <v/>
      </c>
      <c r="D79" s="96" t="str">
        <f t="shared" si="64"/>
        <v/>
      </c>
      <c r="E79" s="3"/>
      <c r="F79" s="3"/>
      <c r="G79" s="3"/>
      <c r="H79" s="3"/>
      <c r="I79" s="20">
        <f>IFERROR(INDEX('Input - Walmart'!G$2:G$200,MATCH('Calculations - Walmart'!$D79,'Input - Walmart'!$B$2:$B$200,0)),"")</f>
        <v>0</v>
      </c>
      <c r="J79" s="20">
        <f>IFERROR(INDEX('Input - Walmart'!H$2:H$200,MATCH('Calculations - Walmart'!$D79,'Input - Walmart'!$B$2:$B$200,0)),"")</f>
        <v>0</v>
      </c>
      <c r="K79" s="21">
        <f>IFERROR(INDEX('Input - Walmart'!I$2:I$200,MATCH('Calculations - Walmart'!$D79,'Input - Walmart'!$B$2:$B$200,0)),"")</f>
        <v>0</v>
      </c>
      <c r="L79" s="21">
        <f>IFERROR(INDEX('Input - Walmart'!J$2:J$200,MATCH('Calculations - Walmart'!$D79,'Input - Walmart'!$B$2:$B$200,0)),"")</f>
        <v>0</v>
      </c>
      <c r="M79" s="20">
        <f>IFERROR(INDEX('Input - Walmart'!K$2:K$200,MATCH('Calculations - Walmart'!$D79,'Input - Walmart'!$B$2:$B$200,0)),"")</f>
        <v>0</v>
      </c>
      <c r="N79" s="20">
        <f>IFERROR(INDEX('Input - Walmart'!L$2:L$200,MATCH('Calculations - Walmart'!$D79,'Input - Walmart'!$B$2:$B$200,0)),"")</f>
        <v>0</v>
      </c>
      <c r="O79" s="21" t="str">
        <f t="shared" si="65"/>
        <v/>
      </c>
      <c r="P79" s="21" t="str">
        <f t="shared" si="47"/>
        <v/>
      </c>
      <c r="Q79" s="21">
        <f t="shared" si="66"/>
        <v>0</v>
      </c>
      <c r="R79" s="9">
        <f t="shared" si="84"/>
        <v>0</v>
      </c>
      <c r="S79" s="9">
        <f t="shared" si="85"/>
        <v>0</v>
      </c>
      <c r="T79" s="22" t="str">
        <f>IFERROR(INDEX(Walmart!$S$11:$S$192,MATCH('Calculations - Walmart'!$D79,Walmart!$N$11:$N$192,0)),"")</f>
        <v/>
      </c>
      <c r="U79" s="22" t="str">
        <f>IFERROR(INDEX(Walmart!$T$11:$T$192,MATCH('Calculations - Walmart'!$D79,Walmart!$N$11:$N$192,0)),"")</f>
        <v/>
      </c>
      <c r="V79" s="16" t="e">
        <f t="shared" si="50"/>
        <v>#VALUE!</v>
      </c>
      <c r="W79" s="16" t="e">
        <f t="shared" si="67"/>
        <v>#VALUE!</v>
      </c>
      <c r="X79" s="16" t="e">
        <f t="shared" si="68"/>
        <v>#VALUE!</v>
      </c>
      <c r="Y79" s="10" t="str">
        <f t="shared" si="51"/>
        <v>-</v>
      </c>
      <c r="Z79" s="10" t="str">
        <f t="shared" si="52"/>
        <v>-</v>
      </c>
      <c r="AA79" s="13" t="str">
        <f t="shared" si="69"/>
        <v>-</v>
      </c>
      <c r="AB79" s="9" t="str">
        <f t="shared" si="53"/>
        <v>-</v>
      </c>
      <c r="AC79" s="16" t="str">
        <f t="shared" si="70"/>
        <v>-</v>
      </c>
      <c r="AD79" s="16" t="str">
        <f t="shared" si="54"/>
        <v>-</v>
      </c>
      <c r="AE79" s="16" t="str">
        <f t="shared" si="55"/>
        <v>-</v>
      </c>
      <c r="AF79" s="16" t="str">
        <f t="shared" si="71"/>
        <v>-</v>
      </c>
      <c r="AG79" s="16"/>
      <c r="AH79" s="32" t="str">
        <f>IFERROR(INDEX(Walmart!$R$11:$R$192,MATCH('Calculations - Walmart'!D79,Walmart!$N$11:$N$192,0)),"")</f>
        <v/>
      </c>
      <c r="AI79" s="23" t="str">
        <f t="shared" si="72"/>
        <v/>
      </c>
      <c r="AJ79" s="23" t="str">
        <f t="shared" si="73"/>
        <v/>
      </c>
      <c r="AK79" s="9" t="str">
        <f t="shared" si="56"/>
        <v/>
      </c>
      <c r="AL79" s="4" t="str">
        <f t="shared" si="57"/>
        <v/>
      </c>
      <c r="AM79" s="4"/>
      <c r="AN79" s="4"/>
      <c r="AO79" s="4"/>
      <c r="AP79" s="4"/>
      <c r="AQ79" s="4"/>
      <c r="AR79" s="20" t="str">
        <f t="shared" si="58"/>
        <v>-</v>
      </c>
      <c r="AS79" s="13" t="str">
        <f t="shared" si="74"/>
        <v>-</v>
      </c>
      <c r="AT79" s="13" t="str">
        <f t="shared" si="75"/>
        <v>-</v>
      </c>
      <c r="AU79" s="13" t="str">
        <f t="shared" si="59"/>
        <v>-</v>
      </c>
      <c r="AV79" s="16" t="str">
        <f t="shared" si="76"/>
        <v>-</v>
      </c>
      <c r="AW79" s="16" t="str">
        <f t="shared" si="60"/>
        <v>-</v>
      </c>
      <c r="AX79" s="16" t="str">
        <f t="shared" si="61"/>
        <v>-</v>
      </c>
      <c r="AY79" s="16" t="str">
        <f t="shared" si="77"/>
        <v>-</v>
      </c>
      <c r="AZ79" s="13" t="str">
        <f t="shared" si="78"/>
        <v>-</v>
      </c>
      <c r="BA79" s="10" t="str">
        <f t="shared" si="79"/>
        <v>-</v>
      </c>
      <c r="BB79" s="9" t="str">
        <f t="shared" si="80"/>
        <v>-</v>
      </c>
      <c r="BC79" s="13" t="str">
        <f t="shared" si="81"/>
        <v>-</v>
      </c>
      <c r="BD79" s="10" t="str">
        <f t="shared" si="82"/>
        <v>-</v>
      </c>
      <c r="BE79" s="13" t="str">
        <f t="shared" si="83"/>
        <v>-</v>
      </c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</row>
    <row r="80" spans="2:70" x14ac:dyDescent="0.3">
      <c r="B80" s="96" t="str">
        <f t="shared" si="62"/>
        <v/>
      </c>
      <c r="C80" s="96" t="str">
        <f t="shared" si="63"/>
        <v/>
      </c>
      <c r="D80" s="96" t="str">
        <f t="shared" si="64"/>
        <v/>
      </c>
      <c r="E80" s="3"/>
      <c r="F80" s="3"/>
      <c r="G80" s="3"/>
      <c r="H80" s="3"/>
      <c r="I80" s="20">
        <f>IFERROR(INDEX('Input - Walmart'!G$2:G$200,MATCH('Calculations - Walmart'!$D80,'Input - Walmart'!$B$2:$B$200,0)),"")</f>
        <v>0</v>
      </c>
      <c r="J80" s="20">
        <f>IFERROR(INDEX('Input - Walmart'!H$2:H$200,MATCH('Calculations - Walmart'!$D80,'Input - Walmart'!$B$2:$B$200,0)),"")</f>
        <v>0</v>
      </c>
      <c r="K80" s="21">
        <f>IFERROR(INDEX('Input - Walmart'!I$2:I$200,MATCH('Calculations - Walmart'!$D80,'Input - Walmart'!$B$2:$B$200,0)),"")</f>
        <v>0</v>
      </c>
      <c r="L80" s="21">
        <f>IFERROR(INDEX('Input - Walmart'!J$2:J$200,MATCH('Calculations - Walmart'!$D80,'Input - Walmart'!$B$2:$B$200,0)),"")</f>
        <v>0</v>
      </c>
      <c r="M80" s="20">
        <f>IFERROR(INDEX('Input - Walmart'!K$2:K$200,MATCH('Calculations - Walmart'!$D80,'Input - Walmart'!$B$2:$B$200,0)),"")</f>
        <v>0</v>
      </c>
      <c r="N80" s="20">
        <f>IFERROR(INDEX('Input - Walmart'!L$2:L$200,MATCH('Calculations - Walmart'!$D80,'Input - Walmart'!$B$2:$B$200,0)),"")</f>
        <v>0</v>
      </c>
      <c r="O80" s="21" t="str">
        <f t="shared" si="65"/>
        <v/>
      </c>
      <c r="P80" s="21" t="str">
        <f t="shared" si="47"/>
        <v/>
      </c>
      <c r="Q80" s="21">
        <f t="shared" si="66"/>
        <v>0</v>
      </c>
      <c r="R80" s="9">
        <f t="shared" si="84"/>
        <v>0</v>
      </c>
      <c r="S80" s="9">
        <f t="shared" si="85"/>
        <v>0</v>
      </c>
      <c r="T80" s="22" t="str">
        <f>IFERROR(INDEX(Walmart!$S$11:$S$192,MATCH('Calculations - Walmart'!$D80,Walmart!$N$11:$N$192,0)),"")</f>
        <v/>
      </c>
      <c r="U80" s="22" t="str">
        <f>IFERROR(INDEX(Walmart!$T$11:$T$192,MATCH('Calculations - Walmart'!$D80,Walmart!$N$11:$N$192,0)),"")</f>
        <v/>
      </c>
      <c r="V80" s="16" t="e">
        <f t="shared" si="50"/>
        <v>#VALUE!</v>
      </c>
      <c r="W80" s="16" t="e">
        <f t="shared" si="67"/>
        <v>#VALUE!</v>
      </c>
      <c r="X80" s="16" t="e">
        <f t="shared" si="68"/>
        <v>#VALUE!</v>
      </c>
      <c r="Y80" s="10" t="str">
        <f t="shared" si="51"/>
        <v>-</v>
      </c>
      <c r="Z80" s="10" t="str">
        <f t="shared" si="52"/>
        <v>-</v>
      </c>
      <c r="AA80" s="13" t="str">
        <f t="shared" si="69"/>
        <v>-</v>
      </c>
      <c r="AB80" s="9" t="str">
        <f t="shared" si="53"/>
        <v>-</v>
      </c>
      <c r="AC80" s="16" t="str">
        <f t="shared" si="70"/>
        <v>-</v>
      </c>
      <c r="AD80" s="16" t="str">
        <f t="shared" si="54"/>
        <v>-</v>
      </c>
      <c r="AE80" s="16" t="str">
        <f t="shared" si="55"/>
        <v>-</v>
      </c>
      <c r="AF80" s="16" t="str">
        <f t="shared" si="71"/>
        <v>-</v>
      </c>
      <c r="AG80" s="16"/>
      <c r="AH80" s="32" t="str">
        <f>IFERROR(INDEX(Walmart!$R$11:$R$192,MATCH('Calculations - Walmart'!D80,Walmart!$N$11:$N$192,0)),"")</f>
        <v/>
      </c>
      <c r="AI80" s="23" t="str">
        <f t="shared" si="72"/>
        <v/>
      </c>
      <c r="AJ80" s="23" t="str">
        <f t="shared" si="73"/>
        <v/>
      </c>
      <c r="AK80" s="9" t="str">
        <f t="shared" si="56"/>
        <v/>
      </c>
      <c r="AL80" s="4" t="str">
        <f t="shared" si="57"/>
        <v/>
      </c>
      <c r="AM80" s="4"/>
      <c r="AN80" s="4"/>
      <c r="AO80" s="4"/>
      <c r="AP80" s="4"/>
      <c r="AQ80" s="4"/>
      <c r="AR80" s="20" t="str">
        <f t="shared" si="58"/>
        <v>-</v>
      </c>
      <c r="AS80" s="13" t="str">
        <f t="shared" si="74"/>
        <v>-</v>
      </c>
      <c r="AT80" s="13" t="str">
        <f t="shared" si="75"/>
        <v>-</v>
      </c>
      <c r="AU80" s="13" t="str">
        <f t="shared" si="59"/>
        <v>-</v>
      </c>
      <c r="AV80" s="16" t="str">
        <f t="shared" si="76"/>
        <v>-</v>
      </c>
      <c r="AW80" s="16" t="str">
        <f t="shared" si="60"/>
        <v>-</v>
      </c>
      <c r="AX80" s="16" t="str">
        <f t="shared" si="61"/>
        <v>-</v>
      </c>
      <c r="AY80" s="16" t="str">
        <f t="shared" si="77"/>
        <v>-</v>
      </c>
      <c r="AZ80" s="13" t="str">
        <f t="shared" si="78"/>
        <v>-</v>
      </c>
      <c r="BA80" s="10" t="str">
        <f t="shared" si="79"/>
        <v>-</v>
      </c>
      <c r="BB80" s="9" t="str">
        <f t="shared" si="80"/>
        <v>-</v>
      </c>
      <c r="BC80" s="13" t="str">
        <f t="shared" si="81"/>
        <v>-</v>
      </c>
      <c r="BD80" s="10" t="str">
        <f t="shared" si="82"/>
        <v>-</v>
      </c>
      <c r="BE80" s="13" t="str">
        <f t="shared" si="83"/>
        <v>-</v>
      </c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</row>
    <row r="81" spans="2:70" x14ac:dyDescent="0.3">
      <c r="B81" s="96" t="str">
        <f t="shared" si="62"/>
        <v/>
      </c>
      <c r="C81" s="96" t="str">
        <f t="shared" si="63"/>
        <v/>
      </c>
      <c r="D81" s="96" t="str">
        <f t="shared" si="64"/>
        <v/>
      </c>
      <c r="E81" s="3"/>
      <c r="F81" s="3"/>
      <c r="G81" s="3"/>
      <c r="H81" s="3"/>
      <c r="I81" s="20">
        <f>IFERROR(INDEX('Input - Walmart'!G$2:G$200,MATCH('Calculations - Walmart'!$D81,'Input - Walmart'!$B$2:$B$200,0)),"")</f>
        <v>0</v>
      </c>
      <c r="J81" s="20">
        <f>IFERROR(INDEX('Input - Walmart'!H$2:H$200,MATCH('Calculations - Walmart'!$D81,'Input - Walmart'!$B$2:$B$200,0)),"")</f>
        <v>0</v>
      </c>
      <c r="K81" s="21">
        <f>IFERROR(INDEX('Input - Walmart'!I$2:I$200,MATCH('Calculations - Walmart'!$D81,'Input - Walmart'!$B$2:$B$200,0)),"")</f>
        <v>0</v>
      </c>
      <c r="L81" s="21">
        <f>IFERROR(INDEX('Input - Walmart'!J$2:J$200,MATCH('Calculations - Walmart'!$D81,'Input - Walmart'!$B$2:$B$200,0)),"")</f>
        <v>0</v>
      </c>
      <c r="M81" s="20">
        <f>IFERROR(INDEX('Input - Walmart'!K$2:K$200,MATCH('Calculations - Walmart'!$D81,'Input - Walmart'!$B$2:$B$200,0)),"")</f>
        <v>0</v>
      </c>
      <c r="N81" s="20">
        <f>IFERROR(INDEX('Input - Walmart'!L$2:L$200,MATCH('Calculations - Walmart'!$D81,'Input - Walmart'!$B$2:$B$200,0)),"")</f>
        <v>0</v>
      </c>
      <c r="O81" s="21" t="str">
        <f t="shared" si="65"/>
        <v/>
      </c>
      <c r="P81" s="21" t="str">
        <f t="shared" si="47"/>
        <v/>
      </c>
      <c r="Q81" s="21">
        <f t="shared" si="66"/>
        <v>0</v>
      </c>
      <c r="R81" s="9">
        <f t="shared" si="84"/>
        <v>0</v>
      </c>
      <c r="S81" s="9">
        <f t="shared" si="85"/>
        <v>0</v>
      </c>
      <c r="T81" s="22" t="str">
        <f>IFERROR(INDEX(Walmart!$S$11:$S$192,MATCH('Calculations - Walmart'!$D81,Walmart!$N$11:$N$192,0)),"")</f>
        <v/>
      </c>
      <c r="U81" s="22" t="str">
        <f>IFERROR(INDEX(Walmart!$T$11:$T$192,MATCH('Calculations - Walmart'!$D81,Walmart!$N$11:$N$192,0)),"")</f>
        <v/>
      </c>
      <c r="V81" s="16" t="e">
        <f t="shared" si="50"/>
        <v>#VALUE!</v>
      </c>
      <c r="W81" s="16" t="e">
        <f t="shared" si="67"/>
        <v>#VALUE!</v>
      </c>
      <c r="X81" s="16" t="e">
        <f t="shared" si="68"/>
        <v>#VALUE!</v>
      </c>
      <c r="Y81" s="10" t="str">
        <f t="shared" si="51"/>
        <v>-</v>
      </c>
      <c r="Z81" s="10" t="str">
        <f t="shared" si="52"/>
        <v>-</v>
      </c>
      <c r="AA81" s="13" t="str">
        <f t="shared" si="69"/>
        <v>-</v>
      </c>
      <c r="AB81" s="9" t="str">
        <f t="shared" si="53"/>
        <v>-</v>
      </c>
      <c r="AC81" s="16" t="str">
        <f t="shared" si="70"/>
        <v>-</v>
      </c>
      <c r="AD81" s="16" t="str">
        <f t="shared" si="54"/>
        <v>-</v>
      </c>
      <c r="AE81" s="16" t="str">
        <f t="shared" si="55"/>
        <v>-</v>
      </c>
      <c r="AF81" s="16" t="str">
        <f t="shared" si="71"/>
        <v>-</v>
      </c>
      <c r="AG81" s="16"/>
      <c r="AH81" s="32" t="str">
        <f>IFERROR(INDEX(Walmart!$R$11:$R$192,MATCH('Calculations - Walmart'!D81,Walmart!$N$11:$N$192,0)),"")</f>
        <v/>
      </c>
      <c r="AI81" s="23" t="str">
        <f t="shared" si="72"/>
        <v/>
      </c>
      <c r="AJ81" s="23" t="str">
        <f t="shared" si="73"/>
        <v/>
      </c>
      <c r="AK81" s="9" t="str">
        <f t="shared" si="56"/>
        <v/>
      </c>
      <c r="AL81" s="4" t="str">
        <f t="shared" si="57"/>
        <v/>
      </c>
      <c r="AM81" s="4"/>
      <c r="AN81" s="4"/>
      <c r="AO81" s="4"/>
      <c r="AP81" s="4"/>
      <c r="AQ81" s="4"/>
      <c r="AR81" s="20" t="str">
        <f t="shared" si="58"/>
        <v>-</v>
      </c>
      <c r="AS81" s="13" t="str">
        <f t="shared" si="74"/>
        <v>-</v>
      </c>
      <c r="AT81" s="13" t="str">
        <f t="shared" si="75"/>
        <v>-</v>
      </c>
      <c r="AU81" s="13" t="str">
        <f t="shared" si="59"/>
        <v>-</v>
      </c>
      <c r="AV81" s="16" t="str">
        <f t="shared" si="76"/>
        <v>-</v>
      </c>
      <c r="AW81" s="16" t="str">
        <f t="shared" si="60"/>
        <v>-</v>
      </c>
      <c r="AX81" s="16" t="str">
        <f t="shared" si="61"/>
        <v>-</v>
      </c>
      <c r="AY81" s="16" t="str">
        <f t="shared" si="77"/>
        <v>-</v>
      </c>
      <c r="AZ81" s="13" t="str">
        <f t="shared" si="78"/>
        <v>-</v>
      </c>
      <c r="BA81" s="10" t="str">
        <f t="shared" si="79"/>
        <v>-</v>
      </c>
      <c r="BB81" s="9" t="str">
        <f t="shared" si="80"/>
        <v>-</v>
      </c>
      <c r="BC81" s="13" t="str">
        <f t="shared" si="81"/>
        <v>-</v>
      </c>
      <c r="BD81" s="10" t="str">
        <f t="shared" si="82"/>
        <v>-</v>
      </c>
      <c r="BE81" s="13" t="str">
        <f t="shared" si="83"/>
        <v>-</v>
      </c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</row>
    <row r="82" spans="2:70" x14ac:dyDescent="0.3">
      <c r="B82" s="96" t="str">
        <f t="shared" si="62"/>
        <v/>
      </c>
      <c r="C82" s="96" t="str">
        <f t="shared" si="63"/>
        <v/>
      </c>
      <c r="D82" s="96" t="str">
        <f t="shared" si="64"/>
        <v/>
      </c>
      <c r="E82" s="3"/>
      <c r="F82" s="3"/>
      <c r="G82" s="3"/>
      <c r="H82" s="3"/>
      <c r="I82" s="20">
        <f>IFERROR(INDEX('Input - Walmart'!G$2:G$200,MATCH('Calculations - Walmart'!$D82,'Input - Walmart'!$B$2:$B$200,0)),"")</f>
        <v>0</v>
      </c>
      <c r="J82" s="20">
        <f>IFERROR(INDEX('Input - Walmart'!H$2:H$200,MATCH('Calculations - Walmart'!$D82,'Input - Walmart'!$B$2:$B$200,0)),"")</f>
        <v>0</v>
      </c>
      <c r="K82" s="21">
        <f>IFERROR(INDEX('Input - Walmart'!I$2:I$200,MATCH('Calculations - Walmart'!$D82,'Input - Walmart'!$B$2:$B$200,0)),"")</f>
        <v>0</v>
      </c>
      <c r="L82" s="21">
        <f>IFERROR(INDEX('Input - Walmart'!J$2:J$200,MATCH('Calculations - Walmart'!$D82,'Input - Walmart'!$B$2:$B$200,0)),"")</f>
        <v>0</v>
      </c>
      <c r="M82" s="20">
        <f>IFERROR(INDEX('Input - Walmart'!K$2:K$200,MATCH('Calculations - Walmart'!$D82,'Input - Walmart'!$B$2:$B$200,0)),"")</f>
        <v>0</v>
      </c>
      <c r="N82" s="20">
        <f>IFERROR(INDEX('Input - Walmart'!L$2:L$200,MATCH('Calculations - Walmart'!$D82,'Input - Walmart'!$B$2:$B$200,0)),"")</f>
        <v>0</v>
      </c>
      <c r="O82" s="21" t="str">
        <f t="shared" si="65"/>
        <v/>
      </c>
      <c r="P82" s="21" t="str">
        <f t="shared" si="47"/>
        <v/>
      </c>
      <c r="Q82" s="21">
        <f t="shared" si="66"/>
        <v>0</v>
      </c>
      <c r="R82" s="9">
        <f t="shared" si="84"/>
        <v>0</v>
      </c>
      <c r="S82" s="9">
        <f t="shared" si="85"/>
        <v>0</v>
      </c>
      <c r="T82" s="22" t="str">
        <f>IFERROR(INDEX(Walmart!$S$11:$S$192,MATCH('Calculations - Walmart'!$D82,Walmart!$N$11:$N$192,0)),"")</f>
        <v/>
      </c>
      <c r="U82" s="22" t="str">
        <f>IFERROR(INDEX(Walmart!$T$11:$T$192,MATCH('Calculations - Walmart'!$D82,Walmart!$N$11:$N$192,0)),"")</f>
        <v/>
      </c>
      <c r="V82" s="16" t="e">
        <f t="shared" si="50"/>
        <v>#VALUE!</v>
      </c>
      <c r="W82" s="16" t="e">
        <f t="shared" si="67"/>
        <v>#VALUE!</v>
      </c>
      <c r="X82" s="16" t="e">
        <f t="shared" si="68"/>
        <v>#VALUE!</v>
      </c>
      <c r="Y82" s="10" t="str">
        <f t="shared" si="51"/>
        <v>-</v>
      </c>
      <c r="Z82" s="10" t="str">
        <f t="shared" si="52"/>
        <v>-</v>
      </c>
      <c r="AA82" s="13" t="str">
        <f t="shared" si="69"/>
        <v>-</v>
      </c>
      <c r="AB82" s="9" t="str">
        <f t="shared" si="53"/>
        <v>-</v>
      </c>
      <c r="AC82" s="16" t="str">
        <f t="shared" si="70"/>
        <v>-</v>
      </c>
      <c r="AD82" s="16" t="str">
        <f t="shared" si="54"/>
        <v>-</v>
      </c>
      <c r="AE82" s="16" t="str">
        <f t="shared" si="55"/>
        <v>-</v>
      </c>
      <c r="AF82" s="16" t="str">
        <f t="shared" si="71"/>
        <v>-</v>
      </c>
      <c r="AG82" s="16"/>
      <c r="AH82" s="32" t="str">
        <f>IFERROR(INDEX(Walmart!$R$11:$R$192,MATCH('Calculations - Walmart'!D82,Walmart!$N$11:$N$192,0)),"")</f>
        <v/>
      </c>
      <c r="AI82" s="23" t="str">
        <f t="shared" si="72"/>
        <v/>
      </c>
      <c r="AJ82" s="23" t="str">
        <f t="shared" si="73"/>
        <v/>
      </c>
      <c r="AK82" s="9" t="str">
        <f t="shared" si="56"/>
        <v/>
      </c>
      <c r="AL82" s="4" t="str">
        <f t="shared" si="57"/>
        <v/>
      </c>
      <c r="AM82" s="4"/>
      <c r="AN82" s="4"/>
      <c r="AO82" s="4"/>
      <c r="AP82" s="4"/>
      <c r="AQ82" s="4"/>
      <c r="AR82" s="20" t="str">
        <f t="shared" si="58"/>
        <v>-</v>
      </c>
      <c r="AS82" s="13" t="str">
        <f t="shared" si="74"/>
        <v>-</v>
      </c>
      <c r="AT82" s="13" t="str">
        <f t="shared" si="75"/>
        <v>-</v>
      </c>
      <c r="AU82" s="13" t="str">
        <f t="shared" si="59"/>
        <v>-</v>
      </c>
      <c r="AV82" s="16" t="str">
        <f t="shared" si="76"/>
        <v>-</v>
      </c>
      <c r="AW82" s="16" t="str">
        <f t="shared" si="60"/>
        <v>-</v>
      </c>
      <c r="AX82" s="16" t="str">
        <f t="shared" si="61"/>
        <v>-</v>
      </c>
      <c r="AY82" s="16" t="str">
        <f t="shared" si="77"/>
        <v>-</v>
      </c>
      <c r="AZ82" s="13" t="str">
        <f t="shared" si="78"/>
        <v>-</v>
      </c>
      <c r="BA82" s="10" t="str">
        <f t="shared" si="79"/>
        <v>-</v>
      </c>
      <c r="BB82" s="9" t="str">
        <f t="shared" si="80"/>
        <v>-</v>
      </c>
      <c r="BC82" s="13" t="str">
        <f t="shared" si="81"/>
        <v>-</v>
      </c>
      <c r="BD82" s="10" t="str">
        <f t="shared" si="82"/>
        <v>-</v>
      </c>
      <c r="BE82" s="13" t="str">
        <f t="shared" si="83"/>
        <v>-</v>
      </c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</row>
    <row r="83" spans="2:70" x14ac:dyDescent="0.3">
      <c r="B83" s="96" t="str">
        <f t="shared" si="62"/>
        <v/>
      </c>
      <c r="C83" s="96" t="str">
        <f t="shared" si="63"/>
        <v/>
      </c>
      <c r="D83" s="96" t="str">
        <f t="shared" si="64"/>
        <v/>
      </c>
      <c r="E83" s="3"/>
      <c r="F83" s="3"/>
      <c r="G83" s="3"/>
      <c r="H83" s="3"/>
      <c r="I83" s="20">
        <f>IFERROR(INDEX('Input - Walmart'!G$2:G$200,MATCH('Calculations - Walmart'!$D83,'Input - Walmart'!$B$2:$B$200,0)),"")</f>
        <v>0</v>
      </c>
      <c r="J83" s="20">
        <f>IFERROR(INDEX('Input - Walmart'!H$2:H$200,MATCH('Calculations - Walmart'!$D83,'Input - Walmart'!$B$2:$B$200,0)),"")</f>
        <v>0</v>
      </c>
      <c r="K83" s="21">
        <f>IFERROR(INDEX('Input - Walmart'!I$2:I$200,MATCH('Calculations - Walmart'!$D83,'Input - Walmart'!$B$2:$B$200,0)),"")</f>
        <v>0</v>
      </c>
      <c r="L83" s="21">
        <f>IFERROR(INDEX('Input - Walmart'!J$2:J$200,MATCH('Calculations - Walmart'!$D83,'Input - Walmart'!$B$2:$B$200,0)),"")</f>
        <v>0</v>
      </c>
      <c r="M83" s="20">
        <f>IFERROR(INDEX('Input - Walmart'!K$2:K$200,MATCH('Calculations - Walmart'!$D83,'Input - Walmart'!$B$2:$B$200,0)),"")</f>
        <v>0</v>
      </c>
      <c r="N83" s="20">
        <f>IFERROR(INDEX('Input - Walmart'!L$2:L$200,MATCH('Calculations - Walmart'!$D83,'Input - Walmart'!$B$2:$B$200,0)),"")</f>
        <v>0</v>
      </c>
      <c r="O83" s="21" t="str">
        <f t="shared" si="65"/>
        <v/>
      </c>
      <c r="P83" s="21" t="str">
        <f t="shared" si="47"/>
        <v/>
      </c>
      <c r="Q83" s="21">
        <f t="shared" si="66"/>
        <v>0</v>
      </c>
      <c r="R83" s="9">
        <f t="shared" si="84"/>
        <v>0</v>
      </c>
      <c r="S83" s="9">
        <f t="shared" si="85"/>
        <v>0</v>
      </c>
      <c r="T83" s="22" t="str">
        <f>IFERROR(INDEX(Walmart!$S$11:$S$192,MATCH('Calculations - Walmart'!$D83,Walmart!$N$11:$N$192,0)),"")</f>
        <v/>
      </c>
      <c r="U83" s="22" t="str">
        <f>IFERROR(INDEX(Walmart!$T$11:$T$192,MATCH('Calculations - Walmart'!$D83,Walmart!$N$11:$N$192,0)),"")</f>
        <v/>
      </c>
      <c r="V83" s="16" t="e">
        <f t="shared" si="50"/>
        <v>#VALUE!</v>
      </c>
      <c r="W83" s="16" t="e">
        <f t="shared" si="67"/>
        <v>#VALUE!</v>
      </c>
      <c r="X83" s="16" t="e">
        <f t="shared" si="68"/>
        <v>#VALUE!</v>
      </c>
      <c r="Y83" s="10" t="str">
        <f t="shared" si="51"/>
        <v>-</v>
      </c>
      <c r="Z83" s="10" t="str">
        <f t="shared" si="52"/>
        <v>-</v>
      </c>
      <c r="AA83" s="13" t="str">
        <f t="shared" si="69"/>
        <v>-</v>
      </c>
      <c r="AB83" s="9" t="str">
        <f t="shared" si="53"/>
        <v>-</v>
      </c>
      <c r="AC83" s="16" t="str">
        <f t="shared" si="70"/>
        <v>-</v>
      </c>
      <c r="AD83" s="16" t="str">
        <f t="shared" si="54"/>
        <v>-</v>
      </c>
      <c r="AE83" s="16" t="str">
        <f t="shared" si="55"/>
        <v>-</v>
      </c>
      <c r="AF83" s="16" t="str">
        <f t="shared" si="71"/>
        <v>-</v>
      </c>
      <c r="AG83" s="16"/>
      <c r="AH83" s="32" t="str">
        <f>IFERROR(INDEX(Walmart!$R$11:$R$192,MATCH('Calculations - Walmart'!D83,Walmart!$N$11:$N$192,0)),"")</f>
        <v/>
      </c>
      <c r="AI83" s="23" t="str">
        <f t="shared" si="72"/>
        <v/>
      </c>
      <c r="AJ83" s="23" t="str">
        <f t="shared" si="73"/>
        <v/>
      </c>
      <c r="AK83" s="9" t="str">
        <f t="shared" si="56"/>
        <v/>
      </c>
      <c r="AL83" s="4" t="str">
        <f t="shared" si="57"/>
        <v/>
      </c>
      <c r="AM83" s="4"/>
      <c r="AN83" s="4"/>
      <c r="AO83" s="4"/>
      <c r="AP83" s="4"/>
      <c r="AQ83" s="4"/>
      <c r="AR83" s="20" t="str">
        <f t="shared" si="58"/>
        <v>-</v>
      </c>
      <c r="AS83" s="13" t="str">
        <f t="shared" si="74"/>
        <v>-</v>
      </c>
      <c r="AT83" s="13" t="str">
        <f t="shared" si="75"/>
        <v>-</v>
      </c>
      <c r="AU83" s="13" t="str">
        <f t="shared" si="59"/>
        <v>-</v>
      </c>
      <c r="AV83" s="16" t="str">
        <f t="shared" si="76"/>
        <v>-</v>
      </c>
      <c r="AW83" s="16" t="str">
        <f t="shared" si="60"/>
        <v>-</v>
      </c>
      <c r="AX83" s="16" t="str">
        <f t="shared" si="61"/>
        <v>-</v>
      </c>
      <c r="AY83" s="16" t="str">
        <f t="shared" si="77"/>
        <v>-</v>
      </c>
      <c r="AZ83" s="13" t="str">
        <f t="shared" si="78"/>
        <v>-</v>
      </c>
      <c r="BA83" s="10" t="str">
        <f t="shared" si="79"/>
        <v>-</v>
      </c>
      <c r="BB83" s="9" t="str">
        <f t="shared" si="80"/>
        <v>-</v>
      </c>
      <c r="BC83" s="13" t="str">
        <f t="shared" si="81"/>
        <v>-</v>
      </c>
      <c r="BD83" s="10" t="str">
        <f t="shared" si="82"/>
        <v>-</v>
      </c>
      <c r="BE83" s="13" t="str">
        <f t="shared" si="83"/>
        <v>-</v>
      </c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</row>
    <row r="84" spans="2:70" x14ac:dyDescent="0.3">
      <c r="B84" s="96" t="str">
        <f t="shared" si="62"/>
        <v/>
      </c>
      <c r="C84" s="96" t="str">
        <f t="shared" si="63"/>
        <v/>
      </c>
      <c r="D84" s="96" t="str">
        <f t="shared" si="64"/>
        <v/>
      </c>
      <c r="E84" s="3"/>
      <c r="F84" s="3"/>
      <c r="G84" s="3"/>
      <c r="H84" s="3"/>
      <c r="I84" s="20">
        <f>IFERROR(INDEX('Input - Walmart'!G$2:G$200,MATCH('Calculations - Walmart'!$D84,'Input - Walmart'!$B$2:$B$200,0)),"")</f>
        <v>0</v>
      </c>
      <c r="J84" s="20">
        <f>IFERROR(INDEX('Input - Walmart'!H$2:H$200,MATCH('Calculations - Walmart'!$D84,'Input - Walmart'!$B$2:$B$200,0)),"")</f>
        <v>0</v>
      </c>
      <c r="K84" s="21">
        <f>IFERROR(INDEX('Input - Walmart'!I$2:I$200,MATCH('Calculations - Walmart'!$D84,'Input - Walmart'!$B$2:$B$200,0)),"")</f>
        <v>0</v>
      </c>
      <c r="L84" s="21">
        <f>IFERROR(INDEX('Input - Walmart'!J$2:J$200,MATCH('Calculations - Walmart'!$D84,'Input - Walmart'!$B$2:$B$200,0)),"")</f>
        <v>0</v>
      </c>
      <c r="M84" s="20">
        <f>IFERROR(INDEX('Input - Walmart'!K$2:K$200,MATCH('Calculations - Walmart'!$D84,'Input - Walmart'!$B$2:$B$200,0)),"")</f>
        <v>0</v>
      </c>
      <c r="N84" s="20">
        <f>IFERROR(INDEX('Input - Walmart'!L$2:L$200,MATCH('Calculations - Walmart'!$D84,'Input - Walmart'!$B$2:$B$200,0)),"")</f>
        <v>0</v>
      </c>
      <c r="O84" s="21" t="str">
        <f t="shared" si="65"/>
        <v/>
      </c>
      <c r="P84" s="21" t="str">
        <f t="shared" si="47"/>
        <v/>
      </c>
      <c r="Q84" s="21">
        <f t="shared" si="66"/>
        <v>0</v>
      </c>
      <c r="R84" s="9">
        <f t="shared" si="84"/>
        <v>0</v>
      </c>
      <c r="S84" s="9">
        <f t="shared" si="85"/>
        <v>0</v>
      </c>
      <c r="T84" s="22" t="str">
        <f>IFERROR(INDEX(Walmart!$S$11:$S$192,MATCH('Calculations - Walmart'!$D84,Walmart!$N$11:$N$192,0)),"")</f>
        <v/>
      </c>
      <c r="U84" s="22" t="str">
        <f>IFERROR(INDEX(Walmart!$T$11:$T$192,MATCH('Calculations - Walmart'!$D84,Walmart!$N$11:$N$192,0)),"")</f>
        <v/>
      </c>
      <c r="V84" s="16" t="e">
        <f t="shared" si="50"/>
        <v>#VALUE!</v>
      </c>
      <c r="W84" s="16" t="e">
        <f t="shared" si="67"/>
        <v>#VALUE!</v>
      </c>
      <c r="X84" s="16" t="e">
        <f t="shared" si="68"/>
        <v>#VALUE!</v>
      </c>
      <c r="Y84" s="10" t="str">
        <f t="shared" si="51"/>
        <v>-</v>
      </c>
      <c r="Z84" s="10" t="str">
        <f t="shared" si="52"/>
        <v>-</v>
      </c>
      <c r="AA84" s="13" t="str">
        <f t="shared" si="69"/>
        <v>-</v>
      </c>
      <c r="AB84" s="9" t="str">
        <f t="shared" si="53"/>
        <v>-</v>
      </c>
      <c r="AC84" s="16" t="str">
        <f t="shared" si="70"/>
        <v>-</v>
      </c>
      <c r="AD84" s="16" t="str">
        <f t="shared" si="54"/>
        <v>-</v>
      </c>
      <c r="AE84" s="16" t="str">
        <f t="shared" si="55"/>
        <v>-</v>
      </c>
      <c r="AF84" s="16" t="str">
        <f t="shared" si="71"/>
        <v>-</v>
      </c>
      <c r="AG84" s="16"/>
      <c r="AH84" s="32" t="str">
        <f>IFERROR(INDEX(Walmart!$R$11:$R$192,MATCH('Calculations - Walmart'!D84,Walmart!$N$11:$N$192,0)),"")</f>
        <v/>
      </c>
      <c r="AI84" s="23" t="str">
        <f t="shared" si="72"/>
        <v/>
      </c>
      <c r="AJ84" s="23" t="str">
        <f t="shared" si="73"/>
        <v/>
      </c>
      <c r="AK84" s="9" t="str">
        <f t="shared" si="56"/>
        <v/>
      </c>
      <c r="AL84" s="4" t="str">
        <f t="shared" si="57"/>
        <v/>
      </c>
      <c r="AM84" s="4"/>
      <c r="AN84" s="4"/>
      <c r="AO84" s="4"/>
      <c r="AP84" s="4"/>
      <c r="AQ84" s="4"/>
      <c r="AR84" s="20" t="str">
        <f t="shared" si="58"/>
        <v>-</v>
      </c>
      <c r="AS84" s="13" t="str">
        <f t="shared" si="74"/>
        <v>-</v>
      </c>
      <c r="AT84" s="13" t="str">
        <f t="shared" si="75"/>
        <v>-</v>
      </c>
      <c r="AU84" s="13" t="str">
        <f t="shared" si="59"/>
        <v>-</v>
      </c>
      <c r="AV84" s="16" t="str">
        <f t="shared" si="76"/>
        <v>-</v>
      </c>
      <c r="AW84" s="16" t="str">
        <f t="shared" si="60"/>
        <v>-</v>
      </c>
      <c r="AX84" s="16" t="str">
        <f t="shared" si="61"/>
        <v>-</v>
      </c>
      <c r="AY84" s="16" t="str">
        <f t="shared" si="77"/>
        <v>-</v>
      </c>
      <c r="AZ84" s="13" t="str">
        <f t="shared" si="78"/>
        <v>-</v>
      </c>
      <c r="BA84" s="10" t="str">
        <f t="shared" si="79"/>
        <v>-</v>
      </c>
      <c r="BB84" s="9" t="str">
        <f t="shared" si="80"/>
        <v>-</v>
      </c>
      <c r="BC84" s="13" t="str">
        <f t="shared" si="81"/>
        <v>-</v>
      </c>
      <c r="BD84" s="10" t="str">
        <f t="shared" si="82"/>
        <v>-</v>
      </c>
      <c r="BE84" s="13" t="str">
        <f t="shared" si="83"/>
        <v>-</v>
      </c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</row>
    <row r="85" spans="2:70" x14ac:dyDescent="0.3">
      <c r="B85" s="96" t="str">
        <f t="shared" si="62"/>
        <v/>
      </c>
      <c r="C85" s="96" t="str">
        <f t="shared" si="63"/>
        <v/>
      </c>
      <c r="D85" s="96" t="str">
        <f t="shared" si="64"/>
        <v/>
      </c>
      <c r="E85" s="3"/>
      <c r="F85" s="3"/>
      <c r="G85" s="3"/>
      <c r="H85" s="3"/>
      <c r="I85" s="20">
        <f>IFERROR(INDEX('Input - Walmart'!G$2:G$200,MATCH('Calculations - Walmart'!$D85,'Input - Walmart'!$B$2:$B$200,0)),"")</f>
        <v>0</v>
      </c>
      <c r="J85" s="20">
        <f>IFERROR(INDEX('Input - Walmart'!H$2:H$200,MATCH('Calculations - Walmart'!$D85,'Input - Walmart'!$B$2:$B$200,0)),"")</f>
        <v>0</v>
      </c>
      <c r="K85" s="21">
        <f>IFERROR(INDEX('Input - Walmart'!I$2:I$200,MATCH('Calculations - Walmart'!$D85,'Input - Walmart'!$B$2:$B$200,0)),"")</f>
        <v>0</v>
      </c>
      <c r="L85" s="21">
        <f>IFERROR(INDEX('Input - Walmart'!J$2:J$200,MATCH('Calculations - Walmart'!$D85,'Input - Walmart'!$B$2:$B$200,0)),"")</f>
        <v>0</v>
      </c>
      <c r="M85" s="20">
        <f>IFERROR(INDEX('Input - Walmart'!K$2:K$200,MATCH('Calculations - Walmart'!$D85,'Input - Walmart'!$B$2:$B$200,0)),"")</f>
        <v>0</v>
      </c>
      <c r="N85" s="20">
        <f>IFERROR(INDEX('Input - Walmart'!L$2:L$200,MATCH('Calculations - Walmart'!$D85,'Input - Walmart'!$B$2:$B$200,0)),"")</f>
        <v>0</v>
      </c>
      <c r="O85" s="21" t="str">
        <f t="shared" si="65"/>
        <v/>
      </c>
      <c r="P85" s="21" t="str">
        <f t="shared" si="47"/>
        <v/>
      </c>
      <c r="Q85" s="21">
        <f t="shared" si="66"/>
        <v>0</v>
      </c>
      <c r="R85" s="9">
        <f t="shared" si="84"/>
        <v>0</v>
      </c>
      <c r="S85" s="9">
        <f t="shared" si="85"/>
        <v>0</v>
      </c>
      <c r="T85" s="22" t="str">
        <f>IFERROR(INDEX(Walmart!$S$11:$S$192,MATCH('Calculations - Walmart'!$D85,Walmart!$N$11:$N$192,0)),"")</f>
        <v/>
      </c>
      <c r="U85" s="22" t="str">
        <f>IFERROR(INDEX(Walmart!$T$11:$T$192,MATCH('Calculations - Walmart'!$D85,Walmart!$N$11:$N$192,0)),"")</f>
        <v/>
      </c>
      <c r="V85" s="16" t="e">
        <f t="shared" si="50"/>
        <v>#VALUE!</v>
      </c>
      <c r="W85" s="16" t="e">
        <f t="shared" si="67"/>
        <v>#VALUE!</v>
      </c>
      <c r="X85" s="16" t="e">
        <f t="shared" si="68"/>
        <v>#VALUE!</v>
      </c>
      <c r="Y85" s="10" t="str">
        <f t="shared" si="51"/>
        <v>-</v>
      </c>
      <c r="Z85" s="10" t="str">
        <f t="shared" si="52"/>
        <v>-</v>
      </c>
      <c r="AA85" s="13" t="str">
        <f t="shared" si="69"/>
        <v>-</v>
      </c>
      <c r="AB85" s="9" t="str">
        <f t="shared" si="53"/>
        <v>-</v>
      </c>
      <c r="AC85" s="16" t="str">
        <f t="shared" si="70"/>
        <v>-</v>
      </c>
      <c r="AD85" s="16" t="str">
        <f t="shared" si="54"/>
        <v>-</v>
      </c>
      <c r="AE85" s="16" t="str">
        <f t="shared" si="55"/>
        <v>-</v>
      </c>
      <c r="AF85" s="16" t="str">
        <f t="shared" si="71"/>
        <v>-</v>
      </c>
      <c r="AG85" s="16"/>
      <c r="AH85" s="32" t="str">
        <f>IFERROR(INDEX(Walmart!$R$11:$R$192,MATCH('Calculations - Walmart'!D85,Walmart!$N$11:$N$192,0)),"")</f>
        <v/>
      </c>
      <c r="AI85" s="23" t="str">
        <f t="shared" si="72"/>
        <v/>
      </c>
      <c r="AJ85" s="23" t="str">
        <f t="shared" si="73"/>
        <v/>
      </c>
      <c r="AK85" s="9" t="str">
        <f t="shared" si="56"/>
        <v/>
      </c>
      <c r="AL85" s="4" t="str">
        <f t="shared" si="57"/>
        <v/>
      </c>
      <c r="AM85" s="4"/>
      <c r="AN85" s="4"/>
      <c r="AO85" s="4"/>
      <c r="AP85" s="4"/>
      <c r="AQ85" s="4"/>
      <c r="AR85" s="20" t="str">
        <f t="shared" si="58"/>
        <v>-</v>
      </c>
      <c r="AS85" s="13" t="str">
        <f t="shared" si="74"/>
        <v>-</v>
      </c>
      <c r="AT85" s="13" t="str">
        <f t="shared" si="75"/>
        <v>-</v>
      </c>
      <c r="AU85" s="13" t="str">
        <f t="shared" si="59"/>
        <v>-</v>
      </c>
      <c r="AV85" s="16" t="str">
        <f t="shared" si="76"/>
        <v>-</v>
      </c>
      <c r="AW85" s="16" t="str">
        <f t="shared" si="60"/>
        <v>-</v>
      </c>
      <c r="AX85" s="16" t="str">
        <f t="shared" si="61"/>
        <v>-</v>
      </c>
      <c r="AY85" s="16" t="str">
        <f t="shared" si="77"/>
        <v>-</v>
      </c>
      <c r="AZ85" s="13" t="str">
        <f t="shared" si="78"/>
        <v>-</v>
      </c>
      <c r="BA85" s="10" t="str">
        <f t="shared" si="79"/>
        <v>-</v>
      </c>
      <c r="BB85" s="9" t="str">
        <f t="shared" si="80"/>
        <v>-</v>
      </c>
      <c r="BC85" s="13" t="str">
        <f t="shared" si="81"/>
        <v>-</v>
      </c>
      <c r="BD85" s="10" t="str">
        <f t="shared" si="82"/>
        <v>-</v>
      </c>
      <c r="BE85" s="13" t="str">
        <f t="shared" si="83"/>
        <v>-</v>
      </c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</row>
    <row r="86" spans="2:70" x14ac:dyDescent="0.3">
      <c r="B86" s="96" t="str">
        <f t="shared" si="62"/>
        <v/>
      </c>
      <c r="C86" s="96" t="str">
        <f t="shared" si="63"/>
        <v/>
      </c>
      <c r="D86" s="96" t="str">
        <f t="shared" si="64"/>
        <v/>
      </c>
      <c r="E86" s="3"/>
      <c r="F86" s="3"/>
      <c r="G86" s="3"/>
      <c r="H86" s="3"/>
      <c r="I86" s="20">
        <f>IFERROR(INDEX('Input - Walmart'!G$2:G$200,MATCH('Calculations - Walmart'!$D86,'Input - Walmart'!$B$2:$B$200,0)),"")</f>
        <v>0</v>
      </c>
      <c r="J86" s="20">
        <f>IFERROR(INDEX('Input - Walmart'!H$2:H$200,MATCH('Calculations - Walmart'!$D86,'Input - Walmart'!$B$2:$B$200,0)),"")</f>
        <v>0</v>
      </c>
      <c r="K86" s="21">
        <f>IFERROR(INDEX('Input - Walmart'!I$2:I$200,MATCH('Calculations - Walmart'!$D86,'Input - Walmart'!$B$2:$B$200,0)),"")</f>
        <v>0</v>
      </c>
      <c r="L86" s="21">
        <f>IFERROR(INDEX('Input - Walmart'!J$2:J$200,MATCH('Calculations - Walmart'!$D86,'Input - Walmart'!$B$2:$B$200,0)),"")</f>
        <v>0</v>
      </c>
      <c r="M86" s="20">
        <f>IFERROR(INDEX('Input - Walmart'!K$2:K$200,MATCH('Calculations - Walmart'!$D86,'Input - Walmart'!$B$2:$B$200,0)),"")</f>
        <v>0</v>
      </c>
      <c r="N86" s="20">
        <f>IFERROR(INDEX('Input - Walmart'!L$2:L$200,MATCH('Calculations - Walmart'!$D86,'Input - Walmart'!$B$2:$B$200,0)),"")</f>
        <v>0</v>
      </c>
      <c r="O86" s="21" t="str">
        <f t="shared" si="65"/>
        <v/>
      </c>
      <c r="P86" s="21" t="str">
        <f t="shared" si="47"/>
        <v/>
      </c>
      <c r="Q86" s="21">
        <f t="shared" si="66"/>
        <v>0</v>
      </c>
      <c r="R86" s="9">
        <f t="shared" si="84"/>
        <v>0</v>
      </c>
      <c r="S86" s="9">
        <f t="shared" si="85"/>
        <v>0</v>
      </c>
      <c r="T86" s="22" t="str">
        <f>IFERROR(INDEX(Walmart!$S$11:$S$192,MATCH('Calculations - Walmart'!$D86,Walmart!$N$11:$N$192,0)),"")</f>
        <v/>
      </c>
      <c r="U86" s="22" t="str">
        <f>IFERROR(INDEX(Walmart!$T$11:$T$192,MATCH('Calculations - Walmart'!$D86,Walmart!$N$11:$N$192,0)),"")</f>
        <v/>
      </c>
      <c r="V86" s="16" t="e">
        <f t="shared" si="50"/>
        <v>#VALUE!</v>
      </c>
      <c r="W86" s="16" t="e">
        <f t="shared" si="67"/>
        <v>#VALUE!</v>
      </c>
      <c r="X86" s="16" t="e">
        <f t="shared" si="68"/>
        <v>#VALUE!</v>
      </c>
      <c r="Y86" s="10" t="str">
        <f t="shared" si="51"/>
        <v>-</v>
      </c>
      <c r="Z86" s="10" t="str">
        <f t="shared" si="52"/>
        <v>-</v>
      </c>
      <c r="AA86" s="13" t="str">
        <f t="shared" si="69"/>
        <v>-</v>
      </c>
      <c r="AB86" s="9" t="str">
        <f t="shared" si="53"/>
        <v>-</v>
      </c>
      <c r="AC86" s="16" t="str">
        <f t="shared" si="70"/>
        <v>-</v>
      </c>
      <c r="AD86" s="16" t="str">
        <f t="shared" si="54"/>
        <v>-</v>
      </c>
      <c r="AE86" s="16" t="str">
        <f t="shared" si="55"/>
        <v>-</v>
      </c>
      <c r="AF86" s="16" t="str">
        <f t="shared" si="71"/>
        <v>-</v>
      </c>
      <c r="AG86" s="16"/>
      <c r="AH86" s="32" t="str">
        <f>IFERROR(INDEX(Walmart!$R$11:$R$192,MATCH('Calculations - Walmart'!D86,Walmart!$N$11:$N$192,0)),"")</f>
        <v/>
      </c>
      <c r="AI86" s="23" t="str">
        <f t="shared" si="72"/>
        <v/>
      </c>
      <c r="AJ86" s="23" t="str">
        <f t="shared" si="73"/>
        <v/>
      </c>
      <c r="AK86" s="9" t="str">
        <f t="shared" si="56"/>
        <v/>
      </c>
      <c r="AL86" s="4" t="str">
        <f t="shared" si="57"/>
        <v/>
      </c>
      <c r="AM86" s="4"/>
      <c r="AN86" s="4"/>
      <c r="AO86" s="4"/>
      <c r="AP86" s="4"/>
      <c r="AQ86" s="4"/>
      <c r="AR86" s="20" t="str">
        <f t="shared" si="58"/>
        <v>-</v>
      </c>
      <c r="AS86" s="13" t="str">
        <f t="shared" si="74"/>
        <v>-</v>
      </c>
      <c r="AT86" s="13" t="str">
        <f t="shared" si="75"/>
        <v>-</v>
      </c>
      <c r="AU86" s="13" t="str">
        <f t="shared" si="59"/>
        <v>-</v>
      </c>
      <c r="AV86" s="16" t="str">
        <f t="shared" si="76"/>
        <v>-</v>
      </c>
      <c r="AW86" s="16" t="str">
        <f t="shared" si="60"/>
        <v>-</v>
      </c>
      <c r="AX86" s="16" t="str">
        <f t="shared" si="61"/>
        <v>-</v>
      </c>
      <c r="AY86" s="16" t="str">
        <f t="shared" si="77"/>
        <v>-</v>
      </c>
      <c r="AZ86" s="13" t="str">
        <f t="shared" si="78"/>
        <v>-</v>
      </c>
      <c r="BA86" s="10" t="str">
        <f t="shared" si="79"/>
        <v>-</v>
      </c>
      <c r="BB86" s="9" t="str">
        <f t="shared" si="80"/>
        <v>-</v>
      </c>
      <c r="BC86" s="13" t="str">
        <f t="shared" si="81"/>
        <v>-</v>
      </c>
      <c r="BD86" s="10" t="str">
        <f t="shared" si="82"/>
        <v>-</v>
      </c>
      <c r="BE86" s="13" t="str">
        <f t="shared" si="83"/>
        <v>-</v>
      </c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</row>
    <row r="87" spans="2:70" x14ac:dyDescent="0.3">
      <c r="B87" s="96" t="str">
        <f t="shared" si="62"/>
        <v/>
      </c>
      <c r="C87" s="96" t="str">
        <f t="shared" si="63"/>
        <v/>
      </c>
      <c r="D87" s="96" t="str">
        <f t="shared" si="64"/>
        <v/>
      </c>
      <c r="E87" s="3"/>
      <c r="F87" s="3"/>
      <c r="G87" s="3"/>
      <c r="H87" s="3"/>
      <c r="I87" s="20">
        <f>IFERROR(INDEX('Input - Walmart'!G$2:G$200,MATCH('Calculations - Walmart'!$D87,'Input - Walmart'!$B$2:$B$200,0)),"")</f>
        <v>0</v>
      </c>
      <c r="J87" s="20">
        <f>IFERROR(INDEX('Input - Walmart'!H$2:H$200,MATCH('Calculations - Walmart'!$D87,'Input - Walmart'!$B$2:$B$200,0)),"")</f>
        <v>0</v>
      </c>
      <c r="K87" s="21">
        <f>IFERROR(INDEX('Input - Walmart'!I$2:I$200,MATCH('Calculations - Walmart'!$D87,'Input - Walmart'!$B$2:$B$200,0)),"")</f>
        <v>0</v>
      </c>
      <c r="L87" s="21">
        <f>IFERROR(INDEX('Input - Walmart'!J$2:J$200,MATCH('Calculations - Walmart'!$D87,'Input - Walmart'!$B$2:$B$200,0)),"")</f>
        <v>0</v>
      </c>
      <c r="M87" s="20">
        <f>IFERROR(INDEX('Input - Walmart'!K$2:K$200,MATCH('Calculations - Walmart'!$D87,'Input - Walmart'!$B$2:$B$200,0)),"")</f>
        <v>0</v>
      </c>
      <c r="N87" s="20">
        <f>IFERROR(INDEX('Input - Walmart'!L$2:L$200,MATCH('Calculations - Walmart'!$D87,'Input - Walmart'!$B$2:$B$200,0)),"")</f>
        <v>0</v>
      </c>
      <c r="O87" s="21" t="str">
        <f t="shared" si="65"/>
        <v/>
      </c>
      <c r="P87" s="21" t="str">
        <f t="shared" si="47"/>
        <v/>
      </c>
      <c r="Q87" s="21">
        <f t="shared" si="66"/>
        <v>0</v>
      </c>
      <c r="R87" s="9">
        <f t="shared" si="84"/>
        <v>0</v>
      </c>
      <c r="S87" s="9">
        <f t="shared" si="85"/>
        <v>0</v>
      </c>
      <c r="T87" s="22" t="str">
        <f>IFERROR(INDEX(Walmart!$S$11:$S$192,MATCH('Calculations - Walmart'!$D87,Walmart!$N$11:$N$192,0)),"")</f>
        <v/>
      </c>
      <c r="U87" s="22" t="str">
        <f>IFERROR(INDEX(Walmart!$T$11:$T$192,MATCH('Calculations - Walmart'!$D87,Walmart!$N$11:$N$192,0)),"")</f>
        <v/>
      </c>
      <c r="V87" s="16" t="e">
        <f t="shared" si="50"/>
        <v>#VALUE!</v>
      </c>
      <c r="W87" s="16" t="e">
        <f t="shared" si="67"/>
        <v>#VALUE!</v>
      </c>
      <c r="X87" s="16" t="e">
        <f t="shared" si="68"/>
        <v>#VALUE!</v>
      </c>
      <c r="Y87" s="10" t="str">
        <f t="shared" si="51"/>
        <v>-</v>
      </c>
      <c r="Z87" s="10" t="str">
        <f t="shared" si="52"/>
        <v>-</v>
      </c>
      <c r="AA87" s="13" t="str">
        <f t="shared" si="69"/>
        <v>-</v>
      </c>
      <c r="AB87" s="9" t="str">
        <f t="shared" si="53"/>
        <v>-</v>
      </c>
      <c r="AC87" s="16" t="str">
        <f t="shared" si="70"/>
        <v>-</v>
      </c>
      <c r="AD87" s="16" t="str">
        <f t="shared" si="54"/>
        <v>-</v>
      </c>
      <c r="AE87" s="16" t="str">
        <f t="shared" si="55"/>
        <v>-</v>
      </c>
      <c r="AF87" s="16" t="str">
        <f t="shared" si="71"/>
        <v>-</v>
      </c>
      <c r="AG87" s="16"/>
      <c r="AH87" s="32" t="str">
        <f>IFERROR(INDEX(Walmart!$R$11:$R$192,MATCH('Calculations - Walmart'!D87,Walmart!$N$11:$N$192,0)),"")</f>
        <v/>
      </c>
      <c r="AI87" s="23" t="str">
        <f t="shared" si="72"/>
        <v/>
      </c>
      <c r="AJ87" s="23" t="str">
        <f t="shared" si="73"/>
        <v/>
      </c>
      <c r="AK87" s="9" t="str">
        <f t="shared" si="56"/>
        <v/>
      </c>
      <c r="AL87" s="4" t="str">
        <f t="shared" si="57"/>
        <v/>
      </c>
      <c r="AM87" s="4"/>
      <c r="AN87" s="4"/>
      <c r="AO87" s="4"/>
      <c r="AP87" s="4"/>
      <c r="AQ87" s="4"/>
      <c r="AR87" s="20" t="str">
        <f t="shared" si="58"/>
        <v>-</v>
      </c>
      <c r="AS87" s="13" t="str">
        <f t="shared" si="74"/>
        <v>-</v>
      </c>
      <c r="AT87" s="13" t="str">
        <f t="shared" si="75"/>
        <v>-</v>
      </c>
      <c r="AU87" s="13" t="str">
        <f t="shared" si="59"/>
        <v>-</v>
      </c>
      <c r="AV87" s="16" t="str">
        <f t="shared" si="76"/>
        <v>-</v>
      </c>
      <c r="AW87" s="16" t="str">
        <f t="shared" si="60"/>
        <v>-</v>
      </c>
      <c r="AX87" s="16" t="str">
        <f t="shared" si="61"/>
        <v>-</v>
      </c>
      <c r="AY87" s="16" t="str">
        <f t="shared" si="77"/>
        <v>-</v>
      </c>
      <c r="AZ87" s="13" t="str">
        <f t="shared" si="78"/>
        <v>-</v>
      </c>
      <c r="BA87" s="10" t="str">
        <f t="shared" si="79"/>
        <v>-</v>
      </c>
      <c r="BB87" s="9" t="str">
        <f t="shared" si="80"/>
        <v>-</v>
      </c>
      <c r="BC87" s="13" t="str">
        <f t="shared" si="81"/>
        <v>-</v>
      </c>
      <c r="BD87" s="10" t="str">
        <f t="shared" si="82"/>
        <v>-</v>
      </c>
      <c r="BE87" s="13" t="str">
        <f t="shared" si="83"/>
        <v>-</v>
      </c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</row>
    <row r="88" spans="2:70" x14ac:dyDescent="0.3">
      <c r="B88" s="96" t="str">
        <f t="shared" si="62"/>
        <v/>
      </c>
      <c r="C88" s="96" t="str">
        <f t="shared" si="63"/>
        <v/>
      </c>
      <c r="D88" s="96" t="str">
        <f t="shared" si="64"/>
        <v/>
      </c>
      <c r="E88" s="3"/>
      <c r="F88" s="3"/>
      <c r="G88" s="3"/>
      <c r="H88" s="3"/>
      <c r="I88" s="20">
        <f>IFERROR(INDEX('Input - Walmart'!G$2:G$200,MATCH('Calculations - Walmart'!$D88,'Input - Walmart'!$B$2:$B$200,0)),"")</f>
        <v>0</v>
      </c>
      <c r="J88" s="20">
        <f>IFERROR(INDEX('Input - Walmart'!H$2:H$200,MATCH('Calculations - Walmart'!$D88,'Input - Walmart'!$B$2:$B$200,0)),"")</f>
        <v>0</v>
      </c>
      <c r="K88" s="21">
        <f>IFERROR(INDEX('Input - Walmart'!I$2:I$200,MATCH('Calculations - Walmart'!$D88,'Input - Walmart'!$B$2:$B$200,0)),"")</f>
        <v>0</v>
      </c>
      <c r="L88" s="21">
        <f>IFERROR(INDEX('Input - Walmart'!J$2:J$200,MATCH('Calculations - Walmart'!$D88,'Input - Walmart'!$B$2:$B$200,0)),"")</f>
        <v>0</v>
      </c>
      <c r="M88" s="20">
        <f>IFERROR(INDEX('Input - Walmart'!K$2:K$200,MATCH('Calculations - Walmart'!$D88,'Input - Walmart'!$B$2:$B$200,0)),"")</f>
        <v>0</v>
      </c>
      <c r="N88" s="20">
        <f>IFERROR(INDEX('Input - Walmart'!L$2:L$200,MATCH('Calculations - Walmart'!$D88,'Input - Walmart'!$B$2:$B$200,0)),"")</f>
        <v>0</v>
      </c>
      <c r="O88" s="21" t="str">
        <f t="shared" si="65"/>
        <v/>
      </c>
      <c r="P88" s="21" t="str">
        <f t="shared" si="47"/>
        <v/>
      </c>
      <c r="Q88" s="21">
        <f t="shared" si="66"/>
        <v>0</v>
      </c>
      <c r="R88" s="9">
        <f t="shared" si="84"/>
        <v>0</v>
      </c>
      <c r="S88" s="9">
        <f t="shared" si="85"/>
        <v>0</v>
      </c>
      <c r="T88" s="22" t="str">
        <f>IFERROR(INDEX(Walmart!$S$11:$S$192,MATCH('Calculations - Walmart'!$D88,Walmart!$N$11:$N$192,0)),"")</f>
        <v/>
      </c>
      <c r="U88" s="22" t="str">
        <f>IFERROR(INDEX(Walmart!$T$11:$T$192,MATCH('Calculations - Walmart'!$D88,Walmart!$N$11:$N$192,0)),"")</f>
        <v/>
      </c>
      <c r="V88" s="16" t="e">
        <f t="shared" si="50"/>
        <v>#VALUE!</v>
      </c>
      <c r="W88" s="16" t="e">
        <f t="shared" si="67"/>
        <v>#VALUE!</v>
      </c>
      <c r="X88" s="16" t="e">
        <f t="shared" si="68"/>
        <v>#VALUE!</v>
      </c>
      <c r="Y88" s="10" t="str">
        <f t="shared" si="51"/>
        <v>-</v>
      </c>
      <c r="Z88" s="10" t="str">
        <f t="shared" si="52"/>
        <v>-</v>
      </c>
      <c r="AA88" s="13" t="str">
        <f t="shared" si="69"/>
        <v>-</v>
      </c>
      <c r="AB88" s="9" t="str">
        <f t="shared" si="53"/>
        <v>-</v>
      </c>
      <c r="AC88" s="16" t="str">
        <f t="shared" si="70"/>
        <v>-</v>
      </c>
      <c r="AD88" s="16" t="str">
        <f t="shared" si="54"/>
        <v>-</v>
      </c>
      <c r="AE88" s="16" t="str">
        <f t="shared" si="55"/>
        <v>-</v>
      </c>
      <c r="AF88" s="16" t="str">
        <f t="shared" si="71"/>
        <v>-</v>
      </c>
      <c r="AG88" s="16"/>
      <c r="AH88" s="32" t="str">
        <f>IFERROR(INDEX(Walmart!$R$11:$R$192,MATCH('Calculations - Walmart'!D88,Walmart!$N$11:$N$192,0)),"")</f>
        <v/>
      </c>
      <c r="AI88" s="23" t="str">
        <f t="shared" si="72"/>
        <v/>
      </c>
      <c r="AJ88" s="23" t="str">
        <f t="shared" si="73"/>
        <v/>
      </c>
      <c r="AK88" s="9" t="str">
        <f t="shared" si="56"/>
        <v/>
      </c>
      <c r="AL88" s="4" t="str">
        <f t="shared" si="57"/>
        <v/>
      </c>
      <c r="AM88" s="4"/>
      <c r="AN88" s="4"/>
      <c r="AO88" s="4"/>
      <c r="AP88" s="4"/>
      <c r="AQ88" s="4"/>
      <c r="AR88" s="20" t="str">
        <f t="shared" si="58"/>
        <v>-</v>
      </c>
      <c r="AS88" s="13" t="str">
        <f t="shared" si="74"/>
        <v>-</v>
      </c>
      <c r="AT88" s="13" t="str">
        <f t="shared" si="75"/>
        <v>-</v>
      </c>
      <c r="AU88" s="13" t="str">
        <f t="shared" si="59"/>
        <v>-</v>
      </c>
      <c r="AV88" s="16" t="str">
        <f t="shared" si="76"/>
        <v>-</v>
      </c>
      <c r="AW88" s="16" t="str">
        <f t="shared" si="60"/>
        <v>-</v>
      </c>
      <c r="AX88" s="16" t="str">
        <f t="shared" si="61"/>
        <v>-</v>
      </c>
      <c r="AY88" s="16" t="str">
        <f t="shared" si="77"/>
        <v>-</v>
      </c>
      <c r="AZ88" s="13" t="str">
        <f t="shared" si="78"/>
        <v>-</v>
      </c>
      <c r="BA88" s="10" t="str">
        <f t="shared" si="79"/>
        <v>-</v>
      </c>
      <c r="BB88" s="9" t="str">
        <f t="shared" si="80"/>
        <v>-</v>
      </c>
      <c r="BC88" s="13" t="str">
        <f t="shared" si="81"/>
        <v>-</v>
      </c>
      <c r="BD88" s="10" t="str">
        <f t="shared" si="82"/>
        <v>-</v>
      </c>
      <c r="BE88" s="13" t="str">
        <f t="shared" si="83"/>
        <v>-</v>
      </c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</row>
    <row r="89" spans="2:70" x14ac:dyDescent="0.3">
      <c r="B89" s="96" t="str">
        <f t="shared" si="62"/>
        <v/>
      </c>
      <c r="C89" s="96" t="str">
        <f t="shared" si="63"/>
        <v/>
      </c>
      <c r="D89" s="96" t="str">
        <f t="shared" si="64"/>
        <v/>
      </c>
      <c r="E89" s="3"/>
      <c r="F89" s="3"/>
      <c r="G89" s="3"/>
      <c r="H89" s="3"/>
      <c r="I89" s="20">
        <f>IFERROR(INDEX('Input - Walmart'!G$2:G$200,MATCH('Calculations - Walmart'!$D89,'Input - Walmart'!$B$2:$B$200,0)),"")</f>
        <v>0</v>
      </c>
      <c r="J89" s="20">
        <f>IFERROR(INDEX('Input - Walmart'!H$2:H$200,MATCH('Calculations - Walmart'!$D89,'Input - Walmart'!$B$2:$B$200,0)),"")</f>
        <v>0</v>
      </c>
      <c r="K89" s="21">
        <f>IFERROR(INDEX('Input - Walmart'!I$2:I$200,MATCH('Calculations - Walmart'!$D89,'Input - Walmart'!$B$2:$B$200,0)),"")</f>
        <v>0</v>
      </c>
      <c r="L89" s="21">
        <f>IFERROR(INDEX('Input - Walmart'!J$2:J$200,MATCH('Calculations - Walmart'!$D89,'Input - Walmart'!$B$2:$B$200,0)),"")</f>
        <v>0</v>
      </c>
      <c r="M89" s="20">
        <f>IFERROR(INDEX('Input - Walmart'!K$2:K$200,MATCH('Calculations - Walmart'!$D89,'Input - Walmart'!$B$2:$B$200,0)),"")</f>
        <v>0</v>
      </c>
      <c r="N89" s="20">
        <f>IFERROR(INDEX('Input - Walmart'!L$2:L$200,MATCH('Calculations - Walmart'!$D89,'Input - Walmart'!$B$2:$B$200,0)),"")</f>
        <v>0</v>
      </c>
      <c r="O89" s="21" t="str">
        <f t="shared" si="65"/>
        <v/>
      </c>
      <c r="P89" s="21" t="str">
        <f t="shared" si="47"/>
        <v/>
      </c>
      <c r="Q89" s="21">
        <f t="shared" si="66"/>
        <v>0</v>
      </c>
      <c r="R89" s="9">
        <f t="shared" si="84"/>
        <v>0</v>
      </c>
      <c r="S89" s="9">
        <f t="shared" si="85"/>
        <v>0</v>
      </c>
      <c r="T89" s="22" t="str">
        <f>IFERROR(INDEX(Walmart!$S$11:$S$192,MATCH('Calculations - Walmart'!$D89,Walmart!$N$11:$N$192,0)),"")</f>
        <v/>
      </c>
      <c r="U89" s="22" t="str">
        <f>IFERROR(INDEX(Walmart!$T$11:$T$192,MATCH('Calculations - Walmart'!$D89,Walmart!$N$11:$N$192,0)),"")</f>
        <v/>
      </c>
      <c r="V89" s="16" t="e">
        <f t="shared" si="50"/>
        <v>#VALUE!</v>
      </c>
      <c r="W89" s="16" t="e">
        <f t="shared" si="67"/>
        <v>#VALUE!</v>
      </c>
      <c r="X89" s="16" t="e">
        <f t="shared" si="68"/>
        <v>#VALUE!</v>
      </c>
      <c r="Y89" s="10" t="str">
        <f t="shared" si="51"/>
        <v>-</v>
      </c>
      <c r="Z89" s="10" t="str">
        <f t="shared" si="52"/>
        <v>-</v>
      </c>
      <c r="AA89" s="13" t="str">
        <f t="shared" si="69"/>
        <v>-</v>
      </c>
      <c r="AB89" s="9" t="str">
        <f t="shared" si="53"/>
        <v>-</v>
      </c>
      <c r="AC89" s="16" t="str">
        <f t="shared" si="70"/>
        <v>-</v>
      </c>
      <c r="AD89" s="16" t="str">
        <f t="shared" si="54"/>
        <v>-</v>
      </c>
      <c r="AE89" s="16" t="str">
        <f t="shared" si="55"/>
        <v>-</v>
      </c>
      <c r="AF89" s="16" t="str">
        <f t="shared" si="71"/>
        <v>-</v>
      </c>
      <c r="AG89" s="16"/>
      <c r="AH89" s="32" t="str">
        <f>IFERROR(INDEX(Walmart!$R$11:$R$192,MATCH('Calculations - Walmart'!D89,Walmart!$N$11:$N$192,0)),"")</f>
        <v/>
      </c>
      <c r="AI89" s="23" t="str">
        <f t="shared" si="72"/>
        <v/>
      </c>
      <c r="AJ89" s="23" t="str">
        <f t="shared" si="73"/>
        <v/>
      </c>
      <c r="AK89" s="9" t="str">
        <f t="shared" si="56"/>
        <v/>
      </c>
      <c r="AL89" s="4" t="str">
        <f t="shared" si="57"/>
        <v/>
      </c>
      <c r="AM89" s="4"/>
      <c r="AN89" s="4"/>
      <c r="AO89" s="4"/>
      <c r="AP89" s="4"/>
      <c r="AQ89" s="4"/>
      <c r="AR89" s="20" t="str">
        <f t="shared" si="58"/>
        <v>-</v>
      </c>
      <c r="AS89" s="13" t="str">
        <f t="shared" si="74"/>
        <v>-</v>
      </c>
      <c r="AT89" s="13" t="str">
        <f t="shared" si="75"/>
        <v>-</v>
      </c>
      <c r="AU89" s="13" t="str">
        <f t="shared" si="59"/>
        <v>-</v>
      </c>
      <c r="AV89" s="16" t="str">
        <f t="shared" si="76"/>
        <v>-</v>
      </c>
      <c r="AW89" s="16" t="str">
        <f t="shared" si="60"/>
        <v>-</v>
      </c>
      <c r="AX89" s="16" t="str">
        <f t="shared" si="61"/>
        <v>-</v>
      </c>
      <c r="AY89" s="16" t="str">
        <f t="shared" si="77"/>
        <v>-</v>
      </c>
      <c r="AZ89" s="13" t="str">
        <f t="shared" si="78"/>
        <v>-</v>
      </c>
      <c r="BA89" s="10" t="str">
        <f t="shared" si="79"/>
        <v>-</v>
      </c>
      <c r="BB89" s="9" t="str">
        <f t="shared" si="80"/>
        <v>-</v>
      </c>
      <c r="BC89" s="13" t="str">
        <f t="shared" si="81"/>
        <v>-</v>
      </c>
      <c r="BD89" s="10" t="str">
        <f t="shared" si="82"/>
        <v>-</v>
      </c>
      <c r="BE89" s="13" t="str">
        <f t="shared" si="83"/>
        <v>-</v>
      </c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</row>
    <row r="90" spans="2:70" x14ac:dyDescent="0.3">
      <c r="B90" s="96" t="str">
        <f t="shared" si="62"/>
        <v/>
      </c>
      <c r="C90" s="96" t="str">
        <f t="shared" si="63"/>
        <v/>
      </c>
      <c r="D90" s="96" t="str">
        <f t="shared" si="64"/>
        <v/>
      </c>
      <c r="E90" s="3"/>
      <c r="F90" s="3"/>
      <c r="G90" s="3"/>
      <c r="H90" s="3"/>
      <c r="I90" s="20">
        <f>IFERROR(INDEX('Input - Walmart'!G$2:G$200,MATCH('Calculations - Walmart'!$D90,'Input - Walmart'!$B$2:$B$200,0)),"")</f>
        <v>0</v>
      </c>
      <c r="J90" s="20">
        <f>IFERROR(INDEX('Input - Walmart'!H$2:H$200,MATCH('Calculations - Walmart'!$D90,'Input - Walmart'!$B$2:$B$200,0)),"")</f>
        <v>0</v>
      </c>
      <c r="K90" s="21">
        <f>IFERROR(INDEX('Input - Walmart'!I$2:I$200,MATCH('Calculations - Walmart'!$D90,'Input - Walmart'!$B$2:$B$200,0)),"")</f>
        <v>0</v>
      </c>
      <c r="L90" s="21">
        <f>IFERROR(INDEX('Input - Walmart'!J$2:J$200,MATCH('Calculations - Walmart'!$D90,'Input - Walmart'!$B$2:$B$200,0)),"")</f>
        <v>0</v>
      </c>
      <c r="M90" s="20">
        <f>IFERROR(INDEX('Input - Walmart'!K$2:K$200,MATCH('Calculations - Walmart'!$D90,'Input - Walmart'!$B$2:$B$200,0)),"")</f>
        <v>0</v>
      </c>
      <c r="N90" s="20">
        <f>IFERROR(INDEX('Input - Walmart'!L$2:L$200,MATCH('Calculations - Walmart'!$D90,'Input - Walmart'!$B$2:$B$200,0)),"")</f>
        <v>0</v>
      </c>
      <c r="O90" s="21" t="str">
        <f t="shared" si="65"/>
        <v/>
      </c>
      <c r="P90" s="21" t="str">
        <f t="shared" si="47"/>
        <v/>
      </c>
      <c r="Q90" s="21">
        <f t="shared" si="66"/>
        <v>0</v>
      </c>
      <c r="R90" s="9">
        <f t="shared" si="84"/>
        <v>0</v>
      </c>
      <c r="S90" s="9">
        <f t="shared" si="85"/>
        <v>0</v>
      </c>
      <c r="T90" s="22" t="str">
        <f>IFERROR(INDEX(Walmart!$S$11:$S$192,MATCH('Calculations - Walmart'!$D90,Walmart!$N$11:$N$192,0)),"")</f>
        <v/>
      </c>
      <c r="U90" s="22" t="str">
        <f>IFERROR(INDEX(Walmart!$T$11:$T$192,MATCH('Calculations - Walmart'!$D90,Walmart!$N$11:$N$192,0)),"")</f>
        <v/>
      </c>
      <c r="V90" s="16" t="e">
        <f t="shared" si="50"/>
        <v>#VALUE!</v>
      </c>
      <c r="W90" s="16" t="e">
        <f t="shared" si="67"/>
        <v>#VALUE!</v>
      </c>
      <c r="X90" s="16" t="e">
        <f t="shared" si="68"/>
        <v>#VALUE!</v>
      </c>
      <c r="Y90" s="10" t="str">
        <f t="shared" si="51"/>
        <v>-</v>
      </c>
      <c r="Z90" s="10" t="str">
        <f t="shared" si="52"/>
        <v>-</v>
      </c>
      <c r="AA90" s="13" t="str">
        <f t="shared" si="69"/>
        <v>-</v>
      </c>
      <c r="AB90" s="9" t="str">
        <f t="shared" si="53"/>
        <v>-</v>
      </c>
      <c r="AC90" s="16" t="str">
        <f t="shared" si="70"/>
        <v>-</v>
      </c>
      <c r="AD90" s="16" t="str">
        <f t="shared" si="54"/>
        <v>-</v>
      </c>
      <c r="AE90" s="16" t="str">
        <f t="shared" si="55"/>
        <v>-</v>
      </c>
      <c r="AF90" s="16" t="str">
        <f t="shared" si="71"/>
        <v>-</v>
      </c>
      <c r="AG90" s="16"/>
      <c r="AH90" s="32" t="str">
        <f>IFERROR(INDEX(Walmart!$R$11:$R$192,MATCH('Calculations - Walmart'!D90,Walmart!$N$11:$N$192,0)),"")</f>
        <v/>
      </c>
      <c r="AI90" s="23" t="str">
        <f t="shared" si="72"/>
        <v/>
      </c>
      <c r="AJ90" s="23" t="str">
        <f t="shared" si="73"/>
        <v/>
      </c>
      <c r="AK90" s="9" t="str">
        <f t="shared" si="56"/>
        <v/>
      </c>
      <c r="AL90" s="4" t="str">
        <f t="shared" si="57"/>
        <v/>
      </c>
      <c r="AM90" s="4"/>
      <c r="AN90" s="4"/>
      <c r="AO90" s="4"/>
      <c r="AP90" s="4"/>
      <c r="AQ90" s="4"/>
      <c r="AR90" s="20" t="str">
        <f t="shared" si="58"/>
        <v>-</v>
      </c>
      <c r="AS90" s="13" t="str">
        <f t="shared" si="74"/>
        <v>-</v>
      </c>
      <c r="AT90" s="13" t="str">
        <f t="shared" si="75"/>
        <v>-</v>
      </c>
      <c r="AU90" s="13" t="str">
        <f t="shared" si="59"/>
        <v>-</v>
      </c>
      <c r="AV90" s="16" t="str">
        <f t="shared" si="76"/>
        <v>-</v>
      </c>
      <c r="AW90" s="16" t="str">
        <f t="shared" si="60"/>
        <v>-</v>
      </c>
      <c r="AX90" s="16" t="str">
        <f t="shared" si="61"/>
        <v>-</v>
      </c>
      <c r="AY90" s="16" t="str">
        <f t="shared" si="77"/>
        <v>-</v>
      </c>
      <c r="AZ90" s="13" t="str">
        <f t="shared" si="78"/>
        <v>-</v>
      </c>
      <c r="BA90" s="10" t="str">
        <f t="shared" si="79"/>
        <v>-</v>
      </c>
      <c r="BB90" s="9" t="str">
        <f t="shared" si="80"/>
        <v>-</v>
      </c>
      <c r="BC90" s="13" t="str">
        <f t="shared" si="81"/>
        <v>-</v>
      </c>
      <c r="BD90" s="10" t="str">
        <f t="shared" si="82"/>
        <v>-</v>
      </c>
      <c r="BE90" s="13" t="str">
        <f t="shared" si="83"/>
        <v>-</v>
      </c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</row>
    <row r="91" spans="2:70" x14ac:dyDescent="0.3">
      <c r="B91" s="96" t="str">
        <f t="shared" si="62"/>
        <v/>
      </c>
      <c r="C91" s="96" t="str">
        <f t="shared" si="63"/>
        <v/>
      </c>
      <c r="D91" s="96" t="str">
        <f t="shared" si="64"/>
        <v/>
      </c>
      <c r="E91" s="3"/>
      <c r="F91" s="3"/>
      <c r="G91" s="3"/>
      <c r="H91" s="3"/>
      <c r="I91" s="20">
        <f>IFERROR(INDEX('Input - Walmart'!G$2:G$200,MATCH('Calculations - Walmart'!$D91,'Input - Walmart'!$B$2:$B$200,0)),"")</f>
        <v>0</v>
      </c>
      <c r="J91" s="20">
        <f>IFERROR(INDEX('Input - Walmart'!H$2:H$200,MATCH('Calculations - Walmart'!$D91,'Input - Walmart'!$B$2:$B$200,0)),"")</f>
        <v>0</v>
      </c>
      <c r="K91" s="21">
        <f>IFERROR(INDEX('Input - Walmart'!I$2:I$200,MATCH('Calculations - Walmart'!$D91,'Input - Walmart'!$B$2:$B$200,0)),"")</f>
        <v>0</v>
      </c>
      <c r="L91" s="21">
        <f>IFERROR(INDEX('Input - Walmart'!J$2:J$200,MATCH('Calculations - Walmart'!$D91,'Input - Walmart'!$B$2:$B$200,0)),"")</f>
        <v>0</v>
      </c>
      <c r="M91" s="20">
        <f>IFERROR(INDEX('Input - Walmart'!K$2:K$200,MATCH('Calculations - Walmart'!$D91,'Input - Walmart'!$B$2:$B$200,0)),"")</f>
        <v>0</v>
      </c>
      <c r="N91" s="20">
        <f>IFERROR(INDEX('Input - Walmart'!L$2:L$200,MATCH('Calculations - Walmart'!$D91,'Input - Walmart'!$B$2:$B$200,0)),"")</f>
        <v>0</v>
      </c>
      <c r="O91" s="21" t="str">
        <f t="shared" si="65"/>
        <v/>
      </c>
      <c r="P91" s="21" t="str">
        <f t="shared" si="47"/>
        <v/>
      </c>
      <c r="Q91" s="21">
        <f t="shared" si="66"/>
        <v>0</v>
      </c>
      <c r="R91" s="9">
        <f t="shared" si="84"/>
        <v>0</v>
      </c>
      <c r="S91" s="9">
        <f t="shared" si="85"/>
        <v>0</v>
      </c>
      <c r="T91" s="22" t="str">
        <f>IFERROR(INDEX(Walmart!$S$11:$S$192,MATCH('Calculations - Walmart'!$D91,Walmart!$N$11:$N$192,0)),"")</f>
        <v/>
      </c>
      <c r="U91" s="22" t="str">
        <f>IFERROR(INDEX(Walmart!$T$11:$T$192,MATCH('Calculations - Walmart'!$D91,Walmart!$N$11:$N$192,0)),"")</f>
        <v/>
      </c>
      <c r="V91" s="16" t="e">
        <f t="shared" si="50"/>
        <v>#VALUE!</v>
      </c>
      <c r="W91" s="16" t="e">
        <f t="shared" si="67"/>
        <v>#VALUE!</v>
      </c>
      <c r="X91" s="16" t="e">
        <f t="shared" si="68"/>
        <v>#VALUE!</v>
      </c>
      <c r="Y91" s="10" t="str">
        <f t="shared" si="51"/>
        <v>-</v>
      </c>
      <c r="Z91" s="10" t="str">
        <f t="shared" si="52"/>
        <v>-</v>
      </c>
      <c r="AA91" s="13" t="str">
        <f t="shared" si="69"/>
        <v>-</v>
      </c>
      <c r="AB91" s="9" t="str">
        <f t="shared" si="53"/>
        <v>-</v>
      </c>
      <c r="AC91" s="16" t="str">
        <f t="shared" si="70"/>
        <v>-</v>
      </c>
      <c r="AD91" s="16" t="str">
        <f t="shared" si="54"/>
        <v>-</v>
      </c>
      <c r="AE91" s="16" t="str">
        <f t="shared" si="55"/>
        <v>-</v>
      </c>
      <c r="AF91" s="16" t="str">
        <f t="shared" si="71"/>
        <v>-</v>
      </c>
      <c r="AG91" s="16"/>
      <c r="AH91" s="32" t="str">
        <f>IFERROR(INDEX(Walmart!$R$11:$R$192,MATCH('Calculations - Walmart'!D91,Walmart!$N$11:$N$192,0)),"")</f>
        <v/>
      </c>
      <c r="AI91" s="23" t="str">
        <f t="shared" si="72"/>
        <v/>
      </c>
      <c r="AJ91" s="23" t="str">
        <f t="shared" si="73"/>
        <v/>
      </c>
      <c r="AK91" s="9" t="str">
        <f t="shared" si="56"/>
        <v/>
      </c>
      <c r="AL91" s="4" t="str">
        <f t="shared" si="57"/>
        <v/>
      </c>
      <c r="AM91" s="4"/>
      <c r="AN91" s="4"/>
      <c r="AO91" s="4"/>
      <c r="AP91" s="4"/>
      <c r="AQ91" s="4"/>
      <c r="AR91" s="20" t="str">
        <f t="shared" si="58"/>
        <v>-</v>
      </c>
      <c r="AS91" s="13" t="str">
        <f t="shared" si="74"/>
        <v>-</v>
      </c>
      <c r="AT91" s="13" t="str">
        <f t="shared" si="75"/>
        <v>-</v>
      </c>
      <c r="AU91" s="13" t="str">
        <f t="shared" si="59"/>
        <v>-</v>
      </c>
      <c r="AV91" s="16" t="str">
        <f t="shared" si="76"/>
        <v>-</v>
      </c>
      <c r="AW91" s="16" t="str">
        <f t="shared" si="60"/>
        <v>-</v>
      </c>
      <c r="AX91" s="16" t="str">
        <f t="shared" si="61"/>
        <v>-</v>
      </c>
      <c r="AY91" s="16" t="str">
        <f t="shared" si="77"/>
        <v>-</v>
      </c>
      <c r="AZ91" s="13" t="str">
        <f t="shared" si="78"/>
        <v>-</v>
      </c>
      <c r="BA91" s="10" t="str">
        <f t="shared" si="79"/>
        <v>-</v>
      </c>
      <c r="BB91" s="9" t="str">
        <f t="shared" si="80"/>
        <v>-</v>
      </c>
      <c r="BC91" s="13" t="str">
        <f t="shared" si="81"/>
        <v>-</v>
      </c>
      <c r="BD91" s="10" t="str">
        <f t="shared" si="82"/>
        <v>-</v>
      </c>
      <c r="BE91" s="13" t="str">
        <f t="shared" si="83"/>
        <v>-</v>
      </c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</row>
    <row r="92" spans="2:70" x14ac:dyDescent="0.3">
      <c r="B92" s="96" t="str">
        <f t="shared" si="62"/>
        <v/>
      </c>
      <c r="C92" s="96" t="str">
        <f t="shared" si="63"/>
        <v/>
      </c>
      <c r="D92" s="96" t="str">
        <f t="shared" si="64"/>
        <v/>
      </c>
      <c r="E92" s="3"/>
      <c r="F92" s="3"/>
      <c r="G92" s="3"/>
      <c r="H92" s="3"/>
      <c r="I92" s="20">
        <f>IFERROR(INDEX('Input - Walmart'!G$2:G$200,MATCH('Calculations - Walmart'!$D92,'Input - Walmart'!$B$2:$B$200,0)),"")</f>
        <v>0</v>
      </c>
      <c r="J92" s="20">
        <f>IFERROR(INDEX('Input - Walmart'!H$2:H$200,MATCH('Calculations - Walmart'!$D92,'Input - Walmart'!$B$2:$B$200,0)),"")</f>
        <v>0</v>
      </c>
      <c r="K92" s="21">
        <f>IFERROR(INDEX('Input - Walmart'!I$2:I$200,MATCH('Calculations - Walmart'!$D92,'Input - Walmart'!$B$2:$B$200,0)),"")</f>
        <v>0</v>
      </c>
      <c r="L92" s="21">
        <f>IFERROR(INDEX('Input - Walmart'!J$2:J$200,MATCH('Calculations - Walmart'!$D92,'Input - Walmart'!$B$2:$B$200,0)),"")</f>
        <v>0</v>
      </c>
      <c r="M92" s="20">
        <f>IFERROR(INDEX('Input - Walmart'!K$2:K$200,MATCH('Calculations - Walmart'!$D92,'Input - Walmart'!$B$2:$B$200,0)),"")</f>
        <v>0</v>
      </c>
      <c r="N92" s="20">
        <f>IFERROR(INDEX('Input - Walmart'!L$2:L$200,MATCH('Calculations - Walmart'!$D92,'Input - Walmart'!$B$2:$B$200,0)),"")</f>
        <v>0</v>
      </c>
      <c r="O92" s="21" t="str">
        <f t="shared" si="65"/>
        <v/>
      </c>
      <c r="P92" s="21" t="str">
        <f t="shared" si="47"/>
        <v/>
      </c>
      <c r="Q92" s="21">
        <f t="shared" si="66"/>
        <v>0</v>
      </c>
      <c r="R92" s="9">
        <f t="shared" si="84"/>
        <v>0</v>
      </c>
      <c r="S92" s="9">
        <f t="shared" si="85"/>
        <v>0</v>
      </c>
      <c r="T92" s="22" t="str">
        <f>IFERROR(INDEX(Walmart!$S$11:$S$192,MATCH('Calculations - Walmart'!$D92,Walmart!$N$11:$N$192,0)),"")</f>
        <v/>
      </c>
      <c r="U92" s="22" t="str">
        <f>IFERROR(INDEX(Walmart!$T$11:$T$192,MATCH('Calculations - Walmart'!$D92,Walmart!$N$11:$N$192,0)),"")</f>
        <v/>
      </c>
      <c r="V92" s="16" t="e">
        <f t="shared" si="50"/>
        <v>#VALUE!</v>
      </c>
      <c r="W92" s="16" t="e">
        <f t="shared" si="67"/>
        <v>#VALUE!</v>
      </c>
      <c r="X92" s="16" t="e">
        <f t="shared" si="68"/>
        <v>#VALUE!</v>
      </c>
      <c r="Y92" s="10" t="str">
        <f t="shared" si="51"/>
        <v>-</v>
      </c>
      <c r="Z92" s="10" t="str">
        <f t="shared" si="52"/>
        <v>-</v>
      </c>
      <c r="AA92" s="13" t="str">
        <f t="shared" si="69"/>
        <v>-</v>
      </c>
      <c r="AB92" s="9" t="str">
        <f t="shared" si="53"/>
        <v>-</v>
      </c>
      <c r="AC92" s="16" t="str">
        <f t="shared" si="70"/>
        <v>-</v>
      </c>
      <c r="AD92" s="16" t="str">
        <f t="shared" si="54"/>
        <v>-</v>
      </c>
      <c r="AE92" s="16" t="str">
        <f t="shared" si="55"/>
        <v>-</v>
      </c>
      <c r="AF92" s="16" t="str">
        <f t="shared" si="71"/>
        <v>-</v>
      </c>
      <c r="AG92" s="16"/>
      <c r="AH92" s="32" t="str">
        <f>IFERROR(INDEX(Walmart!$R$11:$R$192,MATCH('Calculations - Walmart'!D92,Walmart!$N$11:$N$192,0)),"")</f>
        <v/>
      </c>
      <c r="AI92" s="23" t="str">
        <f t="shared" si="72"/>
        <v/>
      </c>
      <c r="AJ92" s="23" t="str">
        <f t="shared" si="73"/>
        <v/>
      </c>
      <c r="AK92" s="9" t="str">
        <f t="shared" si="56"/>
        <v/>
      </c>
      <c r="AL92" s="4" t="str">
        <f t="shared" si="57"/>
        <v/>
      </c>
      <c r="AM92" s="4"/>
      <c r="AN92" s="4"/>
      <c r="AO92" s="4"/>
      <c r="AP92" s="4"/>
      <c r="AQ92" s="4"/>
      <c r="AR92" s="20" t="str">
        <f t="shared" si="58"/>
        <v>-</v>
      </c>
      <c r="AS92" s="13" t="str">
        <f t="shared" si="74"/>
        <v>-</v>
      </c>
      <c r="AT92" s="13" t="str">
        <f t="shared" si="75"/>
        <v>-</v>
      </c>
      <c r="AU92" s="13" t="str">
        <f t="shared" si="59"/>
        <v>-</v>
      </c>
      <c r="AV92" s="16" t="str">
        <f t="shared" si="76"/>
        <v>-</v>
      </c>
      <c r="AW92" s="16" t="str">
        <f t="shared" si="60"/>
        <v>-</v>
      </c>
      <c r="AX92" s="16" t="str">
        <f t="shared" si="61"/>
        <v>-</v>
      </c>
      <c r="AY92" s="16" t="str">
        <f t="shared" si="77"/>
        <v>-</v>
      </c>
      <c r="AZ92" s="13" t="str">
        <f t="shared" si="78"/>
        <v>-</v>
      </c>
      <c r="BA92" s="10" t="str">
        <f t="shared" si="79"/>
        <v>-</v>
      </c>
      <c r="BB92" s="9" t="str">
        <f t="shared" si="80"/>
        <v>-</v>
      </c>
      <c r="BC92" s="13" t="str">
        <f t="shared" si="81"/>
        <v>-</v>
      </c>
      <c r="BD92" s="10" t="str">
        <f t="shared" si="82"/>
        <v>-</v>
      </c>
      <c r="BE92" s="13" t="str">
        <f t="shared" si="83"/>
        <v>-</v>
      </c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</row>
    <row r="93" spans="2:70" x14ac:dyDescent="0.3">
      <c r="B93" s="96" t="str">
        <f t="shared" si="62"/>
        <v/>
      </c>
      <c r="C93" s="96" t="str">
        <f t="shared" si="63"/>
        <v/>
      </c>
      <c r="D93" s="96" t="str">
        <f t="shared" si="64"/>
        <v/>
      </c>
      <c r="E93" s="3"/>
      <c r="F93" s="3"/>
      <c r="G93" s="3"/>
      <c r="H93" s="3"/>
      <c r="I93" s="20">
        <f>IFERROR(INDEX('Input - Walmart'!G$2:G$200,MATCH('Calculations - Walmart'!$D93,'Input - Walmart'!$B$2:$B$200,0)),"")</f>
        <v>0</v>
      </c>
      <c r="J93" s="20">
        <f>IFERROR(INDEX('Input - Walmart'!H$2:H$200,MATCH('Calculations - Walmart'!$D93,'Input - Walmart'!$B$2:$B$200,0)),"")</f>
        <v>0</v>
      </c>
      <c r="K93" s="21">
        <f>IFERROR(INDEX('Input - Walmart'!I$2:I$200,MATCH('Calculations - Walmart'!$D93,'Input - Walmart'!$B$2:$B$200,0)),"")</f>
        <v>0</v>
      </c>
      <c r="L93" s="21">
        <f>IFERROR(INDEX('Input - Walmart'!J$2:J$200,MATCH('Calculations - Walmart'!$D93,'Input - Walmart'!$B$2:$B$200,0)),"")</f>
        <v>0</v>
      </c>
      <c r="M93" s="20">
        <f>IFERROR(INDEX('Input - Walmart'!K$2:K$200,MATCH('Calculations - Walmart'!$D93,'Input - Walmart'!$B$2:$B$200,0)),"")</f>
        <v>0</v>
      </c>
      <c r="N93" s="20">
        <f>IFERROR(INDEX('Input - Walmart'!L$2:L$200,MATCH('Calculations - Walmart'!$D93,'Input - Walmart'!$B$2:$B$200,0)),"")</f>
        <v>0</v>
      </c>
      <c r="O93" s="21" t="str">
        <f t="shared" si="65"/>
        <v/>
      </c>
      <c r="P93" s="21" t="str">
        <f t="shared" si="47"/>
        <v/>
      </c>
      <c r="Q93" s="21">
        <f t="shared" si="66"/>
        <v>0</v>
      </c>
      <c r="R93" s="9">
        <f t="shared" si="84"/>
        <v>0</v>
      </c>
      <c r="S93" s="9">
        <f t="shared" si="85"/>
        <v>0</v>
      </c>
      <c r="T93" s="22" t="str">
        <f>IFERROR(INDEX(Walmart!$S$11:$S$192,MATCH('Calculations - Walmart'!$D93,Walmart!$N$11:$N$192,0)),"")</f>
        <v/>
      </c>
      <c r="U93" s="22" t="str">
        <f>IFERROR(INDEX(Walmart!$T$11:$T$192,MATCH('Calculations - Walmart'!$D93,Walmart!$N$11:$N$192,0)),"")</f>
        <v/>
      </c>
      <c r="V93" s="16" t="e">
        <f t="shared" si="50"/>
        <v>#VALUE!</v>
      </c>
      <c r="W93" s="16" t="e">
        <f t="shared" si="67"/>
        <v>#VALUE!</v>
      </c>
      <c r="X93" s="16" t="e">
        <f t="shared" si="68"/>
        <v>#VALUE!</v>
      </c>
      <c r="Y93" s="10" t="str">
        <f t="shared" si="51"/>
        <v>-</v>
      </c>
      <c r="Z93" s="10" t="str">
        <f t="shared" si="52"/>
        <v>-</v>
      </c>
      <c r="AA93" s="13" t="str">
        <f t="shared" si="69"/>
        <v>-</v>
      </c>
      <c r="AB93" s="9" t="str">
        <f t="shared" si="53"/>
        <v>-</v>
      </c>
      <c r="AC93" s="16" t="str">
        <f t="shared" si="70"/>
        <v>-</v>
      </c>
      <c r="AD93" s="16" t="str">
        <f t="shared" si="54"/>
        <v>-</v>
      </c>
      <c r="AE93" s="16" t="str">
        <f t="shared" si="55"/>
        <v>-</v>
      </c>
      <c r="AF93" s="16" t="str">
        <f t="shared" si="71"/>
        <v>-</v>
      </c>
      <c r="AG93" s="16"/>
      <c r="AH93" s="32" t="str">
        <f>IFERROR(INDEX(Walmart!$R$11:$R$192,MATCH('Calculations - Walmart'!D93,Walmart!$N$11:$N$192,0)),"")</f>
        <v/>
      </c>
      <c r="AI93" s="23" t="str">
        <f t="shared" si="72"/>
        <v/>
      </c>
      <c r="AJ93" s="23" t="str">
        <f t="shared" si="73"/>
        <v/>
      </c>
      <c r="AK93" s="9" t="str">
        <f t="shared" si="56"/>
        <v/>
      </c>
      <c r="AL93" s="4" t="str">
        <f t="shared" si="57"/>
        <v/>
      </c>
      <c r="AM93" s="4"/>
      <c r="AN93" s="4"/>
      <c r="AO93" s="4"/>
      <c r="AP93" s="4"/>
      <c r="AQ93" s="4"/>
      <c r="AR93" s="20" t="str">
        <f t="shared" si="58"/>
        <v>-</v>
      </c>
      <c r="AS93" s="13" t="str">
        <f t="shared" si="74"/>
        <v>-</v>
      </c>
      <c r="AT93" s="13" t="str">
        <f t="shared" si="75"/>
        <v>-</v>
      </c>
      <c r="AU93" s="13" t="str">
        <f t="shared" si="59"/>
        <v>-</v>
      </c>
      <c r="AV93" s="16" t="str">
        <f t="shared" si="76"/>
        <v>-</v>
      </c>
      <c r="AW93" s="16" t="str">
        <f t="shared" si="60"/>
        <v>-</v>
      </c>
      <c r="AX93" s="16" t="str">
        <f t="shared" si="61"/>
        <v>-</v>
      </c>
      <c r="AY93" s="16" t="str">
        <f t="shared" si="77"/>
        <v>-</v>
      </c>
      <c r="AZ93" s="13" t="str">
        <f t="shared" si="78"/>
        <v>-</v>
      </c>
      <c r="BA93" s="10" t="str">
        <f t="shared" si="79"/>
        <v>-</v>
      </c>
      <c r="BB93" s="9" t="str">
        <f t="shared" si="80"/>
        <v>-</v>
      </c>
      <c r="BC93" s="13" t="str">
        <f t="shared" si="81"/>
        <v>-</v>
      </c>
      <c r="BD93" s="10" t="str">
        <f t="shared" si="82"/>
        <v>-</v>
      </c>
      <c r="BE93" s="13" t="str">
        <f t="shared" si="83"/>
        <v>-</v>
      </c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</row>
    <row r="94" spans="2:70" x14ac:dyDescent="0.3">
      <c r="B94" s="96" t="str">
        <f t="shared" si="62"/>
        <v/>
      </c>
      <c r="C94" s="96" t="str">
        <f t="shared" si="63"/>
        <v/>
      </c>
      <c r="D94" s="96" t="str">
        <f t="shared" si="64"/>
        <v/>
      </c>
      <c r="E94" s="3"/>
      <c r="F94" s="3"/>
      <c r="G94" s="3"/>
      <c r="H94" s="3"/>
      <c r="I94" s="20">
        <f>IFERROR(INDEX('Input - Walmart'!G$2:G$200,MATCH('Calculations - Walmart'!$D94,'Input - Walmart'!$B$2:$B$200,0)),"")</f>
        <v>0</v>
      </c>
      <c r="J94" s="20">
        <f>IFERROR(INDEX('Input - Walmart'!H$2:H$200,MATCH('Calculations - Walmart'!$D94,'Input - Walmart'!$B$2:$B$200,0)),"")</f>
        <v>0</v>
      </c>
      <c r="K94" s="21">
        <f>IFERROR(INDEX('Input - Walmart'!I$2:I$200,MATCH('Calculations - Walmart'!$D94,'Input - Walmart'!$B$2:$B$200,0)),"")</f>
        <v>0</v>
      </c>
      <c r="L94" s="21">
        <f>IFERROR(INDEX('Input - Walmart'!J$2:J$200,MATCH('Calculations - Walmart'!$D94,'Input - Walmart'!$B$2:$B$200,0)),"")</f>
        <v>0</v>
      </c>
      <c r="M94" s="20">
        <f>IFERROR(INDEX('Input - Walmart'!K$2:K$200,MATCH('Calculations - Walmart'!$D94,'Input - Walmart'!$B$2:$B$200,0)),"")</f>
        <v>0</v>
      </c>
      <c r="N94" s="20">
        <f>IFERROR(INDEX('Input - Walmart'!L$2:L$200,MATCH('Calculations - Walmart'!$D94,'Input - Walmart'!$B$2:$B$200,0)),"")</f>
        <v>0</v>
      </c>
      <c r="O94" s="21" t="str">
        <f t="shared" si="65"/>
        <v/>
      </c>
      <c r="P94" s="21" t="str">
        <f t="shared" si="47"/>
        <v/>
      </c>
      <c r="Q94" s="21">
        <f t="shared" si="66"/>
        <v>0</v>
      </c>
      <c r="R94" s="9">
        <f t="shared" si="84"/>
        <v>0</v>
      </c>
      <c r="S94" s="9">
        <f t="shared" si="85"/>
        <v>0</v>
      </c>
      <c r="T94" s="22" t="str">
        <f>IFERROR(INDEX(Walmart!$S$11:$S$192,MATCH('Calculations - Walmart'!$D94,Walmart!$N$11:$N$192,0)),"")</f>
        <v/>
      </c>
      <c r="U94" s="22" t="str">
        <f>IFERROR(INDEX(Walmart!$T$11:$T$192,MATCH('Calculations - Walmart'!$D94,Walmart!$N$11:$N$192,0)),"")</f>
        <v/>
      </c>
      <c r="V94" s="16" t="e">
        <f t="shared" si="50"/>
        <v>#VALUE!</v>
      </c>
      <c r="W94" s="16" t="e">
        <f t="shared" si="67"/>
        <v>#VALUE!</v>
      </c>
      <c r="X94" s="16" t="e">
        <f t="shared" si="68"/>
        <v>#VALUE!</v>
      </c>
      <c r="Y94" s="10" t="str">
        <f t="shared" si="51"/>
        <v>-</v>
      </c>
      <c r="Z94" s="10" t="str">
        <f t="shared" si="52"/>
        <v>-</v>
      </c>
      <c r="AA94" s="13" t="str">
        <f t="shared" si="69"/>
        <v>-</v>
      </c>
      <c r="AB94" s="9" t="str">
        <f t="shared" si="53"/>
        <v>-</v>
      </c>
      <c r="AC94" s="16" t="str">
        <f t="shared" si="70"/>
        <v>-</v>
      </c>
      <c r="AD94" s="16" t="str">
        <f t="shared" si="54"/>
        <v>-</v>
      </c>
      <c r="AE94" s="16" t="str">
        <f t="shared" si="55"/>
        <v>-</v>
      </c>
      <c r="AF94" s="16" t="str">
        <f t="shared" si="71"/>
        <v>-</v>
      </c>
      <c r="AG94" s="16"/>
      <c r="AH94" s="32" t="str">
        <f>IFERROR(INDEX(Walmart!$R$11:$R$192,MATCH('Calculations - Walmart'!D94,Walmart!$N$11:$N$192,0)),"")</f>
        <v/>
      </c>
      <c r="AI94" s="23" t="str">
        <f t="shared" si="72"/>
        <v/>
      </c>
      <c r="AJ94" s="23" t="str">
        <f t="shared" si="73"/>
        <v/>
      </c>
      <c r="AK94" s="9" t="str">
        <f t="shared" si="56"/>
        <v/>
      </c>
      <c r="AL94" s="4" t="str">
        <f t="shared" si="57"/>
        <v/>
      </c>
      <c r="AM94" s="4"/>
      <c r="AN94" s="4"/>
      <c r="AO94" s="4"/>
      <c r="AP94" s="4"/>
      <c r="AQ94" s="4"/>
      <c r="AR94" s="20" t="str">
        <f t="shared" si="58"/>
        <v>-</v>
      </c>
      <c r="AS94" s="13" t="str">
        <f t="shared" si="74"/>
        <v>-</v>
      </c>
      <c r="AT94" s="13" t="str">
        <f t="shared" si="75"/>
        <v>-</v>
      </c>
      <c r="AU94" s="13" t="str">
        <f t="shared" si="59"/>
        <v>-</v>
      </c>
      <c r="AV94" s="16" t="str">
        <f t="shared" si="76"/>
        <v>-</v>
      </c>
      <c r="AW94" s="16" t="str">
        <f t="shared" si="60"/>
        <v>-</v>
      </c>
      <c r="AX94" s="16" t="str">
        <f t="shared" si="61"/>
        <v>-</v>
      </c>
      <c r="AY94" s="16" t="str">
        <f t="shared" si="77"/>
        <v>-</v>
      </c>
      <c r="AZ94" s="13" t="str">
        <f t="shared" si="78"/>
        <v>-</v>
      </c>
      <c r="BA94" s="10" t="str">
        <f t="shared" si="79"/>
        <v>-</v>
      </c>
      <c r="BB94" s="9" t="str">
        <f t="shared" si="80"/>
        <v>-</v>
      </c>
      <c r="BC94" s="13" t="str">
        <f t="shared" si="81"/>
        <v>-</v>
      </c>
      <c r="BD94" s="10" t="str">
        <f t="shared" si="82"/>
        <v>-</v>
      </c>
      <c r="BE94" s="13" t="str">
        <f t="shared" si="83"/>
        <v>-</v>
      </c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</row>
    <row r="95" spans="2:70" x14ac:dyDescent="0.3">
      <c r="B95" s="96" t="str">
        <f t="shared" si="62"/>
        <v/>
      </c>
      <c r="C95" s="96" t="str">
        <f t="shared" si="63"/>
        <v/>
      </c>
      <c r="D95" s="96" t="str">
        <f t="shared" si="64"/>
        <v/>
      </c>
      <c r="E95" s="3"/>
      <c r="F95" s="3"/>
      <c r="G95" s="3"/>
      <c r="H95" s="3"/>
      <c r="I95" s="20">
        <f>IFERROR(INDEX('Input - Walmart'!G$2:G$200,MATCH('Calculations - Walmart'!$D95,'Input - Walmart'!$B$2:$B$200,0)),"")</f>
        <v>0</v>
      </c>
      <c r="J95" s="20">
        <f>IFERROR(INDEX('Input - Walmart'!H$2:H$200,MATCH('Calculations - Walmart'!$D95,'Input - Walmart'!$B$2:$B$200,0)),"")</f>
        <v>0</v>
      </c>
      <c r="K95" s="21">
        <f>IFERROR(INDEX('Input - Walmart'!I$2:I$200,MATCH('Calculations - Walmart'!$D95,'Input - Walmart'!$B$2:$B$200,0)),"")</f>
        <v>0</v>
      </c>
      <c r="L95" s="21">
        <f>IFERROR(INDEX('Input - Walmart'!J$2:J$200,MATCH('Calculations - Walmart'!$D95,'Input - Walmart'!$B$2:$B$200,0)),"")</f>
        <v>0</v>
      </c>
      <c r="M95" s="20">
        <f>IFERROR(INDEX('Input - Walmart'!K$2:K$200,MATCH('Calculations - Walmart'!$D95,'Input - Walmart'!$B$2:$B$200,0)),"")</f>
        <v>0</v>
      </c>
      <c r="N95" s="20">
        <f>IFERROR(INDEX('Input - Walmart'!L$2:L$200,MATCH('Calculations - Walmart'!$D95,'Input - Walmart'!$B$2:$B$200,0)),"")</f>
        <v>0</v>
      </c>
      <c r="O95" s="21" t="str">
        <f t="shared" si="65"/>
        <v/>
      </c>
      <c r="P95" s="21" t="str">
        <f t="shared" si="47"/>
        <v/>
      </c>
      <c r="Q95" s="21">
        <f t="shared" si="66"/>
        <v>0</v>
      </c>
      <c r="R95" s="9">
        <f t="shared" si="84"/>
        <v>0</v>
      </c>
      <c r="S95" s="9">
        <f t="shared" si="85"/>
        <v>0</v>
      </c>
      <c r="T95" s="22" t="str">
        <f>IFERROR(INDEX(Walmart!$S$11:$S$192,MATCH('Calculations - Walmart'!$D95,Walmart!$N$11:$N$192,0)),"")</f>
        <v/>
      </c>
      <c r="U95" s="22" t="str">
        <f>IFERROR(INDEX(Walmart!$T$11:$T$192,MATCH('Calculations - Walmart'!$D95,Walmart!$N$11:$N$192,0)),"")</f>
        <v/>
      </c>
      <c r="V95" s="16" t="e">
        <f t="shared" si="50"/>
        <v>#VALUE!</v>
      </c>
      <c r="W95" s="16" t="e">
        <f t="shared" si="67"/>
        <v>#VALUE!</v>
      </c>
      <c r="X95" s="16" t="e">
        <f t="shared" si="68"/>
        <v>#VALUE!</v>
      </c>
      <c r="Y95" s="10" t="str">
        <f t="shared" si="51"/>
        <v>-</v>
      </c>
      <c r="Z95" s="10" t="str">
        <f t="shared" si="52"/>
        <v>-</v>
      </c>
      <c r="AA95" s="13" t="str">
        <f t="shared" si="69"/>
        <v>-</v>
      </c>
      <c r="AB95" s="9" t="str">
        <f t="shared" si="53"/>
        <v>-</v>
      </c>
      <c r="AC95" s="16" t="str">
        <f t="shared" si="70"/>
        <v>-</v>
      </c>
      <c r="AD95" s="16" t="str">
        <f t="shared" si="54"/>
        <v>-</v>
      </c>
      <c r="AE95" s="16" t="str">
        <f t="shared" si="55"/>
        <v>-</v>
      </c>
      <c r="AF95" s="16" t="str">
        <f t="shared" si="71"/>
        <v>-</v>
      </c>
      <c r="AG95" s="16"/>
      <c r="AH95" s="32" t="str">
        <f>IFERROR(INDEX(Walmart!$R$11:$R$192,MATCH('Calculations - Walmart'!D95,Walmart!$N$11:$N$192,0)),"")</f>
        <v/>
      </c>
      <c r="AI95" s="23" t="str">
        <f t="shared" si="72"/>
        <v/>
      </c>
      <c r="AJ95" s="23" t="str">
        <f t="shared" si="73"/>
        <v/>
      </c>
      <c r="AK95" s="9" t="str">
        <f t="shared" si="56"/>
        <v/>
      </c>
      <c r="AL95" s="4" t="str">
        <f t="shared" si="57"/>
        <v/>
      </c>
      <c r="AM95" s="4"/>
      <c r="AN95" s="4"/>
      <c r="AO95" s="4"/>
      <c r="AP95" s="4"/>
      <c r="AQ95" s="4"/>
      <c r="AR95" s="20" t="str">
        <f t="shared" si="58"/>
        <v>-</v>
      </c>
      <c r="AS95" s="13" t="str">
        <f t="shared" si="74"/>
        <v>-</v>
      </c>
      <c r="AT95" s="13" t="str">
        <f t="shared" si="75"/>
        <v>-</v>
      </c>
      <c r="AU95" s="13" t="str">
        <f t="shared" si="59"/>
        <v>-</v>
      </c>
      <c r="AV95" s="16" t="str">
        <f t="shared" si="76"/>
        <v>-</v>
      </c>
      <c r="AW95" s="16" t="str">
        <f t="shared" si="60"/>
        <v>-</v>
      </c>
      <c r="AX95" s="16" t="str">
        <f t="shared" si="61"/>
        <v>-</v>
      </c>
      <c r="AY95" s="16" t="str">
        <f t="shared" si="77"/>
        <v>-</v>
      </c>
      <c r="AZ95" s="13" t="str">
        <f t="shared" si="78"/>
        <v>-</v>
      </c>
      <c r="BA95" s="10" t="str">
        <f t="shared" si="79"/>
        <v>-</v>
      </c>
      <c r="BB95" s="9" t="str">
        <f t="shared" si="80"/>
        <v>-</v>
      </c>
      <c r="BC95" s="13" t="str">
        <f t="shared" si="81"/>
        <v>-</v>
      </c>
      <c r="BD95" s="10" t="str">
        <f t="shared" si="82"/>
        <v>-</v>
      </c>
      <c r="BE95" s="13" t="str">
        <f t="shared" si="83"/>
        <v>-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</row>
    <row r="96" spans="2:70" x14ac:dyDescent="0.3">
      <c r="B96" s="96" t="str">
        <f t="shared" si="62"/>
        <v/>
      </c>
      <c r="C96" s="96" t="str">
        <f t="shared" si="63"/>
        <v/>
      </c>
      <c r="D96" s="96" t="str">
        <f t="shared" si="64"/>
        <v/>
      </c>
      <c r="E96" s="3"/>
      <c r="F96" s="3"/>
      <c r="G96" s="3"/>
      <c r="H96" s="3"/>
      <c r="I96" s="20">
        <f>IFERROR(INDEX('Input - Walmart'!G$2:G$200,MATCH('Calculations - Walmart'!$D96,'Input - Walmart'!$B$2:$B$200,0)),"")</f>
        <v>0</v>
      </c>
      <c r="J96" s="20">
        <f>IFERROR(INDEX('Input - Walmart'!H$2:H$200,MATCH('Calculations - Walmart'!$D96,'Input - Walmart'!$B$2:$B$200,0)),"")</f>
        <v>0</v>
      </c>
      <c r="K96" s="21">
        <f>IFERROR(INDEX('Input - Walmart'!I$2:I$200,MATCH('Calculations - Walmart'!$D96,'Input - Walmart'!$B$2:$B$200,0)),"")</f>
        <v>0</v>
      </c>
      <c r="L96" s="21">
        <f>IFERROR(INDEX('Input - Walmart'!J$2:J$200,MATCH('Calculations - Walmart'!$D96,'Input - Walmart'!$B$2:$B$200,0)),"")</f>
        <v>0</v>
      </c>
      <c r="M96" s="20">
        <f>IFERROR(INDEX('Input - Walmart'!K$2:K$200,MATCH('Calculations - Walmart'!$D96,'Input - Walmart'!$B$2:$B$200,0)),"")</f>
        <v>0</v>
      </c>
      <c r="N96" s="20">
        <f>IFERROR(INDEX('Input - Walmart'!L$2:L$200,MATCH('Calculations - Walmart'!$D96,'Input - Walmart'!$B$2:$B$200,0)),"")</f>
        <v>0</v>
      </c>
      <c r="O96" s="21" t="str">
        <f t="shared" si="65"/>
        <v/>
      </c>
      <c r="P96" s="21" t="str">
        <f t="shared" ref="P96:P159" si="86">IFERROR(M96/N96,"")</f>
        <v/>
      </c>
      <c r="Q96" s="21">
        <f t="shared" si="66"/>
        <v>0</v>
      </c>
      <c r="R96" s="9">
        <f t="shared" si="84"/>
        <v>0</v>
      </c>
      <c r="S96" s="9">
        <f t="shared" si="85"/>
        <v>0</v>
      </c>
      <c r="T96" s="22" t="str">
        <f>IFERROR(INDEX(Walmart!$S$11:$S$192,MATCH('Calculations - Walmart'!$D96,Walmart!$N$11:$N$192,0)),"")</f>
        <v/>
      </c>
      <c r="U96" s="22" t="str">
        <f>IFERROR(INDEX(Walmart!$T$11:$T$192,MATCH('Calculations - Walmart'!$D96,Walmart!$N$11:$N$192,0)),"")</f>
        <v/>
      </c>
      <c r="V96" s="16" t="e">
        <f t="shared" ref="V96:V159" si="87">T96*I96</f>
        <v>#VALUE!</v>
      </c>
      <c r="W96" s="16" t="e">
        <f t="shared" si="67"/>
        <v>#VALUE!</v>
      </c>
      <c r="X96" s="16" t="e">
        <f t="shared" si="68"/>
        <v>#VALUE!</v>
      </c>
      <c r="Y96" s="10" t="str">
        <f t="shared" ref="Y96:Y159" si="88">IFERROR(X96/J96,"-")</f>
        <v>-</v>
      </c>
      <c r="Z96" s="10" t="str">
        <f t="shared" ref="Z96:Z159" si="89">IFERROR((L96+O96)*J96*0.5,"-")</f>
        <v>-</v>
      </c>
      <c r="AA96" s="13" t="str">
        <f t="shared" si="69"/>
        <v>-</v>
      </c>
      <c r="AB96" s="9" t="str">
        <f t="shared" ref="AB96:AB159" si="90">IFERROR(AA96-R96,"-")</f>
        <v>-</v>
      </c>
      <c r="AC96" s="16" t="str">
        <f t="shared" si="70"/>
        <v>-</v>
      </c>
      <c r="AD96" s="16" t="str">
        <f t="shared" ref="AD96:AD159" si="91">IFERROR(AC96/O96,"-")</f>
        <v>-</v>
      </c>
      <c r="AE96" s="16" t="str">
        <f t="shared" ref="AE96:AE159" si="92">IFERROR(T96*AC96,"-")</f>
        <v>-</v>
      </c>
      <c r="AF96" s="16" t="str">
        <f t="shared" si="71"/>
        <v>-</v>
      </c>
      <c r="AG96" s="16"/>
      <c r="AH96" s="32" t="str">
        <f>IFERROR(INDEX(Walmart!$R$11:$R$192,MATCH('Calculations - Walmart'!D96,Walmart!$N$11:$N$192,0)),"")</f>
        <v/>
      </c>
      <c r="AI96" s="23" t="str">
        <f t="shared" si="72"/>
        <v/>
      </c>
      <c r="AJ96" s="23" t="str">
        <f t="shared" si="73"/>
        <v/>
      </c>
      <c r="AK96" s="9" t="str">
        <f t="shared" ref="AK96:AK159" si="93">IFERROR((AH96-O96)/O96,"")</f>
        <v/>
      </c>
      <c r="AL96" s="4" t="str">
        <f t="shared" ref="AL96:AL159" si="94">IFERROR(MAX((1+AK96*Q96/5)*J96,0),"")</f>
        <v/>
      </c>
      <c r="AM96" s="4"/>
      <c r="AN96" s="4"/>
      <c r="AO96" s="4"/>
      <c r="AP96" s="4"/>
      <c r="AQ96" s="4"/>
      <c r="AR96" s="20" t="str">
        <f t="shared" ref="AR96:AR159" si="95">IFERROR(0.5*(L96+AH96)*AL96,"-")</f>
        <v>-</v>
      </c>
      <c r="AS96" s="13" t="str">
        <f t="shared" si="74"/>
        <v>-</v>
      </c>
      <c r="AT96" s="13" t="str">
        <f t="shared" si="75"/>
        <v>-</v>
      </c>
      <c r="AU96" s="13" t="str">
        <f t="shared" ref="AU96:AU159" si="96">IFERROR(AT96-R96,"-")</f>
        <v>-</v>
      </c>
      <c r="AV96" s="16" t="str">
        <f t="shared" si="76"/>
        <v>-</v>
      </c>
      <c r="AW96" s="16" t="str">
        <f t="shared" ref="AW96:AW159" si="97">IFERROR(AV96/AH96,"-")</f>
        <v>-</v>
      </c>
      <c r="AX96" s="16" t="str">
        <f t="shared" ref="AX96:AX159" si="98">IFERROR(AI96*AV96,"-")</f>
        <v>-</v>
      </c>
      <c r="AY96" s="16" t="str">
        <f t="shared" si="77"/>
        <v>-</v>
      </c>
      <c r="AZ96" s="13" t="str">
        <f t="shared" si="78"/>
        <v>-</v>
      </c>
      <c r="BA96" s="10" t="str">
        <f t="shared" si="79"/>
        <v>-</v>
      </c>
      <c r="BB96" s="9" t="str">
        <f t="shared" si="80"/>
        <v>-</v>
      </c>
      <c r="BC96" s="13" t="str">
        <f t="shared" si="81"/>
        <v>-</v>
      </c>
      <c r="BD96" s="10" t="str">
        <f t="shared" si="82"/>
        <v>-</v>
      </c>
      <c r="BE96" s="13" t="str">
        <f t="shared" si="83"/>
        <v>-</v>
      </c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</row>
    <row r="97" spans="2:70" x14ac:dyDescent="0.3">
      <c r="B97" s="96" t="str">
        <f t="shared" ref="B97:B160" si="99">IFERROR(E97&amp;F97,"")</f>
        <v/>
      </c>
      <c r="C97" s="96" t="str">
        <f t="shared" ref="C97:C160" si="100">E97&amp;F97&amp;G97</f>
        <v/>
      </c>
      <c r="D97" s="96" t="str">
        <f t="shared" ref="D97:D160" si="101">IFERROR(E97&amp;F97&amp;G97&amp;H97,"")</f>
        <v/>
      </c>
      <c r="E97" s="3"/>
      <c r="F97" s="3"/>
      <c r="G97" s="3"/>
      <c r="H97" s="3"/>
      <c r="I97" s="20">
        <f>IFERROR(INDEX('Input - Walmart'!G$2:G$200,MATCH('Calculations - Walmart'!$D97,'Input - Walmart'!$B$2:$B$200,0)),"")</f>
        <v>0</v>
      </c>
      <c r="J97" s="20">
        <f>IFERROR(INDEX('Input - Walmart'!H$2:H$200,MATCH('Calculations - Walmart'!$D97,'Input - Walmart'!$B$2:$B$200,0)),"")</f>
        <v>0</v>
      </c>
      <c r="K97" s="21">
        <f>IFERROR(INDEX('Input - Walmart'!I$2:I$200,MATCH('Calculations - Walmart'!$D97,'Input - Walmart'!$B$2:$B$200,0)),"")</f>
        <v>0</v>
      </c>
      <c r="L97" s="21">
        <f>IFERROR(INDEX('Input - Walmart'!J$2:J$200,MATCH('Calculations - Walmart'!$D97,'Input - Walmart'!$B$2:$B$200,0)),"")</f>
        <v>0</v>
      </c>
      <c r="M97" s="20">
        <f>IFERROR(INDEX('Input - Walmart'!K$2:K$200,MATCH('Calculations - Walmart'!$D97,'Input - Walmart'!$B$2:$B$200,0)),"")</f>
        <v>0</v>
      </c>
      <c r="N97" s="20">
        <f>IFERROR(INDEX('Input - Walmart'!L$2:L$200,MATCH('Calculations - Walmart'!$D97,'Input - Walmart'!$B$2:$B$200,0)),"")</f>
        <v>0</v>
      </c>
      <c r="O97" s="21" t="str">
        <f t="shared" ref="O97:O160" si="102">IFERROR(I97/J97,"")</f>
        <v/>
      </c>
      <c r="P97" s="21" t="str">
        <f t="shared" si="86"/>
        <v/>
      </c>
      <c r="Q97" s="21">
        <f t="shared" ref="Q97:Q160" si="103">IFERROR((O97/(O97-L97)*5),0)</f>
        <v>0</v>
      </c>
      <c r="R97" s="9">
        <f t="shared" si="84"/>
        <v>0</v>
      </c>
      <c r="S97" s="9">
        <f t="shared" si="85"/>
        <v>0</v>
      </c>
      <c r="T97" s="22" t="str">
        <f>IFERROR(INDEX(Walmart!$S$11:$S$192,MATCH('Calculations - Walmart'!$D97,Walmart!$N$11:$N$192,0)),"")</f>
        <v/>
      </c>
      <c r="U97" s="22" t="str">
        <f>IFERROR(INDEX(Walmart!$T$11:$T$192,MATCH('Calculations - Walmart'!$D97,Walmart!$N$11:$N$192,0)),"")</f>
        <v/>
      </c>
      <c r="V97" s="16" t="e">
        <f t="shared" si="87"/>
        <v>#VALUE!</v>
      </c>
      <c r="W97" s="16" t="e">
        <f t="shared" ref="W97:W160" si="104">U97*V97</f>
        <v>#VALUE!</v>
      </c>
      <c r="X97" s="16" t="e">
        <f t="shared" ref="X97:X160" si="105">V97-W97</f>
        <v>#VALUE!</v>
      </c>
      <c r="Y97" s="10" t="str">
        <f t="shared" si="88"/>
        <v>-</v>
      </c>
      <c r="Z97" s="10" t="str">
        <f t="shared" si="89"/>
        <v>-</v>
      </c>
      <c r="AA97" s="13" t="str">
        <f t="shared" ref="AA97:AA160" si="106">IFERROR(Z97/$Z$30,"-")</f>
        <v>-</v>
      </c>
      <c r="AB97" s="9" t="str">
        <f t="shared" si="90"/>
        <v>-</v>
      </c>
      <c r="AC97" s="16" t="str">
        <f t="shared" ref="AC97:AC160" si="107">IFERROR(AA97*$I$30,"-")</f>
        <v>-</v>
      </c>
      <c r="AD97" s="16" t="str">
        <f t="shared" si="91"/>
        <v>-</v>
      </c>
      <c r="AE97" s="16" t="str">
        <f t="shared" si="92"/>
        <v>-</v>
      </c>
      <c r="AF97" s="16" t="str">
        <f t="shared" ref="AF97:AF160" si="108">IFERROR(AE97-(Y97)*AD97,"-")</f>
        <v>-</v>
      </c>
      <c r="AG97" s="16"/>
      <c r="AH97" s="32" t="str">
        <f>IFERROR(INDEX(Walmart!$R$11:$R$192,MATCH('Calculations - Walmart'!D97,Walmart!$N$11:$N$192,0)),"")</f>
        <v/>
      </c>
      <c r="AI97" s="23" t="str">
        <f t="shared" ref="AI97:AI160" si="109">T97</f>
        <v/>
      </c>
      <c r="AJ97" s="23" t="str">
        <f t="shared" ref="AJ97:AJ160" si="110">U97</f>
        <v/>
      </c>
      <c r="AK97" s="9" t="str">
        <f t="shared" si="93"/>
        <v/>
      </c>
      <c r="AL97" s="4" t="str">
        <f t="shared" si="94"/>
        <v/>
      </c>
      <c r="AM97" s="4"/>
      <c r="AN97" s="4"/>
      <c r="AO97" s="4"/>
      <c r="AP97" s="4"/>
      <c r="AQ97" s="4"/>
      <c r="AR97" s="20" t="str">
        <f t="shared" si="95"/>
        <v>-</v>
      </c>
      <c r="AS97" s="13" t="str">
        <f t="shared" ref="AS97:AS160" si="111">IFERROR(AR97/AR$30,"-")</f>
        <v>-</v>
      </c>
      <c r="AT97" s="13" t="str">
        <f t="shared" ref="AT97:AT160" si="112">IFERROR(AS97*$R$30,"-")</f>
        <v>-</v>
      </c>
      <c r="AU97" s="13" t="str">
        <f t="shared" si="96"/>
        <v>-</v>
      </c>
      <c r="AV97" s="16" t="str">
        <f t="shared" ref="AV97:AV160" si="113">IFERROR(AT97*AQ$32,"-")</f>
        <v>-</v>
      </c>
      <c r="AW97" s="16" t="str">
        <f t="shared" si="97"/>
        <v>-</v>
      </c>
      <c r="AX97" s="16" t="str">
        <f t="shared" si="98"/>
        <v>-</v>
      </c>
      <c r="AY97" s="16" t="str">
        <f t="shared" ref="AY97:AY160" si="114">IFERROR(AX97-(Y97*AW97),"-")</f>
        <v>-</v>
      </c>
      <c r="AZ97" s="13" t="str">
        <f t="shared" ref="AZ97:AZ160" si="115">IFERROR(AW97/SUMIFS($AW$32:$AW$229,$B$32:$B$229,B97),"-")</f>
        <v>-</v>
      </c>
      <c r="BA97" s="10" t="str">
        <f t="shared" ref="BA97:BA160" si="116">IFERROR(AZ97*INDEX($AU$4:$AU$24,MATCH($B97,$D$4:$D$24,0)),"-")</f>
        <v>-</v>
      </c>
      <c r="BB97" s="9" t="str">
        <f t="shared" ref="BB97:BB160" si="117">IFERROR(BA97/SUM($BA$32:$BA$229),"-")</f>
        <v>-</v>
      </c>
      <c r="BC97" s="13" t="str">
        <f t="shared" ref="BC97:BC160" si="118">IFERROR(AV97/SUMIFS($AV$32:$AV$229,$B$32:$B$229,B97),"-")</f>
        <v>-</v>
      </c>
      <c r="BD97" s="10" t="str">
        <f t="shared" ref="BD97:BD160" si="119">IFERROR(BC97*INDEX($AT$4:$AT$24,MATCH($B97,$D$4:$D$24,0)),"-")</f>
        <v>-</v>
      </c>
      <c r="BE97" s="13" t="str">
        <f t="shared" ref="BE97:BE160" si="120">IFERROR(BD97/SUM($BD$32:$BD$229),"-")</f>
        <v>-</v>
      </c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</row>
    <row r="98" spans="2:70" x14ac:dyDescent="0.3">
      <c r="B98" s="96" t="str">
        <f t="shared" si="99"/>
        <v/>
      </c>
      <c r="C98" s="96" t="str">
        <f t="shared" si="100"/>
        <v/>
      </c>
      <c r="D98" s="96" t="str">
        <f t="shared" si="101"/>
        <v/>
      </c>
      <c r="E98" s="3"/>
      <c r="F98" s="3"/>
      <c r="G98" s="3"/>
      <c r="H98" s="3"/>
      <c r="I98" s="20">
        <f>IFERROR(INDEX('Input - Walmart'!G$2:G$200,MATCH('Calculations - Walmart'!$D98,'Input - Walmart'!$B$2:$B$200,0)),"")</f>
        <v>0</v>
      </c>
      <c r="J98" s="20">
        <f>IFERROR(INDEX('Input - Walmart'!H$2:H$200,MATCH('Calculations - Walmart'!$D98,'Input - Walmart'!$B$2:$B$200,0)),"")</f>
        <v>0</v>
      </c>
      <c r="K98" s="21">
        <f>IFERROR(INDEX('Input - Walmart'!I$2:I$200,MATCH('Calculations - Walmart'!$D98,'Input - Walmart'!$B$2:$B$200,0)),"")</f>
        <v>0</v>
      </c>
      <c r="L98" s="21">
        <f>IFERROR(INDEX('Input - Walmart'!J$2:J$200,MATCH('Calculations - Walmart'!$D98,'Input - Walmart'!$B$2:$B$200,0)),"")</f>
        <v>0</v>
      </c>
      <c r="M98" s="20">
        <f>IFERROR(INDEX('Input - Walmart'!K$2:K$200,MATCH('Calculations - Walmart'!$D98,'Input - Walmart'!$B$2:$B$200,0)),"")</f>
        <v>0</v>
      </c>
      <c r="N98" s="20">
        <f>IFERROR(INDEX('Input - Walmart'!L$2:L$200,MATCH('Calculations - Walmart'!$D98,'Input - Walmart'!$B$2:$B$200,0)),"")</f>
        <v>0</v>
      </c>
      <c r="O98" s="21" t="str">
        <f t="shared" si="102"/>
        <v/>
      </c>
      <c r="P98" s="21" t="str">
        <f t="shared" si="86"/>
        <v/>
      </c>
      <c r="Q98" s="21">
        <f t="shared" si="103"/>
        <v>0</v>
      </c>
      <c r="R98" s="9">
        <f t="shared" si="84"/>
        <v>0</v>
      </c>
      <c r="S98" s="9">
        <f t="shared" si="85"/>
        <v>0</v>
      </c>
      <c r="T98" s="22" t="str">
        <f>IFERROR(INDEX(Walmart!$S$11:$S$192,MATCH('Calculations - Walmart'!$D98,Walmart!$N$11:$N$192,0)),"")</f>
        <v/>
      </c>
      <c r="U98" s="22" t="str">
        <f>IFERROR(INDEX(Walmart!$T$11:$T$192,MATCH('Calculations - Walmart'!$D98,Walmart!$N$11:$N$192,0)),"")</f>
        <v/>
      </c>
      <c r="V98" s="16" t="e">
        <f t="shared" si="87"/>
        <v>#VALUE!</v>
      </c>
      <c r="W98" s="16" t="e">
        <f t="shared" si="104"/>
        <v>#VALUE!</v>
      </c>
      <c r="X98" s="16" t="e">
        <f t="shared" si="105"/>
        <v>#VALUE!</v>
      </c>
      <c r="Y98" s="10" t="str">
        <f t="shared" si="88"/>
        <v>-</v>
      </c>
      <c r="Z98" s="10" t="str">
        <f t="shared" si="89"/>
        <v>-</v>
      </c>
      <c r="AA98" s="13" t="str">
        <f t="shared" si="106"/>
        <v>-</v>
      </c>
      <c r="AB98" s="9" t="str">
        <f t="shared" si="90"/>
        <v>-</v>
      </c>
      <c r="AC98" s="16" t="str">
        <f t="shared" si="107"/>
        <v>-</v>
      </c>
      <c r="AD98" s="16" t="str">
        <f t="shared" si="91"/>
        <v>-</v>
      </c>
      <c r="AE98" s="16" t="str">
        <f t="shared" si="92"/>
        <v>-</v>
      </c>
      <c r="AF98" s="16" t="str">
        <f t="shared" si="108"/>
        <v>-</v>
      </c>
      <c r="AG98" s="16"/>
      <c r="AH98" s="32" t="str">
        <f>IFERROR(INDEX(Walmart!$R$11:$R$192,MATCH('Calculations - Walmart'!D98,Walmart!$N$11:$N$192,0)),"")</f>
        <v/>
      </c>
      <c r="AI98" s="23" t="str">
        <f t="shared" si="109"/>
        <v/>
      </c>
      <c r="AJ98" s="23" t="str">
        <f t="shared" si="110"/>
        <v/>
      </c>
      <c r="AK98" s="9" t="str">
        <f t="shared" si="93"/>
        <v/>
      </c>
      <c r="AL98" s="4" t="str">
        <f t="shared" si="94"/>
        <v/>
      </c>
      <c r="AM98" s="4"/>
      <c r="AN98" s="4"/>
      <c r="AO98" s="4"/>
      <c r="AP98" s="4"/>
      <c r="AQ98" s="4"/>
      <c r="AR98" s="20" t="str">
        <f t="shared" si="95"/>
        <v>-</v>
      </c>
      <c r="AS98" s="13" t="str">
        <f t="shared" si="111"/>
        <v>-</v>
      </c>
      <c r="AT98" s="13" t="str">
        <f t="shared" si="112"/>
        <v>-</v>
      </c>
      <c r="AU98" s="13" t="str">
        <f t="shared" si="96"/>
        <v>-</v>
      </c>
      <c r="AV98" s="16" t="str">
        <f t="shared" si="113"/>
        <v>-</v>
      </c>
      <c r="AW98" s="16" t="str">
        <f t="shared" si="97"/>
        <v>-</v>
      </c>
      <c r="AX98" s="16" t="str">
        <f t="shared" si="98"/>
        <v>-</v>
      </c>
      <c r="AY98" s="16" t="str">
        <f t="shared" si="114"/>
        <v>-</v>
      </c>
      <c r="AZ98" s="13" t="str">
        <f t="shared" si="115"/>
        <v>-</v>
      </c>
      <c r="BA98" s="10" t="str">
        <f t="shared" si="116"/>
        <v>-</v>
      </c>
      <c r="BB98" s="9" t="str">
        <f t="shared" si="117"/>
        <v>-</v>
      </c>
      <c r="BC98" s="13" t="str">
        <f t="shared" si="118"/>
        <v>-</v>
      </c>
      <c r="BD98" s="10" t="str">
        <f t="shared" si="119"/>
        <v>-</v>
      </c>
      <c r="BE98" s="13" t="str">
        <f t="shared" si="120"/>
        <v>-</v>
      </c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</row>
    <row r="99" spans="2:70" x14ac:dyDescent="0.3">
      <c r="B99" s="96" t="str">
        <f t="shared" si="99"/>
        <v/>
      </c>
      <c r="C99" s="96" t="str">
        <f t="shared" si="100"/>
        <v/>
      </c>
      <c r="D99" s="96" t="str">
        <f t="shared" si="101"/>
        <v/>
      </c>
      <c r="E99" s="3"/>
      <c r="F99" s="3"/>
      <c r="G99" s="3"/>
      <c r="H99" s="3"/>
      <c r="I99" s="20">
        <f>IFERROR(INDEX('Input - Walmart'!G$2:G$200,MATCH('Calculations - Walmart'!$D99,'Input - Walmart'!$B$2:$B$200,0)),"")</f>
        <v>0</v>
      </c>
      <c r="J99" s="20">
        <f>IFERROR(INDEX('Input - Walmart'!H$2:H$200,MATCH('Calculations - Walmart'!$D99,'Input - Walmart'!$B$2:$B$200,0)),"")</f>
        <v>0</v>
      </c>
      <c r="K99" s="21">
        <f>IFERROR(INDEX('Input - Walmart'!I$2:I$200,MATCH('Calculations - Walmart'!$D99,'Input - Walmart'!$B$2:$B$200,0)),"")</f>
        <v>0</v>
      </c>
      <c r="L99" s="21">
        <f>IFERROR(INDEX('Input - Walmart'!J$2:J$200,MATCH('Calculations - Walmart'!$D99,'Input - Walmart'!$B$2:$B$200,0)),"")</f>
        <v>0</v>
      </c>
      <c r="M99" s="20">
        <f>IFERROR(INDEX('Input - Walmart'!K$2:K$200,MATCH('Calculations - Walmart'!$D99,'Input - Walmart'!$B$2:$B$200,0)),"")</f>
        <v>0</v>
      </c>
      <c r="N99" s="20">
        <f>IFERROR(INDEX('Input - Walmart'!L$2:L$200,MATCH('Calculations - Walmart'!$D99,'Input - Walmart'!$B$2:$B$200,0)),"")</f>
        <v>0</v>
      </c>
      <c r="O99" s="21" t="str">
        <f t="shared" si="102"/>
        <v/>
      </c>
      <c r="P99" s="21" t="str">
        <f t="shared" si="86"/>
        <v/>
      </c>
      <c r="Q99" s="21">
        <f t="shared" si="103"/>
        <v>0</v>
      </c>
      <c r="R99" s="9">
        <f t="shared" si="84"/>
        <v>0</v>
      </c>
      <c r="S99" s="9">
        <f t="shared" si="85"/>
        <v>0</v>
      </c>
      <c r="T99" s="22" t="str">
        <f>IFERROR(INDEX(Walmart!$S$11:$S$192,MATCH('Calculations - Walmart'!$D99,Walmart!$N$11:$N$192,0)),"")</f>
        <v/>
      </c>
      <c r="U99" s="22" t="str">
        <f>IFERROR(INDEX(Walmart!$T$11:$T$192,MATCH('Calculations - Walmart'!$D99,Walmart!$N$11:$N$192,0)),"")</f>
        <v/>
      </c>
      <c r="V99" s="16" t="e">
        <f t="shared" si="87"/>
        <v>#VALUE!</v>
      </c>
      <c r="W99" s="16" t="e">
        <f t="shared" si="104"/>
        <v>#VALUE!</v>
      </c>
      <c r="X99" s="16" t="e">
        <f t="shared" si="105"/>
        <v>#VALUE!</v>
      </c>
      <c r="Y99" s="10" t="str">
        <f t="shared" si="88"/>
        <v>-</v>
      </c>
      <c r="Z99" s="10" t="str">
        <f t="shared" si="89"/>
        <v>-</v>
      </c>
      <c r="AA99" s="13" t="str">
        <f t="shared" si="106"/>
        <v>-</v>
      </c>
      <c r="AB99" s="9" t="str">
        <f t="shared" si="90"/>
        <v>-</v>
      </c>
      <c r="AC99" s="16" t="str">
        <f t="shared" si="107"/>
        <v>-</v>
      </c>
      <c r="AD99" s="16" t="str">
        <f t="shared" si="91"/>
        <v>-</v>
      </c>
      <c r="AE99" s="16" t="str">
        <f t="shared" si="92"/>
        <v>-</v>
      </c>
      <c r="AF99" s="16" t="str">
        <f t="shared" si="108"/>
        <v>-</v>
      </c>
      <c r="AG99" s="16"/>
      <c r="AH99" s="32" t="str">
        <f>IFERROR(INDEX(Walmart!$R$11:$R$192,MATCH('Calculations - Walmart'!D99,Walmart!$N$11:$N$192,0)),"")</f>
        <v/>
      </c>
      <c r="AI99" s="23" t="str">
        <f t="shared" si="109"/>
        <v/>
      </c>
      <c r="AJ99" s="23" t="str">
        <f t="shared" si="110"/>
        <v/>
      </c>
      <c r="AK99" s="9" t="str">
        <f t="shared" si="93"/>
        <v/>
      </c>
      <c r="AL99" s="4" t="str">
        <f t="shared" si="94"/>
        <v/>
      </c>
      <c r="AM99" s="4"/>
      <c r="AN99" s="4"/>
      <c r="AO99" s="4"/>
      <c r="AP99" s="4"/>
      <c r="AQ99" s="4"/>
      <c r="AR99" s="20" t="str">
        <f t="shared" si="95"/>
        <v>-</v>
      </c>
      <c r="AS99" s="13" t="str">
        <f t="shared" si="111"/>
        <v>-</v>
      </c>
      <c r="AT99" s="13" t="str">
        <f t="shared" si="112"/>
        <v>-</v>
      </c>
      <c r="AU99" s="13" t="str">
        <f t="shared" si="96"/>
        <v>-</v>
      </c>
      <c r="AV99" s="16" t="str">
        <f t="shared" si="113"/>
        <v>-</v>
      </c>
      <c r="AW99" s="16" t="str">
        <f t="shared" si="97"/>
        <v>-</v>
      </c>
      <c r="AX99" s="16" t="str">
        <f t="shared" si="98"/>
        <v>-</v>
      </c>
      <c r="AY99" s="16" t="str">
        <f t="shared" si="114"/>
        <v>-</v>
      </c>
      <c r="AZ99" s="13" t="str">
        <f t="shared" si="115"/>
        <v>-</v>
      </c>
      <c r="BA99" s="10" t="str">
        <f t="shared" si="116"/>
        <v>-</v>
      </c>
      <c r="BB99" s="9" t="str">
        <f t="shared" si="117"/>
        <v>-</v>
      </c>
      <c r="BC99" s="13" t="str">
        <f t="shared" si="118"/>
        <v>-</v>
      </c>
      <c r="BD99" s="10" t="str">
        <f t="shared" si="119"/>
        <v>-</v>
      </c>
      <c r="BE99" s="13" t="str">
        <f t="shared" si="120"/>
        <v>-</v>
      </c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</row>
    <row r="100" spans="2:70" x14ac:dyDescent="0.3">
      <c r="B100" s="96" t="str">
        <f t="shared" si="99"/>
        <v/>
      </c>
      <c r="C100" s="96" t="str">
        <f t="shared" si="100"/>
        <v/>
      </c>
      <c r="D100" s="96" t="str">
        <f t="shared" si="101"/>
        <v/>
      </c>
      <c r="E100" s="3"/>
      <c r="F100" s="3"/>
      <c r="G100" s="3"/>
      <c r="H100" s="3"/>
      <c r="I100" s="20">
        <f>IFERROR(INDEX('Input - Walmart'!G$2:G$200,MATCH('Calculations - Walmart'!$D100,'Input - Walmart'!$B$2:$B$200,0)),"")</f>
        <v>0</v>
      </c>
      <c r="J100" s="20">
        <f>IFERROR(INDEX('Input - Walmart'!H$2:H$200,MATCH('Calculations - Walmart'!$D100,'Input - Walmart'!$B$2:$B$200,0)),"")</f>
        <v>0</v>
      </c>
      <c r="K100" s="21">
        <f>IFERROR(INDEX('Input - Walmart'!I$2:I$200,MATCH('Calculations - Walmart'!$D100,'Input - Walmart'!$B$2:$B$200,0)),"")</f>
        <v>0</v>
      </c>
      <c r="L100" s="21">
        <f>IFERROR(INDEX('Input - Walmart'!J$2:J$200,MATCH('Calculations - Walmart'!$D100,'Input - Walmart'!$B$2:$B$200,0)),"")</f>
        <v>0</v>
      </c>
      <c r="M100" s="20">
        <f>IFERROR(INDEX('Input - Walmart'!K$2:K$200,MATCH('Calculations - Walmart'!$D100,'Input - Walmart'!$B$2:$B$200,0)),"")</f>
        <v>0</v>
      </c>
      <c r="N100" s="20">
        <f>IFERROR(INDEX('Input - Walmart'!L$2:L$200,MATCH('Calculations - Walmart'!$D100,'Input - Walmart'!$B$2:$B$200,0)),"")</f>
        <v>0</v>
      </c>
      <c r="O100" s="21" t="str">
        <f t="shared" si="102"/>
        <v/>
      </c>
      <c r="P100" s="21" t="str">
        <f t="shared" si="86"/>
        <v/>
      </c>
      <c r="Q100" s="21">
        <f t="shared" si="103"/>
        <v>0</v>
      </c>
      <c r="R100" s="9">
        <f t="shared" si="84"/>
        <v>0</v>
      </c>
      <c r="S100" s="9">
        <f t="shared" si="85"/>
        <v>0</v>
      </c>
      <c r="T100" s="22" t="str">
        <f>IFERROR(INDEX(Walmart!$S$11:$S$192,MATCH('Calculations - Walmart'!$D100,Walmart!$N$11:$N$192,0)),"")</f>
        <v/>
      </c>
      <c r="U100" s="22" t="str">
        <f>IFERROR(INDEX(Walmart!$T$11:$T$192,MATCH('Calculations - Walmart'!$D100,Walmart!$N$11:$N$192,0)),"")</f>
        <v/>
      </c>
      <c r="V100" s="16" t="e">
        <f t="shared" si="87"/>
        <v>#VALUE!</v>
      </c>
      <c r="W100" s="16" t="e">
        <f t="shared" si="104"/>
        <v>#VALUE!</v>
      </c>
      <c r="X100" s="16" t="e">
        <f t="shared" si="105"/>
        <v>#VALUE!</v>
      </c>
      <c r="Y100" s="10" t="str">
        <f t="shared" si="88"/>
        <v>-</v>
      </c>
      <c r="Z100" s="10" t="str">
        <f t="shared" si="89"/>
        <v>-</v>
      </c>
      <c r="AA100" s="13" t="str">
        <f t="shared" si="106"/>
        <v>-</v>
      </c>
      <c r="AB100" s="9" t="str">
        <f t="shared" si="90"/>
        <v>-</v>
      </c>
      <c r="AC100" s="16" t="str">
        <f t="shared" si="107"/>
        <v>-</v>
      </c>
      <c r="AD100" s="16" t="str">
        <f t="shared" si="91"/>
        <v>-</v>
      </c>
      <c r="AE100" s="16" t="str">
        <f t="shared" si="92"/>
        <v>-</v>
      </c>
      <c r="AF100" s="16" t="str">
        <f t="shared" si="108"/>
        <v>-</v>
      </c>
      <c r="AG100" s="16"/>
      <c r="AH100" s="32" t="str">
        <f>IFERROR(INDEX(Walmart!$R$11:$R$192,MATCH('Calculations - Walmart'!D100,Walmart!$N$11:$N$192,0)),"")</f>
        <v/>
      </c>
      <c r="AI100" s="23" t="str">
        <f t="shared" si="109"/>
        <v/>
      </c>
      <c r="AJ100" s="23" t="str">
        <f t="shared" si="110"/>
        <v/>
      </c>
      <c r="AK100" s="9" t="str">
        <f t="shared" si="93"/>
        <v/>
      </c>
      <c r="AL100" s="4" t="str">
        <f t="shared" si="94"/>
        <v/>
      </c>
      <c r="AM100" s="4"/>
      <c r="AN100" s="4"/>
      <c r="AO100" s="4"/>
      <c r="AP100" s="4"/>
      <c r="AQ100" s="4"/>
      <c r="AR100" s="20" t="str">
        <f t="shared" si="95"/>
        <v>-</v>
      </c>
      <c r="AS100" s="13" t="str">
        <f t="shared" si="111"/>
        <v>-</v>
      </c>
      <c r="AT100" s="13" t="str">
        <f t="shared" si="112"/>
        <v>-</v>
      </c>
      <c r="AU100" s="13" t="str">
        <f t="shared" si="96"/>
        <v>-</v>
      </c>
      <c r="AV100" s="16" t="str">
        <f t="shared" si="113"/>
        <v>-</v>
      </c>
      <c r="AW100" s="16" t="str">
        <f t="shared" si="97"/>
        <v>-</v>
      </c>
      <c r="AX100" s="16" t="str">
        <f t="shared" si="98"/>
        <v>-</v>
      </c>
      <c r="AY100" s="16" t="str">
        <f t="shared" si="114"/>
        <v>-</v>
      </c>
      <c r="AZ100" s="13" t="str">
        <f t="shared" si="115"/>
        <v>-</v>
      </c>
      <c r="BA100" s="10" t="str">
        <f t="shared" si="116"/>
        <v>-</v>
      </c>
      <c r="BB100" s="9" t="str">
        <f t="shared" si="117"/>
        <v>-</v>
      </c>
      <c r="BC100" s="13" t="str">
        <f t="shared" si="118"/>
        <v>-</v>
      </c>
      <c r="BD100" s="10" t="str">
        <f t="shared" si="119"/>
        <v>-</v>
      </c>
      <c r="BE100" s="13" t="str">
        <f t="shared" si="120"/>
        <v>-</v>
      </c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</row>
    <row r="101" spans="2:70" x14ac:dyDescent="0.3">
      <c r="B101" s="96" t="str">
        <f t="shared" si="99"/>
        <v/>
      </c>
      <c r="C101" s="96" t="str">
        <f t="shared" si="100"/>
        <v/>
      </c>
      <c r="D101" s="96" t="str">
        <f t="shared" si="101"/>
        <v/>
      </c>
      <c r="E101" s="3"/>
      <c r="F101" s="3"/>
      <c r="G101" s="3"/>
      <c r="H101" s="3"/>
      <c r="I101" s="20">
        <f>IFERROR(INDEX('Input - Walmart'!G$2:G$200,MATCH('Calculations - Walmart'!$D101,'Input - Walmart'!$B$2:$B$200,0)),"")</f>
        <v>0</v>
      </c>
      <c r="J101" s="20">
        <f>IFERROR(INDEX('Input - Walmart'!H$2:H$200,MATCH('Calculations - Walmart'!$D101,'Input - Walmart'!$B$2:$B$200,0)),"")</f>
        <v>0</v>
      </c>
      <c r="K101" s="21">
        <f>IFERROR(INDEX('Input - Walmart'!I$2:I$200,MATCH('Calculations - Walmart'!$D101,'Input - Walmart'!$B$2:$B$200,0)),"")</f>
        <v>0</v>
      </c>
      <c r="L101" s="21">
        <f>IFERROR(INDEX('Input - Walmart'!J$2:J$200,MATCH('Calculations - Walmart'!$D101,'Input - Walmart'!$B$2:$B$200,0)),"")</f>
        <v>0</v>
      </c>
      <c r="M101" s="20">
        <f>IFERROR(INDEX('Input - Walmart'!K$2:K$200,MATCH('Calculations - Walmart'!$D101,'Input - Walmart'!$B$2:$B$200,0)),"")</f>
        <v>0</v>
      </c>
      <c r="N101" s="20">
        <f>IFERROR(INDEX('Input - Walmart'!L$2:L$200,MATCH('Calculations - Walmart'!$D101,'Input - Walmart'!$B$2:$B$200,0)),"")</f>
        <v>0</v>
      </c>
      <c r="O101" s="21" t="str">
        <f t="shared" si="102"/>
        <v/>
      </c>
      <c r="P101" s="21" t="str">
        <f t="shared" si="86"/>
        <v/>
      </c>
      <c r="Q101" s="21">
        <f t="shared" si="103"/>
        <v>0</v>
      </c>
      <c r="R101" s="9">
        <f t="shared" si="84"/>
        <v>0</v>
      </c>
      <c r="S101" s="9">
        <f t="shared" si="85"/>
        <v>0</v>
      </c>
      <c r="T101" s="22" t="str">
        <f>IFERROR(INDEX(Walmart!$S$11:$S$192,MATCH('Calculations - Walmart'!$D101,Walmart!$N$11:$N$192,0)),"")</f>
        <v/>
      </c>
      <c r="U101" s="22" t="str">
        <f>IFERROR(INDEX(Walmart!$T$11:$T$192,MATCH('Calculations - Walmart'!$D101,Walmart!$N$11:$N$192,0)),"")</f>
        <v/>
      </c>
      <c r="V101" s="16" t="e">
        <f t="shared" si="87"/>
        <v>#VALUE!</v>
      </c>
      <c r="W101" s="16" t="e">
        <f t="shared" si="104"/>
        <v>#VALUE!</v>
      </c>
      <c r="X101" s="16" t="e">
        <f t="shared" si="105"/>
        <v>#VALUE!</v>
      </c>
      <c r="Y101" s="10" t="str">
        <f t="shared" si="88"/>
        <v>-</v>
      </c>
      <c r="Z101" s="10" t="str">
        <f t="shared" si="89"/>
        <v>-</v>
      </c>
      <c r="AA101" s="13" t="str">
        <f t="shared" si="106"/>
        <v>-</v>
      </c>
      <c r="AB101" s="9" t="str">
        <f t="shared" si="90"/>
        <v>-</v>
      </c>
      <c r="AC101" s="16" t="str">
        <f t="shared" si="107"/>
        <v>-</v>
      </c>
      <c r="AD101" s="16" t="str">
        <f t="shared" si="91"/>
        <v>-</v>
      </c>
      <c r="AE101" s="16" t="str">
        <f t="shared" si="92"/>
        <v>-</v>
      </c>
      <c r="AF101" s="16" t="str">
        <f t="shared" si="108"/>
        <v>-</v>
      </c>
      <c r="AG101" s="16"/>
      <c r="AH101" s="32" t="str">
        <f>IFERROR(INDEX(Walmart!$R$11:$R$192,MATCH('Calculations - Walmart'!D101,Walmart!$N$11:$N$192,0)),"")</f>
        <v/>
      </c>
      <c r="AI101" s="23" t="str">
        <f t="shared" si="109"/>
        <v/>
      </c>
      <c r="AJ101" s="23" t="str">
        <f t="shared" si="110"/>
        <v/>
      </c>
      <c r="AK101" s="9" t="str">
        <f t="shared" si="93"/>
        <v/>
      </c>
      <c r="AL101" s="4" t="str">
        <f t="shared" si="94"/>
        <v/>
      </c>
      <c r="AM101" s="4"/>
      <c r="AN101" s="4"/>
      <c r="AO101" s="4"/>
      <c r="AP101" s="4"/>
      <c r="AQ101" s="4"/>
      <c r="AR101" s="20" t="str">
        <f t="shared" si="95"/>
        <v>-</v>
      </c>
      <c r="AS101" s="13" t="str">
        <f t="shared" si="111"/>
        <v>-</v>
      </c>
      <c r="AT101" s="13" t="str">
        <f t="shared" si="112"/>
        <v>-</v>
      </c>
      <c r="AU101" s="13" t="str">
        <f t="shared" si="96"/>
        <v>-</v>
      </c>
      <c r="AV101" s="16" t="str">
        <f t="shared" si="113"/>
        <v>-</v>
      </c>
      <c r="AW101" s="16" t="str">
        <f t="shared" si="97"/>
        <v>-</v>
      </c>
      <c r="AX101" s="16" t="str">
        <f t="shared" si="98"/>
        <v>-</v>
      </c>
      <c r="AY101" s="16" t="str">
        <f t="shared" si="114"/>
        <v>-</v>
      </c>
      <c r="AZ101" s="13" t="str">
        <f t="shared" si="115"/>
        <v>-</v>
      </c>
      <c r="BA101" s="10" t="str">
        <f t="shared" si="116"/>
        <v>-</v>
      </c>
      <c r="BB101" s="9" t="str">
        <f t="shared" si="117"/>
        <v>-</v>
      </c>
      <c r="BC101" s="13" t="str">
        <f t="shared" si="118"/>
        <v>-</v>
      </c>
      <c r="BD101" s="10" t="str">
        <f t="shared" si="119"/>
        <v>-</v>
      </c>
      <c r="BE101" s="13" t="str">
        <f t="shared" si="120"/>
        <v>-</v>
      </c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</row>
    <row r="102" spans="2:70" x14ac:dyDescent="0.3">
      <c r="B102" s="96" t="str">
        <f t="shared" si="99"/>
        <v/>
      </c>
      <c r="C102" s="96" t="str">
        <f t="shared" si="100"/>
        <v/>
      </c>
      <c r="D102" s="96" t="str">
        <f t="shared" si="101"/>
        <v/>
      </c>
      <c r="E102" s="3"/>
      <c r="F102" s="3"/>
      <c r="G102" s="3"/>
      <c r="H102" s="3"/>
      <c r="I102" s="20">
        <f>IFERROR(INDEX('Input - Walmart'!G$2:G$200,MATCH('Calculations - Walmart'!$D102,'Input - Walmart'!$B$2:$B$200,0)),"")</f>
        <v>0</v>
      </c>
      <c r="J102" s="20">
        <f>IFERROR(INDEX('Input - Walmart'!H$2:H$200,MATCH('Calculations - Walmart'!$D102,'Input - Walmart'!$B$2:$B$200,0)),"")</f>
        <v>0</v>
      </c>
      <c r="K102" s="21">
        <f>IFERROR(INDEX('Input - Walmart'!I$2:I$200,MATCH('Calculations - Walmart'!$D102,'Input - Walmart'!$B$2:$B$200,0)),"")</f>
        <v>0</v>
      </c>
      <c r="L102" s="21">
        <f>IFERROR(INDEX('Input - Walmart'!J$2:J$200,MATCH('Calculations - Walmart'!$D102,'Input - Walmart'!$B$2:$B$200,0)),"")</f>
        <v>0</v>
      </c>
      <c r="M102" s="20">
        <f>IFERROR(INDEX('Input - Walmart'!K$2:K$200,MATCH('Calculations - Walmart'!$D102,'Input - Walmart'!$B$2:$B$200,0)),"")</f>
        <v>0</v>
      </c>
      <c r="N102" s="20">
        <f>IFERROR(INDEX('Input - Walmart'!L$2:L$200,MATCH('Calculations - Walmart'!$D102,'Input - Walmart'!$B$2:$B$200,0)),"")</f>
        <v>0</v>
      </c>
      <c r="O102" s="21" t="str">
        <f t="shared" si="102"/>
        <v/>
      </c>
      <c r="P102" s="21" t="str">
        <f t="shared" si="86"/>
        <v/>
      </c>
      <c r="Q102" s="21">
        <f t="shared" si="103"/>
        <v>0</v>
      </c>
      <c r="R102" s="9">
        <f t="shared" si="84"/>
        <v>0</v>
      </c>
      <c r="S102" s="9">
        <f t="shared" si="85"/>
        <v>0</v>
      </c>
      <c r="T102" s="22" t="str">
        <f>IFERROR(INDEX(Walmart!$S$11:$S$192,MATCH('Calculations - Walmart'!$D102,Walmart!$N$11:$N$192,0)),"")</f>
        <v/>
      </c>
      <c r="U102" s="22" t="str">
        <f>IFERROR(INDEX(Walmart!$T$11:$T$192,MATCH('Calculations - Walmart'!$D102,Walmart!$N$11:$N$192,0)),"")</f>
        <v/>
      </c>
      <c r="V102" s="16" t="e">
        <f t="shared" si="87"/>
        <v>#VALUE!</v>
      </c>
      <c r="W102" s="16" t="e">
        <f t="shared" si="104"/>
        <v>#VALUE!</v>
      </c>
      <c r="X102" s="16" t="e">
        <f t="shared" si="105"/>
        <v>#VALUE!</v>
      </c>
      <c r="Y102" s="10" t="str">
        <f t="shared" si="88"/>
        <v>-</v>
      </c>
      <c r="Z102" s="10" t="str">
        <f t="shared" si="89"/>
        <v>-</v>
      </c>
      <c r="AA102" s="13" t="str">
        <f t="shared" si="106"/>
        <v>-</v>
      </c>
      <c r="AB102" s="9" t="str">
        <f t="shared" si="90"/>
        <v>-</v>
      </c>
      <c r="AC102" s="16" t="str">
        <f t="shared" si="107"/>
        <v>-</v>
      </c>
      <c r="AD102" s="16" t="str">
        <f t="shared" si="91"/>
        <v>-</v>
      </c>
      <c r="AE102" s="16" t="str">
        <f t="shared" si="92"/>
        <v>-</v>
      </c>
      <c r="AF102" s="16" t="str">
        <f t="shared" si="108"/>
        <v>-</v>
      </c>
      <c r="AG102" s="16"/>
      <c r="AH102" s="32" t="str">
        <f>IFERROR(INDEX(Walmart!$R$11:$R$192,MATCH('Calculations - Walmart'!D102,Walmart!$N$11:$N$192,0)),"")</f>
        <v/>
      </c>
      <c r="AI102" s="23" t="str">
        <f t="shared" si="109"/>
        <v/>
      </c>
      <c r="AJ102" s="23" t="str">
        <f t="shared" si="110"/>
        <v/>
      </c>
      <c r="AK102" s="9" t="str">
        <f t="shared" si="93"/>
        <v/>
      </c>
      <c r="AL102" s="4" t="str">
        <f t="shared" si="94"/>
        <v/>
      </c>
      <c r="AM102" s="4"/>
      <c r="AN102" s="4"/>
      <c r="AO102" s="4"/>
      <c r="AP102" s="4"/>
      <c r="AQ102" s="4"/>
      <c r="AR102" s="20" t="str">
        <f t="shared" si="95"/>
        <v>-</v>
      </c>
      <c r="AS102" s="13" t="str">
        <f t="shared" si="111"/>
        <v>-</v>
      </c>
      <c r="AT102" s="13" t="str">
        <f t="shared" si="112"/>
        <v>-</v>
      </c>
      <c r="AU102" s="13" t="str">
        <f t="shared" si="96"/>
        <v>-</v>
      </c>
      <c r="AV102" s="16" t="str">
        <f t="shared" si="113"/>
        <v>-</v>
      </c>
      <c r="AW102" s="16" t="str">
        <f t="shared" si="97"/>
        <v>-</v>
      </c>
      <c r="AX102" s="16" t="str">
        <f t="shared" si="98"/>
        <v>-</v>
      </c>
      <c r="AY102" s="16" t="str">
        <f t="shared" si="114"/>
        <v>-</v>
      </c>
      <c r="AZ102" s="13" t="str">
        <f t="shared" si="115"/>
        <v>-</v>
      </c>
      <c r="BA102" s="10" t="str">
        <f t="shared" si="116"/>
        <v>-</v>
      </c>
      <c r="BB102" s="9" t="str">
        <f t="shared" si="117"/>
        <v>-</v>
      </c>
      <c r="BC102" s="13" t="str">
        <f t="shared" si="118"/>
        <v>-</v>
      </c>
      <c r="BD102" s="10" t="str">
        <f t="shared" si="119"/>
        <v>-</v>
      </c>
      <c r="BE102" s="13" t="str">
        <f t="shared" si="120"/>
        <v>-</v>
      </c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</row>
    <row r="103" spans="2:70" x14ac:dyDescent="0.3">
      <c r="B103" s="96" t="str">
        <f t="shared" si="99"/>
        <v/>
      </c>
      <c r="C103" s="96" t="str">
        <f t="shared" si="100"/>
        <v/>
      </c>
      <c r="D103" s="96" t="str">
        <f t="shared" si="101"/>
        <v/>
      </c>
      <c r="E103" s="3"/>
      <c r="F103" s="3"/>
      <c r="G103" s="3"/>
      <c r="H103" s="3"/>
      <c r="I103" s="20">
        <f>IFERROR(INDEX('Input - Walmart'!G$2:G$200,MATCH('Calculations - Walmart'!$D103,'Input - Walmart'!$B$2:$B$200,0)),"")</f>
        <v>0</v>
      </c>
      <c r="J103" s="20">
        <f>IFERROR(INDEX('Input - Walmart'!H$2:H$200,MATCH('Calculations - Walmart'!$D103,'Input - Walmart'!$B$2:$B$200,0)),"")</f>
        <v>0</v>
      </c>
      <c r="K103" s="21">
        <f>IFERROR(INDEX('Input - Walmart'!I$2:I$200,MATCH('Calculations - Walmart'!$D103,'Input - Walmart'!$B$2:$B$200,0)),"")</f>
        <v>0</v>
      </c>
      <c r="L103" s="21">
        <f>IFERROR(INDEX('Input - Walmart'!J$2:J$200,MATCH('Calculations - Walmart'!$D103,'Input - Walmart'!$B$2:$B$200,0)),"")</f>
        <v>0</v>
      </c>
      <c r="M103" s="20">
        <f>IFERROR(INDEX('Input - Walmart'!K$2:K$200,MATCH('Calculations - Walmart'!$D103,'Input - Walmart'!$B$2:$B$200,0)),"")</f>
        <v>0</v>
      </c>
      <c r="N103" s="20">
        <f>IFERROR(INDEX('Input - Walmart'!L$2:L$200,MATCH('Calculations - Walmart'!$D103,'Input - Walmart'!$B$2:$B$200,0)),"")</f>
        <v>0</v>
      </c>
      <c r="O103" s="21" t="str">
        <f t="shared" si="102"/>
        <v/>
      </c>
      <c r="P103" s="21" t="str">
        <f t="shared" si="86"/>
        <v/>
      </c>
      <c r="Q103" s="21">
        <f t="shared" si="103"/>
        <v>0</v>
      </c>
      <c r="R103" s="9">
        <f t="shared" si="84"/>
        <v>0</v>
      </c>
      <c r="S103" s="9">
        <f t="shared" si="85"/>
        <v>0</v>
      </c>
      <c r="T103" s="22" t="str">
        <f>IFERROR(INDEX(Walmart!$S$11:$S$192,MATCH('Calculations - Walmart'!$D103,Walmart!$N$11:$N$192,0)),"")</f>
        <v/>
      </c>
      <c r="U103" s="22" t="str">
        <f>IFERROR(INDEX(Walmart!$T$11:$T$192,MATCH('Calculations - Walmart'!$D103,Walmart!$N$11:$N$192,0)),"")</f>
        <v/>
      </c>
      <c r="V103" s="16" t="e">
        <f t="shared" si="87"/>
        <v>#VALUE!</v>
      </c>
      <c r="W103" s="16" t="e">
        <f t="shared" si="104"/>
        <v>#VALUE!</v>
      </c>
      <c r="X103" s="16" t="e">
        <f t="shared" si="105"/>
        <v>#VALUE!</v>
      </c>
      <c r="Y103" s="10" t="str">
        <f t="shared" si="88"/>
        <v>-</v>
      </c>
      <c r="Z103" s="10" t="str">
        <f t="shared" si="89"/>
        <v>-</v>
      </c>
      <c r="AA103" s="13" t="str">
        <f t="shared" si="106"/>
        <v>-</v>
      </c>
      <c r="AB103" s="9" t="str">
        <f t="shared" si="90"/>
        <v>-</v>
      </c>
      <c r="AC103" s="16" t="str">
        <f t="shared" si="107"/>
        <v>-</v>
      </c>
      <c r="AD103" s="16" t="str">
        <f t="shared" si="91"/>
        <v>-</v>
      </c>
      <c r="AE103" s="16" t="str">
        <f t="shared" si="92"/>
        <v>-</v>
      </c>
      <c r="AF103" s="16" t="str">
        <f t="shared" si="108"/>
        <v>-</v>
      </c>
      <c r="AG103" s="16"/>
      <c r="AH103" s="32" t="str">
        <f>IFERROR(INDEX(Walmart!$R$11:$R$192,MATCH('Calculations - Walmart'!D103,Walmart!$N$11:$N$192,0)),"")</f>
        <v/>
      </c>
      <c r="AI103" s="23" t="str">
        <f t="shared" si="109"/>
        <v/>
      </c>
      <c r="AJ103" s="23" t="str">
        <f t="shared" si="110"/>
        <v/>
      </c>
      <c r="AK103" s="9" t="str">
        <f t="shared" si="93"/>
        <v/>
      </c>
      <c r="AL103" s="4" t="str">
        <f t="shared" si="94"/>
        <v/>
      </c>
      <c r="AM103" s="4"/>
      <c r="AN103" s="4"/>
      <c r="AO103" s="4"/>
      <c r="AP103" s="4"/>
      <c r="AQ103" s="4"/>
      <c r="AR103" s="20" t="str">
        <f t="shared" si="95"/>
        <v>-</v>
      </c>
      <c r="AS103" s="13" t="str">
        <f t="shared" si="111"/>
        <v>-</v>
      </c>
      <c r="AT103" s="13" t="str">
        <f t="shared" si="112"/>
        <v>-</v>
      </c>
      <c r="AU103" s="13" t="str">
        <f t="shared" si="96"/>
        <v>-</v>
      </c>
      <c r="AV103" s="16" t="str">
        <f t="shared" si="113"/>
        <v>-</v>
      </c>
      <c r="AW103" s="16" t="str">
        <f t="shared" si="97"/>
        <v>-</v>
      </c>
      <c r="AX103" s="16" t="str">
        <f t="shared" si="98"/>
        <v>-</v>
      </c>
      <c r="AY103" s="16" t="str">
        <f t="shared" si="114"/>
        <v>-</v>
      </c>
      <c r="AZ103" s="13" t="str">
        <f t="shared" si="115"/>
        <v>-</v>
      </c>
      <c r="BA103" s="10" t="str">
        <f t="shared" si="116"/>
        <v>-</v>
      </c>
      <c r="BB103" s="9" t="str">
        <f t="shared" si="117"/>
        <v>-</v>
      </c>
      <c r="BC103" s="13" t="str">
        <f t="shared" si="118"/>
        <v>-</v>
      </c>
      <c r="BD103" s="10" t="str">
        <f t="shared" si="119"/>
        <v>-</v>
      </c>
      <c r="BE103" s="13" t="str">
        <f t="shared" si="120"/>
        <v>-</v>
      </c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</row>
    <row r="104" spans="2:70" x14ac:dyDescent="0.3">
      <c r="B104" s="96" t="str">
        <f t="shared" si="99"/>
        <v/>
      </c>
      <c r="C104" s="96" t="str">
        <f t="shared" si="100"/>
        <v/>
      </c>
      <c r="D104" s="96" t="str">
        <f t="shared" si="101"/>
        <v/>
      </c>
      <c r="E104" s="3"/>
      <c r="F104" s="3"/>
      <c r="G104" s="3"/>
      <c r="H104" s="3"/>
      <c r="I104" s="20">
        <f>IFERROR(INDEX('Input - Walmart'!G$2:G$200,MATCH('Calculations - Walmart'!$D104,'Input - Walmart'!$B$2:$B$200,0)),"")</f>
        <v>0</v>
      </c>
      <c r="J104" s="20">
        <f>IFERROR(INDEX('Input - Walmart'!H$2:H$200,MATCH('Calculations - Walmart'!$D104,'Input - Walmart'!$B$2:$B$200,0)),"")</f>
        <v>0</v>
      </c>
      <c r="K104" s="21">
        <f>IFERROR(INDEX('Input - Walmart'!I$2:I$200,MATCH('Calculations - Walmart'!$D104,'Input - Walmart'!$B$2:$B$200,0)),"")</f>
        <v>0</v>
      </c>
      <c r="L104" s="21">
        <f>IFERROR(INDEX('Input - Walmart'!J$2:J$200,MATCH('Calculations - Walmart'!$D104,'Input - Walmart'!$B$2:$B$200,0)),"")</f>
        <v>0</v>
      </c>
      <c r="M104" s="20">
        <f>IFERROR(INDEX('Input - Walmart'!K$2:K$200,MATCH('Calculations - Walmart'!$D104,'Input - Walmart'!$B$2:$B$200,0)),"")</f>
        <v>0</v>
      </c>
      <c r="N104" s="20">
        <f>IFERROR(INDEX('Input - Walmart'!L$2:L$200,MATCH('Calculations - Walmart'!$D104,'Input - Walmart'!$B$2:$B$200,0)),"")</f>
        <v>0</v>
      </c>
      <c r="O104" s="21" t="str">
        <f t="shared" si="102"/>
        <v/>
      </c>
      <c r="P104" s="21" t="str">
        <f t="shared" si="86"/>
        <v/>
      </c>
      <c r="Q104" s="21">
        <f t="shared" si="103"/>
        <v>0</v>
      </c>
      <c r="R104" s="9">
        <f t="shared" si="84"/>
        <v>0</v>
      </c>
      <c r="S104" s="9">
        <f t="shared" si="85"/>
        <v>0</v>
      </c>
      <c r="T104" s="22" t="str">
        <f>IFERROR(INDEX(Walmart!$S$11:$S$192,MATCH('Calculations - Walmart'!$D104,Walmart!$N$11:$N$192,0)),"")</f>
        <v/>
      </c>
      <c r="U104" s="22" t="str">
        <f>IFERROR(INDEX(Walmart!$T$11:$T$192,MATCH('Calculations - Walmart'!$D104,Walmart!$N$11:$N$192,0)),"")</f>
        <v/>
      </c>
      <c r="V104" s="16" t="e">
        <f t="shared" si="87"/>
        <v>#VALUE!</v>
      </c>
      <c r="W104" s="16" t="e">
        <f t="shared" si="104"/>
        <v>#VALUE!</v>
      </c>
      <c r="X104" s="16" t="e">
        <f t="shared" si="105"/>
        <v>#VALUE!</v>
      </c>
      <c r="Y104" s="10" t="str">
        <f t="shared" si="88"/>
        <v>-</v>
      </c>
      <c r="Z104" s="10" t="str">
        <f t="shared" si="89"/>
        <v>-</v>
      </c>
      <c r="AA104" s="13" t="str">
        <f t="shared" si="106"/>
        <v>-</v>
      </c>
      <c r="AB104" s="9" t="str">
        <f t="shared" si="90"/>
        <v>-</v>
      </c>
      <c r="AC104" s="16" t="str">
        <f t="shared" si="107"/>
        <v>-</v>
      </c>
      <c r="AD104" s="16" t="str">
        <f t="shared" si="91"/>
        <v>-</v>
      </c>
      <c r="AE104" s="16" t="str">
        <f t="shared" si="92"/>
        <v>-</v>
      </c>
      <c r="AF104" s="16" t="str">
        <f t="shared" si="108"/>
        <v>-</v>
      </c>
      <c r="AG104" s="16"/>
      <c r="AH104" s="32" t="str">
        <f>IFERROR(INDEX(Walmart!$R$11:$R$192,MATCH('Calculations - Walmart'!D104,Walmart!$N$11:$N$192,0)),"")</f>
        <v/>
      </c>
      <c r="AI104" s="23" t="str">
        <f t="shared" si="109"/>
        <v/>
      </c>
      <c r="AJ104" s="23" t="str">
        <f t="shared" si="110"/>
        <v/>
      </c>
      <c r="AK104" s="9" t="str">
        <f t="shared" si="93"/>
        <v/>
      </c>
      <c r="AL104" s="4" t="str">
        <f t="shared" si="94"/>
        <v/>
      </c>
      <c r="AM104" s="4"/>
      <c r="AN104" s="4"/>
      <c r="AO104" s="4"/>
      <c r="AP104" s="4"/>
      <c r="AQ104" s="4"/>
      <c r="AR104" s="20" t="str">
        <f t="shared" si="95"/>
        <v>-</v>
      </c>
      <c r="AS104" s="13" t="str">
        <f t="shared" si="111"/>
        <v>-</v>
      </c>
      <c r="AT104" s="13" t="str">
        <f t="shared" si="112"/>
        <v>-</v>
      </c>
      <c r="AU104" s="13" t="str">
        <f t="shared" si="96"/>
        <v>-</v>
      </c>
      <c r="AV104" s="16" t="str">
        <f t="shared" si="113"/>
        <v>-</v>
      </c>
      <c r="AW104" s="16" t="str">
        <f t="shared" si="97"/>
        <v>-</v>
      </c>
      <c r="AX104" s="16" t="str">
        <f t="shared" si="98"/>
        <v>-</v>
      </c>
      <c r="AY104" s="16" t="str">
        <f t="shared" si="114"/>
        <v>-</v>
      </c>
      <c r="AZ104" s="13" t="str">
        <f t="shared" si="115"/>
        <v>-</v>
      </c>
      <c r="BA104" s="10" t="str">
        <f t="shared" si="116"/>
        <v>-</v>
      </c>
      <c r="BB104" s="9" t="str">
        <f t="shared" si="117"/>
        <v>-</v>
      </c>
      <c r="BC104" s="13" t="str">
        <f t="shared" si="118"/>
        <v>-</v>
      </c>
      <c r="BD104" s="10" t="str">
        <f t="shared" si="119"/>
        <v>-</v>
      </c>
      <c r="BE104" s="13" t="str">
        <f t="shared" si="120"/>
        <v>-</v>
      </c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</row>
    <row r="105" spans="2:70" x14ac:dyDescent="0.3">
      <c r="B105" s="96" t="str">
        <f t="shared" si="99"/>
        <v/>
      </c>
      <c r="C105" s="96" t="str">
        <f t="shared" si="100"/>
        <v/>
      </c>
      <c r="D105" s="96" t="str">
        <f t="shared" si="101"/>
        <v/>
      </c>
      <c r="E105" s="3"/>
      <c r="F105" s="3"/>
      <c r="G105" s="3"/>
      <c r="H105" s="3"/>
      <c r="I105" s="20">
        <f>IFERROR(INDEX('Input - Walmart'!G$2:G$200,MATCH('Calculations - Walmart'!$D105,'Input - Walmart'!$B$2:$B$200,0)),"")</f>
        <v>0</v>
      </c>
      <c r="J105" s="20">
        <f>IFERROR(INDEX('Input - Walmart'!H$2:H$200,MATCH('Calculations - Walmart'!$D105,'Input - Walmart'!$B$2:$B$200,0)),"")</f>
        <v>0</v>
      </c>
      <c r="K105" s="21">
        <f>IFERROR(INDEX('Input - Walmart'!I$2:I$200,MATCH('Calculations - Walmart'!$D105,'Input - Walmart'!$B$2:$B$200,0)),"")</f>
        <v>0</v>
      </c>
      <c r="L105" s="21">
        <f>IFERROR(INDEX('Input - Walmart'!J$2:J$200,MATCH('Calculations - Walmart'!$D105,'Input - Walmart'!$B$2:$B$200,0)),"")</f>
        <v>0</v>
      </c>
      <c r="M105" s="20">
        <f>IFERROR(INDEX('Input - Walmart'!K$2:K$200,MATCH('Calculations - Walmart'!$D105,'Input - Walmart'!$B$2:$B$200,0)),"")</f>
        <v>0</v>
      </c>
      <c r="N105" s="20">
        <f>IFERROR(INDEX('Input - Walmart'!L$2:L$200,MATCH('Calculations - Walmart'!$D105,'Input - Walmart'!$B$2:$B$200,0)),"")</f>
        <v>0</v>
      </c>
      <c r="O105" s="21" t="str">
        <f t="shared" si="102"/>
        <v/>
      </c>
      <c r="P105" s="21" t="str">
        <f t="shared" si="86"/>
        <v/>
      </c>
      <c r="Q105" s="21">
        <f t="shared" si="103"/>
        <v>0</v>
      </c>
      <c r="R105" s="9">
        <f t="shared" si="84"/>
        <v>0</v>
      </c>
      <c r="S105" s="9">
        <f t="shared" si="85"/>
        <v>0</v>
      </c>
      <c r="T105" s="22" t="str">
        <f>IFERROR(INDEX(Walmart!$S$11:$S$192,MATCH('Calculations - Walmart'!$D105,Walmart!$N$11:$N$192,0)),"")</f>
        <v/>
      </c>
      <c r="U105" s="22" t="str">
        <f>IFERROR(INDEX(Walmart!$T$11:$T$192,MATCH('Calculations - Walmart'!$D105,Walmart!$N$11:$N$192,0)),"")</f>
        <v/>
      </c>
      <c r="V105" s="16" t="e">
        <f t="shared" si="87"/>
        <v>#VALUE!</v>
      </c>
      <c r="W105" s="16" t="e">
        <f t="shared" si="104"/>
        <v>#VALUE!</v>
      </c>
      <c r="X105" s="16" t="e">
        <f t="shared" si="105"/>
        <v>#VALUE!</v>
      </c>
      <c r="Y105" s="10" t="str">
        <f t="shared" si="88"/>
        <v>-</v>
      </c>
      <c r="Z105" s="10" t="str">
        <f t="shared" si="89"/>
        <v>-</v>
      </c>
      <c r="AA105" s="13" t="str">
        <f t="shared" si="106"/>
        <v>-</v>
      </c>
      <c r="AB105" s="9" t="str">
        <f t="shared" si="90"/>
        <v>-</v>
      </c>
      <c r="AC105" s="16" t="str">
        <f t="shared" si="107"/>
        <v>-</v>
      </c>
      <c r="AD105" s="16" t="str">
        <f t="shared" si="91"/>
        <v>-</v>
      </c>
      <c r="AE105" s="16" t="str">
        <f t="shared" si="92"/>
        <v>-</v>
      </c>
      <c r="AF105" s="16" t="str">
        <f t="shared" si="108"/>
        <v>-</v>
      </c>
      <c r="AG105" s="16"/>
      <c r="AH105" s="32" t="str">
        <f>IFERROR(INDEX(Walmart!$R$11:$R$192,MATCH('Calculations - Walmart'!D105,Walmart!$N$11:$N$192,0)),"")</f>
        <v/>
      </c>
      <c r="AI105" s="23" t="str">
        <f t="shared" si="109"/>
        <v/>
      </c>
      <c r="AJ105" s="23" t="str">
        <f t="shared" si="110"/>
        <v/>
      </c>
      <c r="AK105" s="9" t="str">
        <f t="shared" si="93"/>
        <v/>
      </c>
      <c r="AL105" s="4" t="str">
        <f t="shared" si="94"/>
        <v/>
      </c>
      <c r="AM105" s="4"/>
      <c r="AN105" s="4"/>
      <c r="AO105" s="4"/>
      <c r="AP105" s="4"/>
      <c r="AQ105" s="4"/>
      <c r="AR105" s="20" t="str">
        <f t="shared" si="95"/>
        <v>-</v>
      </c>
      <c r="AS105" s="13" t="str">
        <f t="shared" si="111"/>
        <v>-</v>
      </c>
      <c r="AT105" s="13" t="str">
        <f t="shared" si="112"/>
        <v>-</v>
      </c>
      <c r="AU105" s="13" t="str">
        <f t="shared" si="96"/>
        <v>-</v>
      </c>
      <c r="AV105" s="16" t="str">
        <f t="shared" si="113"/>
        <v>-</v>
      </c>
      <c r="AW105" s="16" t="str">
        <f t="shared" si="97"/>
        <v>-</v>
      </c>
      <c r="AX105" s="16" t="str">
        <f t="shared" si="98"/>
        <v>-</v>
      </c>
      <c r="AY105" s="16" t="str">
        <f t="shared" si="114"/>
        <v>-</v>
      </c>
      <c r="AZ105" s="13" t="str">
        <f t="shared" si="115"/>
        <v>-</v>
      </c>
      <c r="BA105" s="10" t="str">
        <f t="shared" si="116"/>
        <v>-</v>
      </c>
      <c r="BB105" s="9" t="str">
        <f t="shared" si="117"/>
        <v>-</v>
      </c>
      <c r="BC105" s="13" t="str">
        <f t="shared" si="118"/>
        <v>-</v>
      </c>
      <c r="BD105" s="10" t="str">
        <f t="shared" si="119"/>
        <v>-</v>
      </c>
      <c r="BE105" s="13" t="str">
        <f t="shared" si="120"/>
        <v>-</v>
      </c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</row>
    <row r="106" spans="2:70" x14ac:dyDescent="0.3">
      <c r="B106" s="96" t="str">
        <f t="shared" si="99"/>
        <v/>
      </c>
      <c r="C106" s="96" t="str">
        <f t="shared" si="100"/>
        <v/>
      </c>
      <c r="D106" s="96" t="str">
        <f t="shared" si="101"/>
        <v/>
      </c>
      <c r="E106" s="3"/>
      <c r="F106" s="3"/>
      <c r="G106" s="3"/>
      <c r="H106" s="3"/>
      <c r="I106" s="20">
        <f>IFERROR(INDEX('Input - Walmart'!G$2:G$200,MATCH('Calculations - Walmart'!$D106,'Input - Walmart'!$B$2:$B$200,0)),"")</f>
        <v>0</v>
      </c>
      <c r="J106" s="20">
        <f>IFERROR(INDEX('Input - Walmart'!H$2:H$200,MATCH('Calculations - Walmart'!$D106,'Input - Walmart'!$B$2:$B$200,0)),"")</f>
        <v>0</v>
      </c>
      <c r="K106" s="21">
        <f>IFERROR(INDEX('Input - Walmart'!I$2:I$200,MATCH('Calculations - Walmart'!$D106,'Input - Walmart'!$B$2:$B$200,0)),"")</f>
        <v>0</v>
      </c>
      <c r="L106" s="21">
        <f>IFERROR(INDEX('Input - Walmart'!J$2:J$200,MATCH('Calculations - Walmart'!$D106,'Input - Walmart'!$B$2:$B$200,0)),"")</f>
        <v>0</v>
      </c>
      <c r="M106" s="20">
        <f>IFERROR(INDEX('Input - Walmart'!K$2:K$200,MATCH('Calculations - Walmart'!$D106,'Input - Walmart'!$B$2:$B$200,0)),"")</f>
        <v>0</v>
      </c>
      <c r="N106" s="20">
        <f>IFERROR(INDEX('Input - Walmart'!L$2:L$200,MATCH('Calculations - Walmart'!$D106,'Input - Walmart'!$B$2:$B$200,0)),"")</f>
        <v>0</v>
      </c>
      <c r="O106" s="21" t="str">
        <f t="shared" si="102"/>
        <v/>
      </c>
      <c r="P106" s="21" t="str">
        <f t="shared" si="86"/>
        <v/>
      </c>
      <c r="Q106" s="21">
        <f t="shared" si="103"/>
        <v>0</v>
      </c>
      <c r="R106" s="9">
        <f t="shared" si="84"/>
        <v>0</v>
      </c>
      <c r="S106" s="9">
        <f t="shared" si="85"/>
        <v>0</v>
      </c>
      <c r="T106" s="22" t="str">
        <f>IFERROR(INDEX(Walmart!$S$11:$S$192,MATCH('Calculations - Walmart'!$D106,Walmart!$N$11:$N$192,0)),"")</f>
        <v/>
      </c>
      <c r="U106" s="22" t="str">
        <f>IFERROR(INDEX(Walmart!$T$11:$T$192,MATCH('Calculations - Walmart'!$D106,Walmart!$N$11:$N$192,0)),"")</f>
        <v/>
      </c>
      <c r="V106" s="16" t="e">
        <f t="shared" si="87"/>
        <v>#VALUE!</v>
      </c>
      <c r="W106" s="16" t="e">
        <f t="shared" si="104"/>
        <v>#VALUE!</v>
      </c>
      <c r="X106" s="16" t="e">
        <f t="shared" si="105"/>
        <v>#VALUE!</v>
      </c>
      <c r="Y106" s="10" t="str">
        <f t="shared" si="88"/>
        <v>-</v>
      </c>
      <c r="Z106" s="10" t="str">
        <f t="shared" si="89"/>
        <v>-</v>
      </c>
      <c r="AA106" s="13" t="str">
        <f t="shared" si="106"/>
        <v>-</v>
      </c>
      <c r="AB106" s="9" t="str">
        <f t="shared" si="90"/>
        <v>-</v>
      </c>
      <c r="AC106" s="16" t="str">
        <f t="shared" si="107"/>
        <v>-</v>
      </c>
      <c r="AD106" s="16" t="str">
        <f t="shared" si="91"/>
        <v>-</v>
      </c>
      <c r="AE106" s="16" t="str">
        <f t="shared" si="92"/>
        <v>-</v>
      </c>
      <c r="AF106" s="16" t="str">
        <f t="shared" si="108"/>
        <v>-</v>
      </c>
      <c r="AG106" s="16"/>
      <c r="AH106" s="32" t="str">
        <f>IFERROR(INDEX(Walmart!$R$11:$R$192,MATCH('Calculations - Walmart'!D106,Walmart!$N$11:$N$192,0)),"")</f>
        <v/>
      </c>
      <c r="AI106" s="23" t="str">
        <f t="shared" si="109"/>
        <v/>
      </c>
      <c r="AJ106" s="23" t="str">
        <f t="shared" si="110"/>
        <v/>
      </c>
      <c r="AK106" s="9" t="str">
        <f t="shared" si="93"/>
        <v/>
      </c>
      <c r="AL106" s="4" t="str">
        <f t="shared" si="94"/>
        <v/>
      </c>
      <c r="AM106" s="4"/>
      <c r="AN106" s="4"/>
      <c r="AO106" s="4"/>
      <c r="AP106" s="4"/>
      <c r="AQ106" s="4"/>
      <c r="AR106" s="20" t="str">
        <f t="shared" si="95"/>
        <v>-</v>
      </c>
      <c r="AS106" s="13" t="str">
        <f t="shared" si="111"/>
        <v>-</v>
      </c>
      <c r="AT106" s="13" t="str">
        <f t="shared" si="112"/>
        <v>-</v>
      </c>
      <c r="AU106" s="13" t="str">
        <f t="shared" si="96"/>
        <v>-</v>
      </c>
      <c r="AV106" s="16" t="str">
        <f t="shared" si="113"/>
        <v>-</v>
      </c>
      <c r="AW106" s="16" t="str">
        <f t="shared" si="97"/>
        <v>-</v>
      </c>
      <c r="AX106" s="16" t="str">
        <f t="shared" si="98"/>
        <v>-</v>
      </c>
      <c r="AY106" s="16" t="str">
        <f t="shared" si="114"/>
        <v>-</v>
      </c>
      <c r="AZ106" s="13" t="str">
        <f t="shared" si="115"/>
        <v>-</v>
      </c>
      <c r="BA106" s="10" t="str">
        <f t="shared" si="116"/>
        <v>-</v>
      </c>
      <c r="BB106" s="9" t="str">
        <f t="shared" si="117"/>
        <v>-</v>
      </c>
      <c r="BC106" s="13" t="str">
        <f t="shared" si="118"/>
        <v>-</v>
      </c>
      <c r="BD106" s="10" t="str">
        <f t="shared" si="119"/>
        <v>-</v>
      </c>
      <c r="BE106" s="13" t="str">
        <f t="shared" si="120"/>
        <v>-</v>
      </c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</row>
    <row r="107" spans="2:70" x14ac:dyDescent="0.3">
      <c r="B107" s="96" t="str">
        <f t="shared" si="99"/>
        <v/>
      </c>
      <c r="C107" s="96" t="str">
        <f t="shared" si="100"/>
        <v/>
      </c>
      <c r="D107" s="96" t="str">
        <f t="shared" si="101"/>
        <v/>
      </c>
      <c r="E107" s="3"/>
      <c r="F107" s="3"/>
      <c r="G107" s="3"/>
      <c r="H107" s="3"/>
      <c r="I107" s="20">
        <f>IFERROR(INDEX('Input - Walmart'!G$2:G$200,MATCH('Calculations - Walmart'!$D107,'Input - Walmart'!$B$2:$B$200,0)),"")</f>
        <v>0</v>
      </c>
      <c r="J107" s="20">
        <f>IFERROR(INDEX('Input - Walmart'!H$2:H$200,MATCH('Calculations - Walmart'!$D107,'Input - Walmart'!$B$2:$B$200,0)),"")</f>
        <v>0</v>
      </c>
      <c r="K107" s="21">
        <f>IFERROR(INDEX('Input - Walmart'!I$2:I$200,MATCH('Calculations - Walmart'!$D107,'Input - Walmart'!$B$2:$B$200,0)),"")</f>
        <v>0</v>
      </c>
      <c r="L107" s="21">
        <f>IFERROR(INDEX('Input - Walmart'!J$2:J$200,MATCH('Calculations - Walmart'!$D107,'Input - Walmart'!$B$2:$B$200,0)),"")</f>
        <v>0</v>
      </c>
      <c r="M107" s="20">
        <f>IFERROR(INDEX('Input - Walmart'!K$2:K$200,MATCH('Calculations - Walmart'!$D107,'Input - Walmart'!$B$2:$B$200,0)),"")</f>
        <v>0</v>
      </c>
      <c r="N107" s="20">
        <f>IFERROR(INDEX('Input - Walmart'!L$2:L$200,MATCH('Calculations - Walmart'!$D107,'Input - Walmart'!$B$2:$B$200,0)),"")</f>
        <v>0</v>
      </c>
      <c r="O107" s="21" t="str">
        <f t="shared" si="102"/>
        <v/>
      </c>
      <c r="P107" s="21" t="str">
        <f t="shared" si="86"/>
        <v/>
      </c>
      <c r="Q107" s="21">
        <f t="shared" si="103"/>
        <v>0</v>
      </c>
      <c r="R107" s="9">
        <f t="shared" si="84"/>
        <v>0</v>
      </c>
      <c r="S107" s="9">
        <f t="shared" si="85"/>
        <v>0</v>
      </c>
      <c r="T107" s="22" t="str">
        <f>IFERROR(INDEX(Walmart!$S$11:$S$192,MATCH('Calculations - Walmart'!$D107,Walmart!$N$11:$N$192,0)),"")</f>
        <v/>
      </c>
      <c r="U107" s="22" t="str">
        <f>IFERROR(INDEX(Walmart!$T$11:$T$192,MATCH('Calculations - Walmart'!$D107,Walmart!$N$11:$N$192,0)),"")</f>
        <v/>
      </c>
      <c r="V107" s="16" t="e">
        <f t="shared" si="87"/>
        <v>#VALUE!</v>
      </c>
      <c r="W107" s="16" t="e">
        <f t="shared" si="104"/>
        <v>#VALUE!</v>
      </c>
      <c r="X107" s="16" t="e">
        <f t="shared" si="105"/>
        <v>#VALUE!</v>
      </c>
      <c r="Y107" s="10" t="str">
        <f t="shared" si="88"/>
        <v>-</v>
      </c>
      <c r="Z107" s="10" t="str">
        <f t="shared" si="89"/>
        <v>-</v>
      </c>
      <c r="AA107" s="13" t="str">
        <f t="shared" si="106"/>
        <v>-</v>
      </c>
      <c r="AB107" s="9" t="str">
        <f t="shared" si="90"/>
        <v>-</v>
      </c>
      <c r="AC107" s="16" t="str">
        <f t="shared" si="107"/>
        <v>-</v>
      </c>
      <c r="AD107" s="16" t="str">
        <f t="shared" si="91"/>
        <v>-</v>
      </c>
      <c r="AE107" s="16" t="str">
        <f t="shared" si="92"/>
        <v>-</v>
      </c>
      <c r="AF107" s="16" t="str">
        <f t="shared" si="108"/>
        <v>-</v>
      </c>
      <c r="AG107" s="16"/>
      <c r="AH107" s="32" t="str">
        <f>IFERROR(INDEX(Walmart!$R$11:$R$192,MATCH('Calculations - Walmart'!D107,Walmart!$N$11:$N$192,0)),"")</f>
        <v/>
      </c>
      <c r="AI107" s="23" t="str">
        <f t="shared" si="109"/>
        <v/>
      </c>
      <c r="AJ107" s="23" t="str">
        <f t="shared" si="110"/>
        <v/>
      </c>
      <c r="AK107" s="9" t="str">
        <f t="shared" si="93"/>
        <v/>
      </c>
      <c r="AL107" s="4" t="str">
        <f t="shared" si="94"/>
        <v/>
      </c>
      <c r="AM107" s="4"/>
      <c r="AN107" s="4"/>
      <c r="AO107" s="4"/>
      <c r="AP107" s="4"/>
      <c r="AQ107" s="4"/>
      <c r="AR107" s="20" t="str">
        <f t="shared" si="95"/>
        <v>-</v>
      </c>
      <c r="AS107" s="13" t="str">
        <f t="shared" si="111"/>
        <v>-</v>
      </c>
      <c r="AT107" s="13" t="str">
        <f t="shared" si="112"/>
        <v>-</v>
      </c>
      <c r="AU107" s="13" t="str">
        <f t="shared" si="96"/>
        <v>-</v>
      </c>
      <c r="AV107" s="16" t="str">
        <f t="shared" si="113"/>
        <v>-</v>
      </c>
      <c r="AW107" s="16" t="str">
        <f t="shared" si="97"/>
        <v>-</v>
      </c>
      <c r="AX107" s="16" t="str">
        <f t="shared" si="98"/>
        <v>-</v>
      </c>
      <c r="AY107" s="16" t="str">
        <f t="shared" si="114"/>
        <v>-</v>
      </c>
      <c r="AZ107" s="13" t="str">
        <f t="shared" si="115"/>
        <v>-</v>
      </c>
      <c r="BA107" s="10" t="str">
        <f t="shared" si="116"/>
        <v>-</v>
      </c>
      <c r="BB107" s="9" t="str">
        <f t="shared" si="117"/>
        <v>-</v>
      </c>
      <c r="BC107" s="13" t="str">
        <f t="shared" si="118"/>
        <v>-</v>
      </c>
      <c r="BD107" s="10" t="str">
        <f t="shared" si="119"/>
        <v>-</v>
      </c>
      <c r="BE107" s="13" t="str">
        <f t="shared" si="120"/>
        <v>-</v>
      </c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</row>
    <row r="108" spans="2:70" x14ac:dyDescent="0.3">
      <c r="B108" s="96" t="str">
        <f t="shared" si="99"/>
        <v/>
      </c>
      <c r="C108" s="96" t="str">
        <f t="shared" si="100"/>
        <v/>
      </c>
      <c r="D108" s="96" t="str">
        <f t="shared" si="101"/>
        <v/>
      </c>
      <c r="E108" s="3"/>
      <c r="F108" s="3"/>
      <c r="G108" s="3"/>
      <c r="H108" s="3"/>
      <c r="I108" s="20">
        <f>IFERROR(INDEX('Input - Walmart'!G$2:G$200,MATCH('Calculations - Walmart'!$D108,'Input - Walmart'!$B$2:$B$200,0)),"")</f>
        <v>0</v>
      </c>
      <c r="J108" s="20">
        <f>IFERROR(INDEX('Input - Walmart'!H$2:H$200,MATCH('Calculations - Walmart'!$D108,'Input - Walmart'!$B$2:$B$200,0)),"")</f>
        <v>0</v>
      </c>
      <c r="K108" s="21">
        <f>IFERROR(INDEX('Input - Walmart'!I$2:I$200,MATCH('Calculations - Walmart'!$D108,'Input - Walmart'!$B$2:$B$200,0)),"")</f>
        <v>0</v>
      </c>
      <c r="L108" s="21">
        <f>IFERROR(INDEX('Input - Walmart'!J$2:J$200,MATCH('Calculations - Walmart'!$D108,'Input - Walmart'!$B$2:$B$200,0)),"")</f>
        <v>0</v>
      </c>
      <c r="M108" s="20">
        <f>IFERROR(INDEX('Input - Walmart'!K$2:K$200,MATCH('Calculations - Walmart'!$D108,'Input - Walmart'!$B$2:$B$200,0)),"")</f>
        <v>0</v>
      </c>
      <c r="N108" s="20">
        <f>IFERROR(INDEX('Input - Walmart'!L$2:L$200,MATCH('Calculations - Walmart'!$D108,'Input - Walmart'!$B$2:$B$200,0)),"")</f>
        <v>0</v>
      </c>
      <c r="O108" s="21" t="str">
        <f t="shared" si="102"/>
        <v/>
      </c>
      <c r="P108" s="21" t="str">
        <f t="shared" si="86"/>
        <v/>
      </c>
      <c r="Q108" s="21">
        <f t="shared" si="103"/>
        <v>0</v>
      </c>
      <c r="R108" s="9">
        <f t="shared" si="84"/>
        <v>0</v>
      </c>
      <c r="S108" s="9">
        <f t="shared" si="85"/>
        <v>0</v>
      </c>
      <c r="T108" s="22" t="str">
        <f>IFERROR(INDEX(Walmart!$S$11:$S$192,MATCH('Calculations - Walmart'!$D108,Walmart!$N$11:$N$192,0)),"")</f>
        <v/>
      </c>
      <c r="U108" s="22" t="str">
        <f>IFERROR(INDEX(Walmart!$T$11:$T$192,MATCH('Calculations - Walmart'!$D108,Walmart!$N$11:$N$192,0)),"")</f>
        <v/>
      </c>
      <c r="V108" s="16" t="e">
        <f t="shared" si="87"/>
        <v>#VALUE!</v>
      </c>
      <c r="W108" s="16" t="e">
        <f t="shared" si="104"/>
        <v>#VALUE!</v>
      </c>
      <c r="X108" s="16" t="e">
        <f t="shared" si="105"/>
        <v>#VALUE!</v>
      </c>
      <c r="Y108" s="10" t="str">
        <f t="shared" si="88"/>
        <v>-</v>
      </c>
      <c r="Z108" s="10" t="str">
        <f t="shared" si="89"/>
        <v>-</v>
      </c>
      <c r="AA108" s="13" t="str">
        <f t="shared" si="106"/>
        <v>-</v>
      </c>
      <c r="AB108" s="9" t="str">
        <f t="shared" si="90"/>
        <v>-</v>
      </c>
      <c r="AC108" s="16" t="str">
        <f t="shared" si="107"/>
        <v>-</v>
      </c>
      <c r="AD108" s="16" t="str">
        <f t="shared" si="91"/>
        <v>-</v>
      </c>
      <c r="AE108" s="16" t="str">
        <f t="shared" si="92"/>
        <v>-</v>
      </c>
      <c r="AF108" s="16" t="str">
        <f t="shared" si="108"/>
        <v>-</v>
      </c>
      <c r="AG108" s="16"/>
      <c r="AH108" s="32" t="str">
        <f>IFERROR(INDEX(Walmart!$R$11:$R$192,MATCH('Calculations - Walmart'!D108,Walmart!$N$11:$N$192,0)),"")</f>
        <v/>
      </c>
      <c r="AI108" s="23" t="str">
        <f t="shared" si="109"/>
        <v/>
      </c>
      <c r="AJ108" s="23" t="str">
        <f t="shared" si="110"/>
        <v/>
      </c>
      <c r="AK108" s="9" t="str">
        <f t="shared" si="93"/>
        <v/>
      </c>
      <c r="AL108" s="4" t="str">
        <f t="shared" si="94"/>
        <v/>
      </c>
      <c r="AM108" s="4"/>
      <c r="AN108" s="4"/>
      <c r="AO108" s="4"/>
      <c r="AP108" s="4"/>
      <c r="AQ108" s="4"/>
      <c r="AR108" s="20" t="str">
        <f t="shared" si="95"/>
        <v>-</v>
      </c>
      <c r="AS108" s="13" t="str">
        <f t="shared" si="111"/>
        <v>-</v>
      </c>
      <c r="AT108" s="13" t="str">
        <f t="shared" si="112"/>
        <v>-</v>
      </c>
      <c r="AU108" s="13" t="str">
        <f t="shared" si="96"/>
        <v>-</v>
      </c>
      <c r="AV108" s="16" t="str">
        <f t="shared" si="113"/>
        <v>-</v>
      </c>
      <c r="AW108" s="16" t="str">
        <f t="shared" si="97"/>
        <v>-</v>
      </c>
      <c r="AX108" s="16" t="str">
        <f t="shared" si="98"/>
        <v>-</v>
      </c>
      <c r="AY108" s="16" t="str">
        <f t="shared" si="114"/>
        <v>-</v>
      </c>
      <c r="AZ108" s="13" t="str">
        <f t="shared" si="115"/>
        <v>-</v>
      </c>
      <c r="BA108" s="10" t="str">
        <f t="shared" si="116"/>
        <v>-</v>
      </c>
      <c r="BB108" s="9" t="str">
        <f t="shared" si="117"/>
        <v>-</v>
      </c>
      <c r="BC108" s="13" t="str">
        <f t="shared" si="118"/>
        <v>-</v>
      </c>
      <c r="BD108" s="10" t="str">
        <f t="shared" si="119"/>
        <v>-</v>
      </c>
      <c r="BE108" s="13" t="str">
        <f t="shared" si="120"/>
        <v>-</v>
      </c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</row>
    <row r="109" spans="2:70" x14ac:dyDescent="0.3">
      <c r="B109" s="96" t="str">
        <f t="shared" si="99"/>
        <v/>
      </c>
      <c r="C109" s="96" t="str">
        <f t="shared" si="100"/>
        <v/>
      </c>
      <c r="D109" s="96" t="str">
        <f t="shared" si="101"/>
        <v/>
      </c>
      <c r="E109" s="3"/>
      <c r="F109" s="3"/>
      <c r="G109" s="3"/>
      <c r="H109" s="3"/>
      <c r="I109" s="20">
        <f>IFERROR(INDEX('Input - Walmart'!G$2:G$200,MATCH('Calculations - Walmart'!$D109,'Input - Walmart'!$B$2:$B$200,0)),"")</f>
        <v>0</v>
      </c>
      <c r="J109" s="20">
        <f>IFERROR(INDEX('Input - Walmart'!H$2:H$200,MATCH('Calculations - Walmart'!$D109,'Input - Walmart'!$B$2:$B$200,0)),"")</f>
        <v>0</v>
      </c>
      <c r="K109" s="21">
        <f>IFERROR(INDEX('Input - Walmart'!I$2:I$200,MATCH('Calculations - Walmart'!$D109,'Input - Walmart'!$B$2:$B$200,0)),"")</f>
        <v>0</v>
      </c>
      <c r="L109" s="21">
        <f>IFERROR(INDEX('Input - Walmart'!J$2:J$200,MATCH('Calculations - Walmart'!$D109,'Input - Walmart'!$B$2:$B$200,0)),"")</f>
        <v>0</v>
      </c>
      <c r="M109" s="20">
        <f>IFERROR(INDEX('Input - Walmart'!K$2:K$200,MATCH('Calculations - Walmart'!$D109,'Input - Walmart'!$B$2:$B$200,0)),"")</f>
        <v>0</v>
      </c>
      <c r="N109" s="20">
        <f>IFERROR(INDEX('Input - Walmart'!L$2:L$200,MATCH('Calculations - Walmart'!$D109,'Input - Walmart'!$B$2:$B$200,0)),"")</f>
        <v>0</v>
      </c>
      <c r="O109" s="21" t="str">
        <f t="shared" si="102"/>
        <v/>
      </c>
      <c r="P109" s="21" t="str">
        <f t="shared" si="86"/>
        <v/>
      </c>
      <c r="Q109" s="21">
        <f t="shared" si="103"/>
        <v>0</v>
      </c>
      <c r="R109" s="9">
        <f t="shared" si="84"/>
        <v>0</v>
      </c>
      <c r="S109" s="9">
        <f t="shared" si="85"/>
        <v>0</v>
      </c>
      <c r="T109" s="22" t="str">
        <f>IFERROR(INDEX(Walmart!$S$11:$S$192,MATCH('Calculations - Walmart'!$D109,Walmart!$N$11:$N$192,0)),"")</f>
        <v/>
      </c>
      <c r="U109" s="22" t="str">
        <f>IFERROR(INDEX(Walmart!$T$11:$T$192,MATCH('Calculations - Walmart'!$D109,Walmart!$N$11:$N$192,0)),"")</f>
        <v/>
      </c>
      <c r="V109" s="16" t="e">
        <f t="shared" si="87"/>
        <v>#VALUE!</v>
      </c>
      <c r="W109" s="16" t="e">
        <f t="shared" si="104"/>
        <v>#VALUE!</v>
      </c>
      <c r="X109" s="16" t="e">
        <f t="shared" si="105"/>
        <v>#VALUE!</v>
      </c>
      <c r="Y109" s="10" t="str">
        <f t="shared" si="88"/>
        <v>-</v>
      </c>
      <c r="Z109" s="10" t="str">
        <f t="shared" si="89"/>
        <v>-</v>
      </c>
      <c r="AA109" s="13" t="str">
        <f t="shared" si="106"/>
        <v>-</v>
      </c>
      <c r="AB109" s="9" t="str">
        <f t="shared" si="90"/>
        <v>-</v>
      </c>
      <c r="AC109" s="16" t="str">
        <f t="shared" si="107"/>
        <v>-</v>
      </c>
      <c r="AD109" s="16" t="str">
        <f t="shared" si="91"/>
        <v>-</v>
      </c>
      <c r="AE109" s="16" t="str">
        <f t="shared" si="92"/>
        <v>-</v>
      </c>
      <c r="AF109" s="16" t="str">
        <f t="shared" si="108"/>
        <v>-</v>
      </c>
      <c r="AG109" s="16"/>
      <c r="AH109" s="32" t="str">
        <f>IFERROR(INDEX(Walmart!$R$11:$R$192,MATCH('Calculations - Walmart'!D109,Walmart!$N$11:$N$192,0)),"")</f>
        <v/>
      </c>
      <c r="AI109" s="23" t="str">
        <f t="shared" si="109"/>
        <v/>
      </c>
      <c r="AJ109" s="23" t="str">
        <f t="shared" si="110"/>
        <v/>
      </c>
      <c r="AK109" s="9" t="str">
        <f t="shared" si="93"/>
        <v/>
      </c>
      <c r="AL109" s="4" t="str">
        <f t="shared" si="94"/>
        <v/>
      </c>
      <c r="AM109" s="4"/>
      <c r="AN109" s="4"/>
      <c r="AO109" s="4"/>
      <c r="AP109" s="4"/>
      <c r="AQ109" s="4"/>
      <c r="AR109" s="20" t="str">
        <f t="shared" si="95"/>
        <v>-</v>
      </c>
      <c r="AS109" s="13" t="str">
        <f t="shared" si="111"/>
        <v>-</v>
      </c>
      <c r="AT109" s="13" t="str">
        <f t="shared" si="112"/>
        <v>-</v>
      </c>
      <c r="AU109" s="13" t="str">
        <f t="shared" si="96"/>
        <v>-</v>
      </c>
      <c r="AV109" s="16" t="str">
        <f t="shared" si="113"/>
        <v>-</v>
      </c>
      <c r="AW109" s="16" t="str">
        <f t="shared" si="97"/>
        <v>-</v>
      </c>
      <c r="AX109" s="16" t="str">
        <f t="shared" si="98"/>
        <v>-</v>
      </c>
      <c r="AY109" s="16" t="str">
        <f t="shared" si="114"/>
        <v>-</v>
      </c>
      <c r="AZ109" s="13" t="str">
        <f t="shared" si="115"/>
        <v>-</v>
      </c>
      <c r="BA109" s="10" t="str">
        <f t="shared" si="116"/>
        <v>-</v>
      </c>
      <c r="BB109" s="9" t="str">
        <f t="shared" si="117"/>
        <v>-</v>
      </c>
      <c r="BC109" s="13" t="str">
        <f t="shared" si="118"/>
        <v>-</v>
      </c>
      <c r="BD109" s="10" t="str">
        <f t="shared" si="119"/>
        <v>-</v>
      </c>
      <c r="BE109" s="13" t="str">
        <f t="shared" si="120"/>
        <v>-</v>
      </c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</row>
    <row r="110" spans="2:70" x14ac:dyDescent="0.3">
      <c r="B110" s="96" t="str">
        <f t="shared" si="99"/>
        <v/>
      </c>
      <c r="C110" s="96" t="str">
        <f t="shared" si="100"/>
        <v/>
      </c>
      <c r="D110" s="96" t="str">
        <f t="shared" si="101"/>
        <v/>
      </c>
      <c r="E110" s="3"/>
      <c r="F110" s="3"/>
      <c r="G110" s="3"/>
      <c r="H110" s="3"/>
      <c r="I110" s="20">
        <f>IFERROR(INDEX('Input - Walmart'!G$2:G$200,MATCH('Calculations - Walmart'!$D110,'Input - Walmart'!$B$2:$B$200,0)),"")</f>
        <v>0</v>
      </c>
      <c r="J110" s="20">
        <f>IFERROR(INDEX('Input - Walmart'!H$2:H$200,MATCH('Calculations - Walmart'!$D110,'Input - Walmart'!$B$2:$B$200,0)),"")</f>
        <v>0</v>
      </c>
      <c r="K110" s="21">
        <f>IFERROR(INDEX('Input - Walmart'!I$2:I$200,MATCH('Calculations - Walmart'!$D110,'Input - Walmart'!$B$2:$B$200,0)),"")</f>
        <v>0</v>
      </c>
      <c r="L110" s="21">
        <f>IFERROR(INDEX('Input - Walmart'!J$2:J$200,MATCH('Calculations - Walmart'!$D110,'Input - Walmart'!$B$2:$B$200,0)),"")</f>
        <v>0</v>
      </c>
      <c r="M110" s="20">
        <f>IFERROR(INDEX('Input - Walmart'!K$2:K$200,MATCH('Calculations - Walmart'!$D110,'Input - Walmart'!$B$2:$B$200,0)),"")</f>
        <v>0</v>
      </c>
      <c r="N110" s="20">
        <f>IFERROR(INDEX('Input - Walmart'!L$2:L$200,MATCH('Calculations - Walmart'!$D110,'Input - Walmart'!$B$2:$B$200,0)),"")</f>
        <v>0</v>
      </c>
      <c r="O110" s="21" t="str">
        <f t="shared" si="102"/>
        <v/>
      </c>
      <c r="P110" s="21" t="str">
        <f t="shared" si="86"/>
        <v/>
      </c>
      <c r="Q110" s="21">
        <f t="shared" si="103"/>
        <v>0</v>
      </c>
      <c r="R110" s="9">
        <f t="shared" si="84"/>
        <v>0</v>
      </c>
      <c r="S110" s="9">
        <f t="shared" si="85"/>
        <v>0</v>
      </c>
      <c r="T110" s="22" t="str">
        <f>IFERROR(INDEX(Walmart!$S$11:$S$192,MATCH('Calculations - Walmart'!$D110,Walmart!$N$11:$N$192,0)),"")</f>
        <v/>
      </c>
      <c r="U110" s="22" t="str">
        <f>IFERROR(INDEX(Walmart!$T$11:$T$192,MATCH('Calculations - Walmart'!$D110,Walmart!$N$11:$N$192,0)),"")</f>
        <v/>
      </c>
      <c r="V110" s="16" t="e">
        <f t="shared" si="87"/>
        <v>#VALUE!</v>
      </c>
      <c r="W110" s="16" t="e">
        <f t="shared" si="104"/>
        <v>#VALUE!</v>
      </c>
      <c r="X110" s="16" t="e">
        <f t="shared" si="105"/>
        <v>#VALUE!</v>
      </c>
      <c r="Y110" s="10" t="str">
        <f t="shared" si="88"/>
        <v>-</v>
      </c>
      <c r="Z110" s="10" t="str">
        <f t="shared" si="89"/>
        <v>-</v>
      </c>
      <c r="AA110" s="13" t="str">
        <f t="shared" si="106"/>
        <v>-</v>
      </c>
      <c r="AB110" s="9" t="str">
        <f t="shared" si="90"/>
        <v>-</v>
      </c>
      <c r="AC110" s="16" t="str">
        <f t="shared" si="107"/>
        <v>-</v>
      </c>
      <c r="AD110" s="16" t="str">
        <f t="shared" si="91"/>
        <v>-</v>
      </c>
      <c r="AE110" s="16" t="str">
        <f t="shared" si="92"/>
        <v>-</v>
      </c>
      <c r="AF110" s="16" t="str">
        <f t="shared" si="108"/>
        <v>-</v>
      </c>
      <c r="AG110" s="16"/>
      <c r="AH110" s="32" t="str">
        <f>IFERROR(INDEX(Walmart!$R$11:$R$192,MATCH('Calculations - Walmart'!D110,Walmart!$N$11:$N$192,0)),"")</f>
        <v/>
      </c>
      <c r="AI110" s="23" t="str">
        <f t="shared" si="109"/>
        <v/>
      </c>
      <c r="AJ110" s="23" t="str">
        <f t="shared" si="110"/>
        <v/>
      </c>
      <c r="AK110" s="9" t="str">
        <f t="shared" si="93"/>
        <v/>
      </c>
      <c r="AL110" s="4" t="str">
        <f t="shared" si="94"/>
        <v/>
      </c>
      <c r="AM110" s="4"/>
      <c r="AN110" s="4"/>
      <c r="AO110" s="4"/>
      <c r="AP110" s="4"/>
      <c r="AQ110" s="4"/>
      <c r="AR110" s="20" t="str">
        <f t="shared" si="95"/>
        <v>-</v>
      </c>
      <c r="AS110" s="13" t="str">
        <f t="shared" si="111"/>
        <v>-</v>
      </c>
      <c r="AT110" s="13" t="str">
        <f t="shared" si="112"/>
        <v>-</v>
      </c>
      <c r="AU110" s="13" t="str">
        <f t="shared" si="96"/>
        <v>-</v>
      </c>
      <c r="AV110" s="16" t="str">
        <f t="shared" si="113"/>
        <v>-</v>
      </c>
      <c r="AW110" s="16" t="str">
        <f t="shared" si="97"/>
        <v>-</v>
      </c>
      <c r="AX110" s="16" t="str">
        <f t="shared" si="98"/>
        <v>-</v>
      </c>
      <c r="AY110" s="16" t="str">
        <f t="shared" si="114"/>
        <v>-</v>
      </c>
      <c r="AZ110" s="13" t="str">
        <f t="shared" si="115"/>
        <v>-</v>
      </c>
      <c r="BA110" s="10" t="str">
        <f t="shared" si="116"/>
        <v>-</v>
      </c>
      <c r="BB110" s="9" t="str">
        <f t="shared" si="117"/>
        <v>-</v>
      </c>
      <c r="BC110" s="13" t="str">
        <f t="shared" si="118"/>
        <v>-</v>
      </c>
      <c r="BD110" s="10" t="str">
        <f t="shared" si="119"/>
        <v>-</v>
      </c>
      <c r="BE110" s="13" t="str">
        <f t="shared" si="120"/>
        <v>-</v>
      </c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</row>
    <row r="111" spans="2:70" x14ac:dyDescent="0.3">
      <c r="B111" s="96" t="str">
        <f t="shared" si="99"/>
        <v/>
      </c>
      <c r="C111" s="96" t="str">
        <f t="shared" si="100"/>
        <v/>
      </c>
      <c r="D111" s="96" t="str">
        <f t="shared" si="101"/>
        <v/>
      </c>
      <c r="E111" s="3"/>
      <c r="F111" s="3"/>
      <c r="G111" s="3"/>
      <c r="H111" s="3"/>
      <c r="I111" s="20">
        <f>IFERROR(INDEX('Input - Walmart'!G$2:G$200,MATCH('Calculations - Walmart'!$D111,'Input - Walmart'!$B$2:$B$200,0)),"")</f>
        <v>0</v>
      </c>
      <c r="J111" s="20">
        <f>IFERROR(INDEX('Input - Walmart'!H$2:H$200,MATCH('Calculations - Walmart'!$D111,'Input - Walmart'!$B$2:$B$200,0)),"")</f>
        <v>0</v>
      </c>
      <c r="K111" s="21">
        <f>IFERROR(INDEX('Input - Walmart'!I$2:I$200,MATCH('Calculations - Walmart'!$D111,'Input - Walmart'!$B$2:$B$200,0)),"")</f>
        <v>0</v>
      </c>
      <c r="L111" s="21">
        <f>IFERROR(INDEX('Input - Walmart'!J$2:J$200,MATCH('Calculations - Walmart'!$D111,'Input - Walmart'!$B$2:$B$200,0)),"")</f>
        <v>0</v>
      </c>
      <c r="M111" s="20">
        <f>IFERROR(INDEX('Input - Walmart'!K$2:K$200,MATCH('Calculations - Walmart'!$D111,'Input - Walmart'!$B$2:$B$200,0)),"")</f>
        <v>0</v>
      </c>
      <c r="N111" s="20">
        <f>IFERROR(INDEX('Input - Walmart'!L$2:L$200,MATCH('Calculations - Walmart'!$D111,'Input - Walmart'!$B$2:$B$200,0)),"")</f>
        <v>0</v>
      </c>
      <c r="O111" s="21" t="str">
        <f t="shared" si="102"/>
        <v/>
      </c>
      <c r="P111" s="21" t="str">
        <f t="shared" si="86"/>
        <v/>
      </c>
      <c r="Q111" s="21">
        <f t="shared" si="103"/>
        <v>0</v>
      </c>
      <c r="R111" s="9">
        <f t="shared" si="84"/>
        <v>0</v>
      </c>
      <c r="S111" s="9">
        <f t="shared" si="85"/>
        <v>0</v>
      </c>
      <c r="T111" s="22" t="str">
        <f>IFERROR(INDEX(Walmart!$S$11:$S$192,MATCH('Calculations - Walmart'!$D111,Walmart!$N$11:$N$192,0)),"")</f>
        <v/>
      </c>
      <c r="U111" s="22" t="str">
        <f>IFERROR(INDEX(Walmart!$T$11:$T$192,MATCH('Calculations - Walmart'!$D111,Walmart!$N$11:$N$192,0)),"")</f>
        <v/>
      </c>
      <c r="V111" s="16" t="e">
        <f t="shared" si="87"/>
        <v>#VALUE!</v>
      </c>
      <c r="W111" s="16" t="e">
        <f t="shared" si="104"/>
        <v>#VALUE!</v>
      </c>
      <c r="X111" s="16" t="e">
        <f t="shared" si="105"/>
        <v>#VALUE!</v>
      </c>
      <c r="Y111" s="10" t="str">
        <f t="shared" si="88"/>
        <v>-</v>
      </c>
      <c r="Z111" s="10" t="str">
        <f t="shared" si="89"/>
        <v>-</v>
      </c>
      <c r="AA111" s="13" t="str">
        <f t="shared" si="106"/>
        <v>-</v>
      </c>
      <c r="AB111" s="9" t="str">
        <f t="shared" si="90"/>
        <v>-</v>
      </c>
      <c r="AC111" s="16" t="str">
        <f t="shared" si="107"/>
        <v>-</v>
      </c>
      <c r="AD111" s="16" t="str">
        <f t="shared" si="91"/>
        <v>-</v>
      </c>
      <c r="AE111" s="16" t="str">
        <f t="shared" si="92"/>
        <v>-</v>
      </c>
      <c r="AF111" s="16" t="str">
        <f t="shared" si="108"/>
        <v>-</v>
      </c>
      <c r="AG111" s="16"/>
      <c r="AH111" s="32" t="str">
        <f>IFERROR(INDEX(Walmart!$R$11:$R$192,MATCH('Calculations - Walmart'!D111,Walmart!$N$11:$N$192,0)),"")</f>
        <v/>
      </c>
      <c r="AI111" s="23" t="str">
        <f t="shared" si="109"/>
        <v/>
      </c>
      <c r="AJ111" s="23" t="str">
        <f t="shared" si="110"/>
        <v/>
      </c>
      <c r="AK111" s="9" t="str">
        <f t="shared" si="93"/>
        <v/>
      </c>
      <c r="AL111" s="4" t="str">
        <f t="shared" si="94"/>
        <v/>
      </c>
      <c r="AM111" s="4"/>
      <c r="AN111" s="4"/>
      <c r="AO111" s="4"/>
      <c r="AP111" s="4"/>
      <c r="AQ111" s="4"/>
      <c r="AR111" s="20" t="str">
        <f t="shared" si="95"/>
        <v>-</v>
      </c>
      <c r="AS111" s="13" t="str">
        <f t="shared" si="111"/>
        <v>-</v>
      </c>
      <c r="AT111" s="13" t="str">
        <f t="shared" si="112"/>
        <v>-</v>
      </c>
      <c r="AU111" s="13" t="str">
        <f t="shared" si="96"/>
        <v>-</v>
      </c>
      <c r="AV111" s="16" t="str">
        <f t="shared" si="113"/>
        <v>-</v>
      </c>
      <c r="AW111" s="16" t="str">
        <f t="shared" si="97"/>
        <v>-</v>
      </c>
      <c r="AX111" s="16" t="str">
        <f t="shared" si="98"/>
        <v>-</v>
      </c>
      <c r="AY111" s="16" t="str">
        <f t="shared" si="114"/>
        <v>-</v>
      </c>
      <c r="AZ111" s="13" t="str">
        <f t="shared" si="115"/>
        <v>-</v>
      </c>
      <c r="BA111" s="10" t="str">
        <f t="shared" si="116"/>
        <v>-</v>
      </c>
      <c r="BB111" s="9" t="str">
        <f t="shared" si="117"/>
        <v>-</v>
      </c>
      <c r="BC111" s="13" t="str">
        <f t="shared" si="118"/>
        <v>-</v>
      </c>
      <c r="BD111" s="10" t="str">
        <f t="shared" si="119"/>
        <v>-</v>
      </c>
      <c r="BE111" s="13" t="str">
        <f t="shared" si="120"/>
        <v>-</v>
      </c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</row>
    <row r="112" spans="2:70" x14ac:dyDescent="0.3">
      <c r="B112" s="96" t="str">
        <f t="shared" si="99"/>
        <v/>
      </c>
      <c r="C112" s="96" t="str">
        <f t="shared" si="100"/>
        <v/>
      </c>
      <c r="D112" s="96" t="str">
        <f t="shared" si="101"/>
        <v/>
      </c>
      <c r="E112" s="3"/>
      <c r="F112" s="3"/>
      <c r="G112" s="3"/>
      <c r="H112" s="3"/>
      <c r="I112" s="20">
        <f>IFERROR(INDEX('Input - Walmart'!G$2:G$200,MATCH('Calculations - Walmart'!$D112,'Input - Walmart'!$B$2:$B$200,0)),"")</f>
        <v>0</v>
      </c>
      <c r="J112" s="20">
        <f>IFERROR(INDEX('Input - Walmart'!H$2:H$200,MATCH('Calculations - Walmart'!$D112,'Input - Walmart'!$B$2:$B$200,0)),"")</f>
        <v>0</v>
      </c>
      <c r="K112" s="21">
        <f>IFERROR(INDEX('Input - Walmart'!I$2:I$200,MATCH('Calculations - Walmart'!$D112,'Input - Walmart'!$B$2:$B$200,0)),"")</f>
        <v>0</v>
      </c>
      <c r="L112" s="21">
        <f>IFERROR(INDEX('Input - Walmart'!J$2:J$200,MATCH('Calculations - Walmart'!$D112,'Input - Walmart'!$B$2:$B$200,0)),"")</f>
        <v>0</v>
      </c>
      <c r="M112" s="20">
        <f>IFERROR(INDEX('Input - Walmart'!K$2:K$200,MATCH('Calculations - Walmart'!$D112,'Input - Walmart'!$B$2:$B$200,0)),"")</f>
        <v>0</v>
      </c>
      <c r="N112" s="20">
        <f>IFERROR(INDEX('Input - Walmart'!L$2:L$200,MATCH('Calculations - Walmart'!$D112,'Input - Walmart'!$B$2:$B$200,0)),"")</f>
        <v>0</v>
      </c>
      <c r="O112" s="21" t="str">
        <f t="shared" si="102"/>
        <v/>
      </c>
      <c r="P112" s="21" t="str">
        <f t="shared" si="86"/>
        <v/>
      </c>
      <c r="Q112" s="21">
        <f t="shared" si="103"/>
        <v>0</v>
      </c>
      <c r="R112" s="9">
        <f t="shared" si="84"/>
        <v>0</v>
      </c>
      <c r="S112" s="9">
        <f t="shared" si="85"/>
        <v>0</v>
      </c>
      <c r="T112" s="22" t="str">
        <f>IFERROR(INDEX(Walmart!$S$11:$S$192,MATCH('Calculations - Walmart'!$D112,Walmart!$N$11:$N$192,0)),"")</f>
        <v/>
      </c>
      <c r="U112" s="22" t="str">
        <f>IFERROR(INDEX(Walmart!$T$11:$T$192,MATCH('Calculations - Walmart'!$D112,Walmart!$N$11:$N$192,0)),"")</f>
        <v/>
      </c>
      <c r="V112" s="16" t="e">
        <f t="shared" si="87"/>
        <v>#VALUE!</v>
      </c>
      <c r="W112" s="16" t="e">
        <f t="shared" si="104"/>
        <v>#VALUE!</v>
      </c>
      <c r="X112" s="16" t="e">
        <f t="shared" si="105"/>
        <v>#VALUE!</v>
      </c>
      <c r="Y112" s="10" t="str">
        <f t="shared" si="88"/>
        <v>-</v>
      </c>
      <c r="Z112" s="10" t="str">
        <f t="shared" si="89"/>
        <v>-</v>
      </c>
      <c r="AA112" s="13" t="str">
        <f t="shared" si="106"/>
        <v>-</v>
      </c>
      <c r="AB112" s="9" t="str">
        <f t="shared" si="90"/>
        <v>-</v>
      </c>
      <c r="AC112" s="16" t="str">
        <f t="shared" si="107"/>
        <v>-</v>
      </c>
      <c r="AD112" s="16" t="str">
        <f t="shared" si="91"/>
        <v>-</v>
      </c>
      <c r="AE112" s="16" t="str">
        <f t="shared" si="92"/>
        <v>-</v>
      </c>
      <c r="AF112" s="16" t="str">
        <f t="shared" si="108"/>
        <v>-</v>
      </c>
      <c r="AG112" s="16"/>
      <c r="AH112" s="32" t="str">
        <f>IFERROR(INDEX(Walmart!$R$11:$R$192,MATCH('Calculations - Walmart'!D112,Walmart!$N$11:$N$192,0)),"")</f>
        <v/>
      </c>
      <c r="AI112" s="23" t="str">
        <f t="shared" si="109"/>
        <v/>
      </c>
      <c r="AJ112" s="23" t="str">
        <f t="shared" si="110"/>
        <v/>
      </c>
      <c r="AK112" s="9" t="str">
        <f t="shared" si="93"/>
        <v/>
      </c>
      <c r="AL112" s="4" t="str">
        <f t="shared" si="94"/>
        <v/>
      </c>
      <c r="AM112" s="4"/>
      <c r="AN112" s="4"/>
      <c r="AO112" s="4"/>
      <c r="AP112" s="4"/>
      <c r="AQ112" s="4"/>
      <c r="AR112" s="20" t="str">
        <f t="shared" si="95"/>
        <v>-</v>
      </c>
      <c r="AS112" s="13" t="str">
        <f t="shared" si="111"/>
        <v>-</v>
      </c>
      <c r="AT112" s="13" t="str">
        <f t="shared" si="112"/>
        <v>-</v>
      </c>
      <c r="AU112" s="13" t="str">
        <f t="shared" si="96"/>
        <v>-</v>
      </c>
      <c r="AV112" s="16" t="str">
        <f t="shared" si="113"/>
        <v>-</v>
      </c>
      <c r="AW112" s="16" t="str">
        <f t="shared" si="97"/>
        <v>-</v>
      </c>
      <c r="AX112" s="16" t="str">
        <f t="shared" si="98"/>
        <v>-</v>
      </c>
      <c r="AY112" s="16" t="str">
        <f t="shared" si="114"/>
        <v>-</v>
      </c>
      <c r="AZ112" s="13" t="str">
        <f t="shared" si="115"/>
        <v>-</v>
      </c>
      <c r="BA112" s="10" t="str">
        <f t="shared" si="116"/>
        <v>-</v>
      </c>
      <c r="BB112" s="9" t="str">
        <f t="shared" si="117"/>
        <v>-</v>
      </c>
      <c r="BC112" s="13" t="str">
        <f t="shared" si="118"/>
        <v>-</v>
      </c>
      <c r="BD112" s="10" t="str">
        <f t="shared" si="119"/>
        <v>-</v>
      </c>
      <c r="BE112" s="13" t="str">
        <f t="shared" si="120"/>
        <v>-</v>
      </c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</row>
    <row r="113" spans="2:70" x14ac:dyDescent="0.3">
      <c r="B113" s="96" t="str">
        <f t="shared" si="99"/>
        <v/>
      </c>
      <c r="C113" s="96" t="str">
        <f t="shared" si="100"/>
        <v/>
      </c>
      <c r="D113" s="96" t="str">
        <f t="shared" si="101"/>
        <v/>
      </c>
      <c r="E113" s="3"/>
      <c r="F113" s="3"/>
      <c r="G113" s="3"/>
      <c r="H113" s="3"/>
      <c r="I113" s="20">
        <f>IFERROR(INDEX('Input - Walmart'!G$2:G$200,MATCH('Calculations - Walmart'!$D113,'Input - Walmart'!$B$2:$B$200,0)),"")</f>
        <v>0</v>
      </c>
      <c r="J113" s="20">
        <f>IFERROR(INDEX('Input - Walmart'!H$2:H$200,MATCH('Calculations - Walmart'!$D113,'Input - Walmart'!$B$2:$B$200,0)),"")</f>
        <v>0</v>
      </c>
      <c r="K113" s="21">
        <f>IFERROR(INDEX('Input - Walmart'!I$2:I$200,MATCH('Calculations - Walmart'!$D113,'Input - Walmart'!$B$2:$B$200,0)),"")</f>
        <v>0</v>
      </c>
      <c r="L113" s="21">
        <f>IFERROR(INDEX('Input - Walmart'!J$2:J$200,MATCH('Calculations - Walmart'!$D113,'Input - Walmart'!$B$2:$B$200,0)),"")</f>
        <v>0</v>
      </c>
      <c r="M113" s="20">
        <f>IFERROR(INDEX('Input - Walmart'!K$2:K$200,MATCH('Calculations - Walmart'!$D113,'Input - Walmart'!$B$2:$B$200,0)),"")</f>
        <v>0</v>
      </c>
      <c r="N113" s="20">
        <f>IFERROR(INDEX('Input - Walmart'!L$2:L$200,MATCH('Calculations - Walmart'!$D113,'Input - Walmart'!$B$2:$B$200,0)),"")</f>
        <v>0</v>
      </c>
      <c r="O113" s="21" t="str">
        <f t="shared" si="102"/>
        <v/>
      </c>
      <c r="P113" s="21" t="str">
        <f t="shared" si="86"/>
        <v/>
      </c>
      <c r="Q113" s="21">
        <f t="shared" si="103"/>
        <v>0</v>
      </c>
      <c r="R113" s="9">
        <f t="shared" si="84"/>
        <v>0</v>
      </c>
      <c r="S113" s="9">
        <f t="shared" si="85"/>
        <v>0</v>
      </c>
      <c r="T113" s="22" t="str">
        <f>IFERROR(INDEX(Walmart!$S$11:$S$192,MATCH('Calculations - Walmart'!$D113,Walmart!$N$11:$N$192,0)),"")</f>
        <v/>
      </c>
      <c r="U113" s="22" t="str">
        <f>IFERROR(INDEX(Walmart!$T$11:$T$192,MATCH('Calculations - Walmart'!$D113,Walmart!$N$11:$N$192,0)),"")</f>
        <v/>
      </c>
      <c r="V113" s="16" t="e">
        <f t="shared" si="87"/>
        <v>#VALUE!</v>
      </c>
      <c r="W113" s="16" t="e">
        <f t="shared" si="104"/>
        <v>#VALUE!</v>
      </c>
      <c r="X113" s="16" t="e">
        <f t="shared" si="105"/>
        <v>#VALUE!</v>
      </c>
      <c r="Y113" s="10" t="str">
        <f t="shared" si="88"/>
        <v>-</v>
      </c>
      <c r="Z113" s="10" t="str">
        <f t="shared" si="89"/>
        <v>-</v>
      </c>
      <c r="AA113" s="13" t="str">
        <f t="shared" si="106"/>
        <v>-</v>
      </c>
      <c r="AB113" s="9" t="str">
        <f t="shared" si="90"/>
        <v>-</v>
      </c>
      <c r="AC113" s="16" t="str">
        <f t="shared" si="107"/>
        <v>-</v>
      </c>
      <c r="AD113" s="16" t="str">
        <f t="shared" si="91"/>
        <v>-</v>
      </c>
      <c r="AE113" s="16" t="str">
        <f t="shared" si="92"/>
        <v>-</v>
      </c>
      <c r="AF113" s="16" t="str">
        <f t="shared" si="108"/>
        <v>-</v>
      </c>
      <c r="AG113" s="16"/>
      <c r="AH113" s="32" t="str">
        <f>IFERROR(INDEX(Walmart!$R$11:$R$192,MATCH('Calculations - Walmart'!D113,Walmart!$N$11:$N$192,0)),"")</f>
        <v/>
      </c>
      <c r="AI113" s="23" t="str">
        <f t="shared" si="109"/>
        <v/>
      </c>
      <c r="AJ113" s="23" t="str">
        <f t="shared" si="110"/>
        <v/>
      </c>
      <c r="AK113" s="9" t="str">
        <f t="shared" si="93"/>
        <v/>
      </c>
      <c r="AL113" s="4" t="str">
        <f t="shared" si="94"/>
        <v/>
      </c>
      <c r="AM113" s="4"/>
      <c r="AN113" s="4"/>
      <c r="AO113" s="4"/>
      <c r="AP113" s="4"/>
      <c r="AQ113" s="4"/>
      <c r="AR113" s="20" t="str">
        <f t="shared" si="95"/>
        <v>-</v>
      </c>
      <c r="AS113" s="13" t="str">
        <f t="shared" si="111"/>
        <v>-</v>
      </c>
      <c r="AT113" s="13" t="str">
        <f t="shared" si="112"/>
        <v>-</v>
      </c>
      <c r="AU113" s="13" t="str">
        <f t="shared" si="96"/>
        <v>-</v>
      </c>
      <c r="AV113" s="16" t="str">
        <f t="shared" si="113"/>
        <v>-</v>
      </c>
      <c r="AW113" s="16" t="str">
        <f t="shared" si="97"/>
        <v>-</v>
      </c>
      <c r="AX113" s="16" t="str">
        <f t="shared" si="98"/>
        <v>-</v>
      </c>
      <c r="AY113" s="16" t="str">
        <f t="shared" si="114"/>
        <v>-</v>
      </c>
      <c r="AZ113" s="13" t="str">
        <f t="shared" si="115"/>
        <v>-</v>
      </c>
      <c r="BA113" s="10" t="str">
        <f t="shared" si="116"/>
        <v>-</v>
      </c>
      <c r="BB113" s="9" t="str">
        <f t="shared" si="117"/>
        <v>-</v>
      </c>
      <c r="BC113" s="13" t="str">
        <f t="shared" si="118"/>
        <v>-</v>
      </c>
      <c r="BD113" s="10" t="str">
        <f t="shared" si="119"/>
        <v>-</v>
      </c>
      <c r="BE113" s="13" t="str">
        <f t="shared" si="120"/>
        <v>-</v>
      </c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</row>
    <row r="114" spans="2:70" x14ac:dyDescent="0.3">
      <c r="B114" s="96" t="str">
        <f t="shared" si="99"/>
        <v/>
      </c>
      <c r="C114" s="96" t="str">
        <f t="shared" si="100"/>
        <v/>
      </c>
      <c r="D114" s="96" t="str">
        <f t="shared" si="101"/>
        <v/>
      </c>
      <c r="E114" s="3"/>
      <c r="F114" s="3"/>
      <c r="G114" s="3"/>
      <c r="H114" s="3"/>
      <c r="I114" s="20">
        <f>IFERROR(INDEX('Input - Walmart'!G$2:G$200,MATCH('Calculations - Walmart'!$D114,'Input - Walmart'!$B$2:$B$200,0)),"")</f>
        <v>0</v>
      </c>
      <c r="J114" s="20">
        <f>IFERROR(INDEX('Input - Walmart'!H$2:H$200,MATCH('Calculations - Walmart'!$D114,'Input - Walmart'!$B$2:$B$200,0)),"")</f>
        <v>0</v>
      </c>
      <c r="K114" s="21">
        <f>IFERROR(INDEX('Input - Walmart'!I$2:I$200,MATCH('Calculations - Walmart'!$D114,'Input - Walmart'!$B$2:$B$200,0)),"")</f>
        <v>0</v>
      </c>
      <c r="L114" s="21">
        <f>IFERROR(INDEX('Input - Walmart'!J$2:J$200,MATCH('Calculations - Walmart'!$D114,'Input - Walmart'!$B$2:$B$200,0)),"")</f>
        <v>0</v>
      </c>
      <c r="M114" s="20">
        <f>IFERROR(INDEX('Input - Walmart'!K$2:K$200,MATCH('Calculations - Walmart'!$D114,'Input - Walmart'!$B$2:$B$200,0)),"")</f>
        <v>0</v>
      </c>
      <c r="N114" s="20">
        <f>IFERROR(INDEX('Input - Walmart'!L$2:L$200,MATCH('Calculations - Walmart'!$D114,'Input - Walmart'!$B$2:$B$200,0)),"")</f>
        <v>0</v>
      </c>
      <c r="O114" s="21" t="str">
        <f t="shared" si="102"/>
        <v/>
      </c>
      <c r="P114" s="21" t="str">
        <f t="shared" si="86"/>
        <v/>
      </c>
      <c r="Q114" s="21">
        <f t="shared" si="103"/>
        <v>0</v>
      </c>
      <c r="R114" s="9">
        <f t="shared" si="84"/>
        <v>0</v>
      </c>
      <c r="S114" s="9">
        <f t="shared" si="85"/>
        <v>0</v>
      </c>
      <c r="T114" s="22" t="str">
        <f>IFERROR(INDEX(Walmart!$S$11:$S$192,MATCH('Calculations - Walmart'!$D114,Walmart!$N$11:$N$192,0)),"")</f>
        <v/>
      </c>
      <c r="U114" s="22" t="str">
        <f>IFERROR(INDEX(Walmart!$T$11:$T$192,MATCH('Calculations - Walmart'!$D114,Walmart!$N$11:$N$192,0)),"")</f>
        <v/>
      </c>
      <c r="V114" s="16" t="e">
        <f t="shared" si="87"/>
        <v>#VALUE!</v>
      </c>
      <c r="W114" s="16" t="e">
        <f t="shared" si="104"/>
        <v>#VALUE!</v>
      </c>
      <c r="X114" s="16" t="e">
        <f t="shared" si="105"/>
        <v>#VALUE!</v>
      </c>
      <c r="Y114" s="10" t="str">
        <f t="shared" si="88"/>
        <v>-</v>
      </c>
      <c r="Z114" s="10" t="str">
        <f t="shared" si="89"/>
        <v>-</v>
      </c>
      <c r="AA114" s="13" t="str">
        <f t="shared" si="106"/>
        <v>-</v>
      </c>
      <c r="AB114" s="9" t="str">
        <f t="shared" si="90"/>
        <v>-</v>
      </c>
      <c r="AC114" s="16" t="str">
        <f t="shared" si="107"/>
        <v>-</v>
      </c>
      <c r="AD114" s="16" t="str">
        <f t="shared" si="91"/>
        <v>-</v>
      </c>
      <c r="AE114" s="16" t="str">
        <f t="shared" si="92"/>
        <v>-</v>
      </c>
      <c r="AF114" s="16" t="str">
        <f t="shared" si="108"/>
        <v>-</v>
      </c>
      <c r="AG114" s="16"/>
      <c r="AH114" s="32" t="str">
        <f>IFERROR(INDEX(Walmart!$R$11:$R$192,MATCH('Calculations - Walmart'!D114,Walmart!$N$11:$N$192,0)),"")</f>
        <v/>
      </c>
      <c r="AI114" s="23" t="str">
        <f t="shared" si="109"/>
        <v/>
      </c>
      <c r="AJ114" s="23" t="str">
        <f t="shared" si="110"/>
        <v/>
      </c>
      <c r="AK114" s="9" t="str">
        <f t="shared" si="93"/>
        <v/>
      </c>
      <c r="AL114" s="4" t="str">
        <f t="shared" si="94"/>
        <v/>
      </c>
      <c r="AM114" s="4"/>
      <c r="AN114" s="4"/>
      <c r="AO114" s="4"/>
      <c r="AP114" s="4"/>
      <c r="AQ114" s="4"/>
      <c r="AR114" s="20" t="str">
        <f t="shared" si="95"/>
        <v>-</v>
      </c>
      <c r="AS114" s="13" t="str">
        <f t="shared" si="111"/>
        <v>-</v>
      </c>
      <c r="AT114" s="13" t="str">
        <f t="shared" si="112"/>
        <v>-</v>
      </c>
      <c r="AU114" s="13" t="str">
        <f t="shared" si="96"/>
        <v>-</v>
      </c>
      <c r="AV114" s="16" t="str">
        <f t="shared" si="113"/>
        <v>-</v>
      </c>
      <c r="AW114" s="16" t="str">
        <f t="shared" si="97"/>
        <v>-</v>
      </c>
      <c r="AX114" s="16" t="str">
        <f t="shared" si="98"/>
        <v>-</v>
      </c>
      <c r="AY114" s="16" t="str">
        <f t="shared" si="114"/>
        <v>-</v>
      </c>
      <c r="AZ114" s="13" t="str">
        <f t="shared" si="115"/>
        <v>-</v>
      </c>
      <c r="BA114" s="10" t="str">
        <f t="shared" si="116"/>
        <v>-</v>
      </c>
      <c r="BB114" s="9" t="str">
        <f t="shared" si="117"/>
        <v>-</v>
      </c>
      <c r="BC114" s="13" t="str">
        <f t="shared" si="118"/>
        <v>-</v>
      </c>
      <c r="BD114" s="10" t="str">
        <f t="shared" si="119"/>
        <v>-</v>
      </c>
      <c r="BE114" s="13" t="str">
        <f t="shared" si="120"/>
        <v>-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</row>
    <row r="115" spans="2:70" x14ac:dyDescent="0.3">
      <c r="B115" s="96" t="str">
        <f t="shared" si="99"/>
        <v/>
      </c>
      <c r="C115" s="96" t="str">
        <f t="shared" si="100"/>
        <v/>
      </c>
      <c r="D115" s="96" t="str">
        <f t="shared" si="101"/>
        <v/>
      </c>
      <c r="E115" s="3"/>
      <c r="F115" s="3"/>
      <c r="G115" s="3"/>
      <c r="H115" s="3"/>
      <c r="I115" s="20">
        <f>IFERROR(INDEX('Input - Walmart'!G$2:G$200,MATCH('Calculations - Walmart'!$D115,'Input - Walmart'!$B$2:$B$200,0)),"")</f>
        <v>0</v>
      </c>
      <c r="J115" s="20">
        <f>IFERROR(INDEX('Input - Walmart'!H$2:H$200,MATCH('Calculations - Walmart'!$D115,'Input - Walmart'!$B$2:$B$200,0)),"")</f>
        <v>0</v>
      </c>
      <c r="K115" s="21">
        <f>IFERROR(INDEX('Input - Walmart'!I$2:I$200,MATCH('Calculations - Walmart'!$D115,'Input - Walmart'!$B$2:$B$200,0)),"")</f>
        <v>0</v>
      </c>
      <c r="L115" s="21">
        <f>IFERROR(INDEX('Input - Walmart'!J$2:J$200,MATCH('Calculations - Walmart'!$D115,'Input - Walmart'!$B$2:$B$200,0)),"")</f>
        <v>0</v>
      </c>
      <c r="M115" s="20">
        <f>IFERROR(INDEX('Input - Walmart'!K$2:K$200,MATCH('Calculations - Walmart'!$D115,'Input - Walmart'!$B$2:$B$200,0)),"")</f>
        <v>0</v>
      </c>
      <c r="N115" s="20">
        <f>IFERROR(INDEX('Input - Walmart'!L$2:L$200,MATCH('Calculations - Walmart'!$D115,'Input - Walmart'!$B$2:$B$200,0)),"")</f>
        <v>0</v>
      </c>
      <c r="O115" s="21" t="str">
        <f t="shared" si="102"/>
        <v/>
      </c>
      <c r="P115" s="21" t="str">
        <f t="shared" si="86"/>
        <v/>
      </c>
      <c r="Q115" s="21">
        <f t="shared" si="103"/>
        <v>0</v>
      </c>
      <c r="R115" s="9">
        <f t="shared" si="84"/>
        <v>0</v>
      </c>
      <c r="S115" s="9">
        <f t="shared" si="85"/>
        <v>0</v>
      </c>
      <c r="T115" s="22" t="str">
        <f>IFERROR(INDEX(Walmart!$S$11:$S$192,MATCH('Calculations - Walmart'!$D115,Walmart!$N$11:$N$192,0)),"")</f>
        <v/>
      </c>
      <c r="U115" s="22" t="str">
        <f>IFERROR(INDEX(Walmart!$T$11:$T$192,MATCH('Calculations - Walmart'!$D115,Walmart!$N$11:$N$192,0)),"")</f>
        <v/>
      </c>
      <c r="V115" s="16" t="e">
        <f t="shared" si="87"/>
        <v>#VALUE!</v>
      </c>
      <c r="W115" s="16" t="e">
        <f t="shared" si="104"/>
        <v>#VALUE!</v>
      </c>
      <c r="X115" s="16" t="e">
        <f t="shared" si="105"/>
        <v>#VALUE!</v>
      </c>
      <c r="Y115" s="10" t="str">
        <f t="shared" si="88"/>
        <v>-</v>
      </c>
      <c r="Z115" s="10" t="str">
        <f t="shared" si="89"/>
        <v>-</v>
      </c>
      <c r="AA115" s="13" t="str">
        <f t="shared" si="106"/>
        <v>-</v>
      </c>
      <c r="AB115" s="9" t="str">
        <f t="shared" si="90"/>
        <v>-</v>
      </c>
      <c r="AC115" s="16" t="str">
        <f t="shared" si="107"/>
        <v>-</v>
      </c>
      <c r="AD115" s="16" t="str">
        <f t="shared" si="91"/>
        <v>-</v>
      </c>
      <c r="AE115" s="16" t="str">
        <f t="shared" si="92"/>
        <v>-</v>
      </c>
      <c r="AF115" s="16" t="str">
        <f t="shared" si="108"/>
        <v>-</v>
      </c>
      <c r="AG115" s="16"/>
      <c r="AH115" s="32" t="str">
        <f>IFERROR(INDEX(Walmart!$R$11:$R$192,MATCH('Calculations - Walmart'!D115,Walmart!$N$11:$N$192,0)),"")</f>
        <v/>
      </c>
      <c r="AI115" s="23" t="str">
        <f t="shared" si="109"/>
        <v/>
      </c>
      <c r="AJ115" s="23" t="str">
        <f t="shared" si="110"/>
        <v/>
      </c>
      <c r="AK115" s="9" t="str">
        <f t="shared" si="93"/>
        <v/>
      </c>
      <c r="AL115" s="4" t="str">
        <f t="shared" si="94"/>
        <v/>
      </c>
      <c r="AM115" s="4"/>
      <c r="AN115" s="4"/>
      <c r="AO115" s="4"/>
      <c r="AP115" s="4"/>
      <c r="AQ115" s="4"/>
      <c r="AR115" s="20" t="str">
        <f t="shared" si="95"/>
        <v>-</v>
      </c>
      <c r="AS115" s="13" t="str">
        <f t="shared" si="111"/>
        <v>-</v>
      </c>
      <c r="AT115" s="13" t="str">
        <f t="shared" si="112"/>
        <v>-</v>
      </c>
      <c r="AU115" s="13" t="str">
        <f t="shared" si="96"/>
        <v>-</v>
      </c>
      <c r="AV115" s="16" t="str">
        <f t="shared" si="113"/>
        <v>-</v>
      </c>
      <c r="AW115" s="16" t="str">
        <f t="shared" si="97"/>
        <v>-</v>
      </c>
      <c r="AX115" s="16" t="str">
        <f t="shared" si="98"/>
        <v>-</v>
      </c>
      <c r="AY115" s="16" t="str">
        <f t="shared" si="114"/>
        <v>-</v>
      </c>
      <c r="AZ115" s="13" t="str">
        <f t="shared" si="115"/>
        <v>-</v>
      </c>
      <c r="BA115" s="10" t="str">
        <f t="shared" si="116"/>
        <v>-</v>
      </c>
      <c r="BB115" s="9" t="str">
        <f t="shared" si="117"/>
        <v>-</v>
      </c>
      <c r="BC115" s="13" t="str">
        <f t="shared" si="118"/>
        <v>-</v>
      </c>
      <c r="BD115" s="10" t="str">
        <f t="shared" si="119"/>
        <v>-</v>
      </c>
      <c r="BE115" s="13" t="str">
        <f t="shared" si="120"/>
        <v>-</v>
      </c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</row>
    <row r="116" spans="2:70" x14ac:dyDescent="0.3">
      <c r="B116" s="96" t="str">
        <f t="shared" si="99"/>
        <v/>
      </c>
      <c r="C116" s="96" t="str">
        <f t="shared" si="100"/>
        <v/>
      </c>
      <c r="D116" s="96" t="str">
        <f t="shared" si="101"/>
        <v/>
      </c>
      <c r="E116" s="3"/>
      <c r="F116" s="3"/>
      <c r="G116" s="3"/>
      <c r="H116" s="3"/>
      <c r="I116" s="20">
        <f>IFERROR(INDEX('Input - Walmart'!G$2:G$200,MATCH('Calculations - Walmart'!$D116,'Input - Walmart'!$B$2:$B$200,0)),"")</f>
        <v>0</v>
      </c>
      <c r="J116" s="20">
        <f>IFERROR(INDEX('Input - Walmart'!H$2:H$200,MATCH('Calculations - Walmart'!$D116,'Input - Walmart'!$B$2:$B$200,0)),"")</f>
        <v>0</v>
      </c>
      <c r="K116" s="21">
        <f>IFERROR(INDEX('Input - Walmart'!I$2:I$200,MATCH('Calculations - Walmart'!$D116,'Input - Walmart'!$B$2:$B$200,0)),"")</f>
        <v>0</v>
      </c>
      <c r="L116" s="21">
        <f>IFERROR(INDEX('Input - Walmart'!J$2:J$200,MATCH('Calculations - Walmart'!$D116,'Input - Walmart'!$B$2:$B$200,0)),"")</f>
        <v>0</v>
      </c>
      <c r="M116" s="20">
        <f>IFERROR(INDEX('Input - Walmart'!K$2:K$200,MATCH('Calculations - Walmart'!$D116,'Input - Walmart'!$B$2:$B$200,0)),"")</f>
        <v>0</v>
      </c>
      <c r="N116" s="20">
        <f>IFERROR(INDEX('Input - Walmart'!L$2:L$200,MATCH('Calculations - Walmart'!$D116,'Input - Walmart'!$B$2:$B$200,0)),"")</f>
        <v>0</v>
      </c>
      <c r="O116" s="21" t="str">
        <f t="shared" si="102"/>
        <v/>
      </c>
      <c r="P116" s="21" t="str">
        <f t="shared" si="86"/>
        <v/>
      </c>
      <c r="Q116" s="21">
        <f t="shared" si="103"/>
        <v>0</v>
      </c>
      <c r="R116" s="9">
        <f t="shared" si="84"/>
        <v>0</v>
      </c>
      <c r="S116" s="9">
        <f t="shared" si="85"/>
        <v>0</v>
      </c>
      <c r="T116" s="22" t="str">
        <f>IFERROR(INDEX(Walmart!$S$11:$S$192,MATCH('Calculations - Walmart'!$D116,Walmart!$N$11:$N$192,0)),"")</f>
        <v/>
      </c>
      <c r="U116" s="22" t="str">
        <f>IFERROR(INDEX(Walmart!$T$11:$T$192,MATCH('Calculations - Walmart'!$D116,Walmart!$N$11:$N$192,0)),"")</f>
        <v/>
      </c>
      <c r="V116" s="16" t="e">
        <f t="shared" si="87"/>
        <v>#VALUE!</v>
      </c>
      <c r="W116" s="16" t="e">
        <f t="shared" si="104"/>
        <v>#VALUE!</v>
      </c>
      <c r="X116" s="16" t="e">
        <f t="shared" si="105"/>
        <v>#VALUE!</v>
      </c>
      <c r="Y116" s="10" t="str">
        <f t="shared" si="88"/>
        <v>-</v>
      </c>
      <c r="Z116" s="10" t="str">
        <f t="shared" si="89"/>
        <v>-</v>
      </c>
      <c r="AA116" s="13" t="str">
        <f t="shared" si="106"/>
        <v>-</v>
      </c>
      <c r="AB116" s="9" t="str">
        <f t="shared" si="90"/>
        <v>-</v>
      </c>
      <c r="AC116" s="16" t="str">
        <f t="shared" si="107"/>
        <v>-</v>
      </c>
      <c r="AD116" s="16" t="str">
        <f t="shared" si="91"/>
        <v>-</v>
      </c>
      <c r="AE116" s="16" t="str">
        <f t="shared" si="92"/>
        <v>-</v>
      </c>
      <c r="AF116" s="16" t="str">
        <f t="shared" si="108"/>
        <v>-</v>
      </c>
      <c r="AG116" s="16"/>
      <c r="AH116" s="32" t="str">
        <f>IFERROR(INDEX(Walmart!$R$11:$R$192,MATCH('Calculations - Walmart'!D116,Walmart!$N$11:$N$192,0)),"")</f>
        <v/>
      </c>
      <c r="AI116" s="23" t="str">
        <f t="shared" si="109"/>
        <v/>
      </c>
      <c r="AJ116" s="23" t="str">
        <f t="shared" si="110"/>
        <v/>
      </c>
      <c r="AK116" s="9" t="str">
        <f t="shared" si="93"/>
        <v/>
      </c>
      <c r="AL116" s="4" t="str">
        <f t="shared" si="94"/>
        <v/>
      </c>
      <c r="AM116" s="4"/>
      <c r="AN116" s="4"/>
      <c r="AO116" s="4"/>
      <c r="AP116" s="4"/>
      <c r="AQ116" s="4"/>
      <c r="AR116" s="20" t="str">
        <f t="shared" si="95"/>
        <v>-</v>
      </c>
      <c r="AS116" s="13" t="str">
        <f t="shared" si="111"/>
        <v>-</v>
      </c>
      <c r="AT116" s="13" t="str">
        <f t="shared" si="112"/>
        <v>-</v>
      </c>
      <c r="AU116" s="13" t="str">
        <f t="shared" si="96"/>
        <v>-</v>
      </c>
      <c r="AV116" s="16" t="str">
        <f t="shared" si="113"/>
        <v>-</v>
      </c>
      <c r="AW116" s="16" t="str">
        <f t="shared" si="97"/>
        <v>-</v>
      </c>
      <c r="AX116" s="16" t="str">
        <f t="shared" si="98"/>
        <v>-</v>
      </c>
      <c r="AY116" s="16" t="str">
        <f t="shared" si="114"/>
        <v>-</v>
      </c>
      <c r="AZ116" s="13" t="str">
        <f t="shared" si="115"/>
        <v>-</v>
      </c>
      <c r="BA116" s="10" t="str">
        <f t="shared" si="116"/>
        <v>-</v>
      </c>
      <c r="BB116" s="9" t="str">
        <f t="shared" si="117"/>
        <v>-</v>
      </c>
      <c r="BC116" s="13" t="str">
        <f t="shared" si="118"/>
        <v>-</v>
      </c>
      <c r="BD116" s="10" t="str">
        <f t="shared" si="119"/>
        <v>-</v>
      </c>
      <c r="BE116" s="13" t="str">
        <f t="shared" si="120"/>
        <v>-</v>
      </c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</row>
    <row r="117" spans="2:70" x14ac:dyDescent="0.3">
      <c r="B117" s="96" t="str">
        <f t="shared" si="99"/>
        <v/>
      </c>
      <c r="C117" s="96" t="str">
        <f t="shared" si="100"/>
        <v/>
      </c>
      <c r="D117" s="96" t="str">
        <f t="shared" si="101"/>
        <v/>
      </c>
      <c r="E117" s="3"/>
      <c r="F117" s="3"/>
      <c r="G117" s="3"/>
      <c r="H117" s="3"/>
      <c r="I117" s="20">
        <f>IFERROR(INDEX('Input - Walmart'!G$2:G$200,MATCH('Calculations - Walmart'!$D117,'Input - Walmart'!$B$2:$B$200,0)),"")</f>
        <v>0</v>
      </c>
      <c r="J117" s="20">
        <f>IFERROR(INDEX('Input - Walmart'!H$2:H$200,MATCH('Calculations - Walmart'!$D117,'Input - Walmart'!$B$2:$B$200,0)),"")</f>
        <v>0</v>
      </c>
      <c r="K117" s="21">
        <f>IFERROR(INDEX('Input - Walmart'!I$2:I$200,MATCH('Calculations - Walmart'!$D117,'Input - Walmart'!$B$2:$B$200,0)),"")</f>
        <v>0</v>
      </c>
      <c r="L117" s="21">
        <f>IFERROR(INDEX('Input - Walmart'!J$2:J$200,MATCH('Calculations - Walmart'!$D117,'Input - Walmart'!$B$2:$B$200,0)),"")</f>
        <v>0</v>
      </c>
      <c r="M117" s="20">
        <f>IFERROR(INDEX('Input - Walmart'!K$2:K$200,MATCH('Calculations - Walmart'!$D117,'Input - Walmart'!$B$2:$B$200,0)),"")</f>
        <v>0</v>
      </c>
      <c r="N117" s="20">
        <f>IFERROR(INDEX('Input - Walmart'!L$2:L$200,MATCH('Calculations - Walmart'!$D117,'Input - Walmart'!$B$2:$B$200,0)),"")</f>
        <v>0</v>
      </c>
      <c r="O117" s="21" t="str">
        <f t="shared" si="102"/>
        <v/>
      </c>
      <c r="P117" s="21" t="str">
        <f t="shared" si="86"/>
        <v/>
      </c>
      <c r="Q117" s="21">
        <f t="shared" si="103"/>
        <v>0</v>
      </c>
      <c r="R117" s="9">
        <f t="shared" si="84"/>
        <v>0</v>
      </c>
      <c r="S117" s="9">
        <f t="shared" si="85"/>
        <v>0</v>
      </c>
      <c r="T117" s="22" t="str">
        <f>IFERROR(INDEX(Walmart!$S$11:$S$192,MATCH('Calculations - Walmart'!$D117,Walmart!$N$11:$N$192,0)),"")</f>
        <v/>
      </c>
      <c r="U117" s="22" t="str">
        <f>IFERROR(INDEX(Walmart!$T$11:$T$192,MATCH('Calculations - Walmart'!$D117,Walmart!$N$11:$N$192,0)),"")</f>
        <v/>
      </c>
      <c r="V117" s="16" t="e">
        <f t="shared" si="87"/>
        <v>#VALUE!</v>
      </c>
      <c r="W117" s="16" t="e">
        <f t="shared" si="104"/>
        <v>#VALUE!</v>
      </c>
      <c r="X117" s="16" t="e">
        <f t="shared" si="105"/>
        <v>#VALUE!</v>
      </c>
      <c r="Y117" s="10" t="str">
        <f t="shared" si="88"/>
        <v>-</v>
      </c>
      <c r="Z117" s="10" t="str">
        <f t="shared" si="89"/>
        <v>-</v>
      </c>
      <c r="AA117" s="13" t="str">
        <f t="shared" si="106"/>
        <v>-</v>
      </c>
      <c r="AB117" s="9" t="str">
        <f t="shared" si="90"/>
        <v>-</v>
      </c>
      <c r="AC117" s="16" t="str">
        <f t="shared" si="107"/>
        <v>-</v>
      </c>
      <c r="AD117" s="16" t="str">
        <f t="shared" si="91"/>
        <v>-</v>
      </c>
      <c r="AE117" s="16" t="str">
        <f t="shared" si="92"/>
        <v>-</v>
      </c>
      <c r="AF117" s="16" t="str">
        <f t="shared" si="108"/>
        <v>-</v>
      </c>
      <c r="AG117" s="16"/>
      <c r="AH117" s="32" t="str">
        <f>IFERROR(INDEX(Walmart!$R$11:$R$192,MATCH('Calculations - Walmart'!D117,Walmart!$N$11:$N$192,0)),"")</f>
        <v/>
      </c>
      <c r="AI117" s="23" t="str">
        <f t="shared" si="109"/>
        <v/>
      </c>
      <c r="AJ117" s="23" t="str">
        <f t="shared" si="110"/>
        <v/>
      </c>
      <c r="AK117" s="9" t="str">
        <f t="shared" si="93"/>
        <v/>
      </c>
      <c r="AL117" s="4" t="str">
        <f t="shared" si="94"/>
        <v/>
      </c>
      <c r="AM117" s="4"/>
      <c r="AN117" s="4"/>
      <c r="AO117" s="4"/>
      <c r="AP117" s="4"/>
      <c r="AQ117" s="4"/>
      <c r="AR117" s="20" t="str">
        <f t="shared" si="95"/>
        <v>-</v>
      </c>
      <c r="AS117" s="13" t="str">
        <f t="shared" si="111"/>
        <v>-</v>
      </c>
      <c r="AT117" s="13" t="str">
        <f t="shared" si="112"/>
        <v>-</v>
      </c>
      <c r="AU117" s="13" t="str">
        <f t="shared" si="96"/>
        <v>-</v>
      </c>
      <c r="AV117" s="16" t="str">
        <f t="shared" si="113"/>
        <v>-</v>
      </c>
      <c r="AW117" s="16" t="str">
        <f t="shared" si="97"/>
        <v>-</v>
      </c>
      <c r="AX117" s="16" t="str">
        <f t="shared" si="98"/>
        <v>-</v>
      </c>
      <c r="AY117" s="16" t="str">
        <f t="shared" si="114"/>
        <v>-</v>
      </c>
      <c r="AZ117" s="13" t="str">
        <f t="shared" si="115"/>
        <v>-</v>
      </c>
      <c r="BA117" s="10" t="str">
        <f t="shared" si="116"/>
        <v>-</v>
      </c>
      <c r="BB117" s="9" t="str">
        <f t="shared" si="117"/>
        <v>-</v>
      </c>
      <c r="BC117" s="13" t="str">
        <f t="shared" si="118"/>
        <v>-</v>
      </c>
      <c r="BD117" s="10" t="str">
        <f t="shared" si="119"/>
        <v>-</v>
      </c>
      <c r="BE117" s="13" t="str">
        <f t="shared" si="120"/>
        <v>-</v>
      </c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</row>
    <row r="118" spans="2:70" x14ac:dyDescent="0.3">
      <c r="B118" s="96" t="str">
        <f t="shared" si="99"/>
        <v/>
      </c>
      <c r="C118" s="96" t="str">
        <f t="shared" si="100"/>
        <v/>
      </c>
      <c r="D118" s="96" t="str">
        <f t="shared" si="101"/>
        <v/>
      </c>
      <c r="E118" s="3"/>
      <c r="F118" s="3"/>
      <c r="G118" s="3"/>
      <c r="H118" s="3"/>
      <c r="I118" s="20">
        <f>IFERROR(INDEX('Input - Walmart'!G$2:G$200,MATCH('Calculations - Walmart'!$D118,'Input - Walmart'!$B$2:$B$200,0)),"")</f>
        <v>0</v>
      </c>
      <c r="J118" s="20">
        <f>IFERROR(INDEX('Input - Walmart'!H$2:H$200,MATCH('Calculations - Walmart'!$D118,'Input - Walmart'!$B$2:$B$200,0)),"")</f>
        <v>0</v>
      </c>
      <c r="K118" s="21">
        <f>IFERROR(INDEX('Input - Walmart'!I$2:I$200,MATCH('Calculations - Walmart'!$D118,'Input - Walmart'!$B$2:$B$200,0)),"")</f>
        <v>0</v>
      </c>
      <c r="L118" s="21">
        <f>IFERROR(INDEX('Input - Walmart'!J$2:J$200,MATCH('Calculations - Walmart'!$D118,'Input - Walmart'!$B$2:$B$200,0)),"")</f>
        <v>0</v>
      </c>
      <c r="M118" s="20">
        <f>IFERROR(INDEX('Input - Walmart'!K$2:K$200,MATCH('Calculations - Walmart'!$D118,'Input - Walmart'!$B$2:$B$200,0)),"")</f>
        <v>0</v>
      </c>
      <c r="N118" s="20">
        <f>IFERROR(INDEX('Input - Walmart'!L$2:L$200,MATCH('Calculations - Walmart'!$D118,'Input - Walmart'!$B$2:$B$200,0)),"")</f>
        <v>0</v>
      </c>
      <c r="O118" s="21" t="str">
        <f t="shared" si="102"/>
        <v/>
      </c>
      <c r="P118" s="21" t="str">
        <f t="shared" si="86"/>
        <v/>
      </c>
      <c r="Q118" s="21">
        <f t="shared" si="103"/>
        <v>0</v>
      </c>
      <c r="R118" s="9">
        <f t="shared" si="84"/>
        <v>0</v>
      </c>
      <c r="S118" s="9">
        <f t="shared" si="85"/>
        <v>0</v>
      </c>
      <c r="T118" s="22" t="str">
        <f>IFERROR(INDEX(Walmart!$S$11:$S$192,MATCH('Calculations - Walmart'!$D118,Walmart!$N$11:$N$192,0)),"")</f>
        <v/>
      </c>
      <c r="U118" s="22" t="str">
        <f>IFERROR(INDEX(Walmart!$T$11:$T$192,MATCH('Calculations - Walmart'!$D118,Walmart!$N$11:$N$192,0)),"")</f>
        <v/>
      </c>
      <c r="V118" s="16" t="e">
        <f t="shared" si="87"/>
        <v>#VALUE!</v>
      </c>
      <c r="W118" s="16" t="e">
        <f t="shared" si="104"/>
        <v>#VALUE!</v>
      </c>
      <c r="X118" s="16" t="e">
        <f t="shared" si="105"/>
        <v>#VALUE!</v>
      </c>
      <c r="Y118" s="10" t="str">
        <f t="shared" si="88"/>
        <v>-</v>
      </c>
      <c r="Z118" s="10" t="str">
        <f t="shared" si="89"/>
        <v>-</v>
      </c>
      <c r="AA118" s="13" t="str">
        <f t="shared" si="106"/>
        <v>-</v>
      </c>
      <c r="AB118" s="9" t="str">
        <f t="shared" si="90"/>
        <v>-</v>
      </c>
      <c r="AC118" s="16" t="str">
        <f t="shared" si="107"/>
        <v>-</v>
      </c>
      <c r="AD118" s="16" t="str">
        <f t="shared" si="91"/>
        <v>-</v>
      </c>
      <c r="AE118" s="16" t="str">
        <f t="shared" si="92"/>
        <v>-</v>
      </c>
      <c r="AF118" s="16" t="str">
        <f t="shared" si="108"/>
        <v>-</v>
      </c>
      <c r="AG118" s="16"/>
      <c r="AH118" s="32" t="str">
        <f>IFERROR(INDEX(Walmart!$R$11:$R$192,MATCH('Calculations - Walmart'!D118,Walmart!$N$11:$N$192,0)),"")</f>
        <v/>
      </c>
      <c r="AI118" s="23" t="str">
        <f t="shared" si="109"/>
        <v/>
      </c>
      <c r="AJ118" s="23" t="str">
        <f t="shared" si="110"/>
        <v/>
      </c>
      <c r="AK118" s="9" t="str">
        <f t="shared" si="93"/>
        <v/>
      </c>
      <c r="AL118" s="4" t="str">
        <f t="shared" si="94"/>
        <v/>
      </c>
      <c r="AM118" s="4"/>
      <c r="AN118" s="4"/>
      <c r="AO118" s="4"/>
      <c r="AP118" s="4"/>
      <c r="AQ118" s="4"/>
      <c r="AR118" s="20" t="str">
        <f t="shared" si="95"/>
        <v>-</v>
      </c>
      <c r="AS118" s="13" t="str">
        <f t="shared" si="111"/>
        <v>-</v>
      </c>
      <c r="AT118" s="13" t="str">
        <f t="shared" si="112"/>
        <v>-</v>
      </c>
      <c r="AU118" s="13" t="str">
        <f t="shared" si="96"/>
        <v>-</v>
      </c>
      <c r="AV118" s="16" t="str">
        <f t="shared" si="113"/>
        <v>-</v>
      </c>
      <c r="AW118" s="16" t="str">
        <f t="shared" si="97"/>
        <v>-</v>
      </c>
      <c r="AX118" s="16" t="str">
        <f t="shared" si="98"/>
        <v>-</v>
      </c>
      <c r="AY118" s="16" t="str">
        <f t="shared" si="114"/>
        <v>-</v>
      </c>
      <c r="AZ118" s="13" t="str">
        <f t="shared" si="115"/>
        <v>-</v>
      </c>
      <c r="BA118" s="10" t="str">
        <f t="shared" si="116"/>
        <v>-</v>
      </c>
      <c r="BB118" s="9" t="str">
        <f t="shared" si="117"/>
        <v>-</v>
      </c>
      <c r="BC118" s="13" t="str">
        <f t="shared" si="118"/>
        <v>-</v>
      </c>
      <c r="BD118" s="10" t="str">
        <f t="shared" si="119"/>
        <v>-</v>
      </c>
      <c r="BE118" s="13" t="str">
        <f t="shared" si="120"/>
        <v>-</v>
      </c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</row>
    <row r="119" spans="2:70" x14ac:dyDescent="0.3">
      <c r="B119" s="96" t="str">
        <f t="shared" si="99"/>
        <v/>
      </c>
      <c r="C119" s="96" t="str">
        <f t="shared" si="100"/>
        <v/>
      </c>
      <c r="D119" s="96" t="str">
        <f t="shared" si="101"/>
        <v/>
      </c>
      <c r="E119" s="3"/>
      <c r="F119" s="3"/>
      <c r="G119" s="3"/>
      <c r="H119" s="3"/>
      <c r="I119" s="20">
        <f>IFERROR(INDEX('Input - Walmart'!G$2:G$200,MATCH('Calculations - Walmart'!$D119,'Input - Walmart'!$B$2:$B$200,0)),"")</f>
        <v>0</v>
      </c>
      <c r="J119" s="20">
        <f>IFERROR(INDEX('Input - Walmart'!H$2:H$200,MATCH('Calculations - Walmart'!$D119,'Input - Walmart'!$B$2:$B$200,0)),"")</f>
        <v>0</v>
      </c>
      <c r="K119" s="21">
        <f>IFERROR(INDEX('Input - Walmart'!I$2:I$200,MATCH('Calculations - Walmart'!$D119,'Input - Walmart'!$B$2:$B$200,0)),"")</f>
        <v>0</v>
      </c>
      <c r="L119" s="21">
        <f>IFERROR(INDEX('Input - Walmart'!J$2:J$200,MATCH('Calculations - Walmart'!$D119,'Input - Walmart'!$B$2:$B$200,0)),"")</f>
        <v>0</v>
      </c>
      <c r="M119" s="20">
        <f>IFERROR(INDEX('Input - Walmart'!K$2:K$200,MATCH('Calculations - Walmart'!$D119,'Input - Walmart'!$B$2:$B$200,0)),"")</f>
        <v>0</v>
      </c>
      <c r="N119" s="20">
        <f>IFERROR(INDEX('Input - Walmart'!L$2:L$200,MATCH('Calculations - Walmart'!$D119,'Input - Walmart'!$B$2:$B$200,0)),"")</f>
        <v>0</v>
      </c>
      <c r="O119" s="21" t="str">
        <f t="shared" si="102"/>
        <v/>
      </c>
      <c r="P119" s="21" t="str">
        <f t="shared" si="86"/>
        <v/>
      </c>
      <c r="Q119" s="21">
        <f t="shared" si="103"/>
        <v>0</v>
      </c>
      <c r="R119" s="9">
        <f t="shared" si="84"/>
        <v>0</v>
      </c>
      <c r="S119" s="9">
        <f t="shared" si="85"/>
        <v>0</v>
      </c>
      <c r="T119" s="22" t="str">
        <f>IFERROR(INDEX(Walmart!$S$11:$S$192,MATCH('Calculations - Walmart'!$D119,Walmart!$N$11:$N$192,0)),"")</f>
        <v/>
      </c>
      <c r="U119" s="22" t="str">
        <f>IFERROR(INDEX(Walmart!$T$11:$T$192,MATCH('Calculations - Walmart'!$D119,Walmart!$N$11:$N$192,0)),"")</f>
        <v/>
      </c>
      <c r="V119" s="16" t="e">
        <f t="shared" si="87"/>
        <v>#VALUE!</v>
      </c>
      <c r="W119" s="16" t="e">
        <f t="shared" si="104"/>
        <v>#VALUE!</v>
      </c>
      <c r="X119" s="16" t="e">
        <f t="shared" si="105"/>
        <v>#VALUE!</v>
      </c>
      <c r="Y119" s="10" t="str">
        <f t="shared" si="88"/>
        <v>-</v>
      </c>
      <c r="Z119" s="10" t="str">
        <f t="shared" si="89"/>
        <v>-</v>
      </c>
      <c r="AA119" s="13" t="str">
        <f t="shared" si="106"/>
        <v>-</v>
      </c>
      <c r="AB119" s="9" t="str">
        <f t="shared" si="90"/>
        <v>-</v>
      </c>
      <c r="AC119" s="16" t="str">
        <f t="shared" si="107"/>
        <v>-</v>
      </c>
      <c r="AD119" s="16" t="str">
        <f t="shared" si="91"/>
        <v>-</v>
      </c>
      <c r="AE119" s="16" t="str">
        <f t="shared" si="92"/>
        <v>-</v>
      </c>
      <c r="AF119" s="16" t="str">
        <f t="shared" si="108"/>
        <v>-</v>
      </c>
      <c r="AG119" s="16"/>
      <c r="AH119" s="32" t="str">
        <f>IFERROR(INDEX(Walmart!$R$11:$R$192,MATCH('Calculations - Walmart'!D119,Walmart!$N$11:$N$192,0)),"")</f>
        <v/>
      </c>
      <c r="AI119" s="23" t="str">
        <f t="shared" si="109"/>
        <v/>
      </c>
      <c r="AJ119" s="23" t="str">
        <f t="shared" si="110"/>
        <v/>
      </c>
      <c r="AK119" s="9" t="str">
        <f t="shared" si="93"/>
        <v/>
      </c>
      <c r="AL119" s="4" t="str">
        <f t="shared" si="94"/>
        <v/>
      </c>
      <c r="AM119" s="4"/>
      <c r="AN119" s="4"/>
      <c r="AO119" s="4"/>
      <c r="AP119" s="4"/>
      <c r="AQ119" s="4"/>
      <c r="AR119" s="20" t="str">
        <f t="shared" si="95"/>
        <v>-</v>
      </c>
      <c r="AS119" s="13" t="str">
        <f t="shared" si="111"/>
        <v>-</v>
      </c>
      <c r="AT119" s="13" t="str">
        <f t="shared" si="112"/>
        <v>-</v>
      </c>
      <c r="AU119" s="13" t="str">
        <f t="shared" si="96"/>
        <v>-</v>
      </c>
      <c r="AV119" s="16" t="str">
        <f t="shared" si="113"/>
        <v>-</v>
      </c>
      <c r="AW119" s="16" t="str">
        <f t="shared" si="97"/>
        <v>-</v>
      </c>
      <c r="AX119" s="16" t="str">
        <f t="shared" si="98"/>
        <v>-</v>
      </c>
      <c r="AY119" s="16" t="str">
        <f t="shared" si="114"/>
        <v>-</v>
      </c>
      <c r="AZ119" s="13" t="str">
        <f t="shared" si="115"/>
        <v>-</v>
      </c>
      <c r="BA119" s="10" t="str">
        <f t="shared" si="116"/>
        <v>-</v>
      </c>
      <c r="BB119" s="9" t="str">
        <f t="shared" si="117"/>
        <v>-</v>
      </c>
      <c r="BC119" s="13" t="str">
        <f t="shared" si="118"/>
        <v>-</v>
      </c>
      <c r="BD119" s="10" t="str">
        <f t="shared" si="119"/>
        <v>-</v>
      </c>
      <c r="BE119" s="13" t="str">
        <f t="shared" si="120"/>
        <v>-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</row>
    <row r="120" spans="2:70" x14ac:dyDescent="0.3">
      <c r="B120" s="96" t="str">
        <f t="shared" si="99"/>
        <v/>
      </c>
      <c r="C120" s="96" t="str">
        <f t="shared" si="100"/>
        <v/>
      </c>
      <c r="D120" s="96" t="str">
        <f t="shared" si="101"/>
        <v/>
      </c>
      <c r="E120" s="3"/>
      <c r="F120" s="3"/>
      <c r="G120" s="3"/>
      <c r="H120" s="3"/>
      <c r="I120" s="20">
        <f>IFERROR(INDEX('Input - Walmart'!G$2:G$200,MATCH('Calculations - Walmart'!$D120,'Input - Walmart'!$B$2:$B$200,0)),"")</f>
        <v>0</v>
      </c>
      <c r="J120" s="20">
        <f>IFERROR(INDEX('Input - Walmart'!H$2:H$200,MATCH('Calculations - Walmart'!$D120,'Input - Walmart'!$B$2:$B$200,0)),"")</f>
        <v>0</v>
      </c>
      <c r="K120" s="21">
        <f>IFERROR(INDEX('Input - Walmart'!I$2:I$200,MATCH('Calculations - Walmart'!$D120,'Input - Walmart'!$B$2:$B$200,0)),"")</f>
        <v>0</v>
      </c>
      <c r="L120" s="21">
        <f>IFERROR(INDEX('Input - Walmart'!J$2:J$200,MATCH('Calculations - Walmart'!$D120,'Input - Walmart'!$B$2:$B$200,0)),"")</f>
        <v>0</v>
      </c>
      <c r="M120" s="20">
        <f>IFERROR(INDEX('Input - Walmart'!K$2:K$200,MATCH('Calculations - Walmart'!$D120,'Input - Walmart'!$B$2:$B$200,0)),"")</f>
        <v>0</v>
      </c>
      <c r="N120" s="20">
        <f>IFERROR(INDEX('Input - Walmart'!L$2:L$200,MATCH('Calculations - Walmart'!$D120,'Input - Walmart'!$B$2:$B$200,0)),"")</f>
        <v>0</v>
      </c>
      <c r="O120" s="21" t="str">
        <f t="shared" si="102"/>
        <v/>
      </c>
      <c r="P120" s="21" t="str">
        <f t="shared" si="86"/>
        <v/>
      </c>
      <c r="Q120" s="21">
        <f t="shared" si="103"/>
        <v>0</v>
      </c>
      <c r="R120" s="9">
        <f t="shared" si="84"/>
        <v>0</v>
      </c>
      <c r="S120" s="9">
        <f t="shared" si="85"/>
        <v>0</v>
      </c>
      <c r="T120" s="22" t="str">
        <f>IFERROR(INDEX(Walmart!$S$11:$S$192,MATCH('Calculations - Walmart'!$D120,Walmart!$N$11:$N$192,0)),"")</f>
        <v/>
      </c>
      <c r="U120" s="22" t="str">
        <f>IFERROR(INDEX(Walmart!$T$11:$T$192,MATCH('Calculations - Walmart'!$D120,Walmart!$N$11:$N$192,0)),"")</f>
        <v/>
      </c>
      <c r="V120" s="16" t="e">
        <f t="shared" si="87"/>
        <v>#VALUE!</v>
      </c>
      <c r="W120" s="16" t="e">
        <f t="shared" si="104"/>
        <v>#VALUE!</v>
      </c>
      <c r="X120" s="16" t="e">
        <f t="shared" si="105"/>
        <v>#VALUE!</v>
      </c>
      <c r="Y120" s="10" t="str">
        <f t="shared" si="88"/>
        <v>-</v>
      </c>
      <c r="Z120" s="10" t="str">
        <f t="shared" si="89"/>
        <v>-</v>
      </c>
      <c r="AA120" s="13" t="str">
        <f t="shared" si="106"/>
        <v>-</v>
      </c>
      <c r="AB120" s="9" t="str">
        <f t="shared" si="90"/>
        <v>-</v>
      </c>
      <c r="AC120" s="16" t="str">
        <f t="shared" si="107"/>
        <v>-</v>
      </c>
      <c r="AD120" s="16" t="str">
        <f t="shared" si="91"/>
        <v>-</v>
      </c>
      <c r="AE120" s="16" t="str">
        <f t="shared" si="92"/>
        <v>-</v>
      </c>
      <c r="AF120" s="16" t="str">
        <f t="shared" si="108"/>
        <v>-</v>
      </c>
      <c r="AG120" s="16"/>
      <c r="AH120" s="32" t="str">
        <f>IFERROR(INDEX(Walmart!$R$11:$R$192,MATCH('Calculations - Walmart'!D120,Walmart!$N$11:$N$192,0)),"")</f>
        <v/>
      </c>
      <c r="AI120" s="23" t="str">
        <f t="shared" si="109"/>
        <v/>
      </c>
      <c r="AJ120" s="23" t="str">
        <f t="shared" si="110"/>
        <v/>
      </c>
      <c r="AK120" s="9" t="str">
        <f t="shared" si="93"/>
        <v/>
      </c>
      <c r="AL120" s="4" t="str">
        <f t="shared" si="94"/>
        <v/>
      </c>
      <c r="AM120" s="4"/>
      <c r="AN120" s="4"/>
      <c r="AO120" s="4"/>
      <c r="AP120" s="4"/>
      <c r="AQ120" s="4"/>
      <c r="AR120" s="20" t="str">
        <f t="shared" si="95"/>
        <v>-</v>
      </c>
      <c r="AS120" s="13" t="str">
        <f t="shared" si="111"/>
        <v>-</v>
      </c>
      <c r="AT120" s="13" t="str">
        <f t="shared" si="112"/>
        <v>-</v>
      </c>
      <c r="AU120" s="13" t="str">
        <f t="shared" si="96"/>
        <v>-</v>
      </c>
      <c r="AV120" s="16" t="str">
        <f t="shared" si="113"/>
        <v>-</v>
      </c>
      <c r="AW120" s="16" t="str">
        <f t="shared" si="97"/>
        <v>-</v>
      </c>
      <c r="AX120" s="16" t="str">
        <f t="shared" si="98"/>
        <v>-</v>
      </c>
      <c r="AY120" s="16" t="str">
        <f t="shared" si="114"/>
        <v>-</v>
      </c>
      <c r="AZ120" s="13" t="str">
        <f t="shared" si="115"/>
        <v>-</v>
      </c>
      <c r="BA120" s="10" t="str">
        <f t="shared" si="116"/>
        <v>-</v>
      </c>
      <c r="BB120" s="9" t="str">
        <f t="shared" si="117"/>
        <v>-</v>
      </c>
      <c r="BC120" s="13" t="str">
        <f t="shared" si="118"/>
        <v>-</v>
      </c>
      <c r="BD120" s="10" t="str">
        <f t="shared" si="119"/>
        <v>-</v>
      </c>
      <c r="BE120" s="13" t="str">
        <f t="shared" si="120"/>
        <v>-</v>
      </c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</row>
    <row r="121" spans="2:70" x14ac:dyDescent="0.3">
      <c r="B121" s="96" t="str">
        <f t="shared" si="99"/>
        <v/>
      </c>
      <c r="C121" s="96" t="str">
        <f t="shared" si="100"/>
        <v/>
      </c>
      <c r="D121" s="96" t="str">
        <f t="shared" si="101"/>
        <v/>
      </c>
      <c r="E121" s="3"/>
      <c r="F121" s="3"/>
      <c r="G121" s="3"/>
      <c r="H121" s="3"/>
      <c r="I121" s="20">
        <f>IFERROR(INDEX('Input - Walmart'!G$2:G$200,MATCH('Calculations - Walmart'!$D121,'Input - Walmart'!$B$2:$B$200,0)),"")</f>
        <v>0</v>
      </c>
      <c r="J121" s="20">
        <f>IFERROR(INDEX('Input - Walmart'!H$2:H$200,MATCH('Calculations - Walmart'!$D121,'Input - Walmart'!$B$2:$B$200,0)),"")</f>
        <v>0</v>
      </c>
      <c r="K121" s="21">
        <f>IFERROR(INDEX('Input - Walmart'!I$2:I$200,MATCH('Calculations - Walmart'!$D121,'Input - Walmart'!$B$2:$B$200,0)),"")</f>
        <v>0</v>
      </c>
      <c r="L121" s="21">
        <f>IFERROR(INDEX('Input - Walmart'!J$2:J$200,MATCH('Calculations - Walmart'!$D121,'Input - Walmart'!$B$2:$B$200,0)),"")</f>
        <v>0</v>
      </c>
      <c r="M121" s="20">
        <f>IFERROR(INDEX('Input - Walmart'!K$2:K$200,MATCH('Calculations - Walmart'!$D121,'Input - Walmart'!$B$2:$B$200,0)),"")</f>
        <v>0</v>
      </c>
      <c r="N121" s="20">
        <f>IFERROR(INDEX('Input - Walmart'!L$2:L$200,MATCH('Calculations - Walmart'!$D121,'Input - Walmart'!$B$2:$B$200,0)),"")</f>
        <v>0</v>
      </c>
      <c r="O121" s="21" t="str">
        <f t="shared" si="102"/>
        <v/>
      </c>
      <c r="P121" s="21" t="str">
        <f t="shared" si="86"/>
        <v/>
      </c>
      <c r="Q121" s="21">
        <f t="shared" si="103"/>
        <v>0</v>
      </c>
      <c r="R121" s="9">
        <f t="shared" si="84"/>
        <v>0</v>
      </c>
      <c r="S121" s="9">
        <f t="shared" si="85"/>
        <v>0</v>
      </c>
      <c r="T121" s="22" t="str">
        <f>IFERROR(INDEX(Walmart!$S$11:$S$192,MATCH('Calculations - Walmart'!$D121,Walmart!$N$11:$N$192,0)),"")</f>
        <v/>
      </c>
      <c r="U121" s="22" t="str">
        <f>IFERROR(INDEX(Walmart!$T$11:$T$192,MATCH('Calculations - Walmart'!$D121,Walmart!$N$11:$N$192,0)),"")</f>
        <v/>
      </c>
      <c r="V121" s="16" t="e">
        <f t="shared" si="87"/>
        <v>#VALUE!</v>
      </c>
      <c r="W121" s="16" t="e">
        <f t="shared" si="104"/>
        <v>#VALUE!</v>
      </c>
      <c r="X121" s="16" t="e">
        <f t="shared" si="105"/>
        <v>#VALUE!</v>
      </c>
      <c r="Y121" s="10" t="str">
        <f t="shared" si="88"/>
        <v>-</v>
      </c>
      <c r="Z121" s="10" t="str">
        <f t="shared" si="89"/>
        <v>-</v>
      </c>
      <c r="AA121" s="13" t="str">
        <f t="shared" si="106"/>
        <v>-</v>
      </c>
      <c r="AB121" s="9" t="str">
        <f t="shared" si="90"/>
        <v>-</v>
      </c>
      <c r="AC121" s="16" t="str">
        <f t="shared" si="107"/>
        <v>-</v>
      </c>
      <c r="AD121" s="16" t="str">
        <f t="shared" si="91"/>
        <v>-</v>
      </c>
      <c r="AE121" s="16" t="str">
        <f t="shared" si="92"/>
        <v>-</v>
      </c>
      <c r="AF121" s="16" t="str">
        <f t="shared" si="108"/>
        <v>-</v>
      </c>
      <c r="AG121" s="16"/>
      <c r="AH121" s="32" t="str">
        <f>IFERROR(INDEX(Walmart!$R$11:$R$192,MATCH('Calculations - Walmart'!D121,Walmart!$N$11:$N$192,0)),"")</f>
        <v/>
      </c>
      <c r="AI121" s="23" t="str">
        <f t="shared" si="109"/>
        <v/>
      </c>
      <c r="AJ121" s="23" t="str">
        <f t="shared" si="110"/>
        <v/>
      </c>
      <c r="AK121" s="9" t="str">
        <f t="shared" si="93"/>
        <v/>
      </c>
      <c r="AL121" s="4" t="str">
        <f t="shared" si="94"/>
        <v/>
      </c>
      <c r="AM121" s="4"/>
      <c r="AN121" s="4"/>
      <c r="AO121" s="4"/>
      <c r="AP121" s="4"/>
      <c r="AQ121" s="4"/>
      <c r="AR121" s="20" t="str">
        <f t="shared" si="95"/>
        <v>-</v>
      </c>
      <c r="AS121" s="13" t="str">
        <f t="shared" si="111"/>
        <v>-</v>
      </c>
      <c r="AT121" s="13" t="str">
        <f t="shared" si="112"/>
        <v>-</v>
      </c>
      <c r="AU121" s="13" t="str">
        <f t="shared" si="96"/>
        <v>-</v>
      </c>
      <c r="AV121" s="16" t="str">
        <f t="shared" si="113"/>
        <v>-</v>
      </c>
      <c r="AW121" s="16" t="str">
        <f t="shared" si="97"/>
        <v>-</v>
      </c>
      <c r="AX121" s="16" t="str">
        <f t="shared" si="98"/>
        <v>-</v>
      </c>
      <c r="AY121" s="16" t="str">
        <f t="shared" si="114"/>
        <v>-</v>
      </c>
      <c r="AZ121" s="13" t="str">
        <f t="shared" si="115"/>
        <v>-</v>
      </c>
      <c r="BA121" s="10" t="str">
        <f t="shared" si="116"/>
        <v>-</v>
      </c>
      <c r="BB121" s="9" t="str">
        <f t="shared" si="117"/>
        <v>-</v>
      </c>
      <c r="BC121" s="13" t="str">
        <f t="shared" si="118"/>
        <v>-</v>
      </c>
      <c r="BD121" s="10" t="str">
        <f t="shared" si="119"/>
        <v>-</v>
      </c>
      <c r="BE121" s="13" t="str">
        <f t="shared" si="120"/>
        <v>-</v>
      </c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</row>
    <row r="122" spans="2:70" x14ac:dyDescent="0.3">
      <c r="B122" s="96" t="str">
        <f t="shared" si="99"/>
        <v/>
      </c>
      <c r="C122" s="96" t="str">
        <f t="shared" si="100"/>
        <v/>
      </c>
      <c r="D122" s="96" t="str">
        <f t="shared" si="101"/>
        <v/>
      </c>
      <c r="E122" s="3"/>
      <c r="F122" s="3"/>
      <c r="G122" s="3"/>
      <c r="H122" s="3"/>
      <c r="I122" s="20">
        <f>IFERROR(INDEX('Input - Walmart'!G$2:G$200,MATCH('Calculations - Walmart'!$D122,'Input - Walmart'!$B$2:$B$200,0)),"")</f>
        <v>0</v>
      </c>
      <c r="J122" s="20">
        <f>IFERROR(INDEX('Input - Walmart'!H$2:H$200,MATCH('Calculations - Walmart'!$D122,'Input - Walmart'!$B$2:$B$200,0)),"")</f>
        <v>0</v>
      </c>
      <c r="K122" s="21">
        <f>IFERROR(INDEX('Input - Walmart'!I$2:I$200,MATCH('Calculations - Walmart'!$D122,'Input - Walmart'!$B$2:$B$200,0)),"")</f>
        <v>0</v>
      </c>
      <c r="L122" s="21">
        <f>IFERROR(INDEX('Input - Walmart'!J$2:J$200,MATCH('Calculations - Walmart'!$D122,'Input - Walmart'!$B$2:$B$200,0)),"")</f>
        <v>0</v>
      </c>
      <c r="M122" s="20">
        <f>IFERROR(INDEX('Input - Walmart'!K$2:K$200,MATCH('Calculations - Walmart'!$D122,'Input - Walmart'!$B$2:$B$200,0)),"")</f>
        <v>0</v>
      </c>
      <c r="N122" s="20">
        <f>IFERROR(INDEX('Input - Walmart'!L$2:L$200,MATCH('Calculations - Walmart'!$D122,'Input - Walmart'!$B$2:$B$200,0)),"")</f>
        <v>0</v>
      </c>
      <c r="O122" s="21" t="str">
        <f t="shared" si="102"/>
        <v/>
      </c>
      <c r="P122" s="21" t="str">
        <f t="shared" si="86"/>
        <v/>
      </c>
      <c r="Q122" s="21">
        <f t="shared" si="103"/>
        <v>0</v>
      </c>
      <c r="R122" s="9">
        <f t="shared" si="84"/>
        <v>0</v>
      </c>
      <c r="S122" s="9">
        <f t="shared" si="85"/>
        <v>0</v>
      </c>
      <c r="T122" s="22" t="str">
        <f>IFERROR(INDEX(Walmart!$S$11:$S$192,MATCH('Calculations - Walmart'!$D122,Walmart!$N$11:$N$192,0)),"")</f>
        <v/>
      </c>
      <c r="U122" s="22" t="str">
        <f>IFERROR(INDEX(Walmart!$T$11:$T$192,MATCH('Calculations - Walmart'!$D122,Walmart!$N$11:$N$192,0)),"")</f>
        <v/>
      </c>
      <c r="V122" s="16" t="e">
        <f t="shared" si="87"/>
        <v>#VALUE!</v>
      </c>
      <c r="W122" s="16" t="e">
        <f t="shared" si="104"/>
        <v>#VALUE!</v>
      </c>
      <c r="X122" s="16" t="e">
        <f t="shared" si="105"/>
        <v>#VALUE!</v>
      </c>
      <c r="Y122" s="10" t="str">
        <f t="shared" si="88"/>
        <v>-</v>
      </c>
      <c r="Z122" s="10" t="str">
        <f t="shared" si="89"/>
        <v>-</v>
      </c>
      <c r="AA122" s="13" t="str">
        <f t="shared" si="106"/>
        <v>-</v>
      </c>
      <c r="AB122" s="9" t="str">
        <f t="shared" si="90"/>
        <v>-</v>
      </c>
      <c r="AC122" s="16" t="str">
        <f t="shared" si="107"/>
        <v>-</v>
      </c>
      <c r="AD122" s="16" t="str">
        <f t="shared" si="91"/>
        <v>-</v>
      </c>
      <c r="AE122" s="16" t="str">
        <f t="shared" si="92"/>
        <v>-</v>
      </c>
      <c r="AF122" s="16" t="str">
        <f t="shared" si="108"/>
        <v>-</v>
      </c>
      <c r="AG122" s="16"/>
      <c r="AH122" s="32" t="str">
        <f>IFERROR(INDEX(Walmart!$R$11:$R$192,MATCH('Calculations - Walmart'!D122,Walmart!$N$11:$N$192,0)),"")</f>
        <v/>
      </c>
      <c r="AI122" s="23" t="str">
        <f t="shared" si="109"/>
        <v/>
      </c>
      <c r="AJ122" s="23" t="str">
        <f t="shared" si="110"/>
        <v/>
      </c>
      <c r="AK122" s="9" t="str">
        <f t="shared" si="93"/>
        <v/>
      </c>
      <c r="AL122" s="4" t="str">
        <f t="shared" si="94"/>
        <v/>
      </c>
      <c r="AM122" s="4"/>
      <c r="AN122" s="4"/>
      <c r="AO122" s="4"/>
      <c r="AP122" s="4"/>
      <c r="AQ122" s="4"/>
      <c r="AR122" s="20" t="str">
        <f t="shared" si="95"/>
        <v>-</v>
      </c>
      <c r="AS122" s="13" t="str">
        <f t="shared" si="111"/>
        <v>-</v>
      </c>
      <c r="AT122" s="13" t="str">
        <f t="shared" si="112"/>
        <v>-</v>
      </c>
      <c r="AU122" s="13" t="str">
        <f t="shared" si="96"/>
        <v>-</v>
      </c>
      <c r="AV122" s="16" t="str">
        <f t="shared" si="113"/>
        <v>-</v>
      </c>
      <c r="AW122" s="16" t="str">
        <f t="shared" si="97"/>
        <v>-</v>
      </c>
      <c r="AX122" s="16" t="str">
        <f t="shared" si="98"/>
        <v>-</v>
      </c>
      <c r="AY122" s="16" t="str">
        <f t="shared" si="114"/>
        <v>-</v>
      </c>
      <c r="AZ122" s="13" t="str">
        <f t="shared" si="115"/>
        <v>-</v>
      </c>
      <c r="BA122" s="10" t="str">
        <f t="shared" si="116"/>
        <v>-</v>
      </c>
      <c r="BB122" s="9" t="str">
        <f t="shared" si="117"/>
        <v>-</v>
      </c>
      <c r="BC122" s="13" t="str">
        <f t="shared" si="118"/>
        <v>-</v>
      </c>
      <c r="BD122" s="10" t="str">
        <f t="shared" si="119"/>
        <v>-</v>
      </c>
      <c r="BE122" s="13" t="str">
        <f t="shared" si="120"/>
        <v>-</v>
      </c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</row>
    <row r="123" spans="2:70" x14ac:dyDescent="0.3">
      <c r="B123" s="96" t="str">
        <f t="shared" si="99"/>
        <v/>
      </c>
      <c r="C123" s="96" t="str">
        <f t="shared" si="100"/>
        <v/>
      </c>
      <c r="D123" s="96" t="str">
        <f t="shared" si="101"/>
        <v/>
      </c>
      <c r="E123" s="3"/>
      <c r="F123" s="3"/>
      <c r="G123" s="3"/>
      <c r="H123" s="3"/>
      <c r="I123" s="20">
        <f>IFERROR(INDEX('Input - Walmart'!G$2:G$200,MATCH('Calculations - Walmart'!$D123,'Input - Walmart'!$B$2:$B$200,0)),"")</f>
        <v>0</v>
      </c>
      <c r="J123" s="20">
        <f>IFERROR(INDEX('Input - Walmart'!H$2:H$200,MATCH('Calculations - Walmart'!$D123,'Input - Walmart'!$B$2:$B$200,0)),"")</f>
        <v>0</v>
      </c>
      <c r="K123" s="21">
        <f>IFERROR(INDEX('Input - Walmart'!I$2:I$200,MATCH('Calculations - Walmart'!$D123,'Input - Walmart'!$B$2:$B$200,0)),"")</f>
        <v>0</v>
      </c>
      <c r="L123" s="21">
        <f>IFERROR(INDEX('Input - Walmart'!J$2:J$200,MATCH('Calculations - Walmart'!$D123,'Input - Walmart'!$B$2:$B$200,0)),"")</f>
        <v>0</v>
      </c>
      <c r="M123" s="20">
        <f>IFERROR(INDEX('Input - Walmart'!K$2:K$200,MATCH('Calculations - Walmart'!$D123,'Input - Walmart'!$B$2:$B$200,0)),"")</f>
        <v>0</v>
      </c>
      <c r="N123" s="20">
        <f>IFERROR(INDEX('Input - Walmart'!L$2:L$200,MATCH('Calculations - Walmart'!$D123,'Input - Walmart'!$B$2:$B$200,0)),"")</f>
        <v>0</v>
      </c>
      <c r="O123" s="21" t="str">
        <f t="shared" si="102"/>
        <v/>
      </c>
      <c r="P123" s="21" t="str">
        <f t="shared" si="86"/>
        <v/>
      </c>
      <c r="Q123" s="21">
        <f t="shared" si="103"/>
        <v>0</v>
      </c>
      <c r="R123" s="9">
        <f t="shared" si="84"/>
        <v>0</v>
      </c>
      <c r="S123" s="9">
        <f t="shared" si="85"/>
        <v>0</v>
      </c>
      <c r="T123" s="22" t="str">
        <f>IFERROR(INDEX(Walmart!$S$11:$S$192,MATCH('Calculations - Walmart'!$D123,Walmart!$N$11:$N$192,0)),"")</f>
        <v/>
      </c>
      <c r="U123" s="22" t="str">
        <f>IFERROR(INDEX(Walmart!$T$11:$T$192,MATCH('Calculations - Walmart'!$D123,Walmart!$N$11:$N$192,0)),"")</f>
        <v/>
      </c>
      <c r="V123" s="16" t="e">
        <f t="shared" si="87"/>
        <v>#VALUE!</v>
      </c>
      <c r="W123" s="16" t="e">
        <f t="shared" si="104"/>
        <v>#VALUE!</v>
      </c>
      <c r="X123" s="16" t="e">
        <f t="shared" si="105"/>
        <v>#VALUE!</v>
      </c>
      <c r="Y123" s="10" t="str">
        <f t="shared" si="88"/>
        <v>-</v>
      </c>
      <c r="Z123" s="10" t="str">
        <f t="shared" si="89"/>
        <v>-</v>
      </c>
      <c r="AA123" s="13" t="str">
        <f t="shared" si="106"/>
        <v>-</v>
      </c>
      <c r="AB123" s="9" t="str">
        <f t="shared" si="90"/>
        <v>-</v>
      </c>
      <c r="AC123" s="16" t="str">
        <f t="shared" si="107"/>
        <v>-</v>
      </c>
      <c r="AD123" s="16" t="str">
        <f t="shared" si="91"/>
        <v>-</v>
      </c>
      <c r="AE123" s="16" t="str">
        <f t="shared" si="92"/>
        <v>-</v>
      </c>
      <c r="AF123" s="16" t="str">
        <f t="shared" si="108"/>
        <v>-</v>
      </c>
      <c r="AG123" s="16"/>
      <c r="AH123" s="32" t="str">
        <f>IFERROR(INDEX(Walmart!$R$11:$R$192,MATCH('Calculations - Walmart'!D123,Walmart!$N$11:$N$192,0)),"")</f>
        <v/>
      </c>
      <c r="AI123" s="23" t="str">
        <f t="shared" si="109"/>
        <v/>
      </c>
      <c r="AJ123" s="23" t="str">
        <f t="shared" si="110"/>
        <v/>
      </c>
      <c r="AK123" s="9" t="str">
        <f t="shared" si="93"/>
        <v/>
      </c>
      <c r="AL123" s="4" t="str">
        <f t="shared" si="94"/>
        <v/>
      </c>
      <c r="AM123" s="4"/>
      <c r="AN123" s="4"/>
      <c r="AO123" s="4"/>
      <c r="AP123" s="4"/>
      <c r="AQ123" s="4"/>
      <c r="AR123" s="20" t="str">
        <f t="shared" si="95"/>
        <v>-</v>
      </c>
      <c r="AS123" s="13" t="str">
        <f t="shared" si="111"/>
        <v>-</v>
      </c>
      <c r="AT123" s="13" t="str">
        <f t="shared" si="112"/>
        <v>-</v>
      </c>
      <c r="AU123" s="13" t="str">
        <f t="shared" si="96"/>
        <v>-</v>
      </c>
      <c r="AV123" s="16" t="str">
        <f t="shared" si="113"/>
        <v>-</v>
      </c>
      <c r="AW123" s="16" t="str">
        <f t="shared" si="97"/>
        <v>-</v>
      </c>
      <c r="AX123" s="16" t="str">
        <f t="shared" si="98"/>
        <v>-</v>
      </c>
      <c r="AY123" s="16" t="str">
        <f t="shared" si="114"/>
        <v>-</v>
      </c>
      <c r="AZ123" s="13" t="str">
        <f t="shared" si="115"/>
        <v>-</v>
      </c>
      <c r="BA123" s="10" t="str">
        <f t="shared" si="116"/>
        <v>-</v>
      </c>
      <c r="BB123" s="9" t="str">
        <f t="shared" si="117"/>
        <v>-</v>
      </c>
      <c r="BC123" s="13" t="str">
        <f t="shared" si="118"/>
        <v>-</v>
      </c>
      <c r="BD123" s="10" t="str">
        <f t="shared" si="119"/>
        <v>-</v>
      </c>
      <c r="BE123" s="13" t="str">
        <f t="shared" si="120"/>
        <v>-</v>
      </c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</row>
    <row r="124" spans="2:70" x14ac:dyDescent="0.3">
      <c r="B124" s="96" t="str">
        <f t="shared" si="99"/>
        <v/>
      </c>
      <c r="C124" s="96" t="str">
        <f t="shared" si="100"/>
        <v/>
      </c>
      <c r="D124" s="96" t="str">
        <f t="shared" si="101"/>
        <v/>
      </c>
      <c r="E124" s="3"/>
      <c r="F124" s="3"/>
      <c r="G124" s="3"/>
      <c r="H124" s="3"/>
      <c r="I124" s="20">
        <f>IFERROR(INDEX('Input - Walmart'!G$2:G$200,MATCH('Calculations - Walmart'!$D124,'Input - Walmart'!$B$2:$B$200,0)),"")</f>
        <v>0</v>
      </c>
      <c r="J124" s="20">
        <f>IFERROR(INDEX('Input - Walmart'!H$2:H$200,MATCH('Calculations - Walmart'!$D124,'Input - Walmart'!$B$2:$B$200,0)),"")</f>
        <v>0</v>
      </c>
      <c r="K124" s="21">
        <f>IFERROR(INDEX('Input - Walmart'!I$2:I$200,MATCH('Calculations - Walmart'!$D124,'Input - Walmart'!$B$2:$B$200,0)),"")</f>
        <v>0</v>
      </c>
      <c r="L124" s="21">
        <f>IFERROR(INDEX('Input - Walmart'!J$2:J$200,MATCH('Calculations - Walmart'!$D124,'Input - Walmart'!$B$2:$B$200,0)),"")</f>
        <v>0</v>
      </c>
      <c r="M124" s="20">
        <f>IFERROR(INDEX('Input - Walmart'!K$2:K$200,MATCH('Calculations - Walmart'!$D124,'Input - Walmart'!$B$2:$B$200,0)),"")</f>
        <v>0</v>
      </c>
      <c r="N124" s="20">
        <f>IFERROR(INDEX('Input - Walmart'!L$2:L$200,MATCH('Calculations - Walmart'!$D124,'Input - Walmart'!$B$2:$B$200,0)),"")</f>
        <v>0</v>
      </c>
      <c r="O124" s="21" t="str">
        <f t="shared" si="102"/>
        <v/>
      </c>
      <c r="P124" s="21" t="str">
        <f t="shared" si="86"/>
        <v/>
      </c>
      <c r="Q124" s="21">
        <f t="shared" si="103"/>
        <v>0</v>
      </c>
      <c r="R124" s="9">
        <f t="shared" si="84"/>
        <v>0</v>
      </c>
      <c r="S124" s="9">
        <f t="shared" si="85"/>
        <v>0</v>
      </c>
      <c r="T124" s="22" t="str">
        <f>IFERROR(INDEX(Walmart!$S$11:$S$192,MATCH('Calculations - Walmart'!$D124,Walmart!$N$11:$N$192,0)),"")</f>
        <v/>
      </c>
      <c r="U124" s="22" t="str">
        <f>IFERROR(INDEX(Walmart!$T$11:$T$192,MATCH('Calculations - Walmart'!$D124,Walmart!$N$11:$N$192,0)),"")</f>
        <v/>
      </c>
      <c r="V124" s="16" t="e">
        <f t="shared" si="87"/>
        <v>#VALUE!</v>
      </c>
      <c r="W124" s="16" t="e">
        <f t="shared" si="104"/>
        <v>#VALUE!</v>
      </c>
      <c r="X124" s="16" t="e">
        <f t="shared" si="105"/>
        <v>#VALUE!</v>
      </c>
      <c r="Y124" s="10" t="str">
        <f t="shared" si="88"/>
        <v>-</v>
      </c>
      <c r="Z124" s="10" t="str">
        <f t="shared" si="89"/>
        <v>-</v>
      </c>
      <c r="AA124" s="13" t="str">
        <f t="shared" si="106"/>
        <v>-</v>
      </c>
      <c r="AB124" s="9" t="str">
        <f t="shared" si="90"/>
        <v>-</v>
      </c>
      <c r="AC124" s="16" t="str">
        <f t="shared" si="107"/>
        <v>-</v>
      </c>
      <c r="AD124" s="16" t="str">
        <f t="shared" si="91"/>
        <v>-</v>
      </c>
      <c r="AE124" s="16" t="str">
        <f t="shared" si="92"/>
        <v>-</v>
      </c>
      <c r="AF124" s="16" t="str">
        <f t="shared" si="108"/>
        <v>-</v>
      </c>
      <c r="AG124" s="16"/>
      <c r="AH124" s="32" t="str">
        <f>IFERROR(INDEX(Walmart!$R$11:$R$192,MATCH('Calculations - Walmart'!D124,Walmart!$N$11:$N$192,0)),"")</f>
        <v/>
      </c>
      <c r="AI124" s="23" t="str">
        <f t="shared" si="109"/>
        <v/>
      </c>
      <c r="AJ124" s="23" t="str">
        <f t="shared" si="110"/>
        <v/>
      </c>
      <c r="AK124" s="9" t="str">
        <f t="shared" si="93"/>
        <v/>
      </c>
      <c r="AL124" s="4" t="str">
        <f t="shared" si="94"/>
        <v/>
      </c>
      <c r="AM124" s="4"/>
      <c r="AN124" s="4"/>
      <c r="AO124" s="4"/>
      <c r="AP124" s="4"/>
      <c r="AQ124" s="4"/>
      <c r="AR124" s="20" t="str">
        <f t="shared" si="95"/>
        <v>-</v>
      </c>
      <c r="AS124" s="13" t="str">
        <f t="shared" si="111"/>
        <v>-</v>
      </c>
      <c r="AT124" s="13" t="str">
        <f t="shared" si="112"/>
        <v>-</v>
      </c>
      <c r="AU124" s="13" t="str">
        <f t="shared" si="96"/>
        <v>-</v>
      </c>
      <c r="AV124" s="16" t="str">
        <f t="shared" si="113"/>
        <v>-</v>
      </c>
      <c r="AW124" s="16" t="str">
        <f t="shared" si="97"/>
        <v>-</v>
      </c>
      <c r="AX124" s="16" t="str">
        <f t="shared" si="98"/>
        <v>-</v>
      </c>
      <c r="AY124" s="16" t="str">
        <f t="shared" si="114"/>
        <v>-</v>
      </c>
      <c r="AZ124" s="13" t="str">
        <f t="shared" si="115"/>
        <v>-</v>
      </c>
      <c r="BA124" s="10" t="str">
        <f t="shared" si="116"/>
        <v>-</v>
      </c>
      <c r="BB124" s="9" t="str">
        <f t="shared" si="117"/>
        <v>-</v>
      </c>
      <c r="BC124" s="13" t="str">
        <f t="shared" si="118"/>
        <v>-</v>
      </c>
      <c r="BD124" s="10" t="str">
        <f t="shared" si="119"/>
        <v>-</v>
      </c>
      <c r="BE124" s="13" t="str">
        <f t="shared" si="120"/>
        <v>-</v>
      </c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</row>
    <row r="125" spans="2:70" x14ac:dyDescent="0.3">
      <c r="B125" s="96" t="str">
        <f t="shared" si="99"/>
        <v/>
      </c>
      <c r="C125" s="96" t="str">
        <f t="shared" si="100"/>
        <v/>
      </c>
      <c r="D125" s="96" t="str">
        <f t="shared" si="101"/>
        <v/>
      </c>
      <c r="E125" s="3"/>
      <c r="F125" s="3"/>
      <c r="G125" s="3"/>
      <c r="H125" s="3"/>
      <c r="I125" s="20">
        <f>IFERROR(INDEX('Input - Walmart'!G$2:G$200,MATCH('Calculations - Walmart'!$D125,'Input - Walmart'!$B$2:$B$200,0)),"")</f>
        <v>0</v>
      </c>
      <c r="J125" s="20">
        <f>IFERROR(INDEX('Input - Walmart'!H$2:H$200,MATCH('Calculations - Walmart'!$D125,'Input - Walmart'!$B$2:$B$200,0)),"")</f>
        <v>0</v>
      </c>
      <c r="K125" s="21">
        <f>IFERROR(INDEX('Input - Walmart'!I$2:I$200,MATCH('Calculations - Walmart'!$D125,'Input - Walmart'!$B$2:$B$200,0)),"")</f>
        <v>0</v>
      </c>
      <c r="L125" s="21">
        <f>IFERROR(INDEX('Input - Walmart'!J$2:J$200,MATCH('Calculations - Walmart'!$D125,'Input - Walmart'!$B$2:$B$200,0)),"")</f>
        <v>0</v>
      </c>
      <c r="M125" s="20">
        <f>IFERROR(INDEX('Input - Walmart'!K$2:K$200,MATCH('Calculations - Walmart'!$D125,'Input - Walmart'!$B$2:$B$200,0)),"")</f>
        <v>0</v>
      </c>
      <c r="N125" s="20">
        <f>IFERROR(INDEX('Input - Walmart'!L$2:L$200,MATCH('Calculations - Walmart'!$D125,'Input - Walmart'!$B$2:$B$200,0)),"")</f>
        <v>0</v>
      </c>
      <c r="O125" s="21" t="str">
        <f t="shared" si="102"/>
        <v/>
      </c>
      <c r="P125" s="21" t="str">
        <f t="shared" si="86"/>
        <v/>
      </c>
      <c r="Q125" s="21">
        <f t="shared" si="103"/>
        <v>0</v>
      </c>
      <c r="R125" s="9">
        <f t="shared" si="84"/>
        <v>0</v>
      </c>
      <c r="S125" s="9">
        <f t="shared" si="85"/>
        <v>0</v>
      </c>
      <c r="T125" s="22" t="str">
        <f>IFERROR(INDEX(Walmart!$S$11:$S$192,MATCH('Calculations - Walmart'!$D125,Walmart!$N$11:$N$192,0)),"")</f>
        <v/>
      </c>
      <c r="U125" s="22" t="str">
        <f>IFERROR(INDEX(Walmart!$T$11:$T$192,MATCH('Calculations - Walmart'!$D125,Walmart!$N$11:$N$192,0)),"")</f>
        <v/>
      </c>
      <c r="V125" s="16" t="e">
        <f t="shared" si="87"/>
        <v>#VALUE!</v>
      </c>
      <c r="W125" s="16" t="e">
        <f t="shared" si="104"/>
        <v>#VALUE!</v>
      </c>
      <c r="X125" s="16" t="e">
        <f t="shared" si="105"/>
        <v>#VALUE!</v>
      </c>
      <c r="Y125" s="10" t="str">
        <f t="shared" si="88"/>
        <v>-</v>
      </c>
      <c r="Z125" s="10" t="str">
        <f t="shared" si="89"/>
        <v>-</v>
      </c>
      <c r="AA125" s="13" t="str">
        <f t="shared" si="106"/>
        <v>-</v>
      </c>
      <c r="AB125" s="9" t="str">
        <f t="shared" si="90"/>
        <v>-</v>
      </c>
      <c r="AC125" s="16" t="str">
        <f t="shared" si="107"/>
        <v>-</v>
      </c>
      <c r="AD125" s="16" t="str">
        <f t="shared" si="91"/>
        <v>-</v>
      </c>
      <c r="AE125" s="16" t="str">
        <f t="shared" si="92"/>
        <v>-</v>
      </c>
      <c r="AF125" s="16" t="str">
        <f t="shared" si="108"/>
        <v>-</v>
      </c>
      <c r="AG125" s="16"/>
      <c r="AH125" s="32" t="str">
        <f>IFERROR(INDEX(Walmart!$R$11:$R$192,MATCH('Calculations - Walmart'!D125,Walmart!$N$11:$N$192,0)),"")</f>
        <v/>
      </c>
      <c r="AI125" s="23" t="str">
        <f t="shared" si="109"/>
        <v/>
      </c>
      <c r="AJ125" s="23" t="str">
        <f t="shared" si="110"/>
        <v/>
      </c>
      <c r="AK125" s="9" t="str">
        <f t="shared" si="93"/>
        <v/>
      </c>
      <c r="AL125" s="4" t="str">
        <f t="shared" si="94"/>
        <v/>
      </c>
      <c r="AM125" s="4"/>
      <c r="AN125" s="4"/>
      <c r="AO125" s="4"/>
      <c r="AP125" s="4"/>
      <c r="AQ125" s="4"/>
      <c r="AR125" s="20" t="str">
        <f t="shared" si="95"/>
        <v>-</v>
      </c>
      <c r="AS125" s="13" t="str">
        <f t="shared" si="111"/>
        <v>-</v>
      </c>
      <c r="AT125" s="13" t="str">
        <f t="shared" si="112"/>
        <v>-</v>
      </c>
      <c r="AU125" s="13" t="str">
        <f t="shared" si="96"/>
        <v>-</v>
      </c>
      <c r="AV125" s="16" t="str">
        <f t="shared" si="113"/>
        <v>-</v>
      </c>
      <c r="AW125" s="16" t="str">
        <f t="shared" si="97"/>
        <v>-</v>
      </c>
      <c r="AX125" s="16" t="str">
        <f t="shared" si="98"/>
        <v>-</v>
      </c>
      <c r="AY125" s="16" t="str">
        <f t="shared" si="114"/>
        <v>-</v>
      </c>
      <c r="AZ125" s="13" t="str">
        <f t="shared" si="115"/>
        <v>-</v>
      </c>
      <c r="BA125" s="10" t="str">
        <f t="shared" si="116"/>
        <v>-</v>
      </c>
      <c r="BB125" s="9" t="str">
        <f t="shared" si="117"/>
        <v>-</v>
      </c>
      <c r="BC125" s="13" t="str">
        <f t="shared" si="118"/>
        <v>-</v>
      </c>
      <c r="BD125" s="10" t="str">
        <f t="shared" si="119"/>
        <v>-</v>
      </c>
      <c r="BE125" s="13" t="str">
        <f t="shared" si="120"/>
        <v>-</v>
      </c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</row>
    <row r="126" spans="2:70" x14ac:dyDescent="0.3">
      <c r="B126" s="96" t="str">
        <f t="shared" si="99"/>
        <v/>
      </c>
      <c r="C126" s="96" t="str">
        <f t="shared" si="100"/>
        <v/>
      </c>
      <c r="D126" s="96" t="str">
        <f t="shared" si="101"/>
        <v/>
      </c>
      <c r="E126" s="3"/>
      <c r="F126" s="3"/>
      <c r="G126" s="3"/>
      <c r="H126" s="3"/>
      <c r="I126" s="20">
        <f>IFERROR(INDEX('Input - Walmart'!G$2:G$200,MATCH('Calculations - Walmart'!$D126,'Input - Walmart'!$B$2:$B$200,0)),"")</f>
        <v>0</v>
      </c>
      <c r="J126" s="20">
        <f>IFERROR(INDEX('Input - Walmart'!H$2:H$200,MATCH('Calculations - Walmart'!$D126,'Input - Walmart'!$B$2:$B$200,0)),"")</f>
        <v>0</v>
      </c>
      <c r="K126" s="21">
        <f>IFERROR(INDEX('Input - Walmart'!I$2:I$200,MATCH('Calculations - Walmart'!$D126,'Input - Walmart'!$B$2:$B$200,0)),"")</f>
        <v>0</v>
      </c>
      <c r="L126" s="21">
        <f>IFERROR(INDEX('Input - Walmart'!J$2:J$200,MATCH('Calculations - Walmart'!$D126,'Input - Walmart'!$B$2:$B$200,0)),"")</f>
        <v>0</v>
      </c>
      <c r="M126" s="20">
        <f>IFERROR(INDEX('Input - Walmart'!K$2:K$200,MATCH('Calculations - Walmart'!$D126,'Input - Walmart'!$B$2:$B$200,0)),"")</f>
        <v>0</v>
      </c>
      <c r="N126" s="20">
        <f>IFERROR(INDEX('Input - Walmart'!L$2:L$200,MATCH('Calculations - Walmart'!$D126,'Input - Walmart'!$B$2:$B$200,0)),"")</f>
        <v>0</v>
      </c>
      <c r="O126" s="21" t="str">
        <f t="shared" si="102"/>
        <v/>
      </c>
      <c r="P126" s="21" t="str">
        <f t="shared" si="86"/>
        <v/>
      </c>
      <c r="Q126" s="21">
        <f t="shared" si="103"/>
        <v>0</v>
      </c>
      <c r="R126" s="9">
        <f t="shared" si="84"/>
        <v>0</v>
      </c>
      <c r="S126" s="9">
        <f t="shared" si="85"/>
        <v>0</v>
      </c>
      <c r="T126" s="22" t="str">
        <f>IFERROR(INDEX(Walmart!$S$11:$S$192,MATCH('Calculations - Walmart'!$D126,Walmart!$N$11:$N$192,0)),"")</f>
        <v/>
      </c>
      <c r="U126" s="22" t="str">
        <f>IFERROR(INDEX(Walmart!$T$11:$T$192,MATCH('Calculations - Walmart'!$D126,Walmart!$N$11:$N$192,0)),"")</f>
        <v/>
      </c>
      <c r="V126" s="16" t="e">
        <f t="shared" si="87"/>
        <v>#VALUE!</v>
      </c>
      <c r="W126" s="16" t="e">
        <f t="shared" si="104"/>
        <v>#VALUE!</v>
      </c>
      <c r="X126" s="16" t="e">
        <f t="shared" si="105"/>
        <v>#VALUE!</v>
      </c>
      <c r="Y126" s="10" t="str">
        <f t="shared" si="88"/>
        <v>-</v>
      </c>
      <c r="Z126" s="10" t="str">
        <f t="shared" si="89"/>
        <v>-</v>
      </c>
      <c r="AA126" s="13" t="str">
        <f t="shared" si="106"/>
        <v>-</v>
      </c>
      <c r="AB126" s="9" t="str">
        <f t="shared" si="90"/>
        <v>-</v>
      </c>
      <c r="AC126" s="16" t="str">
        <f t="shared" si="107"/>
        <v>-</v>
      </c>
      <c r="AD126" s="16" t="str">
        <f t="shared" si="91"/>
        <v>-</v>
      </c>
      <c r="AE126" s="16" t="str">
        <f t="shared" si="92"/>
        <v>-</v>
      </c>
      <c r="AF126" s="16" t="str">
        <f t="shared" si="108"/>
        <v>-</v>
      </c>
      <c r="AG126" s="16"/>
      <c r="AH126" s="32" t="str">
        <f>IFERROR(INDEX(Walmart!$R$11:$R$192,MATCH('Calculations - Walmart'!D126,Walmart!$N$11:$N$192,0)),"")</f>
        <v/>
      </c>
      <c r="AI126" s="23" t="str">
        <f t="shared" si="109"/>
        <v/>
      </c>
      <c r="AJ126" s="23" t="str">
        <f t="shared" si="110"/>
        <v/>
      </c>
      <c r="AK126" s="9" t="str">
        <f t="shared" si="93"/>
        <v/>
      </c>
      <c r="AL126" s="4" t="str">
        <f t="shared" si="94"/>
        <v/>
      </c>
      <c r="AM126" s="4"/>
      <c r="AN126" s="4"/>
      <c r="AO126" s="4"/>
      <c r="AP126" s="4"/>
      <c r="AQ126" s="4"/>
      <c r="AR126" s="20" t="str">
        <f t="shared" si="95"/>
        <v>-</v>
      </c>
      <c r="AS126" s="13" t="str">
        <f t="shared" si="111"/>
        <v>-</v>
      </c>
      <c r="AT126" s="13" t="str">
        <f t="shared" si="112"/>
        <v>-</v>
      </c>
      <c r="AU126" s="13" t="str">
        <f t="shared" si="96"/>
        <v>-</v>
      </c>
      <c r="AV126" s="16" t="str">
        <f t="shared" si="113"/>
        <v>-</v>
      </c>
      <c r="AW126" s="16" t="str">
        <f t="shared" si="97"/>
        <v>-</v>
      </c>
      <c r="AX126" s="16" t="str">
        <f t="shared" si="98"/>
        <v>-</v>
      </c>
      <c r="AY126" s="16" t="str">
        <f t="shared" si="114"/>
        <v>-</v>
      </c>
      <c r="AZ126" s="13" t="str">
        <f t="shared" si="115"/>
        <v>-</v>
      </c>
      <c r="BA126" s="10" t="str">
        <f t="shared" si="116"/>
        <v>-</v>
      </c>
      <c r="BB126" s="9" t="str">
        <f t="shared" si="117"/>
        <v>-</v>
      </c>
      <c r="BC126" s="13" t="str">
        <f t="shared" si="118"/>
        <v>-</v>
      </c>
      <c r="BD126" s="10" t="str">
        <f t="shared" si="119"/>
        <v>-</v>
      </c>
      <c r="BE126" s="13" t="str">
        <f t="shared" si="120"/>
        <v>-</v>
      </c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</row>
    <row r="127" spans="2:70" x14ac:dyDescent="0.3">
      <c r="B127" s="96" t="str">
        <f t="shared" si="99"/>
        <v/>
      </c>
      <c r="C127" s="96" t="str">
        <f t="shared" si="100"/>
        <v/>
      </c>
      <c r="D127" s="96" t="str">
        <f t="shared" si="101"/>
        <v/>
      </c>
      <c r="E127" s="3"/>
      <c r="F127" s="3"/>
      <c r="G127" s="3"/>
      <c r="H127" s="3"/>
      <c r="I127" s="20">
        <f>IFERROR(INDEX('Input - Walmart'!G$2:G$200,MATCH('Calculations - Walmart'!$D127,'Input - Walmart'!$B$2:$B$200,0)),"")</f>
        <v>0</v>
      </c>
      <c r="J127" s="20">
        <f>IFERROR(INDEX('Input - Walmart'!H$2:H$200,MATCH('Calculations - Walmart'!$D127,'Input - Walmart'!$B$2:$B$200,0)),"")</f>
        <v>0</v>
      </c>
      <c r="K127" s="21">
        <f>IFERROR(INDEX('Input - Walmart'!I$2:I$200,MATCH('Calculations - Walmart'!$D127,'Input - Walmart'!$B$2:$B$200,0)),"")</f>
        <v>0</v>
      </c>
      <c r="L127" s="21">
        <f>IFERROR(INDEX('Input - Walmart'!J$2:J$200,MATCH('Calculations - Walmart'!$D127,'Input - Walmart'!$B$2:$B$200,0)),"")</f>
        <v>0</v>
      </c>
      <c r="M127" s="20">
        <f>IFERROR(INDEX('Input - Walmart'!K$2:K$200,MATCH('Calculations - Walmart'!$D127,'Input - Walmart'!$B$2:$B$200,0)),"")</f>
        <v>0</v>
      </c>
      <c r="N127" s="20">
        <f>IFERROR(INDEX('Input - Walmart'!L$2:L$200,MATCH('Calculations - Walmart'!$D127,'Input - Walmart'!$B$2:$B$200,0)),"")</f>
        <v>0</v>
      </c>
      <c r="O127" s="21" t="str">
        <f t="shared" si="102"/>
        <v/>
      </c>
      <c r="P127" s="21" t="str">
        <f t="shared" si="86"/>
        <v/>
      </c>
      <c r="Q127" s="21">
        <f t="shared" si="103"/>
        <v>0</v>
      </c>
      <c r="R127" s="9">
        <f t="shared" si="84"/>
        <v>0</v>
      </c>
      <c r="S127" s="9">
        <f t="shared" si="85"/>
        <v>0</v>
      </c>
      <c r="T127" s="22" t="str">
        <f>IFERROR(INDEX(Walmart!$S$11:$S$192,MATCH('Calculations - Walmart'!$D127,Walmart!$N$11:$N$192,0)),"")</f>
        <v/>
      </c>
      <c r="U127" s="22" t="str">
        <f>IFERROR(INDEX(Walmart!$T$11:$T$192,MATCH('Calculations - Walmart'!$D127,Walmart!$N$11:$N$192,0)),"")</f>
        <v/>
      </c>
      <c r="V127" s="16" t="e">
        <f t="shared" si="87"/>
        <v>#VALUE!</v>
      </c>
      <c r="W127" s="16" t="e">
        <f t="shared" si="104"/>
        <v>#VALUE!</v>
      </c>
      <c r="X127" s="16" t="e">
        <f t="shared" si="105"/>
        <v>#VALUE!</v>
      </c>
      <c r="Y127" s="10" t="str">
        <f t="shared" si="88"/>
        <v>-</v>
      </c>
      <c r="Z127" s="10" t="str">
        <f t="shared" si="89"/>
        <v>-</v>
      </c>
      <c r="AA127" s="13" t="str">
        <f t="shared" si="106"/>
        <v>-</v>
      </c>
      <c r="AB127" s="9" t="str">
        <f t="shared" si="90"/>
        <v>-</v>
      </c>
      <c r="AC127" s="16" t="str">
        <f t="shared" si="107"/>
        <v>-</v>
      </c>
      <c r="AD127" s="16" t="str">
        <f t="shared" si="91"/>
        <v>-</v>
      </c>
      <c r="AE127" s="16" t="str">
        <f t="shared" si="92"/>
        <v>-</v>
      </c>
      <c r="AF127" s="16" t="str">
        <f t="shared" si="108"/>
        <v>-</v>
      </c>
      <c r="AG127" s="16"/>
      <c r="AH127" s="32" t="str">
        <f>IFERROR(INDEX(Walmart!$R$11:$R$192,MATCH('Calculations - Walmart'!D127,Walmart!$N$11:$N$192,0)),"")</f>
        <v/>
      </c>
      <c r="AI127" s="23" t="str">
        <f t="shared" si="109"/>
        <v/>
      </c>
      <c r="AJ127" s="23" t="str">
        <f t="shared" si="110"/>
        <v/>
      </c>
      <c r="AK127" s="9" t="str">
        <f t="shared" si="93"/>
        <v/>
      </c>
      <c r="AL127" s="4" t="str">
        <f t="shared" si="94"/>
        <v/>
      </c>
      <c r="AM127" s="4"/>
      <c r="AN127" s="4"/>
      <c r="AO127" s="4"/>
      <c r="AP127" s="4"/>
      <c r="AQ127" s="4"/>
      <c r="AR127" s="20" t="str">
        <f t="shared" si="95"/>
        <v>-</v>
      </c>
      <c r="AS127" s="13" t="str">
        <f t="shared" si="111"/>
        <v>-</v>
      </c>
      <c r="AT127" s="13" t="str">
        <f t="shared" si="112"/>
        <v>-</v>
      </c>
      <c r="AU127" s="13" t="str">
        <f t="shared" si="96"/>
        <v>-</v>
      </c>
      <c r="AV127" s="16" t="str">
        <f t="shared" si="113"/>
        <v>-</v>
      </c>
      <c r="AW127" s="16" t="str">
        <f t="shared" si="97"/>
        <v>-</v>
      </c>
      <c r="AX127" s="16" t="str">
        <f t="shared" si="98"/>
        <v>-</v>
      </c>
      <c r="AY127" s="16" t="str">
        <f t="shared" si="114"/>
        <v>-</v>
      </c>
      <c r="AZ127" s="13" t="str">
        <f t="shared" si="115"/>
        <v>-</v>
      </c>
      <c r="BA127" s="10" t="str">
        <f t="shared" si="116"/>
        <v>-</v>
      </c>
      <c r="BB127" s="9" t="str">
        <f t="shared" si="117"/>
        <v>-</v>
      </c>
      <c r="BC127" s="13" t="str">
        <f t="shared" si="118"/>
        <v>-</v>
      </c>
      <c r="BD127" s="10" t="str">
        <f t="shared" si="119"/>
        <v>-</v>
      </c>
      <c r="BE127" s="13" t="str">
        <f t="shared" si="120"/>
        <v>-</v>
      </c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</row>
    <row r="128" spans="2:70" x14ac:dyDescent="0.3">
      <c r="B128" s="96" t="str">
        <f t="shared" si="99"/>
        <v/>
      </c>
      <c r="C128" s="96" t="str">
        <f t="shared" si="100"/>
        <v/>
      </c>
      <c r="D128" s="96" t="str">
        <f t="shared" si="101"/>
        <v/>
      </c>
      <c r="E128" s="3"/>
      <c r="F128" s="3"/>
      <c r="G128" s="3"/>
      <c r="H128" s="3"/>
      <c r="I128" s="20">
        <f>IFERROR(INDEX('Input - Walmart'!G$2:G$200,MATCH('Calculations - Walmart'!$D128,'Input - Walmart'!$B$2:$B$200,0)),"")</f>
        <v>0</v>
      </c>
      <c r="J128" s="20">
        <f>IFERROR(INDEX('Input - Walmart'!H$2:H$200,MATCH('Calculations - Walmart'!$D128,'Input - Walmart'!$B$2:$B$200,0)),"")</f>
        <v>0</v>
      </c>
      <c r="K128" s="21">
        <f>IFERROR(INDEX('Input - Walmart'!I$2:I$200,MATCH('Calculations - Walmart'!$D128,'Input - Walmart'!$B$2:$B$200,0)),"")</f>
        <v>0</v>
      </c>
      <c r="L128" s="21">
        <f>IFERROR(INDEX('Input - Walmart'!J$2:J$200,MATCH('Calculations - Walmart'!$D128,'Input - Walmart'!$B$2:$B$200,0)),"")</f>
        <v>0</v>
      </c>
      <c r="M128" s="20">
        <f>IFERROR(INDEX('Input - Walmart'!K$2:K$200,MATCH('Calculations - Walmart'!$D128,'Input - Walmart'!$B$2:$B$200,0)),"")</f>
        <v>0</v>
      </c>
      <c r="N128" s="20">
        <f>IFERROR(INDEX('Input - Walmart'!L$2:L$200,MATCH('Calculations - Walmart'!$D128,'Input - Walmart'!$B$2:$B$200,0)),"")</f>
        <v>0</v>
      </c>
      <c r="O128" s="21" t="str">
        <f t="shared" si="102"/>
        <v/>
      </c>
      <c r="P128" s="21" t="str">
        <f t="shared" si="86"/>
        <v/>
      </c>
      <c r="Q128" s="21">
        <f t="shared" si="103"/>
        <v>0</v>
      </c>
      <c r="R128" s="9">
        <f t="shared" ref="R128:R191" si="121">I128/SUM(I$32:I$229)</f>
        <v>0</v>
      </c>
      <c r="S128" s="9">
        <f t="shared" ref="S128:S191" si="122">J128/SUM(J$32:J$229)</f>
        <v>0</v>
      </c>
      <c r="T128" s="22" t="str">
        <f>IFERROR(INDEX(Walmart!$S$11:$S$192,MATCH('Calculations - Walmart'!$D128,Walmart!$N$11:$N$192,0)),"")</f>
        <v/>
      </c>
      <c r="U128" s="22" t="str">
        <f>IFERROR(INDEX(Walmart!$T$11:$T$192,MATCH('Calculations - Walmart'!$D128,Walmart!$N$11:$N$192,0)),"")</f>
        <v/>
      </c>
      <c r="V128" s="16" t="e">
        <f t="shared" si="87"/>
        <v>#VALUE!</v>
      </c>
      <c r="W128" s="16" t="e">
        <f t="shared" si="104"/>
        <v>#VALUE!</v>
      </c>
      <c r="X128" s="16" t="e">
        <f t="shared" si="105"/>
        <v>#VALUE!</v>
      </c>
      <c r="Y128" s="10" t="str">
        <f t="shared" si="88"/>
        <v>-</v>
      </c>
      <c r="Z128" s="10" t="str">
        <f t="shared" si="89"/>
        <v>-</v>
      </c>
      <c r="AA128" s="13" t="str">
        <f t="shared" si="106"/>
        <v>-</v>
      </c>
      <c r="AB128" s="9" t="str">
        <f t="shared" si="90"/>
        <v>-</v>
      </c>
      <c r="AC128" s="16" t="str">
        <f t="shared" si="107"/>
        <v>-</v>
      </c>
      <c r="AD128" s="16" t="str">
        <f t="shared" si="91"/>
        <v>-</v>
      </c>
      <c r="AE128" s="16" t="str">
        <f t="shared" si="92"/>
        <v>-</v>
      </c>
      <c r="AF128" s="16" t="str">
        <f t="shared" si="108"/>
        <v>-</v>
      </c>
      <c r="AG128" s="16"/>
      <c r="AH128" s="32" t="str">
        <f>IFERROR(INDEX(Walmart!$R$11:$R$192,MATCH('Calculations - Walmart'!D128,Walmart!$N$11:$N$192,0)),"")</f>
        <v/>
      </c>
      <c r="AI128" s="23" t="str">
        <f t="shared" si="109"/>
        <v/>
      </c>
      <c r="AJ128" s="23" t="str">
        <f t="shared" si="110"/>
        <v/>
      </c>
      <c r="AK128" s="9" t="str">
        <f t="shared" si="93"/>
        <v/>
      </c>
      <c r="AL128" s="4" t="str">
        <f t="shared" si="94"/>
        <v/>
      </c>
      <c r="AM128" s="4"/>
      <c r="AN128" s="4"/>
      <c r="AO128" s="4"/>
      <c r="AP128" s="4"/>
      <c r="AQ128" s="4"/>
      <c r="AR128" s="20" t="str">
        <f t="shared" si="95"/>
        <v>-</v>
      </c>
      <c r="AS128" s="13" t="str">
        <f t="shared" si="111"/>
        <v>-</v>
      </c>
      <c r="AT128" s="13" t="str">
        <f t="shared" si="112"/>
        <v>-</v>
      </c>
      <c r="AU128" s="13" t="str">
        <f t="shared" si="96"/>
        <v>-</v>
      </c>
      <c r="AV128" s="16" t="str">
        <f t="shared" si="113"/>
        <v>-</v>
      </c>
      <c r="AW128" s="16" t="str">
        <f t="shared" si="97"/>
        <v>-</v>
      </c>
      <c r="AX128" s="16" t="str">
        <f t="shared" si="98"/>
        <v>-</v>
      </c>
      <c r="AY128" s="16" t="str">
        <f t="shared" si="114"/>
        <v>-</v>
      </c>
      <c r="AZ128" s="13" t="str">
        <f t="shared" si="115"/>
        <v>-</v>
      </c>
      <c r="BA128" s="10" t="str">
        <f t="shared" si="116"/>
        <v>-</v>
      </c>
      <c r="BB128" s="9" t="str">
        <f t="shared" si="117"/>
        <v>-</v>
      </c>
      <c r="BC128" s="13" t="str">
        <f t="shared" si="118"/>
        <v>-</v>
      </c>
      <c r="BD128" s="10" t="str">
        <f t="shared" si="119"/>
        <v>-</v>
      </c>
      <c r="BE128" s="13" t="str">
        <f t="shared" si="120"/>
        <v>-</v>
      </c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</row>
    <row r="129" spans="2:70" x14ac:dyDescent="0.3">
      <c r="B129" s="96" t="str">
        <f t="shared" si="99"/>
        <v/>
      </c>
      <c r="C129" s="96" t="str">
        <f t="shared" si="100"/>
        <v/>
      </c>
      <c r="D129" s="96" t="str">
        <f t="shared" si="101"/>
        <v/>
      </c>
      <c r="E129" s="3"/>
      <c r="F129" s="3"/>
      <c r="G129" s="3"/>
      <c r="H129" s="3"/>
      <c r="I129" s="20">
        <f>IFERROR(INDEX('Input - Walmart'!G$2:G$200,MATCH('Calculations - Walmart'!$D129,'Input - Walmart'!$B$2:$B$200,0)),"")</f>
        <v>0</v>
      </c>
      <c r="J129" s="20">
        <f>IFERROR(INDEX('Input - Walmart'!H$2:H$200,MATCH('Calculations - Walmart'!$D129,'Input - Walmart'!$B$2:$B$200,0)),"")</f>
        <v>0</v>
      </c>
      <c r="K129" s="21">
        <f>IFERROR(INDEX('Input - Walmart'!I$2:I$200,MATCH('Calculations - Walmart'!$D129,'Input - Walmart'!$B$2:$B$200,0)),"")</f>
        <v>0</v>
      </c>
      <c r="L129" s="21">
        <f>IFERROR(INDEX('Input - Walmart'!J$2:J$200,MATCH('Calculations - Walmart'!$D129,'Input - Walmart'!$B$2:$B$200,0)),"")</f>
        <v>0</v>
      </c>
      <c r="M129" s="20">
        <f>IFERROR(INDEX('Input - Walmart'!K$2:K$200,MATCH('Calculations - Walmart'!$D129,'Input - Walmart'!$B$2:$B$200,0)),"")</f>
        <v>0</v>
      </c>
      <c r="N129" s="20">
        <f>IFERROR(INDEX('Input - Walmart'!L$2:L$200,MATCH('Calculations - Walmart'!$D129,'Input - Walmart'!$B$2:$B$200,0)),"")</f>
        <v>0</v>
      </c>
      <c r="O129" s="21" t="str">
        <f t="shared" si="102"/>
        <v/>
      </c>
      <c r="P129" s="21" t="str">
        <f t="shared" si="86"/>
        <v/>
      </c>
      <c r="Q129" s="21">
        <f t="shared" si="103"/>
        <v>0</v>
      </c>
      <c r="R129" s="9">
        <f t="shared" si="121"/>
        <v>0</v>
      </c>
      <c r="S129" s="9">
        <f t="shared" si="122"/>
        <v>0</v>
      </c>
      <c r="T129" s="22" t="str">
        <f>IFERROR(INDEX(Walmart!$S$11:$S$192,MATCH('Calculations - Walmart'!$D129,Walmart!$N$11:$N$192,0)),"")</f>
        <v/>
      </c>
      <c r="U129" s="22" t="str">
        <f>IFERROR(INDEX(Walmart!$T$11:$T$192,MATCH('Calculations - Walmart'!$D129,Walmart!$N$11:$N$192,0)),"")</f>
        <v/>
      </c>
      <c r="V129" s="16" t="e">
        <f t="shared" si="87"/>
        <v>#VALUE!</v>
      </c>
      <c r="W129" s="16" t="e">
        <f t="shared" si="104"/>
        <v>#VALUE!</v>
      </c>
      <c r="X129" s="16" t="e">
        <f t="shared" si="105"/>
        <v>#VALUE!</v>
      </c>
      <c r="Y129" s="10" t="str">
        <f t="shared" si="88"/>
        <v>-</v>
      </c>
      <c r="Z129" s="10" t="str">
        <f t="shared" si="89"/>
        <v>-</v>
      </c>
      <c r="AA129" s="13" t="str">
        <f t="shared" si="106"/>
        <v>-</v>
      </c>
      <c r="AB129" s="9" t="str">
        <f t="shared" si="90"/>
        <v>-</v>
      </c>
      <c r="AC129" s="16" t="str">
        <f t="shared" si="107"/>
        <v>-</v>
      </c>
      <c r="AD129" s="16" t="str">
        <f t="shared" si="91"/>
        <v>-</v>
      </c>
      <c r="AE129" s="16" t="str">
        <f t="shared" si="92"/>
        <v>-</v>
      </c>
      <c r="AF129" s="16" t="str">
        <f t="shared" si="108"/>
        <v>-</v>
      </c>
      <c r="AG129" s="16"/>
      <c r="AH129" s="32" t="str">
        <f>IFERROR(INDEX(Walmart!$R$11:$R$192,MATCH('Calculations - Walmart'!D129,Walmart!$N$11:$N$192,0)),"")</f>
        <v/>
      </c>
      <c r="AI129" s="23" t="str">
        <f t="shared" si="109"/>
        <v/>
      </c>
      <c r="AJ129" s="23" t="str">
        <f t="shared" si="110"/>
        <v/>
      </c>
      <c r="AK129" s="9" t="str">
        <f t="shared" si="93"/>
        <v/>
      </c>
      <c r="AL129" s="4" t="str">
        <f t="shared" si="94"/>
        <v/>
      </c>
      <c r="AM129" s="4"/>
      <c r="AN129" s="4"/>
      <c r="AO129" s="4"/>
      <c r="AP129" s="4"/>
      <c r="AQ129" s="4"/>
      <c r="AR129" s="20" t="str">
        <f t="shared" si="95"/>
        <v>-</v>
      </c>
      <c r="AS129" s="13" t="str">
        <f t="shared" si="111"/>
        <v>-</v>
      </c>
      <c r="AT129" s="13" t="str">
        <f t="shared" si="112"/>
        <v>-</v>
      </c>
      <c r="AU129" s="13" t="str">
        <f t="shared" si="96"/>
        <v>-</v>
      </c>
      <c r="AV129" s="16" t="str">
        <f t="shared" si="113"/>
        <v>-</v>
      </c>
      <c r="AW129" s="16" t="str">
        <f t="shared" si="97"/>
        <v>-</v>
      </c>
      <c r="AX129" s="16" t="str">
        <f t="shared" si="98"/>
        <v>-</v>
      </c>
      <c r="AY129" s="16" t="str">
        <f t="shared" si="114"/>
        <v>-</v>
      </c>
      <c r="AZ129" s="13" t="str">
        <f t="shared" si="115"/>
        <v>-</v>
      </c>
      <c r="BA129" s="10" t="str">
        <f t="shared" si="116"/>
        <v>-</v>
      </c>
      <c r="BB129" s="9" t="str">
        <f t="shared" si="117"/>
        <v>-</v>
      </c>
      <c r="BC129" s="13" t="str">
        <f t="shared" si="118"/>
        <v>-</v>
      </c>
      <c r="BD129" s="10" t="str">
        <f t="shared" si="119"/>
        <v>-</v>
      </c>
      <c r="BE129" s="13" t="str">
        <f t="shared" si="120"/>
        <v>-</v>
      </c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</row>
    <row r="130" spans="2:70" x14ac:dyDescent="0.3">
      <c r="B130" s="96" t="str">
        <f t="shared" si="99"/>
        <v/>
      </c>
      <c r="C130" s="96" t="str">
        <f t="shared" si="100"/>
        <v/>
      </c>
      <c r="D130" s="96" t="str">
        <f t="shared" si="101"/>
        <v/>
      </c>
      <c r="E130" s="3"/>
      <c r="F130" s="3"/>
      <c r="G130" s="3"/>
      <c r="H130" s="3"/>
      <c r="I130" s="20">
        <f>IFERROR(INDEX('Input - Walmart'!G$2:G$200,MATCH('Calculations - Walmart'!$D130,'Input - Walmart'!$B$2:$B$200,0)),"")</f>
        <v>0</v>
      </c>
      <c r="J130" s="20">
        <f>IFERROR(INDEX('Input - Walmart'!H$2:H$200,MATCH('Calculations - Walmart'!$D130,'Input - Walmart'!$B$2:$B$200,0)),"")</f>
        <v>0</v>
      </c>
      <c r="K130" s="21">
        <f>IFERROR(INDEX('Input - Walmart'!I$2:I$200,MATCH('Calculations - Walmart'!$D130,'Input - Walmart'!$B$2:$B$200,0)),"")</f>
        <v>0</v>
      </c>
      <c r="L130" s="21">
        <f>IFERROR(INDEX('Input - Walmart'!J$2:J$200,MATCH('Calculations - Walmart'!$D130,'Input - Walmart'!$B$2:$B$200,0)),"")</f>
        <v>0</v>
      </c>
      <c r="M130" s="20">
        <f>IFERROR(INDEX('Input - Walmart'!K$2:K$200,MATCH('Calculations - Walmart'!$D130,'Input - Walmart'!$B$2:$B$200,0)),"")</f>
        <v>0</v>
      </c>
      <c r="N130" s="20">
        <f>IFERROR(INDEX('Input - Walmart'!L$2:L$200,MATCH('Calculations - Walmart'!$D130,'Input - Walmart'!$B$2:$B$200,0)),"")</f>
        <v>0</v>
      </c>
      <c r="O130" s="21" t="str">
        <f t="shared" si="102"/>
        <v/>
      </c>
      <c r="P130" s="21" t="str">
        <f t="shared" si="86"/>
        <v/>
      </c>
      <c r="Q130" s="21">
        <f t="shared" si="103"/>
        <v>0</v>
      </c>
      <c r="R130" s="9">
        <f t="shared" si="121"/>
        <v>0</v>
      </c>
      <c r="S130" s="9">
        <f t="shared" si="122"/>
        <v>0</v>
      </c>
      <c r="T130" s="22" t="str">
        <f>IFERROR(INDEX(Walmart!$S$11:$S$192,MATCH('Calculations - Walmart'!$D130,Walmart!$N$11:$N$192,0)),"")</f>
        <v/>
      </c>
      <c r="U130" s="22" t="str">
        <f>IFERROR(INDEX(Walmart!$T$11:$T$192,MATCH('Calculations - Walmart'!$D130,Walmart!$N$11:$N$192,0)),"")</f>
        <v/>
      </c>
      <c r="V130" s="16" t="e">
        <f t="shared" si="87"/>
        <v>#VALUE!</v>
      </c>
      <c r="W130" s="16" t="e">
        <f t="shared" si="104"/>
        <v>#VALUE!</v>
      </c>
      <c r="X130" s="16" t="e">
        <f t="shared" si="105"/>
        <v>#VALUE!</v>
      </c>
      <c r="Y130" s="10" t="str">
        <f t="shared" si="88"/>
        <v>-</v>
      </c>
      <c r="Z130" s="10" t="str">
        <f t="shared" si="89"/>
        <v>-</v>
      </c>
      <c r="AA130" s="13" t="str">
        <f t="shared" si="106"/>
        <v>-</v>
      </c>
      <c r="AB130" s="9" t="str">
        <f t="shared" si="90"/>
        <v>-</v>
      </c>
      <c r="AC130" s="16" t="str">
        <f t="shared" si="107"/>
        <v>-</v>
      </c>
      <c r="AD130" s="16" t="str">
        <f t="shared" si="91"/>
        <v>-</v>
      </c>
      <c r="AE130" s="16" t="str">
        <f t="shared" si="92"/>
        <v>-</v>
      </c>
      <c r="AF130" s="16" t="str">
        <f t="shared" si="108"/>
        <v>-</v>
      </c>
      <c r="AG130" s="16"/>
      <c r="AH130" s="32" t="str">
        <f>IFERROR(INDEX(Walmart!$R$11:$R$192,MATCH('Calculations - Walmart'!D130,Walmart!$N$11:$N$192,0)),"")</f>
        <v/>
      </c>
      <c r="AI130" s="23" t="str">
        <f t="shared" si="109"/>
        <v/>
      </c>
      <c r="AJ130" s="23" t="str">
        <f t="shared" si="110"/>
        <v/>
      </c>
      <c r="AK130" s="9" t="str">
        <f t="shared" si="93"/>
        <v/>
      </c>
      <c r="AL130" s="4" t="str">
        <f t="shared" si="94"/>
        <v/>
      </c>
      <c r="AM130" s="4"/>
      <c r="AN130" s="4"/>
      <c r="AO130" s="4"/>
      <c r="AP130" s="4"/>
      <c r="AQ130" s="4"/>
      <c r="AR130" s="20" t="str">
        <f t="shared" si="95"/>
        <v>-</v>
      </c>
      <c r="AS130" s="13" t="str">
        <f t="shared" si="111"/>
        <v>-</v>
      </c>
      <c r="AT130" s="13" t="str">
        <f t="shared" si="112"/>
        <v>-</v>
      </c>
      <c r="AU130" s="13" t="str">
        <f t="shared" si="96"/>
        <v>-</v>
      </c>
      <c r="AV130" s="16" t="str">
        <f t="shared" si="113"/>
        <v>-</v>
      </c>
      <c r="AW130" s="16" t="str">
        <f t="shared" si="97"/>
        <v>-</v>
      </c>
      <c r="AX130" s="16" t="str">
        <f t="shared" si="98"/>
        <v>-</v>
      </c>
      <c r="AY130" s="16" t="str">
        <f t="shared" si="114"/>
        <v>-</v>
      </c>
      <c r="AZ130" s="13" t="str">
        <f t="shared" si="115"/>
        <v>-</v>
      </c>
      <c r="BA130" s="10" t="str">
        <f t="shared" si="116"/>
        <v>-</v>
      </c>
      <c r="BB130" s="9" t="str">
        <f t="shared" si="117"/>
        <v>-</v>
      </c>
      <c r="BC130" s="13" t="str">
        <f t="shared" si="118"/>
        <v>-</v>
      </c>
      <c r="BD130" s="10" t="str">
        <f t="shared" si="119"/>
        <v>-</v>
      </c>
      <c r="BE130" s="13" t="str">
        <f t="shared" si="120"/>
        <v>-</v>
      </c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</row>
    <row r="131" spans="2:70" x14ac:dyDescent="0.3">
      <c r="B131" s="96" t="str">
        <f t="shared" si="99"/>
        <v/>
      </c>
      <c r="C131" s="96" t="str">
        <f t="shared" si="100"/>
        <v/>
      </c>
      <c r="D131" s="96" t="str">
        <f t="shared" si="101"/>
        <v/>
      </c>
      <c r="E131" s="3"/>
      <c r="F131" s="3"/>
      <c r="G131" s="3"/>
      <c r="H131" s="3"/>
      <c r="I131" s="20">
        <f>IFERROR(INDEX('Input - Walmart'!G$2:G$200,MATCH('Calculations - Walmart'!$D131,'Input - Walmart'!$B$2:$B$200,0)),"")</f>
        <v>0</v>
      </c>
      <c r="J131" s="20">
        <f>IFERROR(INDEX('Input - Walmart'!H$2:H$200,MATCH('Calculations - Walmart'!$D131,'Input - Walmart'!$B$2:$B$200,0)),"")</f>
        <v>0</v>
      </c>
      <c r="K131" s="21">
        <f>IFERROR(INDEX('Input - Walmart'!I$2:I$200,MATCH('Calculations - Walmart'!$D131,'Input - Walmart'!$B$2:$B$200,0)),"")</f>
        <v>0</v>
      </c>
      <c r="L131" s="21">
        <f>IFERROR(INDEX('Input - Walmart'!J$2:J$200,MATCH('Calculations - Walmart'!$D131,'Input - Walmart'!$B$2:$B$200,0)),"")</f>
        <v>0</v>
      </c>
      <c r="M131" s="20">
        <f>IFERROR(INDEX('Input - Walmart'!K$2:K$200,MATCH('Calculations - Walmart'!$D131,'Input - Walmart'!$B$2:$B$200,0)),"")</f>
        <v>0</v>
      </c>
      <c r="N131" s="20">
        <f>IFERROR(INDEX('Input - Walmart'!L$2:L$200,MATCH('Calculations - Walmart'!$D131,'Input - Walmart'!$B$2:$B$200,0)),"")</f>
        <v>0</v>
      </c>
      <c r="O131" s="21" t="str">
        <f t="shared" si="102"/>
        <v/>
      </c>
      <c r="P131" s="21" t="str">
        <f t="shared" si="86"/>
        <v/>
      </c>
      <c r="Q131" s="21">
        <f t="shared" si="103"/>
        <v>0</v>
      </c>
      <c r="R131" s="9">
        <f t="shared" si="121"/>
        <v>0</v>
      </c>
      <c r="S131" s="9">
        <f t="shared" si="122"/>
        <v>0</v>
      </c>
      <c r="T131" s="22" t="str">
        <f>IFERROR(INDEX(Walmart!$S$11:$S$192,MATCH('Calculations - Walmart'!$D131,Walmart!$N$11:$N$192,0)),"")</f>
        <v/>
      </c>
      <c r="U131" s="22" t="str">
        <f>IFERROR(INDEX(Walmart!$T$11:$T$192,MATCH('Calculations - Walmart'!$D131,Walmart!$N$11:$N$192,0)),"")</f>
        <v/>
      </c>
      <c r="V131" s="16" t="e">
        <f t="shared" si="87"/>
        <v>#VALUE!</v>
      </c>
      <c r="W131" s="16" t="e">
        <f t="shared" si="104"/>
        <v>#VALUE!</v>
      </c>
      <c r="X131" s="16" t="e">
        <f t="shared" si="105"/>
        <v>#VALUE!</v>
      </c>
      <c r="Y131" s="10" t="str">
        <f t="shared" si="88"/>
        <v>-</v>
      </c>
      <c r="Z131" s="10" t="str">
        <f t="shared" si="89"/>
        <v>-</v>
      </c>
      <c r="AA131" s="13" t="str">
        <f t="shared" si="106"/>
        <v>-</v>
      </c>
      <c r="AB131" s="9" t="str">
        <f t="shared" si="90"/>
        <v>-</v>
      </c>
      <c r="AC131" s="16" t="str">
        <f t="shared" si="107"/>
        <v>-</v>
      </c>
      <c r="AD131" s="16" t="str">
        <f t="shared" si="91"/>
        <v>-</v>
      </c>
      <c r="AE131" s="16" t="str">
        <f t="shared" si="92"/>
        <v>-</v>
      </c>
      <c r="AF131" s="16" t="str">
        <f t="shared" si="108"/>
        <v>-</v>
      </c>
      <c r="AG131" s="16"/>
      <c r="AH131" s="32" t="str">
        <f>IFERROR(INDEX(Walmart!$R$11:$R$192,MATCH('Calculations - Walmart'!D131,Walmart!$N$11:$N$192,0)),"")</f>
        <v/>
      </c>
      <c r="AI131" s="23" t="str">
        <f t="shared" si="109"/>
        <v/>
      </c>
      <c r="AJ131" s="23" t="str">
        <f t="shared" si="110"/>
        <v/>
      </c>
      <c r="AK131" s="9" t="str">
        <f t="shared" si="93"/>
        <v/>
      </c>
      <c r="AL131" s="4" t="str">
        <f t="shared" si="94"/>
        <v/>
      </c>
      <c r="AM131" s="4"/>
      <c r="AN131" s="4"/>
      <c r="AO131" s="4"/>
      <c r="AP131" s="4"/>
      <c r="AQ131" s="4"/>
      <c r="AR131" s="20" t="str">
        <f t="shared" si="95"/>
        <v>-</v>
      </c>
      <c r="AS131" s="13" t="str">
        <f t="shared" si="111"/>
        <v>-</v>
      </c>
      <c r="AT131" s="13" t="str">
        <f t="shared" si="112"/>
        <v>-</v>
      </c>
      <c r="AU131" s="13" t="str">
        <f t="shared" si="96"/>
        <v>-</v>
      </c>
      <c r="AV131" s="16" t="str">
        <f t="shared" si="113"/>
        <v>-</v>
      </c>
      <c r="AW131" s="16" t="str">
        <f t="shared" si="97"/>
        <v>-</v>
      </c>
      <c r="AX131" s="16" t="str">
        <f t="shared" si="98"/>
        <v>-</v>
      </c>
      <c r="AY131" s="16" t="str">
        <f t="shared" si="114"/>
        <v>-</v>
      </c>
      <c r="AZ131" s="13" t="str">
        <f t="shared" si="115"/>
        <v>-</v>
      </c>
      <c r="BA131" s="10" t="str">
        <f t="shared" si="116"/>
        <v>-</v>
      </c>
      <c r="BB131" s="9" t="str">
        <f t="shared" si="117"/>
        <v>-</v>
      </c>
      <c r="BC131" s="13" t="str">
        <f t="shared" si="118"/>
        <v>-</v>
      </c>
      <c r="BD131" s="10" t="str">
        <f t="shared" si="119"/>
        <v>-</v>
      </c>
      <c r="BE131" s="13" t="str">
        <f t="shared" si="120"/>
        <v>-</v>
      </c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</row>
    <row r="132" spans="2:70" x14ac:dyDescent="0.3">
      <c r="B132" s="96" t="str">
        <f t="shared" si="99"/>
        <v/>
      </c>
      <c r="C132" s="96" t="str">
        <f t="shared" si="100"/>
        <v/>
      </c>
      <c r="D132" s="96" t="str">
        <f t="shared" si="101"/>
        <v/>
      </c>
      <c r="E132" s="3"/>
      <c r="F132" s="3"/>
      <c r="G132" s="3"/>
      <c r="H132" s="3"/>
      <c r="I132" s="20">
        <f>IFERROR(INDEX('Input - Walmart'!G$2:G$200,MATCH('Calculations - Walmart'!$D132,'Input - Walmart'!$B$2:$B$200,0)),"")</f>
        <v>0</v>
      </c>
      <c r="J132" s="20">
        <f>IFERROR(INDEX('Input - Walmart'!H$2:H$200,MATCH('Calculations - Walmart'!$D132,'Input - Walmart'!$B$2:$B$200,0)),"")</f>
        <v>0</v>
      </c>
      <c r="K132" s="21">
        <f>IFERROR(INDEX('Input - Walmart'!I$2:I$200,MATCH('Calculations - Walmart'!$D132,'Input - Walmart'!$B$2:$B$200,0)),"")</f>
        <v>0</v>
      </c>
      <c r="L132" s="21">
        <f>IFERROR(INDEX('Input - Walmart'!J$2:J$200,MATCH('Calculations - Walmart'!$D132,'Input - Walmart'!$B$2:$B$200,0)),"")</f>
        <v>0</v>
      </c>
      <c r="M132" s="20">
        <f>IFERROR(INDEX('Input - Walmart'!K$2:K$200,MATCH('Calculations - Walmart'!$D132,'Input - Walmart'!$B$2:$B$200,0)),"")</f>
        <v>0</v>
      </c>
      <c r="N132" s="20">
        <f>IFERROR(INDEX('Input - Walmart'!L$2:L$200,MATCH('Calculations - Walmart'!$D132,'Input - Walmart'!$B$2:$B$200,0)),"")</f>
        <v>0</v>
      </c>
      <c r="O132" s="21" t="str">
        <f t="shared" si="102"/>
        <v/>
      </c>
      <c r="P132" s="21" t="str">
        <f t="shared" si="86"/>
        <v/>
      </c>
      <c r="Q132" s="21">
        <f t="shared" si="103"/>
        <v>0</v>
      </c>
      <c r="R132" s="9">
        <f t="shared" si="121"/>
        <v>0</v>
      </c>
      <c r="S132" s="9">
        <f t="shared" si="122"/>
        <v>0</v>
      </c>
      <c r="T132" s="22" t="str">
        <f>IFERROR(INDEX(Walmart!$S$11:$S$192,MATCH('Calculations - Walmart'!$D132,Walmart!$N$11:$N$192,0)),"")</f>
        <v/>
      </c>
      <c r="U132" s="22" t="str">
        <f>IFERROR(INDEX(Walmart!$T$11:$T$192,MATCH('Calculations - Walmart'!$D132,Walmart!$N$11:$N$192,0)),"")</f>
        <v/>
      </c>
      <c r="V132" s="16" t="e">
        <f t="shared" si="87"/>
        <v>#VALUE!</v>
      </c>
      <c r="W132" s="16" t="e">
        <f t="shared" si="104"/>
        <v>#VALUE!</v>
      </c>
      <c r="X132" s="16" t="e">
        <f t="shared" si="105"/>
        <v>#VALUE!</v>
      </c>
      <c r="Y132" s="10" t="str">
        <f t="shared" si="88"/>
        <v>-</v>
      </c>
      <c r="Z132" s="10" t="str">
        <f t="shared" si="89"/>
        <v>-</v>
      </c>
      <c r="AA132" s="13" t="str">
        <f t="shared" si="106"/>
        <v>-</v>
      </c>
      <c r="AB132" s="9" t="str">
        <f t="shared" si="90"/>
        <v>-</v>
      </c>
      <c r="AC132" s="16" t="str">
        <f t="shared" si="107"/>
        <v>-</v>
      </c>
      <c r="AD132" s="16" t="str">
        <f t="shared" si="91"/>
        <v>-</v>
      </c>
      <c r="AE132" s="16" t="str">
        <f t="shared" si="92"/>
        <v>-</v>
      </c>
      <c r="AF132" s="16" t="str">
        <f t="shared" si="108"/>
        <v>-</v>
      </c>
      <c r="AG132" s="16"/>
      <c r="AH132" s="32" t="str">
        <f>IFERROR(INDEX(Walmart!$R$11:$R$192,MATCH('Calculations - Walmart'!D132,Walmart!$N$11:$N$192,0)),"")</f>
        <v/>
      </c>
      <c r="AI132" s="23" t="str">
        <f t="shared" si="109"/>
        <v/>
      </c>
      <c r="AJ132" s="23" t="str">
        <f t="shared" si="110"/>
        <v/>
      </c>
      <c r="AK132" s="9" t="str">
        <f t="shared" si="93"/>
        <v/>
      </c>
      <c r="AL132" s="4" t="str">
        <f t="shared" si="94"/>
        <v/>
      </c>
      <c r="AM132" s="4"/>
      <c r="AN132" s="4"/>
      <c r="AO132" s="4"/>
      <c r="AP132" s="4"/>
      <c r="AQ132" s="4"/>
      <c r="AR132" s="20" t="str">
        <f t="shared" si="95"/>
        <v>-</v>
      </c>
      <c r="AS132" s="13" t="str">
        <f t="shared" si="111"/>
        <v>-</v>
      </c>
      <c r="AT132" s="13" t="str">
        <f t="shared" si="112"/>
        <v>-</v>
      </c>
      <c r="AU132" s="13" t="str">
        <f t="shared" si="96"/>
        <v>-</v>
      </c>
      <c r="AV132" s="16" t="str">
        <f t="shared" si="113"/>
        <v>-</v>
      </c>
      <c r="AW132" s="16" t="str">
        <f t="shared" si="97"/>
        <v>-</v>
      </c>
      <c r="AX132" s="16" t="str">
        <f t="shared" si="98"/>
        <v>-</v>
      </c>
      <c r="AY132" s="16" t="str">
        <f t="shared" si="114"/>
        <v>-</v>
      </c>
      <c r="AZ132" s="13" t="str">
        <f t="shared" si="115"/>
        <v>-</v>
      </c>
      <c r="BA132" s="10" t="str">
        <f t="shared" si="116"/>
        <v>-</v>
      </c>
      <c r="BB132" s="9" t="str">
        <f t="shared" si="117"/>
        <v>-</v>
      </c>
      <c r="BC132" s="13" t="str">
        <f t="shared" si="118"/>
        <v>-</v>
      </c>
      <c r="BD132" s="10" t="str">
        <f t="shared" si="119"/>
        <v>-</v>
      </c>
      <c r="BE132" s="13" t="str">
        <f t="shared" si="120"/>
        <v>-</v>
      </c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</row>
    <row r="133" spans="2:70" x14ac:dyDescent="0.3">
      <c r="B133" s="96" t="str">
        <f t="shared" si="99"/>
        <v/>
      </c>
      <c r="C133" s="96" t="str">
        <f t="shared" si="100"/>
        <v/>
      </c>
      <c r="D133" s="96" t="str">
        <f t="shared" si="101"/>
        <v/>
      </c>
      <c r="E133" s="3"/>
      <c r="F133" s="3"/>
      <c r="G133" s="3"/>
      <c r="H133" s="3"/>
      <c r="I133" s="20">
        <f>IFERROR(INDEX('Input - Walmart'!G$2:G$200,MATCH('Calculations - Walmart'!$D133,'Input - Walmart'!$B$2:$B$200,0)),"")</f>
        <v>0</v>
      </c>
      <c r="J133" s="20">
        <f>IFERROR(INDEX('Input - Walmart'!H$2:H$200,MATCH('Calculations - Walmart'!$D133,'Input - Walmart'!$B$2:$B$200,0)),"")</f>
        <v>0</v>
      </c>
      <c r="K133" s="21">
        <f>IFERROR(INDEX('Input - Walmart'!I$2:I$200,MATCH('Calculations - Walmart'!$D133,'Input - Walmart'!$B$2:$B$200,0)),"")</f>
        <v>0</v>
      </c>
      <c r="L133" s="21">
        <f>IFERROR(INDEX('Input - Walmart'!J$2:J$200,MATCH('Calculations - Walmart'!$D133,'Input - Walmart'!$B$2:$B$200,0)),"")</f>
        <v>0</v>
      </c>
      <c r="M133" s="20">
        <f>IFERROR(INDEX('Input - Walmart'!K$2:K$200,MATCH('Calculations - Walmart'!$D133,'Input - Walmart'!$B$2:$B$200,0)),"")</f>
        <v>0</v>
      </c>
      <c r="N133" s="20">
        <f>IFERROR(INDEX('Input - Walmart'!L$2:L$200,MATCH('Calculations - Walmart'!$D133,'Input - Walmart'!$B$2:$B$200,0)),"")</f>
        <v>0</v>
      </c>
      <c r="O133" s="21" t="str">
        <f t="shared" si="102"/>
        <v/>
      </c>
      <c r="P133" s="21" t="str">
        <f t="shared" si="86"/>
        <v/>
      </c>
      <c r="Q133" s="21">
        <f t="shared" si="103"/>
        <v>0</v>
      </c>
      <c r="R133" s="9">
        <f t="shared" si="121"/>
        <v>0</v>
      </c>
      <c r="S133" s="9">
        <f t="shared" si="122"/>
        <v>0</v>
      </c>
      <c r="T133" s="22" t="str">
        <f>IFERROR(INDEX(Walmart!$S$11:$S$192,MATCH('Calculations - Walmart'!$D133,Walmart!$N$11:$N$192,0)),"")</f>
        <v/>
      </c>
      <c r="U133" s="22" t="str">
        <f>IFERROR(INDEX(Walmart!$T$11:$T$192,MATCH('Calculations - Walmart'!$D133,Walmart!$N$11:$N$192,0)),"")</f>
        <v/>
      </c>
      <c r="V133" s="16" t="e">
        <f t="shared" si="87"/>
        <v>#VALUE!</v>
      </c>
      <c r="W133" s="16" t="e">
        <f t="shared" si="104"/>
        <v>#VALUE!</v>
      </c>
      <c r="X133" s="16" t="e">
        <f t="shared" si="105"/>
        <v>#VALUE!</v>
      </c>
      <c r="Y133" s="10" t="str">
        <f t="shared" si="88"/>
        <v>-</v>
      </c>
      <c r="Z133" s="10" t="str">
        <f t="shared" si="89"/>
        <v>-</v>
      </c>
      <c r="AA133" s="13" t="str">
        <f t="shared" si="106"/>
        <v>-</v>
      </c>
      <c r="AB133" s="9" t="str">
        <f t="shared" si="90"/>
        <v>-</v>
      </c>
      <c r="AC133" s="16" t="str">
        <f t="shared" si="107"/>
        <v>-</v>
      </c>
      <c r="AD133" s="16" t="str">
        <f t="shared" si="91"/>
        <v>-</v>
      </c>
      <c r="AE133" s="16" t="str">
        <f t="shared" si="92"/>
        <v>-</v>
      </c>
      <c r="AF133" s="16" t="str">
        <f t="shared" si="108"/>
        <v>-</v>
      </c>
      <c r="AG133" s="16"/>
      <c r="AH133" s="32" t="str">
        <f>IFERROR(INDEX(Walmart!$R$11:$R$192,MATCH('Calculations - Walmart'!D133,Walmart!$N$11:$N$192,0)),"")</f>
        <v/>
      </c>
      <c r="AI133" s="23" t="str">
        <f t="shared" si="109"/>
        <v/>
      </c>
      <c r="AJ133" s="23" t="str">
        <f t="shared" si="110"/>
        <v/>
      </c>
      <c r="AK133" s="9" t="str">
        <f t="shared" si="93"/>
        <v/>
      </c>
      <c r="AL133" s="4" t="str">
        <f t="shared" si="94"/>
        <v/>
      </c>
      <c r="AM133" s="4"/>
      <c r="AN133" s="4"/>
      <c r="AO133" s="4"/>
      <c r="AP133" s="4"/>
      <c r="AQ133" s="4"/>
      <c r="AR133" s="20" t="str">
        <f t="shared" si="95"/>
        <v>-</v>
      </c>
      <c r="AS133" s="13" t="str">
        <f t="shared" si="111"/>
        <v>-</v>
      </c>
      <c r="AT133" s="13" t="str">
        <f t="shared" si="112"/>
        <v>-</v>
      </c>
      <c r="AU133" s="13" t="str">
        <f t="shared" si="96"/>
        <v>-</v>
      </c>
      <c r="AV133" s="16" t="str">
        <f t="shared" si="113"/>
        <v>-</v>
      </c>
      <c r="AW133" s="16" t="str">
        <f t="shared" si="97"/>
        <v>-</v>
      </c>
      <c r="AX133" s="16" t="str">
        <f t="shared" si="98"/>
        <v>-</v>
      </c>
      <c r="AY133" s="16" t="str">
        <f t="shared" si="114"/>
        <v>-</v>
      </c>
      <c r="AZ133" s="13" t="str">
        <f t="shared" si="115"/>
        <v>-</v>
      </c>
      <c r="BA133" s="10" t="str">
        <f t="shared" si="116"/>
        <v>-</v>
      </c>
      <c r="BB133" s="9" t="str">
        <f t="shared" si="117"/>
        <v>-</v>
      </c>
      <c r="BC133" s="13" t="str">
        <f t="shared" si="118"/>
        <v>-</v>
      </c>
      <c r="BD133" s="10" t="str">
        <f t="shared" si="119"/>
        <v>-</v>
      </c>
      <c r="BE133" s="13" t="str">
        <f t="shared" si="120"/>
        <v>-</v>
      </c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</row>
    <row r="134" spans="2:70" x14ac:dyDescent="0.3">
      <c r="B134" s="96" t="str">
        <f t="shared" si="99"/>
        <v/>
      </c>
      <c r="C134" s="96" t="str">
        <f t="shared" si="100"/>
        <v/>
      </c>
      <c r="D134" s="96" t="str">
        <f t="shared" si="101"/>
        <v/>
      </c>
      <c r="E134" s="3"/>
      <c r="F134" s="3"/>
      <c r="G134" s="3"/>
      <c r="H134" s="3"/>
      <c r="I134" s="20">
        <f>IFERROR(INDEX('Input - Walmart'!G$2:G$200,MATCH('Calculations - Walmart'!$D134,'Input - Walmart'!$B$2:$B$200,0)),"")</f>
        <v>0</v>
      </c>
      <c r="J134" s="20">
        <f>IFERROR(INDEX('Input - Walmart'!H$2:H$200,MATCH('Calculations - Walmart'!$D134,'Input - Walmart'!$B$2:$B$200,0)),"")</f>
        <v>0</v>
      </c>
      <c r="K134" s="21">
        <f>IFERROR(INDEX('Input - Walmart'!I$2:I$200,MATCH('Calculations - Walmart'!$D134,'Input - Walmart'!$B$2:$B$200,0)),"")</f>
        <v>0</v>
      </c>
      <c r="L134" s="21">
        <f>IFERROR(INDEX('Input - Walmart'!J$2:J$200,MATCH('Calculations - Walmart'!$D134,'Input - Walmart'!$B$2:$B$200,0)),"")</f>
        <v>0</v>
      </c>
      <c r="M134" s="20">
        <f>IFERROR(INDEX('Input - Walmart'!K$2:K$200,MATCH('Calculations - Walmart'!$D134,'Input - Walmart'!$B$2:$B$200,0)),"")</f>
        <v>0</v>
      </c>
      <c r="N134" s="20">
        <f>IFERROR(INDEX('Input - Walmart'!L$2:L$200,MATCH('Calculations - Walmart'!$D134,'Input - Walmart'!$B$2:$B$200,0)),"")</f>
        <v>0</v>
      </c>
      <c r="O134" s="21" t="str">
        <f t="shared" si="102"/>
        <v/>
      </c>
      <c r="P134" s="21" t="str">
        <f t="shared" si="86"/>
        <v/>
      </c>
      <c r="Q134" s="21">
        <f t="shared" si="103"/>
        <v>0</v>
      </c>
      <c r="R134" s="9">
        <f t="shared" si="121"/>
        <v>0</v>
      </c>
      <c r="S134" s="9">
        <f t="shared" si="122"/>
        <v>0</v>
      </c>
      <c r="T134" s="22" t="str">
        <f>IFERROR(INDEX(Walmart!$S$11:$S$192,MATCH('Calculations - Walmart'!$D134,Walmart!$N$11:$N$192,0)),"")</f>
        <v/>
      </c>
      <c r="U134" s="22" t="str">
        <f>IFERROR(INDEX(Walmart!$T$11:$T$192,MATCH('Calculations - Walmart'!$D134,Walmart!$N$11:$N$192,0)),"")</f>
        <v/>
      </c>
      <c r="V134" s="16" t="e">
        <f t="shared" si="87"/>
        <v>#VALUE!</v>
      </c>
      <c r="W134" s="16" t="e">
        <f t="shared" si="104"/>
        <v>#VALUE!</v>
      </c>
      <c r="X134" s="16" t="e">
        <f t="shared" si="105"/>
        <v>#VALUE!</v>
      </c>
      <c r="Y134" s="10" t="str">
        <f t="shared" si="88"/>
        <v>-</v>
      </c>
      <c r="Z134" s="10" t="str">
        <f t="shared" si="89"/>
        <v>-</v>
      </c>
      <c r="AA134" s="13" t="str">
        <f t="shared" si="106"/>
        <v>-</v>
      </c>
      <c r="AB134" s="9" t="str">
        <f t="shared" si="90"/>
        <v>-</v>
      </c>
      <c r="AC134" s="16" t="str">
        <f t="shared" si="107"/>
        <v>-</v>
      </c>
      <c r="AD134" s="16" t="str">
        <f t="shared" si="91"/>
        <v>-</v>
      </c>
      <c r="AE134" s="16" t="str">
        <f t="shared" si="92"/>
        <v>-</v>
      </c>
      <c r="AF134" s="16" t="str">
        <f t="shared" si="108"/>
        <v>-</v>
      </c>
      <c r="AG134" s="16"/>
      <c r="AH134" s="32" t="str">
        <f>IFERROR(INDEX(Walmart!$R$11:$R$192,MATCH('Calculations - Walmart'!D134,Walmart!$N$11:$N$192,0)),"")</f>
        <v/>
      </c>
      <c r="AI134" s="23" t="str">
        <f t="shared" si="109"/>
        <v/>
      </c>
      <c r="AJ134" s="23" t="str">
        <f t="shared" si="110"/>
        <v/>
      </c>
      <c r="AK134" s="9" t="str">
        <f t="shared" si="93"/>
        <v/>
      </c>
      <c r="AL134" s="4" t="str">
        <f t="shared" si="94"/>
        <v/>
      </c>
      <c r="AM134" s="4"/>
      <c r="AN134" s="4"/>
      <c r="AO134" s="4"/>
      <c r="AP134" s="4"/>
      <c r="AQ134" s="4"/>
      <c r="AR134" s="20" t="str">
        <f t="shared" si="95"/>
        <v>-</v>
      </c>
      <c r="AS134" s="13" t="str">
        <f t="shared" si="111"/>
        <v>-</v>
      </c>
      <c r="AT134" s="13" t="str">
        <f t="shared" si="112"/>
        <v>-</v>
      </c>
      <c r="AU134" s="13" t="str">
        <f t="shared" si="96"/>
        <v>-</v>
      </c>
      <c r="AV134" s="16" t="str">
        <f t="shared" si="113"/>
        <v>-</v>
      </c>
      <c r="AW134" s="16" t="str">
        <f t="shared" si="97"/>
        <v>-</v>
      </c>
      <c r="AX134" s="16" t="str">
        <f t="shared" si="98"/>
        <v>-</v>
      </c>
      <c r="AY134" s="16" t="str">
        <f t="shared" si="114"/>
        <v>-</v>
      </c>
      <c r="AZ134" s="13" t="str">
        <f t="shared" si="115"/>
        <v>-</v>
      </c>
      <c r="BA134" s="10" t="str">
        <f t="shared" si="116"/>
        <v>-</v>
      </c>
      <c r="BB134" s="9" t="str">
        <f t="shared" si="117"/>
        <v>-</v>
      </c>
      <c r="BC134" s="13" t="str">
        <f t="shared" si="118"/>
        <v>-</v>
      </c>
      <c r="BD134" s="10" t="str">
        <f t="shared" si="119"/>
        <v>-</v>
      </c>
      <c r="BE134" s="13" t="str">
        <f t="shared" si="120"/>
        <v>-</v>
      </c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</row>
    <row r="135" spans="2:70" x14ac:dyDescent="0.3">
      <c r="B135" s="96" t="str">
        <f t="shared" si="99"/>
        <v/>
      </c>
      <c r="C135" s="96" t="str">
        <f t="shared" si="100"/>
        <v/>
      </c>
      <c r="D135" s="96" t="str">
        <f t="shared" si="101"/>
        <v/>
      </c>
      <c r="E135" s="3"/>
      <c r="F135" s="3"/>
      <c r="G135" s="3"/>
      <c r="H135" s="3"/>
      <c r="I135" s="20">
        <f>IFERROR(INDEX('Input - Walmart'!G$2:G$200,MATCH('Calculations - Walmart'!$D135,'Input - Walmart'!$B$2:$B$200,0)),"")</f>
        <v>0</v>
      </c>
      <c r="J135" s="20">
        <f>IFERROR(INDEX('Input - Walmart'!H$2:H$200,MATCH('Calculations - Walmart'!$D135,'Input - Walmart'!$B$2:$B$200,0)),"")</f>
        <v>0</v>
      </c>
      <c r="K135" s="21">
        <f>IFERROR(INDEX('Input - Walmart'!I$2:I$200,MATCH('Calculations - Walmart'!$D135,'Input - Walmart'!$B$2:$B$200,0)),"")</f>
        <v>0</v>
      </c>
      <c r="L135" s="21">
        <f>IFERROR(INDEX('Input - Walmart'!J$2:J$200,MATCH('Calculations - Walmart'!$D135,'Input - Walmart'!$B$2:$B$200,0)),"")</f>
        <v>0</v>
      </c>
      <c r="M135" s="20">
        <f>IFERROR(INDEX('Input - Walmart'!K$2:K$200,MATCH('Calculations - Walmart'!$D135,'Input - Walmart'!$B$2:$B$200,0)),"")</f>
        <v>0</v>
      </c>
      <c r="N135" s="20">
        <f>IFERROR(INDEX('Input - Walmart'!L$2:L$200,MATCH('Calculations - Walmart'!$D135,'Input - Walmart'!$B$2:$B$200,0)),"")</f>
        <v>0</v>
      </c>
      <c r="O135" s="21" t="str">
        <f t="shared" si="102"/>
        <v/>
      </c>
      <c r="P135" s="21" t="str">
        <f t="shared" si="86"/>
        <v/>
      </c>
      <c r="Q135" s="21">
        <f t="shared" si="103"/>
        <v>0</v>
      </c>
      <c r="R135" s="9">
        <f t="shared" si="121"/>
        <v>0</v>
      </c>
      <c r="S135" s="9">
        <f t="shared" si="122"/>
        <v>0</v>
      </c>
      <c r="T135" s="22" t="str">
        <f>IFERROR(INDEX(Walmart!$S$11:$S$192,MATCH('Calculations - Walmart'!$D135,Walmart!$N$11:$N$192,0)),"")</f>
        <v/>
      </c>
      <c r="U135" s="22" t="str">
        <f>IFERROR(INDEX(Walmart!$T$11:$T$192,MATCH('Calculations - Walmart'!$D135,Walmart!$N$11:$N$192,0)),"")</f>
        <v/>
      </c>
      <c r="V135" s="16" t="e">
        <f t="shared" si="87"/>
        <v>#VALUE!</v>
      </c>
      <c r="W135" s="16" t="e">
        <f t="shared" si="104"/>
        <v>#VALUE!</v>
      </c>
      <c r="X135" s="16" t="e">
        <f t="shared" si="105"/>
        <v>#VALUE!</v>
      </c>
      <c r="Y135" s="10" t="str">
        <f t="shared" si="88"/>
        <v>-</v>
      </c>
      <c r="Z135" s="10" t="str">
        <f t="shared" si="89"/>
        <v>-</v>
      </c>
      <c r="AA135" s="13" t="str">
        <f t="shared" si="106"/>
        <v>-</v>
      </c>
      <c r="AB135" s="9" t="str">
        <f t="shared" si="90"/>
        <v>-</v>
      </c>
      <c r="AC135" s="16" t="str">
        <f t="shared" si="107"/>
        <v>-</v>
      </c>
      <c r="AD135" s="16" t="str">
        <f t="shared" si="91"/>
        <v>-</v>
      </c>
      <c r="AE135" s="16" t="str">
        <f t="shared" si="92"/>
        <v>-</v>
      </c>
      <c r="AF135" s="16" t="str">
        <f t="shared" si="108"/>
        <v>-</v>
      </c>
      <c r="AG135" s="16"/>
      <c r="AH135" s="32" t="str">
        <f>IFERROR(INDEX(Walmart!$R$11:$R$192,MATCH('Calculations - Walmart'!D135,Walmart!$N$11:$N$192,0)),"")</f>
        <v/>
      </c>
      <c r="AI135" s="23" t="str">
        <f t="shared" si="109"/>
        <v/>
      </c>
      <c r="AJ135" s="23" t="str">
        <f t="shared" si="110"/>
        <v/>
      </c>
      <c r="AK135" s="9" t="str">
        <f t="shared" si="93"/>
        <v/>
      </c>
      <c r="AL135" s="4" t="str">
        <f t="shared" si="94"/>
        <v/>
      </c>
      <c r="AM135" s="4"/>
      <c r="AN135" s="4"/>
      <c r="AO135" s="4"/>
      <c r="AP135" s="4"/>
      <c r="AQ135" s="4"/>
      <c r="AR135" s="20" t="str">
        <f t="shared" si="95"/>
        <v>-</v>
      </c>
      <c r="AS135" s="13" t="str">
        <f t="shared" si="111"/>
        <v>-</v>
      </c>
      <c r="AT135" s="13" t="str">
        <f t="shared" si="112"/>
        <v>-</v>
      </c>
      <c r="AU135" s="13" t="str">
        <f t="shared" si="96"/>
        <v>-</v>
      </c>
      <c r="AV135" s="16" t="str">
        <f t="shared" si="113"/>
        <v>-</v>
      </c>
      <c r="AW135" s="16" t="str">
        <f t="shared" si="97"/>
        <v>-</v>
      </c>
      <c r="AX135" s="16" t="str">
        <f t="shared" si="98"/>
        <v>-</v>
      </c>
      <c r="AY135" s="16" t="str">
        <f t="shared" si="114"/>
        <v>-</v>
      </c>
      <c r="AZ135" s="13" t="str">
        <f t="shared" si="115"/>
        <v>-</v>
      </c>
      <c r="BA135" s="10" t="str">
        <f t="shared" si="116"/>
        <v>-</v>
      </c>
      <c r="BB135" s="9" t="str">
        <f t="shared" si="117"/>
        <v>-</v>
      </c>
      <c r="BC135" s="13" t="str">
        <f t="shared" si="118"/>
        <v>-</v>
      </c>
      <c r="BD135" s="10" t="str">
        <f t="shared" si="119"/>
        <v>-</v>
      </c>
      <c r="BE135" s="13" t="str">
        <f t="shared" si="120"/>
        <v>-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</row>
    <row r="136" spans="2:70" x14ac:dyDescent="0.3">
      <c r="B136" s="96" t="str">
        <f t="shared" si="99"/>
        <v/>
      </c>
      <c r="C136" s="96" t="str">
        <f t="shared" si="100"/>
        <v/>
      </c>
      <c r="D136" s="96" t="str">
        <f t="shared" si="101"/>
        <v/>
      </c>
      <c r="E136" s="3"/>
      <c r="F136" s="3"/>
      <c r="G136" s="3"/>
      <c r="H136" s="3"/>
      <c r="I136" s="20">
        <f>IFERROR(INDEX('Input - Walmart'!G$2:G$200,MATCH('Calculations - Walmart'!$D136,'Input - Walmart'!$B$2:$B$200,0)),"")</f>
        <v>0</v>
      </c>
      <c r="J136" s="20">
        <f>IFERROR(INDEX('Input - Walmart'!H$2:H$200,MATCH('Calculations - Walmart'!$D136,'Input - Walmart'!$B$2:$B$200,0)),"")</f>
        <v>0</v>
      </c>
      <c r="K136" s="21">
        <f>IFERROR(INDEX('Input - Walmart'!I$2:I$200,MATCH('Calculations - Walmart'!$D136,'Input - Walmart'!$B$2:$B$200,0)),"")</f>
        <v>0</v>
      </c>
      <c r="L136" s="21">
        <f>IFERROR(INDEX('Input - Walmart'!J$2:J$200,MATCH('Calculations - Walmart'!$D136,'Input - Walmart'!$B$2:$B$200,0)),"")</f>
        <v>0</v>
      </c>
      <c r="M136" s="20">
        <f>IFERROR(INDEX('Input - Walmart'!K$2:K$200,MATCH('Calculations - Walmart'!$D136,'Input - Walmart'!$B$2:$B$200,0)),"")</f>
        <v>0</v>
      </c>
      <c r="N136" s="20">
        <f>IFERROR(INDEX('Input - Walmart'!L$2:L$200,MATCH('Calculations - Walmart'!$D136,'Input - Walmart'!$B$2:$B$200,0)),"")</f>
        <v>0</v>
      </c>
      <c r="O136" s="21" t="str">
        <f t="shared" si="102"/>
        <v/>
      </c>
      <c r="P136" s="21" t="str">
        <f t="shared" si="86"/>
        <v/>
      </c>
      <c r="Q136" s="21">
        <f t="shared" si="103"/>
        <v>0</v>
      </c>
      <c r="R136" s="9">
        <f t="shared" si="121"/>
        <v>0</v>
      </c>
      <c r="S136" s="9">
        <f t="shared" si="122"/>
        <v>0</v>
      </c>
      <c r="T136" s="22" t="str">
        <f>IFERROR(INDEX(Walmart!$S$11:$S$192,MATCH('Calculations - Walmart'!$D136,Walmart!$N$11:$N$192,0)),"")</f>
        <v/>
      </c>
      <c r="U136" s="22" t="str">
        <f>IFERROR(INDEX(Walmart!$T$11:$T$192,MATCH('Calculations - Walmart'!$D136,Walmart!$N$11:$N$192,0)),"")</f>
        <v/>
      </c>
      <c r="V136" s="16" t="e">
        <f t="shared" si="87"/>
        <v>#VALUE!</v>
      </c>
      <c r="W136" s="16" t="e">
        <f t="shared" si="104"/>
        <v>#VALUE!</v>
      </c>
      <c r="X136" s="16" t="e">
        <f t="shared" si="105"/>
        <v>#VALUE!</v>
      </c>
      <c r="Y136" s="10" t="str">
        <f t="shared" si="88"/>
        <v>-</v>
      </c>
      <c r="Z136" s="10" t="str">
        <f t="shared" si="89"/>
        <v>-</v>
      </c>
      <c r="AA136" s="13" t="str">
        <f t="shared" si="106"/>
        <v>-</v>
      </c>
      <c r="AB136" s="9" t="str">
        <f t="shared" si="90"/>
        <v>-</v>
      </c>
      <c r="AC136" s="16" t="str">
        <f t="shared" si="107"/>
        <v>-</v>
      </c>
      <c r="AD136" s="16" t="str">
        <f t="shared" si="91"/>
        <v>-</v>
      </c>
      <c r="AE136" s="16" t="str">
        <f t="shared" si="92"/>
        <v>-</v>
      </c>
      <c r="AF136" s="16" t="str">
        <f t="shared" si="108"/>
        <v>-</v>
      </c>
      <c r="AG136" s="16"/>
      <c r="AH136" s="32" t="str">
        <f>IFERROR(INDEX(Walmart!$R$11:$R$192,MATCH('Calculations - Walmart'!D136,Walmart!$N$11:$N$192,0)),"")</f>
        <v/>
      </c>
      <c r="AI136" s="23" t="str">
        <f t="shared" si="109"/>
        <v/>
      </c>
      <c r="AJ136" s="23" t="str">
        <f t="shared" si="110"/>
        <v/>
      </c>
      <c r="AK136" s="9" t="str">
        <f t="shared" si="93"/>
        <v/>
      </c>
      <c r="AL136" s="4" t="str">
        <f t="shared" si="94"/>
        <v/>
      </c>
      <c r="AM136" s="4"/>
      <c r="AN136" s="4"/>
      <c r="AO136" s="4"/>
      <c r="AP136" s="4"/>
      <c r="AQ136" s="4"/>
      <c r="AR136" s="20" t="str">
        <f t="shared" si="95"/>
        <v>-</v>
      </c>
      <c r="AS136" s="13" t="str">
        <f t="shared" si="111"/>
        <v>-</v>
      </c>
      <c r="AT136" s="13" t="str">
        <f t="shared" si="112"/>
        <v>-</v>
      </c>
      <c r="AU136" s="13" t="str">
        <f t="shared" si="96"/>
        <v>-</v>
      </c>
      <c r="AV136" s="16" t="str">
        <f t="shared" si="113"/>
        <v>-</v>
      </c>
      <c r="AW136" s="16" t="str">
        <f t="shared" si="97"/>
        <v>-</v>
      </c>
      <c r="AX136" s="16" t="str">
        <f t="shared" si="98"/>
        <v>-</v>
      </c>
      <c r="AY136" s="16" t="str">
        <f t="shared" si="114"/>
        <v>-</v>
      </c>
      <c r="AZ136" s="13" t="str">
        <f t="shared" si="115"/>
        <v>-</v>
      </c>
      <c r="BA136" s="10" t="str">
        <f t="shared" si="116"/>
        <v>-</v>
      </c>
      <c r="BB136" s="9" t="str">
        <f t="shared" si="117"/>
        <v>-</v>
      </c>
      <c r="BC136" s="13" t="str">
        <f t="shared" si="118"/>
        <v>-</v>
      </c>
      <c r="BD136" s="10" t="str">
        <f t="shared" si="119"/>
        <v>-</v>
      </c>
      <c r="BE136" s="13" t="str">
        <f t="shared" si="120"/>
        <v>-</v>
      </c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</row>
    <row r="137" spans="2:70" x14ac:dyDescent="0.3">
      <c r="B137" s="96" t="str">
        <f t="shared" si="99"/>
        <v/>
      </c>
      <c r="C137" s="96" t="str">
        <f t="shared" si="100"/>
        <v/>
      </c>
      <c r="D137" s="96" t="str">
        <f t="shared" si="101"/>
        <v/>
      </c>
      <c r="E137" s="3"/>
      <c r="F137" s="3"/>
      <c r="G137" s="3"/>
      <c r="H137" s="3"/>
      <c r="I137" s="20">
        <f>IFERROR(INDEX('Input - Walmart'!G$2:G$200,MATCH('Calculations - Walmart'!$D137,'Input - Walmart'!$B$2:$B$200,0)),"")</f>
        <v>0</v>
      </c>
      <c r="J137" s="20">
        <f>IFERROR(INDEX('Input - Walmart'!H$2:H$200,MATCH('Calculations - Walmart'!$D137,'Input - Walmart'!$B$2:$B$200,0)),"")</f>
        <v>0</v>
      </c>
      <c r="K137" s="21">
        <f>IFERROR(INDEX('Input - Walmart'!I$2:I$200,MATCH('Calculations - Walmart'!$D137,'Input - Walmart'!$B$2:$B$200,0)),"")</f>
        <v>0</v>
      </c>
      <c r="L137" s="21">
        <f>IFERROR(INDEX('Input - Walmart'!J$2:J$200,MATCH('Calculations - Walmart'!$D137,'Input - Walmart'!$B$2:$B$200,0)),"")</f>
        <v>0</v>
      </c>
      <c r="M137" s="20">
        <f>IFERROR(INDEX('Input - Walmart'!K$2:K$200,MATCH('Calculations - Walmart'!$D137,'Input - Walmart'!$B$2:$B$200,0)),"")</f>
        <v>0</v>
      </c>
      <c r="N137" s="20">
        <f>IFERROR(INDEX('Input - Walmart'!L$2:L$200,MATCH('Calculations - Walmart'!$D137,'Input - Walmart'!$B$2:$B$200,0)),"")</f>
        <v>0</v>
      </c>
      <c r="O137" s="21" t="str">
        <f t="shared" si="102"/>
        <v/>
      </c>
      <c r="P137" s="21" t="str">
        <f t="shared" si="86"/>
        <v/>
      </c>
      <c r="Q137" s="21">
        <f t="shared" si="103"/>
        <v>0</v>
      </c>
      <c r="R137" s="9">
        <f t="shared" si="121"/>
        <v>0</v>
      </c>
      <c r="S137" s="9">
        <f t="shared" si="122"/>
        <v>0</v>
      </c>
      <c r="T137" s="22" t="str">
        <f>IFERROR(INDEX(Walmart!$S$11:$S$192,MATCH('Calculations - Walmart'!$D137,Walmart!$N$11:$N$192,0)),"")</f>
        <v/>
      </c>
      <c r="U137" s="22" t="str">
        <f>IFERROR(INDEX(Walmart!$T$11:$T$192,MATCH('Calculations - Walmart'!$D137,Walmart!$N$11:$N$192,0)),"")</f>
        <v/>
      </c>
      <c r="V137" s="16" t="e">
        <f t="shared" si="87"/>
        <v>#VALUE!</v>
      </c>
      <c r="W137" s="16" t="e">
        <f t="shared" si="104"/>
        <v>#VALUE!</v>
      </c>
      <c r="X137" s="16" t="e">
        <f t="shared" si="105"/>
        <v>#VALUE!</v>
      </c>
      <c r="Y137" s="10" t="str">
        <f t="shared" si="88"/>
        <v>-</v>
      </c>
      <c r="Z137" s="10" t="str">
        <f t="shared" si="89"/>
        <v>-</v>
      </c>
      <c r="AA137" s="13" t="str">
        <f t="shared" si="106"/>
        <v>-</v>
      </c>
      <c r="AB137" s="9" t="str">
        <f t="shared" si="90"/>
        <v>-</v>
      </c>
      <c r="AC137" s="16" t="str">
        <f t="shared" si="107"/>
        <v>-</v>
      </c>
      <c r="AD137" s="16" t="str">
        <f t="shared" si="91"/>
        <v>-</v>
      </c>
      <c r="AE137" s="16" t="str">
        <f t="shared" si="92"/>
        <v>-</v>
      </c>
      <c r="AF137" s="16" t="str">
        <f t="shared" si="108"/>
        <v>-</v>
      </c>
      <c r="AG137" s="16"/>
      <c r="AH137" s="32" t="str">
        <f>IFERROR(INDEX(Walmart!$R$11:$R$192,MATCH('Calculations - Walmart'!D137,Walmart!$N$11:$N$192,0)),"")</f>
        <v/>
      </c>
      <c r="AI137" s="23" t="str">
        <f t="shared" si="109"/>
        <v/>
      </c>
      <c r="AJ137" s="23" t="str">
        <f t="shared" si="110"/>
        <v/>
      </c>
      <c r="AK137" s="9" t="str">
        <f t="shared" si="93"/>
        <v/>
      </c>
      <c r="AL137" s="4" t="str">
        <f t="shared" si="94"/>
        <v/>
      </c>
      <c r="AM137" s="4"/>
      <c r="AN137" s="4"/>
      <c r="AO137" s="4"/>
      <c r="AP137" s="4"/>
      <c r="AQ137" s="4"/>
      <c r="AR137" s="20" t="str">
        <f t="shared" si="95"/>
        <v>-</v>
      </c>
      <c r="AS137" s="13" t="str">
        <f t="shared" si="111"/>
        <v>-</v>
      </c>
      <c r="AT137" s="13" t="str">
        <f t="shared" si="112"/>
        <v>-</v>
      </c>
      <c r="AU137" s="13" t="str">
        <f t="shared" si="96"/>
        <v>-</v>
      </c>
      <c r="AV137" s="16" t="str">
        <f t="shared" si="113"/>
        <v>-</v>
      </c>
      <c r="AW137" s="16" t="str">
        <f t="shared" si="97"/>
        <v>-</v>
      </c>
      <c r="AX137" s="16" t="str">
        <f t="shared" si="98"/>
        <v>-</v>
      </c>
      <c r="AY137" s="16" t="str">
        <f t="shared" si="114"/>
        <v>-</v>
      </c>
      <c r="AZ137" s="13" t="str">
        <f t="shared" si="115"/>
        <v>-</v>
      </c>
      <c r="BA137" s="10" t="str">
        <f t="shared" si="116"/>
        <v>-</v>
      </c>
      <c r="BB137" s="9" t="str">
        <f t="shared" si="117"/>
        <v>-</v>
      </c>
      <c r="BC137" s="13" t="str">
        <f t="shared" si="118"/>
        <v>-</v>
      </c>
      <c r="BD137" s="10" t="str">
        <f t="shared" si="119"/>
        <v>-</v>
      </c>
      <c r="BE137" s="13" t="str">
        <f t="shared" si="120"/>
        <v>-</v>
      </c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</row>
    <row r="138" spans="2:70" x14ac:dyDescent="0.3">
      <c r="B138" s="96" t="str">
        <f t="shared" si="99"/>
        <v/>
      </c>
      <c r="C138" s="96" t="str">
        <f t="shared" si="100"/>
        <v/>
      </c>
      <c r="D138" s="96" t="str">
        <f t="shared" si="101"/>
        <v/>
      </c>
      <c r="E138" s="3"/>
      <c r="F138" s="3"/>
      <c r="G138" s="3"/>
      <c r="H138" s="3"/>
      <c r="I138" s="20">
        <f>IFERROR(INDEX('Input - Walmart'!G$2:G$200,MATCH('Calculations - Walmart'!$D138,'Input - Walmart'!$B$2:$B$200,0)),"")</f>
        <v>0</v>
      </c>
      <c r="J138" s="20">
        <f>IFERROR(INDEX('Input - Walmart'!H$2:H$200,MATCH('Calculations - Walmart'!$D138,'Input - Walmart'!$B$2:$B$200,0)),"")</f>
        <v>0</v>
      </c>
      <c r="K138" s="21">
        <f>IFERROR(INDEX('Input - Walmart'!I$2:I$200,MATCH('Calculations - Walmart'!$D138,'Input - Walmart'!$B$2:$B$200,0)),"")</f>
        <v>0</v>
      </c>
      <c r="L138" s="21">
        <f>IFERROR(INDEX('Input - Walmart'!J$2:J$200,MATCH('Calculations - Walmart'!$D138,'Input - Walmart'!$B$2:$B$200,0)),"")</f>
        <v>0</v>
      </c>
      <c r="M138" s="20">
        <f>IFERROR(INDEX('Input - Walmart'!K$2:K$200,MATCH('Calculations - Walmart'!$D138,'Input - Walmart'!$B$2:$B$200,0)),"")</f>
        <v>0</v>
      </c>
      <c r="N138" s="20">
        <f>IFERROR(INDEX('Input - Walmart'!L$2:L$200,MATCH('Calculations - Walmart'!$D138,'Input - Walmart'!$B$2:$B$200,0)),"")</f>
        <v>0</v>
      </c>
      <c r="O138" s="21" t="str">
        <f t="shared" si="102"/>
        <v/>
      </c>
      <c r="P138" s="21" t="str">
        <f t="shared" si="86"/>
        <v/>
      </c>
      <c r="Q138" s="21">
        <f t="shared" si="103"/>
        <v>0</v>
      </c>
      <c r="R138" s="9">
        <f t="shared" si="121"/>
        <v>0</v>
      </c>
      <c r="S138" s="9">
        <f t="shared" si="122"/>
        <v>0</v>
      </c>
      <c r="T138" s="22" t="str">
        <f>IFERROR(INDEX(Walmart!$S$11:$S$192,MATCH('Calculations - Walmart'!$D138,Walmart!$N$11:$N$192,0)),"")</f>
        <v/>
      </c>
      <c r="U138" s="22" t="str">
        <f>IFERROR(INDEX(Walmart!$T$11:$T$192,MATCH('Calculations - Walmart'!$D138,Walmart!$N$11:$N$192,0)),"")</f>
        <v/>
      </c>
      <c r="V138" s="16" t="e">
        <f t="shared" si="87"/>
        <v>#VALUE!</v>
      </c>
      <c r="W138" s="16" t="e">
        <f t="shared" si="104"/>
        <v>#VALUE!</v>
      </c>
      <c r="X138" s="16" t="e">
        <f t="shared" si="105"/>
        <v>#VALUE!</v>
      </c>
      <c r="Y138" s="10" t="str">
        <f t="shared" si="88"/>
        <v>-</v>
      </c>
      <c r="Z138" s="10" t="str">
        <f t="shared" si="89"/>
        <v>-</v>
      </c>
      <c r="AA138" s="13" t="str">
        <f t="shared" si="106"/>
        <v>-</v>
      </c>
      <c r="AB138" s="9" t="str">
        <f t="shared" si="90"/>
        <v>-</v>
      </c>
      <c r="AC138" s="16" t="str">
        <f t="shared" si="107"/>
        <v>-</v>
      </c>
      <c r="AD138" s="16" t="str">
        <f t="shared" si="91"/>
        <v>-</v>
      </c>
      <c r="AE138" s="16" t="str">
        <f t="shared" si="92"/>
        <v>-</v>
      </c>
      <c r="AF138" s="16" t="str">
        <f t="shared" si="108"/>
        <v>-</v>
      </c>
      <c r="AG138" s="16"/>
      <c r="AH138" s="32" t="str">
        <f>IFERROR(INDEX(Walmart!$R$11:$R$192,MATCH('Calculations - Walmart'!D138,Walmart!$N$11:$N$192,0)),"")</f>
        <v/>
      </c>
      <c r="AI138" s="23" t="str">
        <f t="shared" si="109"/>
        <v/>
      </c>
      <c r="AJ138" s="23" t="str">
        <f t="shared" si="110"/>
        <v/>
      </c>
      <c r="AK138" s="9" t="str">
        <f t="shared" si="93"/>
        <v/>
      </c>
      <c r="AL138" s="4" t="str">
        <f t="shared" si="94"/>
        <v/>
      </c>
      <c r="AM138" s="4"/>
      <c r="AN138" s="4"/>
      <c r="AO138" s="4"/>
      <c r="AP138" s="4"/>
      <c r="AQ138" s="4"/>
      <c r="AR138" s="20" t="str">
        <f t="shared" si="95"/>
        <v>-</v>
      </c>
      <c r="AS138" s="13" t="str">
        <f t="shared" si="111"/>
        <v>-</v>
      </c>
      <c r="AT138" s="13" t="str">
        <f t="shared" si="112"/>
        <v>-</v>
      </c>
      <c r="AU138" s="13" t="str">
        <f t="shared" si="96"/>
        <v>-</v>
      </c>
      <c r="AV138" s="16" t="str">
        <f t="shared" si="113"/>
        <v>-</v>
      </c>
      <c r="AW138" s="16" t="str">
        <f t="shared" si="97"/>
        <v>-</v>
      </c>
      <c r="AX138" s="16" t="str">
        <f t="shared" si="98"/>
        <v>-</v>
      </c>
      <c r="AY138" s="16" t="str">
        <f t="shared" si="114"/>
        <v>-</v>
      </c>
      <c r="AZ138" s="13" t="str">
        <f t="shared" si="115"/>
        <v>-</v>
      </c>
      <c r="BA138" s="10" t="str">
        <f t="shared" si="116"/>
        <v>-</v>
      </c>
      <c r="BB138" s="9" t="str">
        <f t="shared" si="117"/>
        <v>-</v>
      </c>
      <c r="BC138" s="13" t="str">
        <f t="shared" si="118"/>
        <v>-</v>
      </c>
      <c r="BD138" s="10" t="str">
        <f t="shared" si="119"/>
        <v>-</v>
      </c>
      <c r="BE138" s="13" t="str">
        <f t="shared" si="120"/>
        <v>-</v>
      </c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</row>
    <row r="139" spans="2:70" x14ac:dyDescent="0.3">
      <c r="B139" s="96" t="str">
        <f t="shared" si="99"/>
        <v/>
      </c>
      <c r="C139" s="96" t="str">
        <f t="shared" si="100"/>
        <v/>
      </c>
      <c r="D139" s="96" t="str">
        <f t="shared" si="101"/>
        <v/>
      </c>
      <c r="E139" s="3"/>
      <c r="F139" s="3"/>
      <c r="G139" s="3"/>
      <c r="H139" s="3"/>
      <c r="I139" s="20">
        <f>IFERROR(INDEX('Input - Walmart'!G$2:G$200,MATCH('Calculations - Walmart'!$D139,'Input - Walmart'!$B$2:$B$200,0)),"")</f>
        <v>0</v>
      </c>
      <c r="J139" s="20">
        <f>IFERROR(INDEX('Input - Walmart'!H$2:H$200,MATCH('Calculations - Walmart'!$D139,'Input - Walmart'!$B$2:$B$200,0)),"")</f>
        <v>0</v>
      </c>
      <c r="K139" s="21">
        <f>IFERROR(INDEX('Input - Walmart'!I$2:I$200,MATCH('Calculations - Walmart'!$D139,'Input - Walmart'!$B$2:$B$200,0)),"")</f>
        <v>0</v>
      </c>
      <c r="L139" s="21">
        <f>IFERROR(INDEX('Input - Walmart'!J$2:J$200,MATCH('Calculations - Walmart'!$D139,'Input - Walmart'!$B$2:$B$200,0)),"")</f>
        <v>0</v>
      </c>
      <c r="M139" s="20">
        <f>IFERROR(INDEX('Input - Walmart'!K$2:K$200,MATCH('Calculations - Walmart'!$D139,'Input - Walmart'!$B$2:$B$200,0)),"")</f>
        <v>0</v>
      </c>
      <c r="N139" s="20">
        <f>IFERROR(INDEX('Input - Walmart'!L$2:L$200,MATCH('Calculations - Walmart'!$D139,'Input - Walmart'!$B$2:$B$200,0)),"")</f>
        <v>0</v>
      </c>
      <c r="O139" s="21" t="str">
        <f t="shared" si="102"/>
        <v/>
      </c>
      <c r="P139" s="21" t="str">
        <f t="shared" si="86"/>
        <v/>
      </c>
      <c r="Q139" s="21">
        <f t="shared" si="103"/>
        <v>0</v>
      </c>
      <c r="R139" s="9">
        <f t="shared" si="121"/>
        <v>0</v>
      </c>
      <c r="S139" s="9">
        <f t="shared" si="122"/>
        <v>0</v>
      </c>
      <c r="T139" s="22" t="str">
        <f>IFERROR(INDEX(Walmart!$S$11:$S$192,MATCH('Calculations - Walmart'!$D139,Walmart!$N$11:$N$192,0)),"")</f>
        <v/>
      </c>
      <c r="U139" s="22" t="str">
        <f>IFERROR(INDEX(Walmart!$T$11:$T$192,MATCH('Calculations - Walmart'!$D139,Walmart!$N$11:$N$192,0)),"")</f>
        <v/>
      </c>
      <c r="V139" s="16" t="e">
        <f t="shared" si="87"/>
        <v>#VALUE!</v>
      </c>
      <c r="W139" s="16" t="e">
        <f t="shared" si="104"/>
        <v>#VALUE!</v>
      </c>
      <c r="X139" s="16" t="e">
        <f t="shared" si="105"/>
        <v>#VALUE!</v>
      </c>
      <c r="Y139" s="10" t="str">
        <f t="shared" si="88"/>
        <v>-</v>
      </c>
      <c r="Z139" s="10" t="str">
        <f t="shared" si="89"/>
        <v>-</v>
      </c>
      <c r="AA139" s="13" t="str">
        <f t="shared" si="106"/>
        <v>-</v>
      </c>
      <c r="AB139" s="9" t="str">
        <f t="shared" si="90"/>
        <v>-</v>
      </c>
      <c r="AC139" s="16" t="str">
        <f t="shared" si="107"/>
        <v>-</v>
      </c>
      <c r="AD139" s="16" t="str">
        <f t="shared" si="91"/>
        <v>-</v>
      </c>
      <c r="AE139" s="16" t="str">
        <f t="shared" si="92"/>
        <v>-</v>
      </c>
      <c r="AF139" s="16" t="str">
        <f t="shared" si="108"/>
        <v>-</v>
      </c>
      <c r="AG139" s="16"/>
      <c r="AH139" s="32" t="str">
        <f>IFERROR(INDEX(Walmart!$R$11:$R$192,MATCH('Calculations - Walmart'!D139,Walmart!$N$11:$N$192,0)),"")</f>
        <v/>
      </c>
      <c r="AI139" s="23" t="str">
        <f t="shared" si="109"/>
        <v/>
      </c>
      <c r="AJ139" s="23" t="str">
        <f t="shared" si="110"/>
        <v/>
      </c>
      <c r="AK139" s="9" t="str">
        <f t="shared" si="93"/>
        <v/>
      </c>
      <c r="AL139" s="4" t="str">
        <f t="shared" si="94"/>
        <v/>
      </c>
      <c r="AM139" s="4"/>
      <c r="AN139" s="4"/>
      <c r="AO139" s="4"/>
      <c r="AP139" s="4"/>
      <c r="AQ139" s="4"/>
      <c r="AR139" s="20" t="str">
        <f t="shared" si="95"/>
        <v>-</v>
      </c>
      <c r="AS139" s="13" t="str">
        <f t="shared" si="111"/>
        <v>-</v>
      </c>
      <c r="AT139" s="13" t="str">
        <f t="shared" si="112"/>
        <v>-</v>
      </c>
      <c r="AU139" s="13" t="str">
        <f t="shared" si="96"/>
        <v>-</v>
      </c>
      <c r="AV139" s="16" t="str">
        <f t="shared" si="113"/>
        <v>-</v>
      </c>
      <c r="AW139" s="16" t="str">
        <f t="shared" si="97"/>
        <v>-</v>
      </c>
      <c r="AX139" s="16" t="str">
        <f t="shared" si="98"/>
        <v>-</v>
      </c>
      <c r="AY139" s="16" t="str">
        <f t="shared" si="114"/>
        <v>-</v>
      </c>
      <c r="AZ139" s="13" t="str">
        <f t="shared" si="115"/>
        <v>-</v>
      </c>
      <c r="BA139" s="10" t="str">
        <f t="shared" si="116"/>
        <v>-</v>
      </c>
      <c r="BB139" s="9" t="str">
        <f t="shared" si="117"/>
        <v>-</v>
      </c>
      <c r="BC139" s="13" t="str">
        <f t="shared" si="118"/>
        <v>-</v>
      </c>
      <c r="BD139" s="10" t="str">
        <f t="shared" si="119"/>
        <v>-</v>
      </c>
      <c r="BE139" s="13" t="str">
        <f t="shared" si="120"/>
        <v>-</v>
      </c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</row>
    <row r="140" spans="2:70" x14ac:dyDescent="0.3">
      <c r="B140" s="96" t="str">
        <f t="shared" si="99"/>
        <v/>
      </c>
      <c r="C140" s="96" t="str">
        <f t="shared" si="100"/>
        <v/>
      </c>
      <c r="D140" s="96" t="str">
        <f t="shared" si="101"/>
        <v/>
      </c>
      <c r="E140" s="3"/>
      <c r="F140" s="3"/>
      <c r="G140" s="3"/>
      <c r="H140" s="3"/>
      <c r="I140" s="20">
        <f>IFERROR(INDEX('Input - Walmart'!G$2:G$200,MATCH('Calculations - Walmart'!$D140,'Input - Walmart'!$B$2:$B$200,0)),"")</f>
        <v>0</v>
      </c>
      <c r="J140" s="20">
        <f>IFERROR(INDEX('Input - Walmart'!H$2:H$200,MATCH('Calculations - Walmart'!$D140,'Input - Walmart'!$B$2:$B$200,0)),"")</f>
        <v>0</v>
      </c>
      <c r="K140" s="21">
        <f>IFERROR(INDEX('Input - Walmart'!I$2:I$200,MATCH('Calculations - Walmart'!$D140,'Input - Walmart'!$B$2:$B$200,0)),"")</f>
        <v>0</v>
      </c>
      <c r="L140" s="21">
        <f>IFERROR(INDEX('Input - Walmart'!J$2:J$200,MATCH('Calculations - Walmart'!$D140,'Input - Walmart'!$B$2:$B$200,0)),"")</f>
        <v>0</v>
      </c>
      <c r="M140" s="20">
        <f>IFERROR(INDEX('Input - Walmart'!K$2:K$200,MATCH('Calculations - Walmart'!$D140,'Input - Walmart'!$B$2:$B$200,0)),"")</f>
        <v>0</v>
      </c>
      <c r="N140" s="20">
        <f>IFERROR(INDEX('Input - Walmart'!L$2:L$200,MATCH('Calculations - Walmart'!$D140,'Input - Walmart'!$B$2:$B$200,0)),"")</f>
        <v>0</v>
      </c>
      <c r="O140" s="21" t="str">
        <f t="shared" si="102"/>
        <v/>
      </c>
      <c r="P140" s="21" t="str">
        <f t="shared" si="86"/>
        <v/>
      </c>
      <c r="Q140" s="21">
        <f t="shared" si="103"/>
        <v>0</v>
      </c>
      <c r="R140" s="9">
        <f t="shared" si="121"/>
        <v>0</v>
      </c>
      <c r="S140" s="9">
        <f t="shared" si="122"/>
        <v>0</v>
      </c>
      <c r="T140" s="22" t="str">
        <f>IFERROR(INDEX(Walmart!$S$11:$S$192,MATCH('Calculations - Walmart'!$D140,Walmart!$N$11:$N$192,0)),"")</f>
        <v/>
      </c>
      <c r="U140" s="22" t="str">
        <f>IFERROR(INDEX(Walmart!$T$11:$T$192,MATCH('Calculations - Walmart'!$D140,Walmart!$N$11:$N$192,0)),"")</f>
        <v/>
      </c>
      <c r="V140" s="16" t="e">
        <f t="shared" si="87"/>
        <v>#VALUE!</v>
      </c>
      <c r="W140" s="16" t="e">
        <f t="shared" si="104"/>
        <v>#VALUE!</v>
      </c>
      <c r="X140" s="16" t="e">
        <f t="shared" si="105"/>
        <v>#VALUE!</v>
      </c>
      <c r="Y140" s="10" t="str">
        <f t="shared" si="88"/>
        <v>-</v>
      </c>
      <c r="Z140" s="10" t="str">
        <f t="shared" si="89"/>
        <v>-</v>
      </c>
      <c r="AA140" s="13" t="str">
        <f t="shared" si="106"/>
        <v>-</v>
      </c>
      <c r="AB140" s="9" t="str">
        <f t="shared" si="90"/>
        <v>-</v>
      </c>
      <c r="AC140" s="16" t="str">
        <f t="shared" si="107"/>
        <v>-</v>
      </c>
      <c r="AD140" s="16" t="str">
        <f t="shared" si="91"/>
        <v>-</v>
      </c>
      <c r="AE140" s="16" t="str">
        <f t="shared" si="92"/>
        <v>-</v>
      </c>
      <c r="AF140" s="16" t="str">
        <f t="shared" si="108"/>
        <v>-</v>
      </c>
      <c r="AG140" s="16"/>
      <c r="AH140" s="32" t="str">
        <f>IFERROR(INDEX(Walmart!$R$11:$R$192,MATCH('Calculations - Walmart'!D140,Walmart!$N$11:$N$192,0)),"")</f>
        <v/>
      </c>
      <c r="AI140" s="23" t="str">
        <f t="shared" si="109"/>
        <v/>
      </c>
      <c r="AJ140" s="23" t="str">
        <f t="shared" si="110"/>
        <v/>
      </c>
      <c r="AK140" s="9" t="str">
        <f t="shared" si="93"/>
        <v/>
      </c>
      <c r="AL140" s="4" t="str">
        <f t="shared" si="94"/>
        <v/>
      </c>
      <c r="AM140" s="4"/>
      <c r="AN140" s="4"/>
      <c r="AO140" s="4"/>
      <c r="AP140" s="4"/>
      <c r="AQ140" s="4"/>
      <c r="AR140" s="20" t="str">
        <f t="shared" si="95"/>
        <v>-</v>
      </c>
      <c r="AS140" s="13" t="str">
        <f t="shared" si="111"/>
        <v>-</v>
      </c>
      <c r="AT140" s="13" t="str">
        <f t="shared" si="112"/>
        <v>-</v>
      </c>
      <c r="AU140" s="13" t="str">
        <f t="shared" si="96"/>
        <v>-</v>
      </c>
      <c r="AV140" s="16" t="str">
        <f t="shared" si="113"/>
        <v>-</v>
      </c>
      <c r="AW140" s="16" t="str">
        <f t="shared" si="97"/>
        <v>-</v>
      </c>
      <c r="AX140" s="16" t="str">
        <f t="shared" si="98"/>
        <v>-</v>
      </c>
      <c r="AY140" s="16" t="str">
        <f t="shared" si="114"/>
        <v>-</v>
      </c>
      <c r="AZ140" s="13" t="str">
        <f t="shared" si="115"/>
        <v>-</v>
      </c>
      <c r="BA140" s="10" t="str">
        <f t="shared" si="116"/>
        <v>-</v>
      </c>
      <c r="BB140" s="9" t="str">
        <f t="shared" si="117"/>
        <v>-</v>
      </c>
      <c r="BC140" s="13" t="str">
        <f t="shared" si="118"/>
        <v>-</v>
      </c>
      <c r="BD140" s="10" t="str">
        <f t="shared" si="119"/>
        <v>-</v>
      </c>
      <c r="BE140" s="13" t="str">
        <f t="shared" si="120"/>
        <v>-</v>
      </c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</row>
    <row r="141" spans="2:70" x14ac:dyDescent="0.3">
      <c r="B141" s="96" t="str">
        <f t="shared" si="99"/>
        <v/>
      </c>
      <c r="C141" s="96" t="str">
        <f t="shared" si="100"/>
        <v/>
      </c>
      <c r="D141" s="96" t="str">
        <f t="shared" si="101"/>
        <v/>
      </c>
      <c r="E141" s="3"/>
      <c r="F141" s="3"/>
      <c r="G141" s="3"/>
      <c r="H141" s="3"/>
      <c r="I141" s="20">
        <f>IFERROR(INDEX('Input - Walmart'!G$2:G$200,MATCH('Calculations - Walmart'!$D141,'Input - Walmart'!$B$2:$B$200,0)),"")</f>
        <v>0</v>
      </c>
      <c r="J141" s="20">
        <f>IFERROR(INDEX('Input - Walmart'!H$2:H$200,MATCH('Calculations - Walmart'!$D141,'Input - Walmart'!$B$2:$B$200,0)),"")</f>
        <v>0</v>
      </c>
      <c r="K141" s="21">
        <f>IFERROR(INDEX('Input - Walmart'!I$2:I$200,MATCH('Calculations - Walmart'!$D141,'Input - Walmart'!$B$2:$B$200,0)),"")</f>
        <v>0</v>
      </c>
      <c r="L141" s="21">
        <f>IFERROR(INDEX('Input - Walmart'!J$2:J$200,MATCH('Calculations - Walmart'!$D141,'Input - Walmart'!$B$2:$B$200,0)),"")</f>
        <v>0</v>
      </c>
      <c r="M141" s="20">
        <f>IFERROR(INDEX('Input - Walmart'!K$2:K$200,MATCH('Calculations - Walmart'!$D141,'Input - Walmart'!$B$2:$B$200,0)),"")</f>
        <v>0</v>
      </c>
      <c r="N141" s="20">
        <f>IFERROR(INDEX('Input - Walmart'!L$2:L$200,MATCH('Calculations - Walmart'!$D141,'Input - Walmart'!$B$2:$B$200,0)),"")</f>
        <v>0</v>
      </c>
      <c r="O141" s="21" t="str">
        <f t="shared" si="102"/>
        <v/>
      </c>
      <c r="P141" s="21" t="str">
        <f t="shared" si="86"/>
        <v/>
      </c>
      <c r="Q141" s="21">
        <f t="shared" si="103"/>
        <v>0</v>
      </c>
      <c r="R141" s="9">
        <f t="shared" si="121"/>
        <v>0</v>
      </c>
      <c r="S141" s="9">
        <f t="shared" si="122"/>
        <v>0</v>
      </c>
      <c r="T141" s="22" t="str">
        <f>IFERROR(INDEX(Walmart!$S$11:$S$192,MATCH('Calculations - Walmart'!$D141,Walmart!$N$11:$N$192,0)),"")</f>
        <v/>
      </c>
      <c r="U141" s="22" t="str">
        <f>IFERROR(INDEX(Walmart!$T$11:$T$192,MATCH('Calculations - Walmart'!$D141,Walmart!$N$11:$N$192,0)),"")</f>
        <v/>
      </c>
      <c r="V141" s="16" t="e">
        <f t="shared" si="87"/>
        <v>#VALUE!</v>
      </c>
      <c r="W141" s="16" t="e">
        <f t="shared" si="104"/>
        <v>#VALUE!</v>
      </c>
      <c r="X141" s="16" t="e">
        <f t="shared" si="105"/>
        <v>#VALUE!</v>
      </c>
      <c r="Y141" s="10" t="str">
        <f t="shared" si="88"/>
        <v>-</v>
      </c>
      <c r="Z141" s="10" t="str">
        <f t="shared" si="89"/>
        <v>-</v>
      </c>
      <c r="AA141" s="13" t="str">
        <f t="shared" si="106"/>
        <v>-</v>
      </c>
      <c r="AB141" s="9" t="str">
        <f t="shared" si="90"/>
        <v>-</v>
      </c>
      <c r="AC141" s="16" t="str">
        <f t="shared" si="107"/>
        <v>-</v>
      </c>
      <c r="AD141" s="16" t="str">
        <f t="shared" si="91"/>
        <v>-</v>
      </c>
      <c r="AE141" s="16" t="str">
        <f t="shared" si="92"/>
        <v>-</v>
      </c>
      <c r="AF141" s="16" t="str">
        <f t="shared" si="108"/>
        <v>-</v>
      </c>
      <c r="AG141" s="16"/>
      <c r="AH141" s="32" t="str">
        <f>IFERROR(INDEX(Walmart!$R$11:$R$192,MATCH('Calculations - Walmart'!D141,Walmart!$N$11:$N$192,0)),"")</f>
        <v/>
      </c>
      <c r="AI141" s="23" t="str">
        <f t="shared" si="109"/>
        <v/>
      </c>
      <c r="AJ141" s="23" t="str">
        <f t="shared" si="110"/>
        <v/>
      </c>
      <c r="AK141" s="9" t="str">
        <f t="shared" si="93"/>
        <v/>
      </c>
      <c r="AL141" s="4" t="str">
        <f t="shared" si="94"/>
        <v/>
      </c>
      <c r="AM141" s="4"/>
      <c r="AN141" s="4"/>
      <c r="AO141" s="4"/>
      <c r="AP141" s="4"/>
      <c r="AQ141" s="4"/>
      <c r="AR141" s="20" t="str">
        <f t="shared" si="95"/>
        <v>-</v>
      </c>
      <c r="AS141" s="13" t="str">
        <f t="shared" si="111"/>
        <v>-</v>
      </c>
      <c r="AT141" s="13" t="str">
        <f t="shared" si="112"/>
        <v>-</v>
      </c>
      <c r="AU141" s="13" t="str">
        <f t="shared" si="96"/>
        <v>-</v>
      </c>
      <c r="AV141" s="16" t="str">
        <f t="shared" si="113"/>
        <v>-</v>
      </c>
      <c r="AW141" s="16" t="str">
        <f t="shared" si="97"/>
        <v>-</v>
      </c>
      <c r="AX141" s="16" t="str">
        <f t="shared" si="98"/>
        <v>-</v>
      </c>
      <c r="AY141" s="16" t="str">
        <f t="shared" si="114"/>
        <v>-</v>
      </c>
      <c r="AZ141" s="13" t="str">
        <f t="shared" si="115"/>
        <v>-</v>
      </c>
      <c r="BA141" s="10" t="str">
        <f t="shared" si="116"/>
        <v>-</v>
      </c>
      <c r="BB141" s="9" t="str">
        <f t="shared" si="117"/>
        <v>-</v>
      </c>
      <c r="BC141" s="13" t="str">
        <f t="shared" si="118"/>
        <v>-</v>
      </c>
      <c r="BD141" s="10" t="str">
        <f t="shared" si="119"/>
        <v>-</v>
      </c>
      <c r="BE141" s="13" t="str">
        <f t="shared" si="120"/>
        <v>-</v>
      </c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</row>
    <row r="142" spans="2:70" x14ac:dyDescent="0.3">
      <c r="B142" s="96" t="str">
        <f t="shared" si="99"/>
        <v/>
      </c>
      <c r="C142" s="96" t="str">
        <f t="shared" si="100"/>
        <v/>
      </c>
      <c r="D142" s="96" t="str">
        <f t="shared" si="101"/>
        <v/>
      </c>
      <c r="E142" s="3"/>
      <c r="F142" s="3"/>
      <c r="G142" s="3"/>
      <c r="H142" s="3"/>
      <c r="I142" s="20">
        <f>IFERROR(INDEX('Input - Walmart'!G$2:G$200,MATCH('Calculations - Walmart'!$D142,'Input - Walmart'!$B$2:$B$200,0)),"")</f>
        <v>0</v>
      </c>
      <c r="J142" s="20">
        <f>IFERROR(INDEX('Input - Walmart'!H$2:H$200,MATCH('Calculations - Walmart'!$D142,'Input - Walmart'!$B$2:$B$200,0)),"")</f>
        <v>0</v>
      </c>
      <c r="K142" s="21">
        <f>IFERROR(INDEX('Input - Walmart'!I$2:I$200,MATCH('Calculations - Walmart'!$D142,'Input - Walmart'!$B$2:$B$200,0)),"")</f>
        <v>0</v>
      </c>
      <c r="L142" s="21">
        <f>IFERROR(INDEX('Input - Walmart'!J$2:J$200,MATCH('Calculations - Walmart'!$D142,'Input - Walmart'!$B$2:$B$200,0)),"")</f>
        <v>0</v>
      </c>
      <c r="M142" s="20">
        <f>IFERROR(INDEX('Input - Walmart'!K$2:K$200,MATCH('Calculations - Walmart'!$D142,'Input - Walmart'!$B$2:$B$200,0)),"")</f>
        <v>0</v>
      </c>
      <c r="N142" s="20">
        <f>IFERROR(INDEX('Input - Walmart'!L$2:L$200,MATCH('Calculations - Walmart'!$D142,'Input - Walmart'!$B$2:$B$200,0)),"")</f>
        <v>0</v>
      </c>
      <c r="O142" s="21" t="str">
        <f t="shared" si="102"/>
        <v/>
      </c>
      <c r="P142" s="21" t="str">
        <f t="shared" si="86"/>
        <v/>
      </c>
      <c r="Q142" s="21">
        <f t="shared" si="103"/>
        <v>0</v>
      </c>
      <c r="R142" s="9">
        <f t="shared" si="121"/>
        <v>0</v>
      </c>
      <c r="S142" s="9">
        <f t="shared" si="122"/>
        <v>0</v>
      </c>
      <c r="T142" s="22" t="str">
        <f>IFERROR(INDEX(Walmart!$S$11:$S$192,MATCH('Calculations - Walmart'!$D142,Walmart!$N$11:$N$192,0)),"")</f>
        <v/>
      </c>
      <c r="U142" s="22" t="str">
        <f>IFERROR(INDEX(Walmart!$T$11:$T$192,MATCH('Calculations - Walmart'!$D142,Walmart!$N$11:$N$192,0)),"")</f>
        <v/>
      </c>
      <c r="V142" s="16" t="e">
        <f t="shared" si="87"/>
        <v>#VALUE!</v>
      </c>
      <c r="W142" s="16" t="e">
        <f t="shared" si="104"/>
        <v>#VALUE!</v>
      </c>
      <c r="X142" s="16" t="e">
        <f t="shared" si="105"/>
        <v>#VALUE!</v>
      </c>
      <c r="Y142" s="10" t="str">
        <f t="shared" si="88"/>
        <v>-</v>
      </c>
      <c r="Z142" s="10" t="str">
        <f t="shared" si="89"/>
        <v>-</v>
      </c>
      <c r="AA142" s="13" t="str">
        <f t="shared" si="106"/>
        <v>-</v>
      </c>
      <c r="AB142" s="9" t="str">
        <f t="shared" si="90"/>
        <v>-</v>
      </c>
      <c r="AC142" s="16" t="str">
        <f t="shared" si="107"/>
        <v>-</v>
      </c>
      <c r="AD142" s="16" t="str">
        <f t="shared" si="91"/>
        <v>-</v>
      </c>
      <c r="AE142" s="16" t="str">
        <f t="shared" si="92"/>
        <v>-</v>
      </c>
      <c r="AF142" s="16" t="str">
        <f t="shared" si="108"/>
        <v>-</v>
      </c>
      <c r="AG142" s="16"/>
      <c r="AH142" s="32" t="str">
        <f>IFERROR(INDEX(Walmart!$R$11:$R$192,MATCH('Calculations - Walmart'!D142,Walmart!$N$11:$N$192,0)),"")</f>
        <v/>
      </c>
      <c r="AI142" s="23" t="str">
        <f t="shared" si="109"/>
        <v/>
      </c>
      <c r="AJ142" s="23" t="str">
        <f t="shared" si="110"/>
        <v/>
      </c>
      <c r="AK142" s="9" t="str">
        <f t="shared" si="93"/>
        <v/>
      </c>
      <c r="AL142" s="4" t="str">
        <f t="shared" si="94"/>
        <v/>
      </c>
      <c r="AM142" s="4"/>
      <c r="AN142" s="4"/>
      <c r="AO142" s="4"/>
      <c r="AP142" s="4"/>
      <c r="AQ142" s="4"/>
      <c r="AR142" s="20" t="str">
        <f t="shared" si="95"/>
        <v>-</v>
      </c>
      <c r="AS142" s="13" t="str">
        <f t="shared" si="111"/>
        <v>-</v>
      </c>
      <c r="AT142" s="13" t="str">
        <f t="shared" si="112"/>
        <v>-</v>
      </c>
      <c r="AU142" s="13" t="str">
        <f t="shared" si="96"/>
        <v>-</v>
      </c>
      <c r="AV142" s="16" t="str">
        <f t="shared" si="113"/>
        <v>-</v>
      </c>
      <c r="AW142" s="16" t="str">
        <f t="shared" si="97"/>
        <v>-</v>
      </c>
      <c r="AX142" s="16" t="str">
        <f t="shared" si="98"/>
        <v>-</v>
      </c>
      <c r="AY142" s="16" t="str">
        <f t="shared" si="114"/>
        <v>-</v>
      </c>
      <c r="AZ142" s="13" t="str">
        <f t="shared" si="115"/>
        <v>-</v>
      </c>
      <c r="BA142" s="10" t="str">
        <f t="shared" si="116"/>
        <v>-</v>
      </c>
      <c r="BB142" s="9" t="str">
        <f t="shared" si="117"/>
        <v>-</v>
      </c>
      <c r="BC142" s="13" t="str">
        <f t="shared" si="118"/>
        <v>-</v>
      </c>
      <c r="BD142" s="10" t="str">
        <f t="shared" si="119"/>
        <v>-</v>
      </c>
      <c r="BE142" s="13" t="str">
        <f t="shared" si="120"/>
        <v>-</v>
      </c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</row>
    <row r="143" spans="2:70" x14ac:dyDescent="0.3">
      <c r="B143" s="96" t="str">
        <f t="shared" si="99"/>
        <v/>
      </c>
      <c r="C143" s="96" t="str">
        <f t="shared" si="100"/>
        <v/>
      </c>
      <c r="D143" s="96" t="str">
        <f t="shared" si="101"/>
        <v/>
      </c>
      <c r="E143" s="3"/>
      <c r="F143" s="3"/>
      <c r="G143" s="3"/>
      <c r="H143" s="3"/>
      <c r="I143" s="20">
        <f>IFERROR(INDEX('Input - Walmart'!G$2:G$200,MATCH('Calculations - Walmart'!$D143,'Input - Walmart'!$B$2:$B$200,0)),"")</f>
        <v>0</v>
      </c>
      <c r="J143" s="20">
        <f>IFERROR(INDEX('Input - Walmart'!H$2:H$200,MATCH('Calculations - Walmart'!$D143,'Input - Walmart'!$B$2:$B$200,0)),"")</f>
        <v>0</v>
      </c>
      <c r="K143" s="21">
        <f>IFERROR(INDEX('Input - Walmart'!I$2:I$200,MATCH('Calculations - Walmart'!$D143,'Input - Walmart'!$B$2:$B$200,0)),"")</f>
        <v>0</v>
      </c>
      <c r="L143" s="21">
        <f>IFERROR(INDEX('Input - Walmart'!J$2:J$200,MATCH('Calculations - Walmart'!$D143,'Input - Walmart'!$B$2:$B$200,0)),"")</f>
        <v>0</v>
      </c>
      <c r="M143" s="20">
        <f>IFERROR(INDEX('Input - Walmart'!K$2:K$200,MATCH('Calculations - Walmart'!$D143,'Input - Walmart'!$B$2:$B$200,0)),"")</f>
        <v>0</v>
      </c>
      <c r="N143" s="20">
        <f>IFERROR(INDEX('Input - Walmart'!L$2:L$200,MATCH('Calculations - Walmart'!$D143,'Input - Walmart'!$B$2:$B$200,0)),"")</f>
        <v>0</v>
      </c>
      <c r="O143" s="21" t="str">
        <f t="shared" si="102"/>
        <v/>
      </c>
      <c r="P143" s="21" t="str">
        <f t="shared" si="86"/>
        <v/>
      </c>
      <c r="Q143" s="21">
        <f t="shared" si="103"/>
        <v>0</v>
      </c>
      <c r="R143" s="9">
        <f t="shared" si="121"/>
        <v>0</v>
      </c>
      <c r="S143" s="9">
        <f t="shared" si="122"/>
        <v>0</v>
      </c>
      <c r="T143" s="22" t="str">
        <f>IFERROR(INDEX(Walmart!$S$11:$S$192,MATCH('Calculations - Walmart'!$D143,Walmart!$N$11:$N$192,0)),"")</f>
        <v/>
      </c>
      <c r="U143" s="22" t="str">
        <f>IFERROR(INDEX(Walmart!$T$11:$T$192,MATCH('Calculations - Walmart'!$D143,Walmart!$N$11:$N$192,0)),"")</f>
        <v/>
      </c>
      <c r="V143" s="16" t="e">
        <f t="shared" si="87"/>
        <v>#VALUE!</v>
      </c>
      <c r="W143" s="16" t="e">
        <f t="shared" si="104"/>
        <v>#VALUE!</v>
      </c>
      <c r="X143" s="16" t="e">
        <f t="shared" si="105"/>
        <v>#VALUE!</v>
      </c>
      <c r="Y143" s="10" t="str">
        <f t="shared" si="88"/>
        <v>-</v>
      </c>
      <c r="Z143" s="10" t="str">
        <f t="shared" si="89"/>
        <v>-</v>
      </c>
      <c r="AA143" s="13" t="str">
        <f t="shared" si="106"/>
        <v>-</v>
      </c>
      <c r="AB143" s="9" t="str">
        <f t="shared" si="90"/>
        <v>-</v>
      </c>
      <c r="AC143" s="16" t="str">
        <f t="shared" si="107"/>
        <v>-</v>
      </c>
      <c r="AD143" s="16" t="str">
        <f t="shared" si="91"/>
        <v>-</v>
      </c>
      <c r="AE143" s="16" t="str">
        <f t="shared" si="92"/>
        <v>-</v>
      </c>
      <c r="AF143" s="16" t="str">
        <f t="shared" si="108"/>
        <v>-</v>
      </c>
      <c r="AG143" s="16"/>
      <c r="AH143" s="32" t="str">
        <f>IFERROR(INDEX(Walmart!$R$11:$R$192,MATCH('Calculations - Walmart'!D143,Walmart!$N$11:$N$192,0)),"")</f>
        <v/>
      </c>
      <c r="AI143" s="23" t="str">
        <f t="shared" si="109"/>
        <v/>
      </c>
      <c r="AJ143" s="23" t="str">
        <f t="shared" si="110"/>
        <v/>
      </c>
      <c r="AK143" s="9" t="str">
        <f t="shared" si="93"/>
        <v/>
      </c>
      <c r="AL143" s="4" t="str">
        <f t="shared" si="94"/>
        <v/>
      </c>
      <c r="AM143" s="4"/>
      <c r="AN143" s="4"/>
      <c r="AO143" s="4"/>
      <c r="AP143" s="4"/>
      <c r="AQ143" s="4"/>
      <c r="AR143" s="20" t="str">
        <f t="shared" si="95"/>
        <v>-</v>
      </c>
      <c r="AS143" s="13" t="str">
        <f t="shared" si="111"/>
        <v>-</v>
      </c>
      <c r="AT143" s="13" t="str">
        <f t="shared" si="112"/>
        <v>-</v>
      </c>
      <c r="AU143" s="13" t="str">
        <f t="shared" si="96"/>
        <v>-</v>
      </c>
      <c r="AV143" s="16" t="str">
        <f t="shared" si="113"/>
        <v>-</v>
      </c>
      <c r="AW143" s="16" t="str">
        <f t="shared" si="97"/>
        <v>-</v>
      </c>
      <c r="AX143" s="16" t="str">
        <f t="shared" si="98"/>
        <v>-</v>
      </c>
      <c r="AY143" s="16" t="str">
        <f t="shared" si="114"/>
        <v>-</v>
      </c>
      <c r="AZ143" s="13" t="str">
        <f t="shared" si="115"/>
        <v>-</v>
      </c>
      <c r="BA143" s="10" t="str">
        <f t="shared" si="116"/>
        <v>-</v>
      </c>
      <c r="BB143" s="9" t="str">
        <f t="shared" si="117"/>
        <v>-</v>
      </c>
      <c r="BC143" s="13" t="str">
        <f t="shared" si="118"/>
        <v>-</v>
      </c>
      <c r="BD143" s="10" t="str">
        <f t="shared" si="119"/>
        <v>-</v>
      </c>
      <c r="BE143" s="13" t="str">
        <f t="shared" si="120"/>
        <v>-</v>
      </c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</row>
    <row r="144" spans="2:70" x14ac:dyDescent="0.3">
      <c r="B144" s="96" t="str">
        <f t="shared" si="99"/>
        <v/>
      </c>
      <c r="C144" s="96" t="str">
        <f t="shared" si="100"/>
        <v/>
      </c>
      <c r="D144" s="96" t="str">
        <f t="shared" si="101"/>
        <v/>
      </c>
      <c r="E144" s="3"/>
      <c r="F144" s="3"/>
      <c r="G144" s="3"/>
      <c r="H144" s="3"/>
      <c r="I144" s="20">
        <f>IFERROR(INDEX('Input - Walmart'!G$2:G$200,MATCH('Calculations - Walmart'!$D144,'Input - Walmart'!$B$2:$B$200,0)),"")</f>
        <v>0</v>
      </c>
      <c r="J144" s="20">
        <f>IFERROR(INDEX('Input - Walmart'!H$2:H$200,MATCH('Calculations - Walmart'!$D144,'Input - Walmart'!$B$2:$B$200,0)),"")</f>
        <v>0</v>
      </c>
      <c r="K144" s="21">
        <f>IFERROR(INDEX('Input - Walmart'!I$2:I$200,MATCH('Calculations - Walmart'!$D144,'Input - Walmart'!$B$2:$B$200,0)),"")</f>
        <v>0</v>
      </c>
      <c r="L144" s="21">
        <f>IFERROR(INDEX('Input - Walmart'!J$2:J$200,MATCH('Calculations - Walmart'!$D144,'Input - Walmart'!$B$2:$B$200,0)),"")</f>
        <v>0</v>
      </c>
      <c r="M144" s="20">
        <f>IFERROR(INDEX('Input - Walmart'!K$2:K$200,MATCH('Calculations - Walmart'!$D144,'Input - Walmart'!$B$2:$B$200,0)),"")</f>
        <v>0</v>
      </c>
      <c r="N144" s="20">
        <f>IFERROR(INDEX('Input - Walmart'!L$2:L$200,MATCH('Calculations - Walmart'!$D144,'Input - Walmart'!$B$2:$B$200,0)),"")</f>
        <v>0</v>
      </c>
      <c r="O144" s="21" t="str">
        <f t="shared" si="102"/>
        <v/>
      </c>
      <c r="P144" s="21" t="str">
        <f t="shared" si="86"/>
        <v/>
      </c>
      <c r="Q144" s="21">
        <f t="shared" si="103"/>
        <v>0</v>
      </c>
      <c r="R144" s="9">
        <f t="shared" si="121"/>
        <v>0</v>
      </c>
      <c r="S144" s="9">
        <f t="shared" si="122"/>
        <v>0</v>
      </c>
      <c r="T144" s="22" t="str">
        <f>IFERROR(INDEX(Walmart!$S$11:$S$192,MATCH('Calculations - Walmart'!$D144,Walmart!$N$11:$N$192,0)),"")</f>
        <v/>
      </c>
      <c r="U144" s="22" t="str">
        <f>IFERROR(INDEX(Walmart!$T$11:$T$192,MATCH('Calculations - Walmart'!$D144,Walmart!$N$11:$N$192,0)),"")</f>
        <v/>
      </c>
      <c r="V144" s="16" t="e">
        <f t="shared" si="87"/>
        <v>#VALUE!</v>
      </c>
      <c r="W144" s="16" t="e">
        <f t="shared" si="104"/>
        <v>#VALUE!</v>
      </c>
      <c r="X144" s="16" t="e">
        <f t="shared" si="105"/>
        <v>#VALUE!</v>
      </c>
      <c r="Y144" s="10" t="str">
        <f t="shared" si="88"/>
        <v>-</v>
      </c>
      <c r="Z144" s="10" t="str">
        <f t="shared" si="89"/>
        <v>-</v>
      </c>
      <c r="AA144" s="13" t="str">
        <f t="shared" si="106"/>
        <v>-</v>
      </c>
      <c r="AB144" s="9" t="str">
        <f t="shared" si="90"/>
        <v>-</v>
      </c>
      <c r="AC144" s="16" t="str">
        <f t="shared" si="107"/>
        <v>-</v>
      </c>
      <c r="AD144" s="16" t="str">
        <f t="shared" si="91"/>
        <v>-</v>
      </c>
      <c r="AE144" s="16" t="str">
        <f t="shared" si="92"/>
        <v>-</v>
      </c>
      <c r="AF144" s="16" t="str">
        <f t="shared" si="108"/>
        <v>-</v>
      </c>
      <c r="AG144" s="16"/>
      <c r="AH144" s="32" t="str">
        <f>IFERROR(INDEX(Walmart!$R$11:$R$192,MATCH('Calculations - Walmart'!D144,Walmart!$N$11:$N$192,0)),"")</f>
        <v/>
      </c>
      <c r="AI144" s="23" t="str">
        <f t="shared" si="109"/>
        <v/>
      </c>
      <c r="AJ144" s="23" t="str">
        <f t="shared" si="110"/>
        <v/>
      </c>
      <c r="AK144" s="9" t="str">
        <f t="shared" si="93"/>
        <v/>
      </c>
      <c r="AL144" s="4" t="str">
        <f t="shared" si="94"/>
        <v/>
      </c>
      <c r="AM144" s="4"/>
      <c r="AN144" s="4"/>
      <c r="AO144" s="4"/>
      <c r="AP144" s="4"/>
      <c r="AQ144" s="4"/>
      <c r="AR144" s="20" t="str">
        <f t="shared" si="95"/>
        <v>-</v>
      </c>
      <c r="AS144" s="13" t="str">
        <f t="shared" si="111"/>
        <v>-</v>
      </c>
      <c r="AT144" s="13" t="str">
        <f t="shared" si="112"/>
        <v>-</v>
      </c>
      <c r="AU144" s="13" t="str">
        <f t="shared" si="96"/>
        <v>-</v>
      </c>
      <c r="AV144" s="16" t="str">
        <f t="shared" si="113"/>
        <v>-</v>
      </c>
      <c r="AW144" s="16" t="str">
        <f t="shared" si="97"/>
        <v>-</v>
      </c>
      <c r="AX144" s="16" t="str">
        <f t="shared" si="98"/>
        <v>-</v>
      </c>
      <c r="AY144" s="16" t="str">
        <f t="shared" si="114"/>
        <v>-</v>
      </c>
      <c r="AZ144" s="13" t="str">
        <f t="shared" si="115"/>
        <v>-</v>
      </c>
      <c r="BA144" s="10" t="str">
        <f t="shared" si="116"/>
        <v>-</v>
      </c>
      <c r="BB144" s="9" t="str">
        <f t="shared" si="117"/>
        <v>-</v>
      </c>
      <c r="BC144" s="13" t="str">
        <f t="shared" si="118"/>
        <v>-</v>
      </c>
      <c r="BD144" s="10" t="str">
        <f t="shared" si="119"/>
        <v>-</v>
      </c>
      <c r="BE144" s="13" t="str">
        <f t="shared" si="120"/>
        <v>-</v>
      </c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</row>
    <row r="145" spans="2:70" x14ac:dyDescent="0.3">
      <c r="B145" s="96" t="str">
        <f t="shared" si="99"/>
        <v/>
      </c>
      <c r="C145" s="96" t="str">
        <f t="shared" si="100"/>
        <v/>
      </c>
      <c r="D145" s="96" t="str">
        <f t="shared" si="101"/>
        <v/>
      </c>
      <c r="E145" s="3"/>
      <c r="F145" s="3"/>
      <c r="G145" s="3"/>
      <c r="H145" s="3"/>
      <c r="I145" s="20">
        <f>IFERROR(INDEX('Input - Walmart'!G$2:G$200,MATCH('Calculations - Walmart'!$D145,'Input - Walmart'!$B$2:$B$200,0)),"")</f>
        <v>0</v>
      </c>
      <c r="J145" s="20">
        <f>IFERROR(INDEX('Input - Walmart'!H$2:H$200,MATCH('Calculations - Walmart'!$D145,'Input - Walmart'!$B$2:$B$200,0)),"")</f>
        <v>0</v>
      </c>
      <c r="K145" s="21">
        <f>IFERROR(INDEX('Input - Walmart'!I$2:I$200,MATCH('Calculations - Walmart'!$D145,'Input - Walmart'!$B$2:$B$200,0)),"")</f>
        <v>0</v>
      </c>
      <c r="L145" s="21">
        <f>IFERROR(INDEX('Input - Walmart'!J$2:J$200,MATCH('Calculations - Walmart'!$D145,'Input - Walmart'!$B$2:$B$200,0)),"")</f>
        <v>0</v>
      </c>
      <c r="M145" s="20">
        <f>IFERROR(INDEX('Input - Walmart'!K$2:K$200,MATCH('Calculations - Walmart'!$D145,'Input - Walmart'!$B$2:$B$200,0)),"")</f>
        <v>0</v>
      </c>
      <c r="N145" s="20">
        <f>IFERROR(INDEX('Input - Walmart'!L$2:L$200,MATCH('Calculations - Walmart'!$D145,'Input - Walmart'!$B$2:$B$200,0)),"")</f>
        <v>0</v>
      </c>
      <c r="O145" s="21" t="str">
        <f t="shared" si="102"/>
        <v/>
      </c>
      <c r="P145" s="21" t="str">
        <f t="shared" si="86"/>
        <v/>
      </c>
      <c r="Q145" s="21">
        <f t="shared" si="103"/>
        <v>0</v>
      </c>
      <c r="R145" s="9">
        <f t="shared" si="121"/>
        <v>0</v>
      </c>
      <c r="S145" s="9">
        <f t="shared" si="122"/>
        <v>0</v>
      </c>
      <c r="T145" s="22" t="str">
        <f>IFERROR(INDEX(Walmart!$S$11:$S$192,MATCH('Calculations - Walmart'!$D145,Walmart!$N$11:$N$192,0)),"")</f>
        <v/>
      </c>
      <c r="U145" s="22" t="str">
        <f>IFERROR(INDEX(Walmart!$T$11:$T$192,MATCH('Calculations - Walmart'!$D145,Walmart!$N$11:$N$192,0)),"")</f>
        <v/>
      </c>
      <c r="V145" s="16" t="e">
        <f t="shared" si="87"/>
        <v>#VALUE!</v>
      </c>
      <c r="W145" s="16" t="e">
        <f t="shared" si="104"/>
        <v>#VALUE!</v>
      </c>
      <c r="X145" s="16" t="e">
        <f t="shared" si="105"/>
        <v>#VALUE!</v>
      </c>
      <c r="Y145" s="10" t="str">
        <f t="shared" si="88"/>
        <v>-</v>
      </c>
      <c r="Z145" s="10" t="str">
        <f t="shared" si="89"/>
        <v>-</v>
      </c>
      <c r="AA145" s="13" t="str">
        <f t="shared" si="106"/>
        <v>-</v>
      </c>
      <c r="AB145" s="9" t="str">
        <f t="shared" si="90"/>
        <v>-</v>
      </c>
      <c r="AC145" s="16" t="str">
        <f t="shared" si="107"/>
        <v>-</v>
      </c>
      <c r="AD145" s="16" t="str">
        <f t="shared" si="91"/>
        <v>-</v>
      </c>
      <c r="AE145" s="16" t="str">
        <f t="shared" si="92"/>
        <v>-</v>
      </c>
      <c r="AF145" s="16" t="str">
        <f t="shared" si="108"/>
        <v>-</v>
      </c>
      <c r="AG145" s="16"/>
      <c r="AH145" s="32" t="str">
        <f>IFERROR(INDEX(Walmart!$R$11:$R$192,MATCH('Calculations - Walmart'!D145,Walmart!$N$11:$N$192,0)),"")</f>
        <v/>
      </c>
      <c r="AI145" s="23" t="str">
        <f t="shared" si="109"/>
        <v/>
      </c>
      <c r="AJ145" s="23" t="str">
        <f t="shared" si="110"/>
        <v/>
      </c>
      <c r="AK145" s="9" t="str">
        <f t="shared" si="93"/>
        <v/>
      </c>
      <c r="AL145" s="4" t="str">
        <f t="shared" si="94"/>
        <v/>
      </c>
      <c r="AM145" s="4"/>
      <c r="AN145" s="4"/>
      <c r="AO145" s="4"/>
      <c r="AP145" s="4"/>
      <c r="AQ145" s="4"/>
      <c r="AR145" s="20" t="str">
        <f t="shared" si="95"/>
        <v>-</v>
      </c>
      <c r="AS145" s="13" t="str">
        <f t="shared" si="111"/>
        <v>-</v>
      </c>
      <c r="AT145" s="13" t="str">
        <f t="shared" si="112"/>
        <v>-</v>
      </c>
      <c r="AU145" s="13" t="str">
        <f t="shared" si="96"/>
        <v>-</v>
      </c>
      <c r="AV145" s="16" t="str">
        <f t="shared" si="113"/>
        <v>-</v>
      </c>
      <c r="AW145" s="16" t="str">
        <f t="shared" si="97"/>
        <v>-</v>
      </c>
      <c r="AX145" s="16" t="str">
        <f t="shared" si="98"/>
        <v>-</v>
      </c>
      <c r="AY145" s="16" t="str">
        <f t="shared" si="114"/>
        <v>-</v>
      </c>
      <c r="AZ145" s="13" t="str">
        <f t="shared" si="115"/>
        <v>-</v>
      </c>
      <c r="BA145" s="10" t="str">
        <f t="shared" si="116"/>
        <v>-</v>
      </c>
      <c r="BB145" s="9" t="str">
        <f t="shared" si="117"/>
        <v>-</v>
      </c>
      <c r="BC145" s="13" t="str">
        <f t="shared" si="118"/>
        <v>-</v>
      </c>
      <c r="BD145" s="10" t="str">
        <f t="shared" si="119"/>
        <v>-</v>
      </c>
      <c r="BE145" s="13" t="str">
        <f t="shared" si="120"/>
        <v>-</v>
      </c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</row>
    <row r="146" spans="2:70" x14ac:dyDescent="0.3">
      <c r="B146" s="96" t="str">
        <f t="shared" si="99"/>
        <v/>
      </c>
      <c r="C146" s="96" t="str">
        <f t="shared" si="100"/>
        <v/>
      </c>
      <c r="D146" s="96" t="str">
        <f t="shared" si="101"/>
        <v/>
      </c>
      <c r="E146" s="3"/>
      <c r="F146" s="3"/>
      <c r="G146" s="3"/>
      <c r="H146" s="3"/>
      <c r="I146" s="20">
        <f>IFERROR(INDEX('Input - Walmart'!G$2:G$200,MATCH('Calculations - Walmart'!$D146,'Input - Walmart'!$B$2:$B$200,0)),"")</f>
        <v>0</v>
      </c>
      <c r="J146" s="20">
        <f>IFERROR(INDEX('Input - Walmart'!H$2:H$200,MATCH('Calculations - Walmart'!$D146,'Input - Walmart'!$B$2:$B$200,0)),"")</f>
        <v>0</v>
      </c>
      <c r="K146" s="21">
        <f>IFERROR(INDEX('Input - Walmart'!I$2:I$200,MATCH('Calculations - Walmart'!$D146,'Input - Walmart'!$B$2:$B$200,0)),"")</f>
        <v>0</v>
      </c>
      <c r="L146" s="21">
        <f>IFERROR(INDEX('Input - Walmart'!J$2:J$200,MATCH('Calculations - Walmart'!$D146,'Input - Walmart'!$B$2:$B$200,0)),"")</f>
        <v>0</v>
      </c>
      <c r="M146" s="20">
        <f>IFERROR(INDEX('Input - Walmart'!K$2:K$200,MATCH('Calculations - Walmart'!$D146,'Input - Walmart'!$B$2:$B$200,0)),"")</f>
        <v>0</v>
      </c>
      <c r="N146" s="20">
        <f>IFERROR(INDEX('Input - Walmart'!L$2:L$200,MATCH('Calculations - Walmart'!$D146,'Input - Walmart'!$B$2:$B$200,0)),"")</f>
        <v>0</v>
      </c>
      <c r="O146" s="21" t="str">
        <f t="shared" si="102"/>
        <v/>
      </c>
      <c r="P146" s="21" t="str">
        <f t="shared" si="86"/>
        <v/>
      </c>
      <c r="Q146" s="21">
        <f t="shared" si="103"/>
        <v>0</v>
      </c>
      <c r="R146" s="9">
        <f t="shared" si="121"/>
        <v>0</v>
      </c>
      <c r="S146" s="9">
        <f t="shared" si="122"/>
        <v>0</v>
      </c>
      <c r="T146" s="22" t="str">
        <f>IFERROR(INDEX(Walmart!$S$11:$S$192,MATCH('Calculations - Walmart'!$D146,Walmart!$N$11:$N$192,0)),"")</f>
        <v/>
      </c>
      <c r="U146" s="22" t="str">
        <f>IFERROR(INDEX(Walmart!$T$11:$T$192,MATCH('Calculations - Walmart'!$D146,Walmart!$N$11:$N$192,0)),"")</f>
        <v/>
      </c>
      <c r="V146" s="16" t="e">
        <f t="shared" si="87"/>
        <v>#VALUE!</v>
      </c>
      <c r="W146" s="16" t="e">
        <f t="shared" si="104"/>
        <v>#VALUE!</v>
      </c>
      <c r="X146" s="16" t="e">
        <f t="shared" si="105"/>
        <v>#VALUE!</v>
      </c>
      <c r="Y146" s="10" t="str">
        <f t="shared" si="88"/>
        <v>-</v>
      </c>
      <c r="Z146" s="10" t="str">
        <f t="shared" si="89"/>
        <v>-</v>
      </c>
      <c r="AA146" s="13" t="str">
        <f t="shared" si="106"/>
        <v>-</v>
      </c>
      <c r="AB146" s="9" t="str">
        <f t="shared" si="90"/>
        <v>-</v>
      </c>
      <c r="AC146" s="16" t="str">
        <f t="shared" si="107"/>
        <v>-</v>
      </c>
      <c r="AD146" s="16" t="str">
        <f t="shared" si="91"/>
        <v>-</v>
      </c>
      <c r="AE146" s="16" t="str">
        <f t="shared" si="92"/>
        <v>-</v>
      </c>
      <c r="AF146" s="16" t="str">
        <f t="shared" si="108"/>
        <v>-</v>
      </c>
      <c r="AG146" s="16"/>
      <c r="AH146" s="32" t="str">
        <f>IFERROR(INDEX(Walmart!$R$11:$R$192,MATCH('Calculations - Walmart'!D146,Walmart!$N$11:$N$192,0)),"")</f>
        <v/>
      </c>
      <c r="AI146" s="23" t="str">
        <f t="shared" si="109"/>
        <v/>
      </c>
      <c r="AJ146" s="23" t="str">
        <f t="shared" si="110"/>
        <v/>
      </c>
      <c r="AK146" s="9" t="str">
        <f t="shared" si="93"/>
        <v/>
      </c>
      <c r="AL146" s="4" t="str">
        <f t="shared" si="94"/>
        <v/>
      </c>
      <c r="AM146" s="4"/>
      <c r="AN146" s="4"/>
      <c r="AO146" s="4"/>
      <c r="AP146" s="4"/>
      <c r="AQ146" s="4"/>
      <c r="AR146" s="20" t="str">
        <f t="shared" si="95"/>
        <v>-</v>
      </c>
      <c r="AS146" s="13" t="str">
        <f t="shared" si="111"/>
        <v>-</v>
      </c>
      <c r="AT146" s="13" t="str">
        <f t="shared" si="112"/>
        <v>-</v>
      </c>
      <c r="AU146" s="13" t="str">
        <f t="shared" si="96"/>
        <v>-</v>
      </c>
      <c r="AV146" s="16" t="str">
        <f t="shared" si="113"/>
        <v>-</v>
      </c>
      <c r="AW146" s="16" t="str">
        <f t="shared" si="97"/>
        <v>-</v>
      </c>
      <c r="AX146" s="16" t="str">
        <f t="shared" si="98"/>
        <v>-</v>
      </c>
      <c r="AY146" s="16" t="str">
        <f t="shared" si="114"/>
        <v>-</v>
      </c>
      <c r="AZ146" s="13" t="str">
        <f t="shared" si="115"/>
        <v>-</v>
      </c>
      <c r="BA146" s="10" t="str">
        <f t="shared" si="116"/>
        <v>-</v>
      </c>
      <c r="BB146" s="9" t="str">
        <f t="shared" si="117"/>
        <v>-</v>
      </c>
      <c r="BC146" s="13" t="str">
        <f t="shared" si="118"/>
        <v>-</v>
      </c>
      <c r="BD146" s="10" t="str">
        <f t="shared" si="119"/>
        <v>-</v>
      </c>
      <c r="BE146" s="13" t="str">
        <f t="shared" si="120"/>
        <v>-</v>
      </c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</row>
    <row r="147" spans="2:70" x14ac:dyDescent="0.3">
      <c r="B147" s="96" t="str">
        <f t="shared" si="99"/>
        <v/>
      </c>
      <c r="C147" s="96" t="str">
        <f t="shared" si="100"/>
        <v/>
      </c>
      <c r="D147" s="96" t="str">
        <f t="shared" si="101"/>
        <v/>
      </c>
      <c r="E147" s="3"/>
      <c r="F147" s="3"/>
      <c r="G147" s="3"/>
      <c r="H147" s="3"/>
      <c r="I147" s="20">
        <f>IFERROR(INDEX('Input - Walmart'!G$2:G$200,MATCH('Calculations - Walmart'!$D147,'Input - Walmart'!$B$2:$B$200,0)),"")</f>
        <v>0</v>
      </c>
      <c r="J147" s="20">
        <f>IFERROR(INDEX('Input - Walmart'!H$2:H$200,MATCH('Calculations - Walmart'!$D147,'Input - Walmart'!$B$2:$B$200,0)),"")</f>
        <v>0</v>
      </c>
      <c r="K147" s="21">
        <f>IFERROR(INDEX('Input - Walmart'!I$2:I$200,MATCH('Calculations - Walmart'!$D147,'Input - Walmart'!$B$2:$B$200,0)),"")</f>
        <v>0</v>
      </c>
      <c r="L147" s="21">
        <f>IFERROR(INDEX('Input - Walmart'!J$2:J$200,MATCH('Calculations - Walmart'!$D147,'Input - Walmart'!$B$2:$B$200,0)),"")</f>
        <v>0</v>
      </c>
      <c r="M147" s="20">
        <f>IFERROR(INDEX('Input - Walmart'!K$2:K$200,MATCH('Calculations - Walmart'!$D147,'Input - Walmart'!$B$2:$B$200,0)),"")</f>
        <v>0</v>
      </c>
      <c r="N147" s="20">
        <f>IFERROR(INDEX('Input - Walmart'!L$2:L$200,MATCH('Calculations - Walmart'!$D147,'Input - Walmart'!$B$2:$B$200,0)),"")</f>
        <v>0</v>
      </c>
      <c r="O147" s="21" t="str">
        <f t="shared" si="102"/>
        <v/>
      </c>
      <c r="P147" s="21" t="str">
        <f t="shared" si="86"/>
        <v/>
      </c>
      <c r="Q147" s="21">
        <f t="shared" si="103"/>
        <v>0</v>
      </c>
      <c r="R147" s="9">
        <f t="shared" si="121"/>
        <v>0</v>
      </c>
      <c r="S147" s="9">
        <f t="shared" si="122"/>
        <v>0</v>
      </c>
      <c r="T147" s="22" t="str">
        <f>IFERROR(INDEX(Walmart!$S$11:$S$192,MATCH('Calculations - Walmart'!$D147,Walmart!$N$11:$N$192,0)),"")</f>
        <v/>
      </c>
      <c r="U147" s="22" t="str">
        <f>IFERROR(INDEX(Walmart!$T$11:$T$192,MATCH('Calculations - Walmart'!$D147,Walmart!$N$11:$N$192,0)),"")</f>
        <v/>
      </c>
      <c r="V147" s="16" t="e">
        <f t="shared" si="87"/>
        <v>#VALUE!</v>
      </c>
      <c r="W147" s="16" t="e">
        <f t="shared" si="104"/>
        <v>#VALUE!</v>
      </c>
      <c r="X147" s="16" t="e">
        <f t="shared" si="105"/>
        <v>#VALUE!</v>
      </c>
      <c r="Y147" s="10" t="str">
        <f t="shared" si="88"/>
        <v>-</v>
      </c>
      <c r="Z147" s="10" t="str">
        <f t="shared" si="89"/>
        <v>-</v>
      </c>
      <c r="AA147" s="13" t="str">
        <f t="shared" si="106"/>
        <v>-</v>
      </c>
      <c r="AB147" s="9" t="str">
        <f t="shared" si="90"/>
        <v>-</v>
      </c>
      <c r="AC147" s="16" t="str">
        <f t="shared" si="107"/>
        <v>-</v>
      </c>
      <c r="AD147" s="16" t="str">
        <f t="shared" si="91"/>
        <v>-</v>
      </c>
      <c r="AE147" s="16" t="str">
        <f t="shared" si="92"/>
        <v>-</v>
      </c>
      <c r="AF147" s="16" t="str">
        <f t="shared" si="108"/>
        <v>-</v>
      </c>
      <c r="AG147" s="16"/>
      <c r="AH147" s="32" t="str">
        <f>IFERROR(INDEX(Walmart!$R$11:$R$192,MATCH('Calculations - Walmart'!D147,Walmart!$N$11:$N$192,0)),"")</f>
        <v/>
      </c>
      <c r="AI147" s="23" t="str">
        <f t="shared" si="109"/>
        <v/>
      </c>
      <c r="AJ147" s="23" t="str">
        <f t="shared" si="110"/>
        <v/>
      </c>
      <c r="AK147" s="9" t="str">
        <f t="shared" si="93"/>
        <v/>
      </c>
      <c r="AL147" s="4" t="str">
        <f t="shared" si="94"/>
        <v/>
      </c>
      <c r="AM147" s="4"/>
      <c r="AN147" s="4"/>
      <c r="AO147" s="4"/>
      <c r="AP147" s="4"/>
      <c r="AQ147" s="4"/>
      <c r="AR147" s="20" t="str">
        <f t="shared" si="95"/>
        <v>-</v>
      </c>
      <c r="AS147" s="13" t="str">
        <f t="shared" si="111"/>
        <v>-</v>
      </c>
      <c r="AT147" s="13" t="str">
        <f t="shared" si="112"/>
        <v>-</v>
      </c>
      <c r="AU147" s="13" t="str">
        <f t="shared" si="96"/>
        <v>-</v>
      </c>
      <c r="AV147" s="16" t="str">
        <f t="shared" si="113"/>
        <v>-</v>
      </c>
      <c r="AW147" s="16" t="str">
        <f t="shared" si="97"/>
        <v>-</v>
      </c>
      <c r="AX147" s="16" t="str">
        <f t="shared" si="98"/>
        <v>-</v>
      </c>
      <c r="AY147" s="16" t="str">
        <f t="shared" si="114"/>
        <v>-</v>
      </c>
      <c r="AZ147" s="13" t="str">
        <f t="shared" si="115"/>
        <v>-</v>
      </c>
      <c r="BA147" s="10" t="str">
        <f t="shared" si="116"/>
        <v>-</v>
      </c>
      <c r="BB147" s="9" t="str">
        <f t="shared" si="117"/>
        <v>-</v>
      </c>
      <c r="BC147" s="13" t="str">
        <f t="shared" si="118"/>
        <v>-</v>
      </c>
      <c r="BD147" s="10" t="str">
        <f t="shared" si="119"/>
        <v>-</v>
      </c>
      <c r="BE147" s="13" t="str">
        <f t="shared" si="120"/>
        <v>-</v>
      </c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</row>
    <row r="148" spans="2:70" x14ac:dyDescent="0.3">
      <c r="B148" s="96" t="str">
        <f t="shared" si="99"/>
        <v/>
      </c>
      <c r="C148" s="96" t="str">
        <f t="shared" si="100"/>
        <v/>
      </c>
      <c r="D148" s="96" t="str">
        <f t="shared" si="101"/>
        <v/>
      </c>
      <c r="E148" s="3"/>
      <c r="F148" s="3"/>
      <c r="G148" s="3"/>
      <c r="H148" s="3"/>
      <c r="I148" s="20">
        <f>IFERROR(INDEX('Input - Walmart'!G$2:G$200,MATCH('Calculations - Walmart'!$D148,'Input - Walmart'!$B$2:$B$200,0)),"")</f>
        <v>0</v>
      </c>
      <c r="J148" s="20">
        <f>IFERROR(INDEX('Input - Walmart'!H$2:H$200,MATCH('Calculations - Walmart'!$D148,'Input - Walmart'!$B$2:$B$200,0)),"")</f>
        <v>0</v>
      </c>
      <c r="K148" s="21">
        <f>IFERROR(INDEX('Input - Walmart'!I$2:I$200,MATCH('Calculations - Walmart'!$D148,'Input - Walmart'!$B$2:$B$200,0)),"")</f>
        <v>0</v>
      </c>
      <c r="L148" s="21">
        <f>IFERROR(INDEX('Input - Walmart'!J$2:J$200,MATCH('Calculations - Walmart'!$D148,'Input - Walmart'!$B$2:$B$200,0)),"")</f>
        <v>0</v>
      </c>
      <c r="M148" s="20">
        <f>IFERROR(INDEX('Input - Walmart'!K$2:K$200,MATCH('Calculations - Walmart'!$D148,'Input - Walmart'!$B$2:$B$200,0)),"")</f>
        <v>0</v>
      </c>
      <c r="N148" s="20">
        <f>IFERROR(INDEX('Input - Walmart'!L$2:L$200,MATCH('Calculations - Walmart'!$D148,'Input - Walmart'!$B$2:$B$200,0)),"")</f>
        <v>0</v>
      </c>
      <c r="O148" s="21" t="str">
        <f t="shared" si="102"/>
        <v/>
      </c>
      <c r="P148" s="21" t="str">
        <f t="shared" si="86"/>
        <v/>
      </c>
      <c r="Q148" s="21">
        <f t="shared" si="103"/>
        <v>0</v>
      </c>
      <c r="R148" s="9">
        <f t="shared" si="121"/>
        <v>0</v>
      </c>
      <c r="S148" s="9">
        <f t="shared" si="122"/>
        <v>0</v>
      </c>
      <c r="T148" s="22" t="str">
        <f>IFERROR(INDEX(Walmart!$S$11:$S$192,MATCH('Calculations - Walmart'!$D148,Walmart!$N$11:$N$192,0)),"")</f>
        <v/>
      </c>
      <c r="U148" s="22" t="str">
        <f>IFERROR(INDEX(Walmart!$T$11:$T$192,MATCH('Calculations - Walmart'!$D148,Walmart!$N$11:$N$192,0)),"")</f>
        <v/>
      </c>
      <c r="V148" s="16" t="e">
        <f t="shared" si="87"/>
        <v>#VALUE!</v>
      </c>
      <c r="W148" s="16" t="e">
        <f t="shared" si="104"/>
        <v>#VALUE!</v>
      </c>
      <c r="X148" s="16" t="e">
        <f t="shared" si="105"/>
        <v>#VALUE!</v>
      </c>
      <c r="Y148" s="10" t="str">
        <f t="shared" si="88"/>
        <v>-</v>
      </c>
      <c r="Z148" s="10" t="str">
        <f t="shared" si="89"/>
        <v>-</v>
      </c>
      <c r="AA148" s="13" t="str">
        <f t="shared" si="106"/>
        <v>-</v>
      </c>
      <c r="AB148" s="9" t="str">
        <f t="shared" si="90"/>
        <v>-</v>
      </c>
      <c r="AC148" s="16" t="str">
        <f t="shared" si="107"/>
        <v>-</v>
      </c>
      <c r="AD148" s="16" t="str">
        <f t="shared" si="91"/>
        <v>-</v>
      </c>
      <c r="AE148" s="16" t="str">
        <f t="shared" si="92"/>
        <v>-</v>
      </c>
      <c r="AF148" s="16" t="str">
        <f t="shared" si="108"/>
        <v>-</v>
      </c>
      <c r="AG148" s="16"/>
      <c r="AH148" s="32" t="str">
        <f>IFERROR(INDEX(Walmart!$R$11:$R$192,MATCH('Calculations - Walmart'!D148,Walmart!$N$11:$N$192,0)),"")</f>
        <v/>
      </c>
      <c r="AI148" s="23" t="str">
        <f t="shared" si="109"/>
        <v/>
      </c>
      <c r="AJ148" s="23" t="str">
        <f t="shared" si="110"/>
        <v/>
      </c>
      <c r="AK148" s="9" t="str">
        <f t="shared" si="93"/>
        <v/>
      </c>
      <c r="AL148" s="4" t="str">
        <f t="shared" si="94"/>
        <v/>
      </c>
      <c r="AM148" s="4"/>
      <c r="AN148" s="4"/>
      <c r="AO148" s="4"/>
      <c r="AP148" s="4"/>
      <c r="AQ148" s="4"/>
      <c r="AR148" s="20" t="str">
        <f t="shared" si="95"/>
        <v>-</v>
      </c>
      <c r="AS148" s="13" t="str">
        <f t="shared" si="111"/>
        <v>-</v>
      </c>
      <c r="AT148" s="13" t="str">
        <f t="shared" si="112"/>
        <v>-</v>
      </c>
      <c r="AU148" s="13" t="str">
        <f t="shared" si="96"/>
        <v>-</v>
      </c>
      <c r="AV148" s="16" t="str">
        <f t="shared" si="113"/>
        <v>-</v>
      </c>
      <c r="AW148" s="16" t="str">
        <f t="shared" si="97"/>
        <v>-</v>
      </c>
      <c r="AX148" s="16" t="str">
        <f t="shared" si="98"/>
        <v>-</v>
      </c>
      <c r="AY148" s="16" t="str">
        <f t="shared" si="114"/>
        <v>-</v>
      </c>
      <c r="AZ148" s="13" t="str">
        <f t="shared" si="115"/>
        <v>-</v>
      </c>
      <c r="BA148" s="10" t="str">
        <f t="shared" si="116"/>
        <v>-</v>
      </c>
      <c r="BB148" s="9" t="str">
        <f t="shared" si="117"/>
        <v>-</v>
      </c>
      <c r="BC148" s="13" t="str">
        <f t="shared" si="118"/>
        <v>-</v>
      </c>
      <c r="BD148" s="10" t="str">
        <f t="shared" si="119"/>
        <v>-</v>
      </c>
      <c r="BE148" s="13" t="str">
        <f t="shared" si="120"/>
        <v>-</v>
      </c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</row>
    <row r="149" spans="2:70" x14ac:dyDescent="0.3">
      <c r="B149" s="96" t="str">
        <f t="shared" si="99"/>
        <v/>
      </c>
      <c r="C149" s="96" t="str">
        <f t="shared" si="100"/>
        <v/>
      </c>
      <c r="D149" s="96" t="str">
        <f t="shared" si="101"/>
        <v/>
      </c>
      <c r="E149" s="3"/>
      <c r="F149" s="3"/>
      <c r="G149" s="3"/>
      <c r="H149" s="3"/>
      <c r="I149" s="20">
        <f>IFERROR(INDEX('Input - Walmart'!G$2:G$200,MATCH('Calculations - Walmart'!$D149,'Input - Walmart'!$B$2:$B$200,0)),"")</f>
        <v>0</v>
      </c>
      <c r="J149" s="20">
        <f>IFERROR(INDEX('Input - Walmart'!H$2:H$200,MATCH('Calculations - Walmart'!$D149,'Input - Walmart'!$B$2:$B$200,0)),"")</f>
        <v>0</v>
      </c>
      <c r="K149" s="21">
        <f>IFERROR(INDEX('Input - Walmart'!I$2:I$200,MATCH('Calculations - Walmart'!$D149,'Input - Walmart'!$B$2:$B$200,0)),"")</f>
        <v>0</v>
      </c>
      <c r="L149" s="21">
        <f>IFERROR(INDEX('Input - Walmart'!J$2:J$200,MATCH('Calculations - Walmart'!$D149,'Input - Walmart'!$B$2:$B$200,0)),"")</f>
        <v>0</v>
      </c>
      <c r="M149" s="20">
        <f>IFERROR(INDEX('Input - Walmart'!K$2:K$200,MATCH('Calculations - Walmart'!$D149,'Input - Walmart'!$B$2:$B$200,0)),"")</f>
        <v>0</v>
      </c>
      <c r="N149" s="20">
        <f>IFERROR(INDEX('Input - Walmart'!L$2:L$200,MATCH('Calculations - Walmart'!$D149,'Input - Walmart'!$B$2:$B$200,0)),"")</f>
        <v>0</v>
      </c>
      <c r="O149" s="21" t="str">
        <f t="shared" si="102"/>
        <v/>
      </c>
      <c r="P149" s="21" t="str">
        <f t="shared" si="86"/>
        <v/>
      </c>
      <c r="Q149" s="21">
        <f t="shared" si="103"/>
        <v>0</v>
      </c>
      <c r="R149" s="9">
        <f t="shared" si="121"/>
        <v>0</v>
      </c>
      <c r="S149" s="9">
        <f t="shared" si="122"/>
        <v>0</v>
      </c>
      <c r="T149" s="22" t="str">
        <f>IFERROR(INDEX(Walmart!$S$11:$S$192,MATCH('Calculations - Walmart'!$D149,Walmart!$N$11:$N$192,0)),"")</f>
        <v/>
      </c>
      <c r="U149" s="22" t="str">
        <f>IFERROR(INDEX(Walmart!$T$11:$T$192,MATCH('Calculations - Walmart'!$D149,Walmart!$N$11:$N$192,0)),"")</f>
        <v/>
      </c>
      <c r="V149" s="16" t="e">
        <f t="shared" si="87"/>
        <v>#VALUE!</v>
      </c>
      <c r="W149" s="16" t="e">
        <f t="shared" si="104"/>
        <v>#VALUE!</v>
      </c>
      <c r="X149" s="16" t="e">
        <f t="shared" si="105"/>
        <v>#VALUE!</v>
      </c>
      <c r="Y149" s="10" t="str">
        <f t="shared" si="88"/>
        <v>-</v>
      </c>
      <c r="Z149" s="10" t="str">
        <f t="shared" si="89"/>
        <v>-</v>
      </c>
      <c r="AA149" s="13" t="str">
        <f t="shared" si="106"/>
        <v>-</v>
      </c>
      <c r="AB149" s="9" t="str">
        <f t="shared" si="90"/>
        <v>-</v>
      </c>
      <c r="AC149" s="16" t="str">
        <f t="shared" si="107"/>
        <v>-</v>
      </c>
      <c r="AD149" s="16" t="str">
        <f t="shared" si="91"/>
        <v>-</v>
      </c>
      <c r="AE149" s="16" t="str">
        <f t="shared" si="92"/>
        <v>-</v>
      </c>
      <c r="AF149" s="16" t="str">
        <f t="shared" si="108"/>
        <v>-</v>
      </c>
      <c r="AG149" s="16"/>
      <c r="AH149" s="32" t="str">
        <f>IFERROR(INDEX(Walmart!$R$11:$R$192,MATCH('Calculations - Walmart'!D149,Walmart!$N$11:$N$192,0)),"")</f>
        <v/>
      </c>
      <c r="AI149" s="23" t="str">
        <f t="shared" si="109"/>
        <v/>
      </c>
      <c r="AJ149" s="23" t="str">
        <f t="shared" si="110"/>
        <v/>
      </c>
      <c r="AK149" s="9" t="str">
        <f t="shared" si="93"/>
        <v/>
      </c>
      <c r="AL149" s="4" t="str">
        <f t="shared" si="94"/>
        <v/>
      </c>
      <c r="AM149" s="4"/>
      <c r="AN149" s="4"/>
      <c r="AO149" s="4"/>
      <c r="AP149" s="4"/>
      <c r="AQ149" s="4"/>
      <c r="AR149" s="20" t="str">
        <f t="shared" si="95"/>
        <v>-</v>
      </c>
      <c r="AS149" s="13" t="str">
        <f t="shared" si="111"/>
        <v>-</v>
      </c>
      <c r="AT149" s="13" t="str">
        <f t="shared" si="112"/>
        <v>-</v>
      </c>
      <c r="AU149" s="13" t="str">
        <f t="shared" si="96"/>
        <v>-</v>
      </c>
      <c r="AV149" s="16" t="str">
        <f t="shared" si="113"/>
        <v>-</v>
      </c>
      <c r="AW149" s="16" t="str">
        <f t="shared" si="97"/>
        <v>-</v>
      </c>
      <c r="AX149" s="16" t="str">
        <f t="shared" si="98"/>
        <v>-</v>
      </c>
      <c r="AY149" s="16" t="str">
        <f t="shared" si="114"/>
        <v>-</v>
      </c>
      <c r="AZ149" s="13" t="str">
        <f t="shared" si="115"/>
        <v>-</v>
      </c>
      <c r="BA149" s="10" t="str">
        <f t="shared" si="116"/>
        <v>-</v>
      </c>
      <c r="BB149" s="9" t="str">
        <f t="shared" si="117"/>
        <v>-</v>
      </c>
      <c r="BC149" s="13" t="str">
        <f t="shared" si="118"/>
        <v>-</v>
      </c>
      <c r="BD149" s="10" t="str">
        <f t="shared" si="119"/>
        <v>-</v>
      </c>
      <c r="BE149" s="13" t="str">
        <f t="shared" si="120"/>
        <v>-</v>
      </c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</row>
    <row r="150" spans="2:70" x14ac:dyDescent="0.3">
      <c r="B150" s="96" t="str">
        <f t="shared" si="99"/>
        <v/>
      </c>
      <c r="C150" s="96" t="str">
        <f t="shared" si="100"/>
        <v/>
      </c>
      <c r="D150" s="96" t="str">
        <f t="shared" si="101"/>
        <v/>
      </c>
      <c r="E150" s="3"/>
      <c r="F150" s="3"/>
      <c r="G150" s="3"/>
      <c r="H150" s="3"/>
      <c r="I150" s="20">
        <f>IFERROR(INDEX('Input - Walmart'!G$2:G$200,MATCH('Calculations - Walmart'!$D150,'Input - Walmart'!$B$2:$B$200,0)),"")</f>
        <v>0</v>
      </c>
      <c r="J150" s="20">
        <f>IFERROR(INDEX('Input - Walmart'!H$2:H$200,MATCH('Calculations - Walmart'!$D150,'Input - Walmart'!$B$2:$B$200,0)),"")</f>
        <v>0</v>
      </c>
      <c r="K150" s="21">
        <f>IFERROR(INDEX('Input - Walmart'!I$2:I$200,MATCH('Calculations - Walmart'!$D150,'Input - Walmart'!$B$2:$B$200,0)),"")</f>
        <v>0</v>
      </c>
      <c r="L150" s="21">
        <f>IFERROR(INDEX('Input - Walmart'!J$2:J$200,MATCH('Calculations - Walmart'!$D150,'Input - Walmart'!$B$2:$B$200,0)),"")</f>
        <v>0</v>
      </c>
      <c r="M150" s="20">
        <f>IFERROR(INDEX('Input - Walmart'!K$2:K$200,MATCH('Calculations - Walmart'!$D150,'Input - Walmart'!$B$2:$B$200,0)),"")</f>
        <v>0</v>
      </c>
      <c r="N150" s="20">
        <f>IFERROR(INDEX('Input - Walmart'!L$2:L$200,MATCH('Calculations - Walmart'!$D150,'Input - Walmart'!$B$2:$B$200,0)),"")</f>
        <v>0</v>
      </c>
      <c r="O150" s="21" t="str">
        <f t="shared" si="102"/>
        <v/>
      </c>
      <c r="P150" s="21" t="str">
        <f t="shared" si="86"/>
        <v/>
      </c>
      <c r="Q150" s="21">
        <f t="shared" si="103"/>
        <v>0</v>
      </c>
      <c r="R150" s="9">
        <f t="shared" si="121"/>
        <v>0</v>
      </c>
      <c r="S150" s="9">
        <f t="shared" si="122"/>
        <v>0</v>
      </c>
      <c r="T150" s="22" t="str">
        <f>IFERROR(INDEX(Walmart!$S$11:$S$192,MATCH('Calculations - Walmart'!$D150,Walmart!$N$11:$N$192,0)),"")</f>
        <v/>
      </c>
      <c r="U150" s="22" t="str">
        <f>IFERROR(INDEX(Walmart!$T$11:$T$192,MATCH('Calculations - Walmart'!$D150,Walmart!$N$11:$N$192,0)),"")</f>
        <v/>
      </c>
      <c r="V150" s="16" t="e">
        <f t="shared" si="87"/>
        <v>#VALUE!</v>
      </c>
      <c r="W150" s="16" t="e">
        <f t="shared" si="104"/>
        <v>#VALUE!</v>
      </c>
      <c r="X150" s="16" t="e">
        <f t="shared" si="105"/>
        <v>#VALUE!</v>
      </c>
      <c r="Y150" s="10" t="str">
        <f t="shared" si="88"/>
        <v>-</v>
      </c>
      <c r="Z150" s="10" t="str">
        <f t="shared" si="89"/>
        <v>-</v>
      </c>
      <c r="AA150" s="13" t="str">
        <f t="shared" si="106"/>
        <v>-</v>
      </c>
      <c r="AB150" s="9" t="str">
        <f t="shared" si="90"/>
        <v>-</v>
      </c>
      <c r="AC150" s="16" t="str">
        <f t="shared" si="107"/>
        <v>-</v>
      </c>
      <c r="AD150" s="16" t="str">
        <f t="shared" si="91"/>
        <v>-</v>
      </c>
      <c r="AE150" s="16" t="str">
        <f t="shared" si="92"/>
        <v>-</v>
      </c>
      <c r="AF150" s="16" t="str">
        <f t="shared" si="108"/>
        <v>-</v>
      </c>
      <c r="AG150" s="16"/>
      <c r="AH150" s="32" t="str">
        <f>IFERROR(INDEX(Walmart!$R$11:$R$192,MATCH('Calculations - Walmart'!D150,Walmart!$N$11:$N$192,0)),"")</f>
        <v/>
      </c>
      <c r="AI150" s="23" t="str">
        <f t="shared" si="109"/>
        <v/>
      </c>
      <c r="AJ150" s="23" t="str">
        <f t="shared" si="110"/>
        <v/>
      </c>
      <c r="AK150" s="9" t="str">
        <f t="shared" si="93"/>
        <v/>
      </c>
      <c r="AL150" s="4" t="str">
        <f t="shared" si="94"/>
        <v/>
      </c>
      <c r="AM150" s="4"/>
      <c r="AN150" s="4"/>
      <c r="AO150" s="4"/>
      <c r="AP150" s="4"/>
      <c r="AQ150" s="4"/>
      <c r="AR150" s="20" t="str">
        <f t="shared" si="95"/>
        <v>-</v>
      </c>
      <c r="AS150" s="13" t="str">
        <f t="shared" si="111"/>
        <v>-</v>
      </c>
      <c r="AT150" s="13" t="str">
        <f t="shared" si="112"/>
        <v>-</v>
      </c>
      <c r="AU150" s="13" t="str">
        <f t="shared" si="96"/>
        <v>-</v>
      </c>
      <c r="AV150" s="16" t="str">
        <f t="shared" si="113"/>
        <v>-</v>
      </c>
      <c r="AW150" s="16" t="str">
        <f t="shared" si="97"/>
        <v>-</v>
      </c>
      <c r="AX150" s="16" t="str">
        <f t="shared" si="98"/>
        <v>-</v>
      </c>
      <c r="AY150" s="16" t="str">
        <f t="shared" si="114"/>
        <v>-</v>
      </c>
      <c r="AZ150" s="13" t="str">
        <f t="shared" si="115"/>
        <v>-</v>
      </c>
      <c r="BA150" s="10" t="str">
        <f t="shared" si="116"/>
        <v>-</v>
      </c>
      <c r="BB150" s="9" t="str">
        <f t="shared" si="117"/>
        <v>-</v>
      </c>
      <c r="BC150" s="13" t="str">
        <f t="shared" si="118"/>
        <v>-</v>
      </c>
      <c r="BD150" s="10" t="str">
        <f t="shared" si="119"/>
        <v>-</v>
      </c>
      <c r="BE150" s="13" t="str">
        <f t="shared" si="120"/>
        <v>-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</row>
    <row r="151" spans="2:70" x14ac:dyDescent="0.3">
      <c r="B151" s="96" t="str">
        <f t="shared" si="99"/>
        <v/>
      </c>
      <c r="C151" s="96" t="str">
        <f t="shared" si="100"/>
        <v/>
      </c>
      <c r="D151" s="96" t="str">
        <f t="shared" si="101"/>
        <v/>
      </c>
      <c r="E151" s="3"/>
      <c r="F151" s="3"/>
      <c r="G151" s="3"/>
      <c r="H151" s="3"/>
      <c r="I151" s="20">
        <f>IFERROR(INDEX('Input - Walmart'!G$2:G$200,MATCH('Calculations - Walmart'!$D151,'Input - Walmart'!$B$2:$B$200,0)),"")</f>
        <v>0</v>
      </c>
      <c r="J151" s="20">
        <f>IFERROR(INDEX('Input - Walmart'!H$2:H$200,MATCH('Calculations - Walmart'!$D151,'Input - Walmart'!$B$2:$B$200,0)),"")</f>
        <v>0</v>
      </c>
      <c r="K151" s="21">
        <f>IFERROR(INDEX('Input - Walmart'!I$2:I$200,MATCH('Calculations - Walmart'!$D151,'Input - Walmart'!$B$2:$B$200,0)),"")</f>
        <v>0</v>
      </c>
      <c r="L151" s="21">
        <f>IFERROR(INDEX('Input - Walmart'!J$2:J$200,MATCH('Calculations - Walmart'!$D151,'Input - Walmart'!$B$2:$B$200,0)),"")</f>
        <v>0</v>
      </c>
      <c r="M151" s="20">
        <f>IFERROR(INDEX('Input - Walmart'!K$2:K$200,MATCH('Calculations - Walmart'!$D151,'Input - Walmart'!$B$2:$B$200,0)),"")</f>
        <v>0</v>
      </c>
      <c r="N151" s="20">
        <f>IFERROR(INDEX('Input - Walmart'!L$2:L$200,MATCH('Calculations - Walmart'!$D151,'Input - Walmart'!$B$2:$B$200,0)),"")</f>
        <v>0</v>
      </c>
      <c r="O151" s="21" t="str">
        <f t="shared" si="102"/>
        <v/>
      </c>
      <c r="P151" s="21" t="str">
        <f t="shared" si="86"/>
        <v/>
      </c>
      <c r="Q151" s="21">
        <f t="shared" si="103"/>
        <v>0</v>
      </c>
      <c r="R151" s="9">
        <f t="shared" si="121"/>
        <v>0</v>
      </c>
      <c r="S151" s="9">
        <f t="shared" si="122"/>
        <v>0</v>
      </c>
      <c r="T151" s="22" t="str">
        <f>IFERROR(INDEX(Walmart!$S$11:$S$192,MATCH('Calculations - Walmart'!$D151,Walmart!$N$11:$N$192,0)),"")</f>
        <v/>
      </c>
      <c r="U151" s="22" t="str">
        <f>IFERROR(INDEX(Walmart!$T$11:$T$192,MATCH('Calculations - Walmart'!$D151,Walmart!$N$11:$N$192,0)),"")</f>
        <v/>
      </c>
      <c r="V151" s="16" t="e">
        <f t="shared" si="87"/>
        <v>#VALUE!</v>
      </c>
      <c r="W151" s="16" t="e">
        <f t="shared" si="104"/>
        <v>#VALUE!</v>
      </c>
      <c r="X151" s="16" t="e">
        <f t="shared" si="105"/>
        <v>#VALUE!</v>
      </c>
      <c r="Y151" s="10" t="str">
        <f t="shared" si="88"/>
        <v>-</v>
      </c>
      <c r="Z151" s="10" t="str">
        <f t="shared" si="89"/>
        <v>-</v>
      </c>
      <c r="AA151" s="13" t="str">
        <f t="shared" si="106"/>
        <v>-</v>
      </c>
      <c r="AB151" s="9" t="str">
        <f t="shared" si="90"/>
        <v>-</v>
      </c>
      <c r="AC151" s="16" t="str">
        <f t="shared" si="107"/>
        <v>-</v>
      </c>
      <c r="AD151" s="16" t="str">
        <f t="shared" si="91"/>
        <v>-</v>
      </c>
      <c r="AE151" s="16" t="str">
        <f t="shared" si="92"/>
        <v>-</v>
      </c>
      <c r="AF151" s="16" t="str">
        <f t="shared" si="108"/>
        <v>-</v>
      </c>
      <c r="AG151" s="16"/>
      <c r="AH151" s="32" t="str">
        <f>IFERROR(INDEX(Walmart!$R$11:$R$192,MATCH('Calculations - Walmart'!D151,Walmart!$N$11:$N$192,0)),"")</f>
        <v/>
      </c>
      <c r="AI151" s="23" t="str">
        <f t="shared" si="109"/>
        <v/>
      </c>
      <c r="AJ151" s="23" t="str">
        <f t="shared" si="110"/>
        <v/>
      </c>
      <c r="AK151" s="9" t="str">
        <f t="shared" si="93"/>
        <v/>
      </c>
      <c r="AL151" s="4" t="str">
        <f t="shared" si="94"/>
        <v/>
      </c>
      <c r="AM151" s="4"/>
      <c r="AN151" s="4"/>
      <c r="AO151" s="4"/>
      <c r="AP151" s="4"/>
      <c r="AQ151" s="4"/>
      <c r="AR151" s="20" t="str">
        <f t="shared" si="95"/>
        <v>-</v>
      </c>
      <c r="AS151" s="13" t="str">
        <f t="shared" si="111"/>
        <v>-</v>
      </c>
      <c r="AT151" s="13" t="str">
        <f t="shared" si="112"/>
        <v>-</v>
      </c>
      <c r="AU151" s="13" t="str">
        <f t="shared" si="96"/>
        <v>-</v>
      </c>
      <c r="AV151" s="16" t="str">
        <f t="shared" si="113"/>
        <v>-</v>
      </c>
      <c r="AW151" s="16" t="str">
        <f t="shared" si="97"/>
        <v>-</v>
      </c>
      <c r="AX151" s="16" t="str">
        <f t="shared" si="98"/>
        <v>-</v>
      </c>
      <c r="AY151" s="16" t="str">
        <f t="shared" si="114"/>
        <v>-</v>
      </c>
      <c r="AZ151" s="13" t="str">
        <f t="shared" si="115"/>
        <v>-</v>
      </c>
      <c r="BA151" s="10" t="str">
        <f t="shared" si="116"/>
        <v>-</v>
      </c>
      <c r="BB151" s="9" t="str">
        <f t="shared" si="117"/>
        <v>-</v>
      </c>
      <c r="BC151" s="13" t="str">
        <f t="shared" si="118"/>
        <v>-</v>
      </c>
      <c r="BD151" s="10" t="str">
        <f t="shared" si="119"/>
        <v>-</v>
      </c>
      <c r="BE151" s="13" t="str">
        <f t="shared" si="120"/>
        <v>-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</row>
    <row r="152" spans="2:70" x14ac:dyDescent="0.3">
      <c r="B152" s="96" t="str">
        <f t="shared" si="99"/>
        <v/>
      </c>
      <c r="C152" s="96" t="str">
        <f t="shared" si="100"/>
        <v/>
      </c>
      <c r="D152" s="96" t="str">
        <f t="shared" si="101"/>
        <v/>
      </c>
      <c r="E152" s="3"/>
      <c r="F152" s="3"/>
      <c r="G152" s="3"/>
      <c r="H152" s="3"/>
      <c r="I152" s="20">
        <f>IFERROR(INDEX('Input - Walmart'!G$2:G$200,MATCH('Calculations - Walmart'!$D152,'Input - Walmart'!$B$2:$B$200,0)),"")</f>
        <v>0</v>
      </c>
      <c r="J152" s="20">
        <f>IFERROR(INDEX('Input - Walmart'!H$2:H$200,MATCH('Calculations - Walmart'!$D152,'Input - Walmart'!$B$2:$B$200,0)),"")</f>
        <v>0</v>
      </c>
      <c r="K152" s="21">
        <f>IFERROR(INDEX('Input - Walmart'!I$2:I$200,MATCH('Calculations - Walmart'!$D152,'Input - Walmart'!$B$2:$B$200,0)),"")</f>
        <v>0</v>
      </c>
      <c r="L152" s="21">
        <f>IFERROR(INDEX('Input - Walmart'!J$2:J$200,MATCH('Calculations - Walmart'!$D152,'Input - Walmart'!$B$2:$B$200,0)),"")</f>
        <v>0</v>
      </c>
      <c r="M152" s="20">
        <f>IFERROR(INDEX('Input - Walmart'!K$2:K$200,MATCH('Calculations - Walmart'!$D152,'Input - Walmart'!$B$2:$B$200,0)),"")</f>
        <v>0</v>
      </c>
      <c r="N152" s="20">
        <f>IFERROR(INDEX('Input - Walmart'!L$2:L$200,MATCH('Calculations - Walmart'!$D152,'Input - Walmart'!$B$2:$B$200,0)),"")</f>
        <v>0</v>
      </c>
      <c r="O152" s="21" t="str">
        <f t="shared" si="102"/>
        <v/>
      </c>
      <c r="P152" s="21" t="str">
        <f t="shared" si="86"/>
        <v/>
      </c>
      <c r="Q152" s="21">
        <f t="shared" si="103"/>
        <v>0</v>
      </c>
      <c r="R152" s="9">
        <f t="shared" si="121"/>
        <v>0</v>
      </c>
      <c r="S152" s="9">
        <f t="shared" si="122"/>
        <v>0</v>
      </c>
      <c r="T152" s="22" t="str">
        <f>IFERROR(INDEX(Walmart!$S$11:$S$192,MATCH('Calculations - Walmart'!$D152,Walmart!$N$11:$N$192,0)),"")</f>
        <v/>
      </c>
      <c r="U152" s="22" t="str">
        <f>IFERROR(INDEX(Walmart!$T$11:$T$192,MATCH('Calculations - Walmart'!$D152,Walmart!$N$11:$N$192,0)),"")</f>
        <v/>
      </c>
      <c r="V152" s="16" t="e">
        <f t="shared" si="87"/>
        <v>#VALUE!</v>
      </c>
      <c r="W152" s="16" t="e">
        <f t="shared" si="104"/>
        <v>#VALUE!</v>
      </c>
      <c r="X152" s="16" t="e">
        <f t="shared" si="105"/>
        <v>#VALUE!</v>
      </c>
      <c r="Y152" s="10" t="str">
        <f t="shared" si="88"/>
        <v>-</v>
      </c>
      <c r="Z152" s="10" t="str">
        <f t="shared" si="89"/>
        <v>-</v>
      </c>
      <c r="AA152" s="13" t="str">
        <f t="shared" si="106"/>
        <v>-</v>
      </c>
      <c r="AB152" s="9" t="str">
        <f t="shared" si="90"/>
        <v>-</v>
      </c>
      <c r="AC152" s="16" t="str">
        <f t="shared" si="107"/>
        <v>-</v>
      </c>
      <c r="AD152" s="16" t="str">
        <f t="shared" si="91"/>
        <v>-</v>
      </c>
      <c r="AE152" s="16" t="str">
        <f t="shared" si="92"/>
        <v>-</v>
      </c>
      <c r="AF152" s="16" t="str">
        <f t="shared" si="108"/>
        <v>-</v>
      </c>
      <c r="AG152" s="16"/>
      <c r="AH152" s="32" t="str">
        <f>IFERROR(INDEX(Walmart!$R$11:$R$192,MATCH('Calculations - Walmart'!D152,Walmart!$N$11:$N$192,0)),"")</f>
        <v/>
      </c>
      <c r="AI152" s="23" t="str">
        <f t="shared" si="109"/>
        <v/>
      </c>
      <c r="AJ152" s="23" t="str">
        <f t="shared" si="110"/>
        <v/>
      </c>
      <c r="AK152" s="9" t="str">
        <f t="shared" si="93"/>
        <v/>
      </c>
      <c r="AL152" s="4" t="str">
        <f t="shared" si="94"/>
        <v/>
      </c>
      <c r="AM152" s="4"/>
      <c r="AN152" s="4"/>
      <c r="AO152" s="4"/>
      <c r="AP152" s="4"/>
      <c r="AQ152" s="4"/>
      <c r="AR152" s="20" t="str">
        <f t="shared" si="95"/>
        <v>-</v>
      </c>
      <c r="AS152" s="13" t="str">
        <f t="shared" si="111"/>
        <v>-</v>
      </c>
      <c r="AT152" s="13" t="str">
        <f t="shared" si="112"/>
        <v>-</v>
      </c>
      <c r="AU152" s="13" t="str">
        <f t="shared" si="96"/>
        <v>-</v>
      </c>
      <c r="AV152" s="16" t="str">
        <f t="shared" si="113"/>
        <v>-</v>
      </c>
      <c r="AW152" s="16" t="str">
        <f t="shared" si="97"/>
        <v>-</v>
      </c>
      <c r="AX152" s="16" t="str">
        <f t="shared" si="98"/>
        <v>-</v>
      </c>
      <c r="AY152" s="16" t="str">
        <f t="shared" si="114"/>
        <v>-</v>
      </c>
      <c r="AZ152" s="13" t="str">
        <f t="shared" si="115"/>
        <v>-</v>
      </c>
      <c r="BA152" s="10" t="str">
        <f t="shared" si="116"/>
        <v>-</v>
      </c>
      <c r="BB152" s="9" t="str">
        <f t="shared" si="117"/>
        <v>-</v>
      </c>
      <c r="BC152" s="13" t="str">
        <f t="shared" si="118"/>
        <v>-</v>
      </c>
      <c r="BD152" s="10" t="str">
        <f t="shared" si="119"/>
        <v>-</v>
      </c>
      <c r="BE152" s="13" t="str">
        <f t="shared" si="120"/>
        <v>-</v>
      </c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</row>
    <row r="153" spans="2:70" x14ac:dyDescent="0.3">
      <c r="B153" s="96" t="str">
        <f t="shared" si="99"/>
        <v/>
      </c>
      <c r="C153" s="96" t="str">
        <f t="shared" si="100"/>
        <v/>
      </c>
      <c r="D153" s="96" t="str">
        <f t="shared" si="101"/>
        <v/>
      </c>
      <c r="E153" s="3"/>
      <c r="F153" s="3"/>
      <c r="G153" s="3"/>
      <c r="H153" s="3"/>
      <c r="I153" s="20">
        <f>IFERROR(INDEX('Input - Walmart'!G$2:G$200,MATCH('Calculations - Walmart'!$D153,'Input - Walmart'!$B$2:$B$200,0)),"")</f>
        <v>0</v>
      </c>
      <c r="J153" s="20">
        <f>IFERROR(INDEX('Input - Walmart'!H$2:H$200,MATCH('Calculations - Walmart'!$D153,'Input - Walmart'!$B$2:$B$200,0)),"")</f>
        <v>0</v>
      </c>
      <c r="K153" s="21">
        <f>IFERROR(INDEX('Input - Walmart'!I$2:I$200,MATCH('Calculations - Walmart'!$D153,'Input - Walmart'!$B$2:$B$200,0)),"")</f>
        <v>0</v>
      </c>
      <c r="L153" s="21">
        <f>IFERROR(INDEX('Input - Walmart'!J$2:J$200,MATCH('Calculations - Walmart'!$D153,'Input - Walmart'!$B$2:$B$200,0)),"")</f>
        <v>0</v>
      </c>
      <c r="M153" s="20">
        <f>IFERROR(INDEX('Input - Walmart'!K$2:K$200,MATCH('Calculations - Walmart'!$D153,'Input - Walmart'!$B$2:$B$200,0)),"")</f>
        <v>0</v>
      </c>
      <c r="N153" s="20">
        <f>IFERROR(INDEX('Input - Walmart'!L$2:L$200,MATCH('Calculations - Walmart'!$D153,'Input - Walmart'!$B$2:$B$200,0)),"")</f>
        <v>0</v>
      </c>
      <c r="O153" s="21" t="str">
        <f t="shared" si="102"/>
        <v/>
      </c>
      <c r="P153" s="21" t="str">
        <f t="shared" si="86"/>
        <v/>
      </c>
      <c r="Q153" s="21">
        <f t="shared" si="103"/>
        <v>0</v>
      </c>
      <c r="R153" s="9">
        <f t="shared" si="121"/>
        <v>0</v>
      </c>
      <c r="S153" s="9">
        <f t="shared" si="122"/>
        <v>0</v>
      </c>
      <c r="T153" s="22" t="str">
        <f>IFERROR(INDEX(Walmart!$S$11:$S$192,MATCH('Calculations - Walmart'!$D153,Walmart!$N$11:$N$192,0)),"")</f>
        <v/>
      </c>
      <c r="U153" s="22" t="str">
        <f>IFERROR(INDEX(Walmart!$T$11:$T$192,MATCH('Calculations - Walmart'!$D153,Walmart!$N$11:$N$192,0)),"")</f>
        <v/>
      </c>
      <c r="V153" s="16" t="e">
        <f t="shared" si="87"/>
        <v>#VALUE!</v>
      </c>
      <c r="W153" s="16" t="e">
        <f t="shared" si="104"/>
        <v>#VALUE!</v>
      </c>
      <c r="X153" s="16" t="e">
        <f t="shared" si="105"/>
        <v>#VALUE!</v>
      </c>
      <c r="Y153" s="10" t="str">
        <f t="shared" si="88"/>
        <v>-</v>
      </c>
      <c r="Z153" s="10" t="str">
        <f t="shared" si="89"/>
        <v>-</v>
      </c>
      <c r="AA153" s="13" t="str">
        <f t="shared" si="106"/>
        <v>-</v>
      </c>
      <c r="AB153" s="9" t="str">
        <f t="shared" si="90"/>
        <v>-</v>
      </c>
      <c r="AC153" s="16" t="str">
        <f t="shared" si="107"/>
        <v>-</v>
      </c>
      <c r="AD153" s="16" t="str">
        <f t="shared" si="91"/>
        <v>-</v>
      </c>
      <c r="AE153" s="16" t="str">
        <f t="shared" si="92"/>
        <v>-</v>
      </c>
      <c r="AF153" s="16" t="str">
        <f t="shared" si="108"/>
        <v>-</v>
      </c>
      <c r="AG153" s="16"/>
      <c r="AH153" s="32" t="str">
        <f>IFERROR(INDEX(Walmart!$R$11:$R$192,MATCH('Calculations - Walmart'!D153,Walmart!$N$11:$N$192,0)),"")</f>
        <v/>
      </c>
      <c r="AI153" s="23" t="str">
        <f t="shared" si="109"/>
        <v/>
      </c>
      <c r="AJ153" s="23" t="str">
        <f t="shared" si="110"/>
        <v/>
      </c>
      <c r="AK153" s="9" t="str">
        <f t="shared" si="93"/>
        <v/>
      </c>
      <c r="AL153" s="4" t="str">
        <f t="shared" si="94"/>
        <v/>
      </c>
      <c r="AM153" s="4"/>
      <c r="AN153" s="4"/>
      <c r="AO153" s="4"/>
      <c r="AP153" s="4"/>
      <c r="AQ153" s="4"/>
      <c r="AR153" s="20" t="str">
        <f t="shared" si="95"/>
        <v>-</v>
      </c>
      <c r="AS153" s="13" t="str">
        <f t="shared" si="111"/>
        <v>-</v>
      </c>
      <c r="AT153" s="13" t="str">
        <f t="shared" si="112"/>
        <v>-</v>
      </c>
      <c r="AU153" s="13" t="str">
        <f t="shared" si="96"/>
        <v>-</v>
      </c>
      <c r="AV153" s="16" t="str">
        <f t="shared" si="113"/>
        <v>-</v>
      </c>
      <c r="AW153" s="16" t="str">
        <f t="shared" si="97"/>
        <v>-</v>
      </c>
      <c r="AX153" s="16" t="str">
        <f t="shared" si="98"/>
        <v>-</v>
      </c>
      <c r="AY153" s="16" t="str">
        <f t="shared" si="114"/>
        <v>-</v>
      </c>
      <c r="AZ153" s="13" t="str">
        <f t="shared" si="115"/>
        <v>-</v>
      </c>
      <c r="BA153" s="10" t="str">
        <f t="shared" si="116"/>
        <v>-</v>
      </c>
      <c r="BB153" s="9" t="str">
        <f t="shared" si="117"/>
        <v>-</v>
      </c>
      <c r="BC153" s="13" t="str">
        <f t="shared" si="118"/>
        <v>-</v>
      </c>
      <c r="BD153" s="10" t="str">
        <f t="shared" si="119"/>
        <v>-</v>
      </c>
      <c r="BE153" s="13" t="str">
        <f t="shared" si="120"/>
        <v>-</v>
      </c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</row>
    <row r="154" spans="2:70" x14ac:dyDescent="0.3">
      <c r="B154" s="96" t="str">
        <f t="shared" si="99"/>
        <v/>
      </c>
      <c r="C154" s="96" t="str">
        <f t="shared" si="100"/>
        <v/>
      </c>
      <c r="D154" s="96" t="str">
        <f t="shared" si="101"/>
        <v/>
      </c>
      <c r="E154" s="3"/>
      <c r="F154" s="3"/>
      <c r="G154" s="3"/>
      <c r="H154" s="3"/>
      <c r="I154" s="20">
        <f>IFERROR(INDEX('Input - Walmart'!G$2:G$200,MATCH('Calculations - Walmart'!$D154,'Input - Walmart'!$B$2:$B$200,0)),"")</f>
        <v>0</v>
      </c>
      <c r="J154" s="20">
        <f>IFERROR(INDEX('Input - Walmart'!H$2:H$200,MATCH('Calculations - Walmart'!$D154,'Input - Walmart'!$B$2:$B$200,0)),"")</f>
        <v>0</v>
      </c>
      <c r="K154" s="21">
        <f>IFERROR(INDEX('Input - Walmart'!I$2:I$200,MATCH('Calculations - Walmart'!$D154,'Input - Walmart'!$B$2:$B$200,0)),"")</f>
        <v>0</v>
      </c>
      <c r="L154" s="21">
        <f>IFERROR(INDEX('Input - Walmart'!J$2:J$200,MATCH('Calculations - Walmart'!$D154,'Input - Walmart'!$B$2:$B$200,0)),"")</f>
        <v>0</v>
      </c>
      <c r="M154" s="20">
        <f>IFERROR(INDEX('Input - Walmart'!K$2:K$200,MATCH('Calculations - Walmart'!$D154,'Input - Walmart'!$B$2:$B$200,0)),"")</f>
        <v>0</v>
      </c>
      <c r="N154" s="20">
        <f>IFERROR(INDEX('Input - Walmart'!L$2:L$200,MATCH('Calculations - Walmart'!$D154,'Input - Walmart'!$B$2:$B$200,0)),"")</f>
        <v>0</v>
      </c>
      <c r="O154" s="21" t="str">
        <f t="shared" si="102"/>
        <v/>
      </c>
      <c r="P154" s="21" t="str">
        <f t="shared" si="86"/>
        <v/>
      </c>
      <c r="Q154" s="21">
        <f t="shared" si="103"/>
        <v>0</v>
      </c>
      <c r="R154" s="9">
        <f t="shared" si="121"/>
        <v>0</v>
      </c>
      <c r="S154" s="9">
        <f t="shared" si="122"/>
        <v>0</v>
      </c>
      <c r="T154" s="22" t="str">
        <f>IFERROR(INDEX(Walmart!$S$11:$S$192,MATCH('Calculations - Walmart'!$D154,Walmart!$N$11:$N$192,0)),"")</f>
        <v/>
      </c>
      <c r="U154" s="22" t="str">
        <f>IFERROR(INDEX(Walmart!$T$11:$T$192,MATCH('Calculations - Walmart'!$D154,Walmart!$N$11:$N$192,0)),"")</f>
        <v/>
      </c>
      <c r="V154" s="16" t="e">
        <f t="shared" si="87"/>
        <v>#VALUE!</v>
      </c>
      <c r="W154" s="16" t="e">
        <f t="shared" si="104"/>
        <v>#VALUE!</v>
      </c>
      <c r="X154" s="16" t="e">
        <f t="shared" si="105"/>
        <v>#VALUE!</v>
      </c>
      <c r="Y154" s="10" t="str">
        <f t="shared" si="88"/>
        <v>-</v>
      </c>
      <c r="Z154" s="10" t="str">
        <f t="shared" si="89"/>
        <v>-</v>
      </c>
      <c r="AA154" s="13" t="str">
        <f t="shared" si="106"/>
        <v>-</v>
      </c>
      <c r="AB154" s="9" t="str">
        <f t="shared" si="90"/>
        <v>-</v>
      </c>
      <c r="AC154" s="16" t="str">
        <f t="shared" si="107"/>
        <v>-</v>
      </c>
      <c r="AD154" s="16" t="str">
        <f t="shared" si="91"/>
        <v>-</v>
      </c>
      <c r="AE154" s="16" t="str">
        <f t="shared" si="92"/>
        <v>-</v>
      </c>
      <c r="AF154" s="16" t="str">
        <f t="shared" si="108"/>
        <v>-</v>
      </c>
      <c r="AG154" s="16"/>
      <c r="AH154" s="32" t="str">
        <f>IFERROR(INDEX(Walmart!$R$11:$R$192,MATCH('Calculations - Walmart'!D154,Walmart!$N$11:$N$192,0)),"")</f>
        <v/>
      </c>
      <c r="AI154" s="23" t="str">
        <f t="shared" si="109"/>
        <v/>
      </c>
      <c r="AJ154" s="23" t="str">
        <f t="shared" si="110"/>
        <v/>
      </c>
      <c r="AK154" s="9" t="str">
        <f t="shared" si="93"/>
        <v/>
      </c>
      <c r="AL154" s="4" t="str">
        <f t="shared" si="94"/>
        <v/>
      </c>
      <c r="AM154" s="4"/>
      <c r="AN154" s="4"/>
      <c r="AO154" s="4"/>
      <c r="AP154" s="4"/>
      <c r="AQ154" s="4"/>
      <c r="AR154" s="20" t="str">
        <f t="shared" si="95"/>
        <v>-</v>
      </c>
      <c r="AS154" s="13" t="str">
        <f t="shared" si="111"/>
        <v>-</v>
      </c>
      <c r="AT154" s="13" t="str">
        <f t="shared" si="112"/>
        <v>-</v>
      </c>
      <c r="AU154" s="13" t="str">
        <f t="shared" si="96"/>
        <v>-</v>
      </c>
      <c r="AV154" s="16" t="str">
        <f t="shared" si="113"/>
        <v>-</v>
      </c>
      <c r="AW154" s="16" t="str">
        <f t="shared" si="97"/>
        <v>-</v>
      </c>
      <c r="AX154" s="16" t="str">
        <f t="shared" si="98"/>
        <v>-</v>
      </c>
      <c r="AY154" s="16" t="str">
        <f t="shared" si="114"/>
        <v>-</v>
      </c>
      <c r="AZ154" s="13" t="str">
        <f t="shared" si="115"/>
        <v>-</v>
      </c>
      <c r="BA154" s="10" t="str">
        <f t="shared" si="116"/>
        <v>-</v>
      </c>
      <c r="BB154" s="9" t="str">
        <f t="shared" si="117"/>
        <v>-</v>
      </c>
      <c r="BC154" s="13" t="str">
        <f t="shared" si="118"/>
        <v>-</v>
      </c>
      <c r="BD154" s="10" t="str">
        <f t="shared" si="119"/>
        <v>-</v>
      </c>
      <c r="BE154" s="13" t="str">
        <f t="shared" si="120"/>
        <v>-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</row>
    <row r="155" spans="2:70" x14ac:dyDescent="0.3">
      <c r="B155" s="96" t="str">
        <f t="shared" si="99"/>
        <v/>
      </c>
      <c r="C155" s="96" t="str">
        <f t="shared" si="100"/>
        <v/>
      </c>
      <c r="D155" s="96" t="str">
        <f t="shared" si="101"/>
        <v/>
      </c>
      <c r="E155" s="3"/>
      <c r="F155" s="3"/>
      <c r="G155" s="3"/>
      <c r="H155" s="3"/>
      <c r="I155" s="20">
        <f>IFERROR(INDEX('Input - Walmart'!G$2:G$200,MATCH('Calculations - Walmart'!$D155,'Input - Walmart'!$B$2:$B$200,0)),"")</f>
        <v>0</v>
      </c>
      <c r="J155" s="20">
        <f>IFERROR(INDEX('Input - Walmart'!H$2:H$200,MATCH('Calculations - Walmart'!$D155,'Input - Walmart'!$B$2:$B$200,0)),"")</f>
        <v>0</v>
      </c>
      <c r="K155" s="21">
        <f>IFERROR(INDEX('Input - Walmart'!I$2:I$200,MATCH('Calculations - Walmart'!$D155,'Input - Walmart'!$B$2:$B$200,0)),"")</f>
        <v>0</v>
      </c>
      <c r="L155" s="21">
        <f>IFERROR(INDEX('Input - Walmart'!J$2:J$200,MATCH('Calculations - Walmart'!$D155,'Input - Walmart'!$B$2:$B$200,0)),"")</f>
        <v>0</v>
      </c>
      <c r="M155" s="20">
        <f>IFERROR(INDEX('Input - Walmart'!K$2:K$200,MATCH('Calculations - Walmart'!$D155,'Input - Walmart'!$B$2:$B$200,0)),"")</f>
        <v>0</v>
      </c>
      <c r="N155" s="20">
        <f>IFERROR(INDEX('Input - Walmart'!L$2:L$200,MATCH('Calculations - Walmart'!$D155,'Input - Walmart'!$B$2:$B$200,0)),"")</f>
        <v>0</v>
      </c>
      <c r="O155" s="21" t="str">
        <f t="shared" si="102"/>
        <v/>
      </c>
      <c r="P155" s="21" t="str">
        <f t="shared" si="86"/>
        <v/>
      </c>
      <c r="Q155" s="21">
        <f t="shared" si="103"/>
        <v>0</v>
      </c>
      <c r="R155" s="9">
        <f t="shared" si="121"/>
        <v>0</v>
      </c>
      <c r="S155" s="9">
        <f t="shared" si="122"/>
        <v>0</v>
      </c>
      <c r="T155" s="22" t="str">
        <f>IFERROR(INDEX(Walmart!$S$11:$S$192,MATCH('Calculations - Walmart'!$D155,Walmart!$N$11:$N$192,0)),"")</f>
        <v/>
      </c>
      <c r="U155" s="22" t="str">
        <f>IFERROR(INDEX(Walmart!$T$11:$T$192,MATCH('Calculations - Walmart'!$D155,Walmart!$N$11:$N$192,0)),"")</f>
        <v/>
      </c>
      <c r="V155" s="16" t="e">
        <f t="shared" si="87"/>
        <v>#VALUE!</v>
      </c>
      <c r="W155" s="16" t="e">
        <f t="shared" si="104"/>
        <v>#VALUE!</v>
      </c>
      <c r="X155" s="16" t="e">
        <f t="shared" si="105"/>
        <v>#VALUE!</v>
      </c>
      <c r="Y155" s="10" t="str">
        <f t="shared" si="88"/>
        <v>-</v>
      </c>
      <c r="Z155" s="10" t="str">
        <f t="shared" si="89"/>
        <v>-</v>
      </c>
      <c r="AA155" s="13" t="str">
        <f t="shared" si="106"/>
        <v>-</v>
      </c>
      <c r="AB155" s="9" t="str">
        <f t="shared" si="90"/>
        <v>-</v>
      </c>
      <c r="AC155" s="16" t="str">
        <f t="shared" si="107"/>
        <v>-</v>
      </c>
      <c r="AD155" s="16" t="str">
        <f t="shared" si="91"/>
        <v>-</v>
      </c>
      <c r="AE155" s="16" t="str">
        <f t="shared" si="92"/>
        <v>-</v>
      </c>
      <c r="AF155" s="16" t="str">
        <f t="shared" si="108"/>
        <v>-</v>
      </c>
      <c r="AG155" s="16"/>
      <c r="AH155" s="32" t="str">
        <f>IFERROR(INDEX(Walmart!$R$11:$R$192,MATCH('Calculations - Walmart'!D155,Walmart!$N$11:$N$192,0)),"")</f>
        <v/>
      </c>
      <c r="AI155" s="23" t="str">
        <f t="shared" si="109"/>
        <v/>
      </c>
      <c r="AJ155" s="23" t="str">
        <f t="shared" si="110"/>
        <v/>
      </c>
      <c r="AK155" s="9" t="str">
        <f t="shared" si="93"/>
        <v/>
      </c>
      <c r="AL155" s="4" t="str">
        <f t="shared" si="94"/>
        <v/>
      </c>
      <c r="AM155" s="4"/>
      <c r="AN155" s="4"/>
      <c r="AO155" s="4"/>
      <c r="AP155" s="4"/>
      <c r="AQ155" s="4"/>
      <c r="AR155" s="20" t="str">
        <f t="shared" si="95"/>
        <v>-</v>
      </c>
      <c r="AS155" s="13" t="str">
        <f t="shared" si="111"/>
        <v>-</v>
      </c>
      <c r="AT155" s="13" t="str">
        <f t="shared" si="112"/>
        <v>-</v>
      </c>
      <c r="AU155" s="13" t="str">
        <f t="shared" si="96"/>
        <v>-</v>
      </c>
      <c r="AV155" s="16" t="str">
        <f t="shared" si="113"/>
        <v>-</v>
      </c>
      <c r="AW155" s="16" t="str">
        <f t="shared" si="97"/>
        <v>-</v>
      </c>
      <c r="AX155" s="16" t="str">
        <f t="shared" si="98"/>
        <v>-</v>
      </c>
      <c r="AY155" s="16" t="str">
        <f t="shared" si="114"/>
        <v>-</v>
      </c>
      <c r="AZ155" s="13" t="str">
        <f t="shared" si="115"/>
        <v>-</v>
      </c>
      <c r="BA155" s="10" t="str">
        <f t="shared" si="116"/>
        <v>-</v>
      </c>
      <c r="BB155" s="9" t="str">
        <f t="shared" si="117"/>
        <v>-</v>
      </c>
      <c r="BC155" s="13" t="str">
        <f t="shared" si="118"/>
        <v>-</v>
      </c>
      <c r="BD155" s="10" t="str">
        <f t="shared" si="119"/>
        <v>-</v>
      </c>
      <c r="BE155" s="13" t="str">
        <f t="shared" si="120"/>
        <v>-</v>
      </c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</row>
    <row r="156" spans="2:70" x14ac:dyDescent="0.3">
      <c r="B156" s="96" t="str">
        <f t="shared" si="99"/>
        <v/>
      </c>
      <c r="C156" s="96" t="str">
        <f t="shared" si="100"/>
        <v/>
      </c>
      <c r="D156" s="96" t="str">
        <f t="shared" si="101"/>
        <v/>
      </c>
      <c r="E156" s="3"/>
      <c r="F156" s="3"/>
      <c r="G156" s="3"/>
      <c r="H156" s="3"/>
      <c r="I156" s="20">
        <f>IFERROR(INDEX('Input - Walmart'!G$2:G$200,MATCH('Calculations - Walmart'!$D156,'Input - Walmart'!$B$2:$B$200,0)),"")</f>
        <v>0</v>
      </c>
      <c r="J156" s="20">
        <f>IFERROR(INDEX('Input - Walmart'!H$2:H$200,MATCH('Calculations - Walmart'!$D156,'Input - Walmart'!$B$2:$B$200,0)),"")</f>
        <v>0</v>
      </c>
      <c r="K156" s="21">
        <f>IFERROR(INDEX('Input - Walmart'!I$2:I$200,MATCH('Calculations - Walmart'!$D156,'Input - Walmart'!$B$2:$B$200,0)),"")</f>
        <v>0</v>
      </c>
      <c r="L156" s="21">
        <f>IFERROR(INDEX('Input - Walmart'!J$2:J$200,MATCH('Calculations - Walmart'!$D156,'Input - Walmart'!$B$2:$B$200,0)),"")</f>
        <v>0</v>
      </c>
      <c r="M156" s="20">
        <f>IFERROR(INDEX('Input - Walmart'!K$2:K$200,MATCH('Calculations - Walmart'!$D156,'Input - Walmart'!$B$2:$B$200,0)),"")</f>
        <v>0</v>
      </c>
      <c r="N156" s="20">
        <f>IFERROR(INDEX('Input - Walmart'!L$2:L$200,MATCH('Calculations - Walmart'!$D156,'Input - Walmart'!$B$2:$B$200,0)),"")</f>
        <v>0</v>
      </c>
      <c r="O156" s="21" t="str">
        <f t="shared" si="102"/>
        <v/>
      </c>
      <c r="P156" s="21" t="str">
        <f t="shared" si="86"/>
        <v/>
      </c>
      <c r="Q156" s="21">
        <f t="shared" si="103"/>
        <v>0</v>
      </c>
      <c r="R156" s="9">
        <f t="shared" si="121"/>
        <v>0</v>
      </c>
      <c r="S156" s="9">
        <f t="shared" si="122"/>
        <v>0</v>
      </c>
      <c r="T156" s="22" t="str">
        <f>IFERROR(INDEX(Walmart!$S$11:$S$192,MATCH('Calculations - Walmart'!$D156,Walmart!$N$11:$N$192,0)),"")</f>
        <v/>
      </c>
      <c r="U156" s="22" t="str">
        <f>IFERROR(INDEX(Walmart!$T$11:$T$192,MATCH('Calculations - Walmart'!$D156,Walmart!$N$11:$N$192,0)),"")</f>
        <v/>
      </c>
      <c r="V156" s="16" t="e">
        <f t="shared" si="87"/>
        <v>#VALUE!</v>
      </c>
      <c r="W156" s="16" t="e">
        <f t="shared" si="104"/>
        <v>#VALUE!</v>
      </c>
      <c r="X156" s="16" t="e">
        <f t="shared" si="105"/>
        <v>#VALUE!</v>
      </c>
      <c r="Y156" s="10" t="str">
        <f t="shared" si="88"/>
        <v>-</v>
      </c>
      <c r="Z156" s="10" t="str">
        <f t="shared" si="89"/>
        <v>-</v>
      </c>
      <c r="AA156" s="13" t="str">
        <f t="shared" si="106"/>
        <v>-</v>
      </c>
      <c r="AB156" s="9" t="str">
        <f t="shared" si="90"/>
        <v>-</v>
      </c>
      <c r="AC156" s="16" t="str">
        <f t="shared" si="107"/>
        <v>-</v>
      </c>
      <c r="AD156" s="16" t="str">
        <f t="shared" si="91"/>
        <v>-</v>
      </c>
      <c r="AE156" s="16" t="str">
        <f t="shared" si="92"/>
        <v>-</v>
      </c>
      <c r="AF156" s="16" t="str">
        <f t="shared" si="108"/>
        <v>-</v>
      </c>
      <c r="AG156" s="16"/>
      <c r="AH156" s="32" t="str">
        <f>IFERROR(INDEX(Walmart!$R$11:$R$192,MATCH('Calculations - Walmart'!D156,Walmart!$N$11:$N$192,0)),"")</f>
        <v/>
      </c>
      <c r="AI156" s="23" t="str">
        <f t="shared" si="109"/>
        <v/>
      </c>
      <c r="AJ156" s="23" t="str">
        <f t="shared" si="110"/>
        <v/>
      </c>
      <c r="AK156" s="9" t="str">
        <f t="shared" si="93"/>
        <v/>
      </c>
      <c r="AL156" s="4" t="str">
        <f t="shared" si="94"/>
        <v/>
      </c>
      <c r="AM156" s="4"/>
      <c r="AN156" s="4"/>
      <c r="AO156" s="4"/>
      <c r="AP156" s="4"/>
      <c r="AQ156" s="4"/>
      <c r="AR156" s="20" t="str">
        <f t="shared" si="95"/>
        <v>-</v>
      </c>
      <c r="AS156" s="13" t="str">
        <f t="shared" si="111"/>
        <v>-</v>
      </c>
      <c r="AT156" s="13" t="str">
        <f t="shared" si="112"/>
        <v>-</v>
      </c>
      <c r="AU156" s="13" t="str">
        <f t="shared" si="96"/>
        <v>-</v>
      </c>
      <c r="AV156" s="16" t="str">
        <f t="shared" si="113"/>
        <v>-</v>
      </c>
      <c r="AW156" s="16" t="str">
        <f t="shared" si="97"/>
        <v>-</v>
      </c>
      <c r="AX156" s="16" t="str">
        <f t="shared" si="98"/>
        <v>-</v>
      </c>
      <c r="AY156" s="16" t="str">
        <f t="shared" si="114"/>
        <v>-</v>
      </c>
      <c r="AZ156" s="13" t="str">
        <f t="shared" si="115"/>
        <v>-</v>
      </c>
      <c r="BA156" s="10" t="str">
        <f t="shared" si="116"/>
        <v>-</v>
      </c>
      <c r="BB156" s="9" t="str">
        <f t="shared" si="117"/>
        <v>-</v>
      </c>
      <c r="BC156" s="13" t="str">
        <f t="shared" si="118"/>
        <v>-</v>
      </c>
      <c r="BD156" s="10" t="str">
        <f t="shared" si="119"/>
        <v>-</v>
      </c>
      <c r="BE156" s="13" t="str">
        <f t="shared" si="120"/>
        <v>-</v>
      </c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</row>
    <row r="157" spans="2:70" x14ac:dyDescent="0.3">
      <c r="B157" s="96" t="str">
        <f t="shared" si="99"/>
        <v/>
      </c>
      <c r="C157" s="96" t="str">
        <f t="shared" si="100"/>
        <v/>
      </c>
      <c r="D157" s="96" t="str">
        <f t="shared" si="101"/>
        <v/>
      </c>
      <c r="E157" s="3"/>
      <c r="F157" s="3"/>
      <c r="G157" s="3"/>
      <c r="H157" s="3"/>
      <c r="I157" s="20">
        <f>IFERROR(INDEX('Input - Walmart'!G$2:G$200,MATCH('Calculations - Walmart'!$D157,'Input - Walmart'!$B$2:$B$200,0)),"")</f>
        <v>0</v>
      </c>
      <c r="J157" s="20">
        <f>IFERROR(INDEX('Input - Walmart'!H$2:H$200,MATCH('Calculations - Walmart'!$D157,'Input - Walmart'!$B$2:$B$200,0)),"")</f>
        <v>0</v>
      </c>
      <c r="K157" s="21">
        <f>IFERROR(INDEX('Input - Walmart'!I$2:I$200,MATCH('Calculations - Walmart'!$D157,'Input - Walmart'!$B$2:$B$200,0)),"")</f>
        <v>0</v>
      </c>
      <c r="L157" s="21">
        <f>IFERROR(INDEX('Input - Walmart'!J$2:J$200,MATCH('Calculations - Walmart'!$D157,'Input - Walmart'!$B$2:$B$200,0)),"")</f>
        <v>0</v>
      </c>
      <c r="M157" s="20">
        <f>IFERROR(INDEX('Input - Walmart'!K$2:K$200,MATCH('Calculations - Walmart'!$D157,'Input - Walmart'!$B$2:$B$200,0)),"")</f>
        <v>0</v>
      </c>
      <c r="N157" s="20">
        <f>IFERROR(INDEX('Input - Walmart'!L$2:L$200,MATCH('Calculations - Walmart'!$D157,'Input - Walmart'!$B$2:$B$200,0)),"")</f>
        <v>0</v>
      </c>
      <c r="O157" s="21" t="str">
        <f t="shared" si="102"/>
        <v/>
      </c>
      <c r="P157" s="21" t="str">
        <f t="shared" si="86"/>
        <v/>
      </c>
      <c r="Q157" s="21">
        <f t="shared" si="103"/>
        <v>0</v>
      </c>
      <c r="R157" s="9">
        <f t="shared" si="121"/>
        <v>0</v>
      </c>
      <c r="S157" s="9">
        <f t="shared" si="122"/>
        <v>0</v>
      </c>
      <c r="T157" s="22" t="str">
        <f>IFERROR(INDEX(Walmart!$S$11:$S$192,MATCH('Calculations - Walmart'!$D157,Walmart!$N$11:$N$192,0)),"")</f>
        <v/>
      </c>
      <c r="U157" s="22" t="str">
        <f>IFERROR(INDEX(Walmart!$T$11:$T$192,MATCH('Calculations - Walmart'!$D157,Walmart!$N$11:$N$192,0)),"")</f>
        <v/>
      </c>
      <c r="V157" s="16" t="e">
        <f t="shared" si="87"/>
        <v>#VALUE!</v>
      </c>
      <c r="W157" s="16" t="e">
        <f t="shared" si="104"/>
        <v>#VALUE!</v>
      </c>
      <c r="X157" s="16" t="e">
        <f t="shared" si="105"/>
        <v>#VALUE!</v>
      </c>
      <c r="Y157" s="10" t="str">
        <f t="shared" si="88"/>
        <v>-</v>
      </c>
      <c r="Z157" s="10" t="str">
        <f t="shared" si="89"/>
        <v>-</v>
      </c>
      <c r="AA157" s="13" t="str">
        <f t="shared" si="106"/>
        <v>-</v>
      </c>
      <c r="AB157" s="9" t="str">
        <f t="shared" si="90"/>
        <v>-</v>
      </c>
      <c r="AC157" s="16" t="str">
        <f t="shared" si="107"/>
        <v>-</v>
      </c>
      <c r="AD157" s="16" t="str">
        <f t="shared" si="91"/>
        <v>-</v>
      </c>
      <c r="AE157" s="16" t="str">
        <f t="shared" si="92"/>
        <v>-</v>
      </c>
      <c r="AF157" s="16" t="str">
        <f t="shared" si="108"/>
        <v>-</v>
      </c>
      <c r="AG157" s="16"/>
      <c r="AH157" s="32" t="str">
        <f>IFERROR(INDEX(Walmart!$R$11:$R$192,MATCH('Calculations - Walmart'!D157,Walmart!$N$11:$N$192,0)),"")</f>
        <v/>
      </c>
      <c r="AI157" s="23" t="str">
        <f t="shared" si="109"/>
        <v/>
      </c>
      <c r="AJ157" s="23" t="str">
        <f t="shared" si="110"/>
        <v/>
      </c>
      <c r="AK157" s="9" t="str">
        <f t="shared" si="93"/>
        <v/>
      </c>
      <c r="AL157" s="4" t="str">
        <f t="shared" si="94"/>
        <v/>
      </c>
      <c r="AM157" s="4"/>
      <c r="AN157" s="4"/>
      <c r="AO157" s="4"/>
      <c r="AP157" s="4"/>
      <c r="AQ157" s="4"/>
      <c r="AR157" s="20" t="str">
        <f t="shared" si="95"/>
        <v>-</v>
      </c>
      <c r="AS157" s="13" t="str">
        <f t="shared" si="111"/>
        <v>-</v>
      </c>
      <c r="AT157" s="13" t="str">
        <f t="shared" si="112"/>
        <v>-</v>
      </c>
      <c r="AU157" s="13" t="str">
        <f t="shared" si="96"/>
        <v>-</v>
      </c>
      <c r="AV157" s="16" t="str">
        <f t="shared" si="113"/>
        <v>-</v>
      </c>
      <c r="AW157" s="16" t="str">
        <f t="shared" si="97"/>
        <v>-</v>
      </c>
      <c r="AX157" s="16" t="str">
        <f t="shared" si="98"/>
        <v>-</v>
      </c>
      <c r="AY157" s="16" t="str">
        <f t="shared" si="114"/>
        <v>-</v>
      </c>
      <c r="AZ157" s="13" t="str">
        <f t="shared" si="115"/>
        <v>-</v>
      </c>
      <c r="BA157" s="10" t="str">
        <f t="shared" si="116"/>
        <v>-</v>
      </c>
      <c r="BB157" s="9" t="str">
        <f t="shared" si="117"/>
        <v>-</v>
      </c>
      <c r="BC157" s="13" t="str">
        <f t="shared" si="118"/>
        <v>-</v>
      </c>
      <c r="BD157" s="10" t="str">
        <f t="shared" si="119"/>
        <v>-</v>
      </c>
      <c r="BE157" s="13" t="str">
        <f t="shared" si="120"/>
        <v>-</v>
      </c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</row>
    <row r="158" spans="2:70" x14ac:dyDescent="0.3">
      <c r="B158" s="96" t="str">
        <f t="shared" si="99"/>
        <v/>
      </c>
      <c r="C158" s="96" t="str">
        <f t="shared" si="100"/>
        <v/>
      </c>
      <c r="D158" s="96" t="str">
        <f t="shared" si="101"/>
        <v/>
      </c>
      <c r="E158" s="3"/>
      <c r="F158" s="3"/>
      <c r="G158" s="3"/>
      <c r="H158" s="3"/>
      <c r="I158" s="20">
        <f>IFERROR(INDEX('Input - Walmart'!G$2:G$200,MATCH('Calculations - Walmart'!$D158,'Input - Walmart'!$B$2:$B$200,0)),"")</f>
        <v>0</v>
      </c>
      <c r="J158" s="20">
        <f>IFERROR(INDEX('Input - Walmart'!H$2:H$200,MATCH('Calculations - Walmart'!$D158,'Input - Walmart'!$B$2:$B$200,0)),"")</f>
        <v>0</v>
      </c>
      <c r="K158" s="21">
        <f>IFERROR(INDEX('Input - Walmart'!I$2:I$200,MATCH('Calculations - Walmart'!$D158,'Input - Walmart'!$B$2:$B$200,0)),"")</f>
        <v>0</v>
      </c>
      <c r="L158" s="21">
        <f>IFERROR(INDEX('Input - Walmart'!J$2:J$200,MATCH('Calculations - Walmart'!$D158,'Input - Walmart'!$B$2:$B$200,0)),"")</f>
        <v>0</v>
      </c>
      <c r="M158" s="20">
        <f>IFERROR(INDEX('Input - Walmart'!K$2:K$200,MATCH('Calculations - Walmart'!$D158,'Input - Walmart'!$B$2:$B$200,0)),"")</f>
        <v>0</v>
      </c>
      <c r="N158" s="20">
        <f>IFERROR(INDEX('Input - Walmart'!L$2:L$200,MATCH('Calculations - Walmart'!$D158,'Input - Walmart'!$B$2:$B$200,0)),"")</f>
        <v>0</v>
      </c>
      <c r="O158" s="21" t="str">
        <f t="shared" si="102"/>
        <v/>
      </c>
      <c r="P158" s="21" t="str">
        <f t="shared" si="86"/>
        <v/>
      </c>
      <c r="Q158" s="21">
        <f t="shared" si="103"/>
        <v>0</v>
      </c>
      <c r="R158" s="9">
        <f t="shared" si="121"/>
        <v>0</v>
      </c>
      <c r="S158" s="9">
        <f t="shared" si="122"/>
        <v>0</v>
      </c>
      <c r="T158" s="22" t="str">
        <f>IFERROR(INDEX(Walmart!$S$11:$S$192,MATCH('Calculations - Walmart'!$D158,Walmart!$N$11:$N$192,0)),"")</f>
        <v/>
      </c>
      <c r="U158" s="22" t="str">
        <f>IFERROR(INDEX(Walmart!$T$11:$T$192,MATCH('Calculations - Walmart'!$D158,Walmart!$N$11:$N$192,0)),"")</f>
        <v/>
      </c>
      <c r="V158" s="16" t="e">
        <f t="shared" si="87"/>
        <v>#VALUE!</v>
      </c>
      <c r="W158" s="16" t="e">
        <f t="shared" si="104"/>
        <v>#VALUE!</v>
      </c>
      <c r="X158" s="16" t="e">
        <f t="shared" si="105"/>
        <v>#VALUE!</v>
      </c>
      <c r="Y158" s="10" t="str">
        <f t="shared" si="88"/>
        <v>-</v>
      </c>
      <c r="Z158" s="10" t="str">
        <f t="shared" si="89"/>
        <v>-</v>
      </c>
      <c r="AA158" s="13" t="str">
        <f t="shared" si="106"/>
        <v>-</v>
      </c>
      <c r="AB158" s="9" t="str">
        <f t="shared" si="90"/>
        <v>-</v>
      </c>
      <c r="AC158" s="16" t="str">
        <f t="shared" si="107"/>
        <v>-</v>
      </c>
      <c r="AD158" s="16" t="str">
        <f t="shared" si="91"/>
        <v>-</v>
      </c>
      <c r="AE158" s="16" t="str">
        <f t="shared" si="92"/>
        <v>-</v>
      </c>
      <c r="AF158" s="16" t="str">
        <f t="shared" si="108"/>
        <v>-</v>
      </c>
      <c r="AG158" s="16"/>
      <c r="AH158" s="32" t="str">
        <f>IFERROR(INDEX(Walmart!$R$11:$R$192,MATCH('Calculations - Walmart'!D158,Walmart!$N$11:$N$192,0)),"")</f>
        <v/>
      </c>
      <c r="AI158" s="23" t="str">
        <f t="shared" si="109"/>
        <v/>
      </c>
      <c r="AJ158" s="23" t="str">
        <f t="shared" si="110"/>
        <v/>
      </c>
      <c r="AK158" s="9" t="str">
        <f t="shared" si="93"/>
        <v/>
      </c>
      <c r="AL158" s="4" t="str">
        <f t="shared" si="94"/>
        <v/>
      </c>
      <c r="AM158" s="4"/>
      <c r="AN158" s="4"/>
      <c r="AO158" s="4"/>
      <c r="AP158" s="4"/>
      <c r="AQ158" s="4"/>
      <c r="AR158" s="20" t="str">
        <f t="shared" si="95"/>
        <v>-</v>
      </c>
      <c r="AS158" s="13" t="str">
        <f t="shared" si="111"/>
        <v>-</v>
      </c>
      <c r="AT158" s="13" t="str">
        <f t="shared" si="112"/>
        <v>-</v>
      </c>
      <c r="AU158" s="13" t="str">
        <f t="shared" si="96"/>
        <v>-</v>
      </c>
      <c r="AV158" s="16" t="str">
        <f t="shared" si="113"/>
        <v>-</v>
      </c>
      <c r="AW158" s="16" t="str">
        <f t="shared" si="97"/>
        <v>-</v>
      </c>
      <c r="AX158" s="16" t="str">
        <f t="shared" si="98"/>
        <v>-</v>
      </c>
      <c r="AY158" s="16" t="str">
        <f t="shared" si="114"/>
        <v>-</v>
      </c>
      <c r="AZ158" s="13" t="str">
        <f t="shared" si="115"/>
        <v>-</v>
      </c>
      <c r="BA158" s="10" t="str">
        <f t="shared" si="116"/>
        <v>-</v>
      </c>
      <c r="BB158" s="9" t="str">
        <f t="shared" si="117"/>
        <v>-</v>
      </c>
      <c r="BC158" s="13" t="str">
        <f t="shared" si="118"/>
        <v>-</v>
      </c>
      <c r="BD158" s="10" t="str">
        <f t="shared" si="119"/>
        <v>-</v>
      </c>
      <c r="BE158" s="13" t="str">
        <f t="shared" si="120"/>
        <v>-</v>
      </c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</row>
    <row r="159" spans="2:70" x14ac:dyDescent="0.3">
      <c r="B159" s="96" t="str">
        <f t="shared" si="99"/>
        <v/>
      </c>
      <c r="C159" s="96" t="str">
        <f t="shared" si="100"/>
        <v/>
      </c>
      <c r="D159" s="96" t="str">
        <f t="shared" si="101"/>
        <v/>
      </c>
      <c r="E159" s="3"/>
      <c r="F159" s="3"/>
      <c r="G159" s="3"/>
      <c r="H159" s="3"/>
      <c r="I159" s="20">
        <f>IFERROR(INDEX('Input - Walmart'!G$2:G$200,MATCH('Calculations - Walmart'!$D159,'Input - Walmart'!$B$2:$B$200,0)),"")</f>
        <v>0</v>
      </c>
      <c r="J159" s="20">
        <f>IFERROR(INDEX('Input - Walmart'!H$2:H$200,MATCH('Calculations - Walmart'!$D159,'Input - Walmart'!$B$2:$B$200,0)),"")</f>
        <v>0</v>
      </c>
      <c r="K159" s="21">
        <f>IFERROR(INDEX('Input - Walmart'!I$2:I$200,MATCH('Calculations - Walmart'!$D159,'Input - Walmart'!$B$2:$B$200,0)),"")</f>
        <v>0</v>
      </c>
      <c r="L159" s="21">
        <f>IFERROR(INDEX('Input - Walmart'!J$2:J$200,MATCH('Calculations - Walmart'!$D159,'Input - Walmart'!$B$2:$B$200,0)),"")</f>
        <v>0</v>
      </c>
      <c r="M159" s="20">
        <f>IFERROR(INDEX('Input - Walmart'!K$2:K$200,MATCH('Calculations - Walmart'!$D159,'Input - Walmart'!$B$2:$B$200,0)),"")</f>
        <v>0</v>
      </c>
      <c r="N159" s="20">
        <f>IFERROR(INDEX('Input - Walmart'!L$2:L$200,MATCH('Calculations - Walmart'!$D159,'Input - Walmart'!$B$2:$B$200,0)),"")</f>
        <v>0</v>
      </c>
      <c r="O159" s="21" t="str">
        <f t="shared" si="102"/>
        <v/>
      </c>
      <c r="P159" s="21" t="str">
        <f t="shared" si="86"/>
        <v/>
      </c>
      <c r="Q159" s="21">
        <f t="shared" si="103"/>
        <v>0</v>
      </c>
      <c r="R159" s="9">
        <f t="shared" si="121"/>
        <v>0</v>
      </c>
      <c r="S159" s="9">
        <f t="shared" si="122"/>
        <v>0</v>
      </c>
      <c r="T159" s="22" t="str">
        <f>IFERROR(INDEX(Walmart!$S$11:$S$192,MATCH('Calculations - Walmart'!$D159,Walmart!$N$11:$N$192,0)),"")</f>
        <v/>
      </c>
      <c r="U159" s="22" t="str">
        <f>IFERROR(INDEX(Walmart!$T$11:$T$192,MATCH('Calculations - Walmart'!$D159,Walmart!$N$11:$N$192,0)),"")</f>
        <v/>
      </c>
      <c r="V159" s="16" t="e">
        <f t="shared" si="87"/>
        <v>#VALUE!</v>
      </c>
      <c r="W159" s="16" t="e">
        <f t="shared" si="104"/>
        <v>#VALUE!</v>
      </c>
      <c r="X159" s="16" t="e">
        <f t="shared" si="105"/>
        <v>#VALUE!</v>
      </c>
      <c r="Y159" s="10" t="str">
        <f t="shared" si="88"/>
        <v>-</v>
      </c>
      <c r="Z159" s="10" t="str">
        <f t="shared" si="89"/>
        <v>-</v>
      </c>
      <c r="AA159" s="13" t="str">
        <f t="shared" si="106"/>
        <v>-</v>
      </c>
      <c r="AB159" s="9" t="str">
        <f t="shared" si="90"/>
        <v>-</v>
      </c>
      <c r="AC159" s="16" t="str">
        <f t="shared" si="107"/>
        <v>-</v>
      </c>
      <c r="AD159" s="16" t="str">
        <f t="shared" si="91"/>
        <v>-</v>
      </c>
      <c r="AE159" s="16" t="str">
        <f t="shared" si="92"/>
        <v>-</v>
      </c>
      <c r="AF159" s="16" t="str">
        <f t="shared" si="108"/>
        <v>-</v>
      </c>
      <c r="AG159" s="16"/>
      <c r="AH159" s="32" t="str">
        <f>IFERROR(INDEX(Walmart!$R$11:$R$192,MATCH('Calculations - Walmart'!D159,Walmart!$N$11:$N$192,0)),"")</f>
        <v/>
      </c>
      <c r="AI159" s="23" t="str">
        <f t="shared" si="109"/>
        <v/>
      </c>
      <c r="AJ159" s="23" t="str">
        <f t="shared" si="110"/>
        <v/>
      </c>
      <c r="AK159" s="9" t="str">
        <f t="shared" si="93"/>
        <v/>
      </c>
      <c r="AL159" s="4" t="str">
        <f t="shared" si="94"/>
        <v/>
      </c>
      <c r="AM159" s="4"/>
      <c r="AN159" s="4"/>
      <c r="AO159" s="4"/>
      <c r="AP159" s="4"/>
      <c r="AQ159" s="4"/>
      <c r="AR159" s="20" t="str">
        <f t="shared" si="95"/>
        <v>-</v>
      </c>
      <c r="AS159" s="13" t="str">
        <f t="shared" si="111"/>
        <v>-</v>
      </c>
      <c r="AT159" s="13" t="str">
        <f t="shared" si="112"/>
        <v>-</v>
      </c>
      <c r="AU159" s="13" t="str">
        <f t="shared" si="96"/>
        <v>-</v>
      </c>
      <c r="AV159" s="16" t="str">
        <f t="shared" si="113"/>
        <v>-</v>
      </c>
      <c r="AW159" s="16" t="str">
        <f t="shared" si="97"/>
        <v>-</v>
      </c>
      <c r="AX159" s="16" t="str">
        <f t="shared" si="98"/>
        <v>-</v>
      </c>
      <c r="AY159" s="16" t="str">
        <f t="shared" si="114"/>
        <v>-</v>
      </c>
      <c r="AZ159" s="13" t="str">
        <f t="shared" si="115"/>
        <v>-</v>
      </c>
      <c r="BA159" s="10" t="str">
        <f t="shared" si="116"/>
        <v>-</v>
      </c>
      <c r="BB159" s="9" t="str">
        <f t="shared" si="117"/>
        <v>-</v>
      </c>
      <c r="BC159" s="13" t="str">
        <f t="shared" si="118"/>
        <v>-</v>
      </c>
      <c r="BD159" s="10" t="str">
        <f t="shared" si="119"/>
        <v>-</v>
      </c>
      <c r="BE159" s="13" t="str">
        <f t="shared" si="120"/>
        <v>-</v>
      </c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</row>
    <row r="160" spans="2:70" x14ac:dyDescent="0.3">
      <c r="B160" s="96" t="str">
        <f t="shared" si="99"/>
        <v/>
      </c>
      <c r="C160" s="96" t="str">
        <f t="shared" si="100"/>
        <v/>
      </c>
      <c r="D160" s="96" t="str">
        <f t="shared" si="101"/>
        <v/>
      </c>
      <c r="E160" s="3"/>
      <c r="F160" s="3"/>
      <c r="G160" s="3"/>
      <c r="H160" s="3"/>
      <c r="I160" s="20">
        <f>IFERROR(INDEX('Input - Walmart'!G$2:G$200,MATCH('Calculations - Walmart'!$D160,'Input - Walmart'!$B$2:$B$200,0)),"")</f>
        <v>0</v>
      </c>
      <c r="J160" s="20">
        <f>IFERROR(INDEX('Input - Walmart'!H$2:H$200,MATCH('Calculations - Walmart'!$D160,'Input - Walmart'!$B$2:$B$200,0)),"")</f>
        <v>0</v>
      </c>
      <c r="K160" s="21">
        <f>IFERROR(INDEX('Input - Walmart'!I$2:I$200,MATCH('Calculations - Walmart'!$D160,'Input - Walmart'!$B$2:$B$200,0)),"")</f>
        <v>0</v>
      </c>
      <c r="L160" s="21">
        <f>IFERROR(INDEX('Input - Walmart'!J$2:J$200,MATCH('Calculations - Walmart'!$D160,'Input - Walmart'!$B$2:$B$200,0)),"")</f>
        <v>0</v>
      </c>
      <c r="M160" s="20">
        <f>IFERROR(INDEX('Input - Walmart'!K$2:K$200,MATCH('Calculations - Walmart'!$D160,'Input - Walmart'!$B$2:$B$200,0)),"")</f>
        <v>0</v>
      </c>
      <c r="N160" s="20">
        <f>IFERROR(INDEX('Input - Walmart'!L$2:L$200,MATCH('Calculations - Walmart'!$D160,'Input - Walmart'!$B$2:$B$200,0)),"")</f>
        <v>0</v>
      </c>
      <c r="O160" s="21" t="str">
        <f t="shared" si="102"/>
        <v/>
      </c>
      <c r="P160" s="21" t="str">
        <f t="shared" ref="P160:P223" si="123">IFERROR(M160/N160,"")</f>
        <v/>
      </c>
      <c r="Q160" s="21">
        <f t="shared" si="103"/>
        <v>0</v>
      </c>
      <c r="R160" s="9">
        <f t="shared" si="121"/>
        <v>0</v>
      </c>
      <c r="S160" s="9">
        <f t="shared" si="122"/>
        <v>0</v>
      </c>
      <c r="T160" s="22" t="str">
        <f>IFERROR(INDEX(Walmart!$S$11:$S$192,MATCH('Calculations - Walmart'!$D160,Walmart!$N$11:$N$192,0)),"")</f>
        <v/>
      </c>
      <c r="U160" s="22" t="str">
        <f>IFERROR(INDEX(Walmart!$T$11:$T$192,MATCH('Calculations - Walmart'!$D160,Walmart!$N$11:$N$192,0)),"")</f>
        <v/>
      </c>
      <c r="V160" s="16" t="e">
        <f t="shared" ref="V160:V223" si="124">T160*I160</f>
        <v>#VALUE!</v>
      </c>
      <c r="W160" s="16" t="e">
        <f t="shared" si="104"/>
        <v>#VALUE!</v>
      </c>
      <c r="X160" s="16" t="e">
        <f t="shared" si="105"/>
        <v>#VALUE!</v>
      </c>
      <c r="Y160" s="10" t="str">
        <f t="shared" ref="Y160:Y223" si="125">IFERROR(X160/J160,"-")</f>
        <v>-</v>
      </c>
      <c r="Z160" s="10" t="str">
        <f t="shared" ref="Z160:Z223" si="126">IFERROR((L160+O160)*J160*0.5,"-")</f>
        <v>-</v>
      </c>
      <c r="AA160" s="13" t="str">
        <f t="shared" si="106"/>
        <v>-</v>
      </c>
      <c r="AB160" s="9" t="str">
        <f t="shared" ref="AB160:AB223" si="127">IFERROR(AA160-R160,"-")</f>
        <v>-</v>
      </c>
      <c r="AC160" s="16" t="str">
        <f t="shared" si="107"/>
        <v>-</v>
      </c>
      <c r="AD160" s="16" t="str">
        <f t="shared" ref="AD160:AD223" si="128">IFERROR(AC160/O160,"-")</f>
        <v>-</v>
      </c>
      <c r="AE160" s="16" t="str">
        <f t="shared" ref="AE160:AE223" si="129">IFERROR(T160*AC160,"-")</f>
        <v>-</v>
      </c>
      <c r="AF160" s="16" t="str">
        <f t="shared" si="108"/>
        <v>-</v>
      </c>
      <c r="AG160" s="16"/>
      <c r="AH160" s="32" t="str">
        <f>IFERROR(INDEX(Walmart!$R$11:$R$192,MATCH('Calculations - Walmart'!D160,Walmart!$N$11:$N$192,0)),"")</f>
        <v/>
      </c>
      <c r="AI160" s="23" t="str">
        <f t="shared" si="109"/>
        <v/>
      </c>
      <c r="AJ160" s="23" t="str">
        <f t="shared" si="110"/>
        <v/>
      </c>
      <c r="AK160" s="9" t="str">
        <f t="shared" ref="AK160:AK223" si="130">IFERROR((AH160-O160)/O160,"")</f>
        <v/>
      </c>
      <c r="AL160" s="4" t="str">
        <f t="shared" ref="AL160:AL223" si="131">IFERROR(MAX((1+AK160*Q160/5)*J160,0),"")</f>
        <v/>
      </c>
      <c r="AM160" s="4"/>
      <c r="AN160" s="4"/>
      <c r="AO160" s="4"/>
      <c r="AP160" s="4"/>
      <c r="AQ160" s="4"/>
      <c r="AR160" s="20" t="str">
        <f t="shared" ref="AR160:AR223" si="132">IFERROR(0.5*(L160+AH160)*AL160,"-")</f>
        <v>-</v>
      </c>
      <c r="AS160" s="13" t="str">
        <f t="shared" si="111"/>
        <v>-</v>
      </c>
      <c r="AT160" s="13" t="str">
        <f t="shared" si="112"/>
        <v>-</v>
      </c>
      <c r="AU160" s="13" t="str">
        <f t="shared" ref="AU160:AU223" si="133">IFERROR(AT160-R160,"-")</f>
        <v>-</v>
      </c>
      <c r="AV160" s="16" t="str">
        <f t="shared" si="113"/>
        <v>-</v>
      </c>
      <c r="AW160" s="16" t="str">
        <f t="shared" ref="AW160:AW223" si="134">IFERROR(AV160/AH160,"-")</f>
        <v>-</v>
      </c>
      <c r="AX160" s="16" t="str">
        <f t="shared" ref="AX160:AX223" si="135">IFERROR(AI160*AV160,"-")</f>
        <v>-</v>
      </c>
      <c r="AY160" s="16" t="str">
        <f t="shared" si="114"/>
        <v>-</v>
      </c>
      <c r="AZ160" s="13" t="str">
        <f t="shared" si="115"/>
        <v>-</v>
      </c>
      <c r="BA160" s="10" t="str">
        <f t="shared" si="116"/>
        <v>-</v>
      </c>
      <c r="BB160" s="9" t="str">
        <f t="shared" si="117"/>
        <v>-</v>
      </c>
      <c r="BC160" s="13" t="str">
        <f t="shared" si="118"/>
        <v>-</v>
      </c>
      <c r="BD160" s="10" t="str">
        <f t="shared" si="119"/>
        <v>-</v>
      </c>
      <c r="BE160" s="13" t="str">
        <f t="shared" si="120"/>
        <v>-</v>
      </c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</row>
    <row r="161" spans="2:70" x14ac:dyDescent="0.3">
      <c r="B161" s="96" t="str">
        <f t="shared" ref="B161:B224" si="136">IFERROR(E161&amp;F161,"")</f>
        <v/>
      </c>
      <c r="C161" s="96" t="str">
        <f t="shared" ref="C161:C224" si="137">E161&amp;F161&amp;G161</f>
        <v/>
      </c>
      <c r="D161" s="96" t="str">
        <f t="shared" ref="D161:D224" si="138">IFERROR(E161&amp;F161&amp;G161&amp;H161,"")</f>
        <v/>
      </c>
      <c r="E161" s="3"/>
      <c r="F161" s="3"/>
      <c r="G161" s="3"/>
      <c r="H161" s="3"/>
      <c r="I161" s="20">
        <f>IFERROR(INDEX('Input - Walmart'!G$2:G$200,MATCH('Calculations - Walmart'!$D161,'Input - Walmart'!$B$2:$B$200,0)),"")</f>
        <v>0</v>
      </c>
      <c r="J161" s="20">
        <f>IFERROR(INDEX('Input - Walmart'!H$2:H$200,MATCH('Calculations - Walmart'!$D161,'Input - Walmart'!$B$2:$B$200,0)),"")</f>
        <v>0</v>
      </c>
      <c r="K161" s="21">
        <f>IFERROR(INDEX('Input - Walmart'!I$2:I$200,MATCH('Calculations - Walmart'!$D161,'Input - Walmart'!$B$2:$B$200,0)),"")</f>
        <v>0</v>
      </c>
      <c r="L161" s="21">
        <f>IFERROR(INDEX('Input - Walmart'!J$2:J$200,MATCH('Calculations - Walmart'!$D161,'Input - Walmart'!$B$2:$B$200,0)),"")</f>
        <v>0</v>
      </c>
      <c r="M161" s="20">
        <f>IFERROR(INDEX('Input - Walmart'!K$2:K$200,MATCH('Calculations - Walmart'!$D161,'Input - Walmart'!$B$2:$B$200,0)),"")</f>
        <v>0</v>
      </c>
      <c r="N161" s="20">
        <f>IFERROR(INDEX('Input - Walmart'!L$2:L$200,MATCH('Calculations - Walmart'!$D161,'Input - Walmart'!$B$2:$B$200,0)),"")</f>
        <v>0</v>
      </c>
      <c r="O161" s="21" t="str">
        <f t="shared" ref="O161:O224" si="139">IFERROR(I161/J161,"")</f>
        <v/>
      </c>
      <c r="P161" s="21" t="str">
        <f t="shared" si="123"/>
        <v/>
      </c>
      <c r="Q161" s="21">
        <f t="shared" ref="Q161:Q224" si="140">IFERROR((O161/(O161-L161)*5),0)</f>
        <v>0</v>
      </c>
      <c r="R161" s="9">
        <f t="shared" si="121"/>
        <v>0</v>
      </c>
      <c r="S161" s="9">
        <f t="shared" si="122"/>
        <v>0</v>
      </c>
      <c r="T161" s="22" t="str">
        <f>IFERROR(INDEX(Walmart!$S$11:$S$192,MATCH('Calculations - Walmart'!$D161,Walmart!$N$11:$N$192,0)),"")</f>
        <v/>
      </c>
      <c r="U161" s="22" t="str">
        <f>IFERROR(INDEX(Walmart!$T$11:$T$192,MATCH('Calculations - Walmart'!$D161,Walmart!$N$11:$N$192,0)),"")</f>
        <v/>
      </c>
      <c r="V161" s="16" t="e">
        <f t="shared" si="124"/>
        <v>#VALUE!</v>
      </c>
      <c r="W161" s="16" t="e">
        <f t="shared" ref="W161:W224" si="141">U161*V161</f>
        <v>#VALUE!</v>
      </c>
      <c r="X161" s="16" t="e">
        <f t="shared" ref="X161:X224" si="142">V161-W161</f>
        <v>#VALUE!</v>
      </c>
      <c r="Y161" s="10" t="str">
        <f t="shared" si="125"/>
        <v>-</v>
      </c>
      <c r="Z161" s="10" t="str">
        <f t="shared" si="126"/>
        <v>-</v>
      </c>
      <c r="AA161" s="13" t="str">
        <f t="shared" ref="AA161:AA224" si="143">IFERROR(Z161/$Z$30,"-")</f>
        <v>-</v>
      </c>
      <c r="AB161" s="9" t="str">
        <f t="shared" si="127"/>
        <v>-</v>
      </c>
      <c r="AC161" s="16" t="str">
        <f t="shared" ref="AC161:AC224" si="144">IFERROR(AA161*$I$30,"-")</f>
        <v>-</v>
      </c>
      <c r="AD161" s="16" t="str">
        <f t="shared" si="128"/>
        <v>-</v>
      </c>
      <c r="AE161" s="16" t="str">
        <f t="shared" si="129"/>
        <v>-</v>
      </c>
      <c r="AF161" s="16" t="str">
        <f t="shared" ref="AF161:AF224" si="145">IFERROR(AE161-(Y161)*AD161,"-")</f>
        <v>-</v>
      </c>
      <c r="AG161" s="16"/>
      <c r="AH161" s="32" t="str">
        <f>IFERROR(INDEX(Walmart!$R$11:$R$192,MATCH('Calculations - Walmart'!D161,Walmart!$N$11:$N$192,0)),"")</f>
        <v/>
      </c>
      <c r="AI161" s="23" t="str">
        <f t="shared" ref="AI161:AI224" si="146">T161</f>
        <v/>
      </c>
      <c r="AJ161" s="23" t="str">
        <f t="shared" ref="AJ161:AJ224" si="147">U161</f>
        <v/>
      </c>
      <c r="AK161" s="9" t="str">
        <f t="shared" si="130"/>
        <v/>
      </c>
      <c r="AL161" s="4" t="str">
        <f t="shared" si="131"/>
        <v/>
      </c>
      <c r="AM161" s="4"/>
      <c r="AN161" s="4"/>
      <c r="AO161" s="4"/>
      <c r="AP161" s="4"/>
      <c r="AQ161" s="4"/>
      <c r="AR161" s="20" t="str">
        <f t="shared" si="132"/>
        <v>-</v>
      </c>
      <c r="AS161" s="13" t="str">
        <f t="shared" ref="AS161:AS224" si="148">IFERROR(AR161/AR$30,"-")</f>
        <v>-</v>
      </c>
      <c r="AT161" s="13" t="str">
        <f t="shared" ref="AT161:AT224" si="149">IFERROR(AS161*$R$30,"-")</f>
        <v>-</v>
      </c>
      <c r="AU161" s="13" t="str">
        <f t="shared" si="133"/>
        <v>-</v>
      </c>
      <c r="AV161" s="16" t="str">
        <f t="shared" ref="AV161:AV224" si="150">IFERROR(AT161*AQ$32,"-")</f>
        <v>-</v>
      </c>
      <c r="AW161" s="16" t="str">
        <f t="shared" si="134"/>
        <v>-</v>
      </c>
      <c r="AX161" s="16" t="str">
        <f t="shared" si="135"/>
        <v>-</v>
      </c>
      <c r="AY161" s="16" t="str">
        <f t="shared" ref="AY161:AY224" si="151">IFERROR(AX161-(Y161*AW161),"-")</f>
        <v>-</v>
      </c>
      <c r="AZ161" s="13" t="str">
        <f t="shared" ref="AZ161:AZ224" si="152">IFERROR(AW161/SUMIFS($AW$32:$AW$229,$B$32:$B$229,B161),"-")</f>
        <v>-</v>
      </c>
      <c r="BA161" s="10" t="str">
        <f t="shared" ref="BA161:BA224" si="153">IFERROR(AZ161*INDEX($AU$4:$AU$24,MATCH($B161,$D$4:$D$24,0)),"-")</f>
        <v>-</v>
      </c>
      <c r="BB161" s="9" t="str">
        <f t="shared" ref="BB161:BB224" si="154">IFERROR(BA161/SUM($BA$32:$BA$229),"-")</f>
        <v>-</v>
      </c>
      <c r="BC161" s="13" t="str">
        <f t="shared" ref="BC161:BC224" si="155">IFERROR(AV161/SUMIFS($AV$32:$AV$229,$B$32:$B$229,B161),"-")</f>
        <v>-</v>
      </c>
      <c r="BD161" s="10" t="str">
        <f t="shared" ref="BD161:BD224" si="156">IFERROR(BC161*INDEX($AT$4:$AT$24,MATCH($B161,$D$4:$D$24,0)),"-")</f>
        <v>-</v>
      </c>
      <c r="BE161" s="13" t="str">
        <f t="shared" ref="BE161:BE224" si="157">IFERROR(BD161/SUM($BD$32:$BD$229),"-")</f>
        <v>-</v>
      </c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</row>
    <row r="162" spans="2:70" x14ac:dyDescent="0.3">
      <c r="B162" s="96" t="str">
        <f t="shared" si="136"/>
        <v/>
      </c>
      <c r="C162" s="96" t="str">
        <f t="shared" si="137"/>
        <v/>
      </c>
      <c r="D162" s="96" t="str">
        <f t="shared" si="138"/>
        <v/>
      </c>
      <c r="E162" s="3"/>
      <c r="F162" s="3"/>
      <c r="G162" s="3"/>
      <c r="H162" s="3"/>
      <c r="I162" s="20">
        <f>IFERROR(INDEX('Input - Walmart'!G$2:G$200,MATCH('Calculations - Walmart'!$D162,'Input - Walmart'!$B$2:$B$200,0)),"")</f>
        <v>0</v>
      </c>
      <c r="J162" s="20">
        <f>IFERROR(INDEX('Input - Walmart'!H$2:H$200,MATCH('Calculations - Walmart'!$D162,'Input - Walmart'!$B$2:$B$200,0)),"")</f>
        <v>0</v>
      </c>
      <c r="K162" s="21">
        <f>IFERROR(INDEX('Input - Walmart'!I$2:I$200,MATCH('Calculations - Walmart'!$D162,'Input - Walmart'!$B$2:$B$200,0)),"")</f>
        <v>0</v>
      </c>
      <c r="L162" s="21">
        <f>IFERROR(INDEX('Input - Walmart'!J$2:J$200,MATCH('Calculations - Walmart'!$D162,'Input - Walmart'!$B$2:$B$200,0)),"")</f>
        <v>0</v>
      </c>
      <c r="M162" s="20">
        <f>IFERROR(INDEX('Input - Walmart'!K$2:K$200,MATCH('Calculations - Walmart'!$D162,'Input - Walmart'!$B$2:$B$200,0)),"")</f>
        <v>0</v>
      </c>
      <c r="N162" s="20">
        <f>IFERROR(INDEX('Input - Walmart'!L$2:L$200,MATCH('Calculations - Walmart'!$D162,'Input - Walmart'!$B$2:$B$200,0)),"")</f>
        <v>0</v>
      </c>
      <c r="O162" s="21" t="str">
        <f t="shared" si="139"/>
        <v/>
      </c>
      <c r="P162" s="21" t="str">
        <f t="shared" si="123"/>
        <v/>
      </c>
      <c r="Q162" s="21">
        <f t="shared" si="140"/>
        <v>0</v>
      </c>
      <c r="R162" s="9">
        <f t="shared" si="121"/>
        <v>0</v>
      </c>
      <c r="S162" s="9">
        <f t="shared" si="122"/>
        <v>0</v>
      </c>
      <c r="T162" s="22" t="str">
        <f>IFERROR(INDEX(Walmart!$S$11:$S$192,MATCH('Calculations - Walmart'!$D162,Walmart!$N$11:$N$192,0)),"")</f>
        <v/>
      </c>
      <c r="U162" s="22" t="str">
        <f>IFERROR(INDEX(Walmart!$T$11:$T$192,MATCH('Calculations - Walmart'!$D162,Walmart!$N$11:$N$192,0)),"")</f>
        <v/>
      </c>
      <c r="V162" s="16" t="e">
        <f t="shared" si="124"/>
        <v>#VALUE!</v>
      </c>
      <c r="W162" s="16" t="e">
        <f t="shared" si="141"/>
        <v>#VALUE!</v>
      </c>
      <c r="X162" s="16" t="e">
        <f t="shared" si="142"/>
        <v>#VALUE!</v>
      </c>
      <c r="Y162" s="10" t="str">
        <f t="shared" si="125"/>
        <v>-</v>
      </c>
      <c r="Z162" s="10" t="str">
        <f t="shared" si="126"/>
        <v>-</v>
      </c>
      <c r="AA162" s="13" t="str">
        <f t="shared" si="143"/>
        <v>-</v>
      </c>
      <c r="AB162" s="9" t="str">
        <f t="shared" si="127"/>
        <v>-</v>
      </c>
      <c r="AC162" s="16" t="str">
        <f t="shared" si="144"/>
        <v>-</v>
      </c>
      <c r="AD162" s="16" t="str">
        <f t="shared" si="128"/>
        <v>-</v>
      </c>
      <c r="AE162" s="16" t="str">
        <f t="shared" si="129"/>
        <v>-</v>
      </c>
      <c r="AF162" s="16" t="str">
        <f t="shared" si="145"/>
        <v>-</v>
      </c>
      <c r="AG162" s="16"/>
      <c r="AH162" s="32" t="str">
        <f>IFERROR(INDEX(Walmart!$R$11:$R$192,MATCH('Calculations - Walmart'!D162,Walmart!$N$11:$N$192,0)),"")</f>
        <v/>
      </c>
      <c r="AI162" s="23" t="str">
        <f t="shared" si="146"/>
        <v/>
      </c>
      <c r="AJ162" s="23" t="str">
        <f t="shared" si="147"/>
        <v/>
      </c>
      <c r="AK162" s="9" t="str">
        <f t="shared" si="130"/>
        <v/>
      </c>
      <c r="AL162" s="4" t="str">
        <f t="shared" si="131"/>
        <v/>
      </c>
      <c r="AM162" s="4"/>
      <c r="AN162" s="4"/>
      <c r="AO162" s="4"/>
      <c r="AP162" s="4"/>
      <c r="AQ162" s="4"/>
      <c r="AR162" s="20" t="str">
        <f t="shared" si="132"/>
        <v>-</v>
      </c>
      <c r="AS162" s="13" t="str">
        <f t="shared" si="148"/>
        <v>-</v>
      </c>
      <c r="AT162" s="13" t="str">
        <f t="shared" si="149"/>
        <v>-</v>
      </c>
      <c r="AU162" s="13" t="str">
        <f t="shared" si="133"/>
        <v>-</v>
      </c>
      <c r="AV162" s="16" t="str">
        <f t="shared" si="150"/>
        <v>-</v>
      </c>
      <c r="AW162" s="16" t="str">
        <f t="shared" si="134"/>
        <v>-</v>
      </c>
      <c r="AX162" s="16" t="str">
        <f t="shared" si="135"/>
        <v>-</v>
      </c>
      <c r="AY162" s="16" t="str">
        <f t="shared" si="151"/>
        <v>-</v>
      </c>
      <c r="AZ162" s="13" t="str">
        <f t="shared" si="152"/>
        <v>-</v>
      </c>
      <c r="BA162" s="10" t="str">
        <f t="shared" si="153"/>
        <v>-</v>
      </c>
      <c r="BB162" s="9" t="str">
        <f t="shared" si="154"/>
        <v>-</v>
      </c>
      <c r="BC162" s="13" t="str">
        <f t="shared" si="155"/>
        <v>-</v>
      </c>
      <c r="BD162" s="10" t="str">
        <f t="shared" si="156"/>
        <v>-</v>
      </c>
      <c r="BE162" s="13" t="str">
        <f t="shared" si="157"/>
        <v>-</v>
      </c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</row>
    <row r="163" spans="2:70" x14ac:dyDescent="0.3">
      <c r="B163" s="96" t="str">
        <f t="shared" si="136"/>
        <v/>
      </c>
      <c r="C163" s="96" t="str">
        <f t="shared" si="137"/>
        <v/>
      </c>
      <c r="D163" s="96" t="str">
        <f t="shared" si="138"/>
        <v/>
      </c>
      <c r="E163" s="3"/>
      <c r="F163" s="3"/>
      <c r="G163" s="3"/>
      <c r="H163" s="3"/>
      <c r="I163" s="20">
        <f>IFERROR(INDEX('Input - Walmart'!G$2:G$200,MATCH('Calculations - Walmart'!$D163,'Input - Walmart'!$B$2:$B$200,0)),"")</f>
        <v>0</v>
      </c>
      <c r="J163" s="20">
        <f>IFERROR(INDEX('Input - Walmart'!H$2:H$200,MATCH('Calculations - Walmart'!$D163,'Input - Walmart'!$B$2:$B$200,0)),"")</f>
        <v>0</v>
      </c>
      <c r="K163" s="21">
        <f>IFERROR(INDEX('Input - Walmart'!I$2:I$200,MATCH('Calculations - Walmart'!$D163,'Input - Walmart'!$B$2:$B$200,0)),"")</f>
        <v>0</v>
      </c>
      <c r="L163" s="21">
        <f>IFERROR(INDEX('Input - Walmart'!J$2:J$200,MATCH('Calculations - Walmart'!$D163,'Input - Walmart'!$B$2:$B$200,0)),"")</f>
        <v>0</v>
      </c>
      <c r="M163" s="20">
        <f>IFERROR(INDEX('Input - Walmart'!K$2:K$200,MATCH('Calculations - Walmart'!$D163,'Input - Walmart'!$B$2:$B$200,0)),"")</f>
        <v>0</v>
      </c>
      <c r="N163" s="20">
        <f>IFERROR(INDEX('Input - Walmart'!L$2:L$200,MATCH('Calculations - Walmart'!$D163,'Input - Walmart'!$B$2:$B$200,0)),"")</f>
        <v>0</v>
      </c>
      <c r="O163" s="21" t="str">
        <f t="shared" si="139"/>
        <v/>
      </c>
      <c r="P163" s="21" t="str">
        <f t="shared" si="123"/>
        <v/>
      </c>
      <c r="Q163" s="21">
        <f t="shared" si="140"/>
        <v>0</v>
      </c>
      <c r="R163" s="9">
        <f t="shared" si="121"/>
        <v>0</v>
      </c>
      <c r="S163" s="9">
        <f t="shared" si="122"/>
        <v>0</v>
      </c>
      <c r="T163" s="22" t="str">
        <f>IFERROR(INDEX(Walmart!$S$11:$S$192,MATCH('Calculations - Walmart'!$D163,Walmart!$N$11:$N$192,0)),"")</f>
        <v/>
      </c>
      <c r="U163" s="22" t="str">
        <f>IFERROR(INDEX(Walmart!$T$11:$T$192,MATCH('Calculations - Walmart'!$D163,Walmart!$N$11:$N$192,0)),"")</f>
        <v/>
      </c>
      <c r="V163" s="16" t="e">
        <f t="shared" si="124"/>
        <v>#VALUE!</v>
      </c>
      <c r="W163" s="16" t="e">
        <f t="shared" si="141"/>
        <v>#VALUE!</v>
      </c>
      <c r="X163" s="16" t="e">
        <f t="shared" si="142"/>
        <v>#VALUE!</v>
      </c>
      <c r="Y163" s="10" t="str">
        <f t="shared" si="125"/>
        <v>-</v>
      </c>
      <c r="Z163" s="10" t="str">
        <f t="shared" si="126"/>
        <v>-</v>
      </c>
      <c r="AA163" s="13" t="str">
        <f t="shared" si="143"/>
        <v>-</v>
      </c>
      <c r="AB163" s="9" t="str">
        <f t="shared" si="127"/>
        <v>-</v>
      </c>
      <c r="AC163" s="16" t="str">
        <f t="shared" si="144"/>
        <v>-</v>
      </c>
      <c r="AD163" s="16" t="str">
        <f t="shared" si="128"/>
        <v>-</v>
      </c>
      <c r="AE163" s="16" t="str">
        <f t="shared" si="129"/>
        <v>-</v>
      </c>
      <c r="AF163" s="16" t="str">
        <f t="shared" si="145"/>
        <v>-</v>
      </c>
      <c r="AG163" s="16"/>
      <c r="AH163" s="32" t="str">
        <f>IFERROR(INDEX(Walmart!$R$11:$R$192,MATCH('Calculations - Walmart'!D163,Walmart!$N$11:$N$192,0)),"")</f>
        <v/>
      </c>
      <c r="AI163" s="23" t="str">
        <f t="shared" si="146"/>
        <v/>
      </c>
      <c r="AJ163" s="23" t="str">
        <f t="shared" si="147"/>
        <v/>
      </c>
      <c r="AK163" s="9" t="str">
        <f t="shared" si="130"/>
        <v/>
      </c>
      <c r="AL163" s="4" t="str">
        <f t="shared" si="131"/>
        <v/>
      </c>
      <c r="AM163" s="4"/>
      <c r="AN163" s="4"/>
      <c r="AO163" s="4"/>
      <c r="AP163" s="4"/>
      <c r="AQ163" s="4"/>
      <c r="AR163" s="20" t="str">
        <f t="shared" si="132"/>
        <v>-</v>
      </c>
      <c r="AS163" s="13" t="str">
        <f t="shared" si="148"/>
        <v>-</v>
      </c>
      <c r="AT163" s="13" t="str">
        <f t="shared" si="149"/>
        <v>-</v>
      </c>
      <c r="AU163" s="13" t="str">
        <f t="shared" si="133"/>
        <v>-</v>
      </c>
      <c r="AV163" s="16" t="str">
        <f t="shared" si="150"/>
        <v>-</v>
      </c>
      <c r="AW163" s="16" t="str">
        <f t="shared" si="134"/>
        <v>-</v>
      </c>
      <c r="AX163" s="16" t="str">
        <f t="shared" si="135"/>
        <v>-</v>
      </c>
      <c r="AY163" s="16" t="str">
        <f t="shared" si="151"/>
        <v>-</v>
      </c>
      <c r="AZ163" s="13" t="str">
        <f t="shared" si="152"/>
        <v>-</v>
      </c>
      <c r="BA163" s="10" t="str">
        <f t="shared" si="153"/>
        <v>-</v>
      </c>
      <c r="BB163" s="9" t="str">
        <f t="shared" si="154"/>
        <v>-</v>
      </c>
      <c r="BC163" s="13" t="str">
        <f t="shared" si="155"/>
        <v>-</v>
      </c>
      <c r="BD163" s="10" t="str">
        <f t="shared" si="156"/>
        <v>-</v>
      </c>
      <c r="BE163" s="13" t="str">
        <f t="shared" si="157"/>
        <v>-</v>
      </c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</row>
    <row r="164" spans="2:70" x14ac:dyDescent="0.3">
      <c r="B164" s="96" t="str">
        <f t="shared" si="136"/>
        <v/>
      </c>
      <c r="C164" s="96" t="str">
        <f t="shared" si="137"/>
        <v/>
      </c>
      <c r="D164" s="96" t="str">
        <f t="shared" si="138"/>
        <v/>
      </c>
      <c r="E164" s="3"/>
      <c r="F164" s="3"/>
      <c r="G164" s="3"/>
      <c r="H164" s="3"/>
      <c r="I164" s="20">
        <f>IFERROR(INDEX('Input - Walmart'!G$2:G$200,MATCH('Calculations - Walmart'!$D164,'Input - Walmart'!$B$2:$B$200,0)),"")</f>
        <v>0</v>
      </c>
      <c r="J164" s="20">
        <f>IFERROR(INDEX('Input - Walmart'!H$2:H$200,MATCH('Calculations - Walmart'!$D164,'Input - Walmart'!$B$2:$B$200,0)),"")</f>
        <v>0</v>
      </c>
      <c r="K164" s="21">
        <f>IFERROR(INDEX('Input - Walmart'!I$2:I$200,MATCH('Calculations - Walmart'!$D164,'Input - Walmart'!$B$2:$B$200,0)),"")</f>
        <v>0</v>
      </c>
      <c r="L164" s="21">
        <f>IFERROR(INDEX('Input - Walmart'!J$2:J$200,MATCH('Calculations - Walmart'!$D164,'Input - Walmart'!$B$2:$B$200,0)),"")</f>
        <v>0</v>
      </c>
      <c r="M164" s="20">
        <f>IFERROR(INDEX('Input - Walmart'!K$2:K$200,MATCH('Calculations - Walmart'!$D164,'Input - Walmart'!$B$2:$B$200,0)),"")</f>
        <v>0</v>
      </c>
      <c r="N164" s="20">
        <f>IFERROR(INDEX('Input - Walmart'!L$2:L$200,MATCH('Calculations - Walmart'!$D164,'Input - Walmart'!$B$2:$B$200,0)),"")</f>
        <v>0</v>
      </c>
      <c r="O164" s="21" t="str">
        <f t="shared" si="139"/>
        <v/>
      </c>
      <c r="P164" s="21" t="str">
        <f t="shared" si="123"/>
        <v/>
      </c>
      <c r="Q164" s="21">
        <f t="shared" si="140"/>
        <v>0</v>
      </c>
      <c r="R164" s="9">
        <f t="shared" si="121"/>
        <v>0</v>
      </c>
      <c r="S164" s="9">
        <f t="shared" si="122"/>
        <v>0</v>
      </c>
      <c r="T164" s="22" t="str">
        <f>IFERROR(INDEX(Walmart!$S$11:$S$192,MATCH('Calculations - Walmart'!$D164,Walmart!$N$11:$N$192,0)),"")</f>
        <v/>
      </c>
      <c r="U164" s="22" t="str">
        <f>IFERROR(INDEX(Walmart!$T$11:$T$192,MATCH('Calculations - Walmart'!$D164,Walmart!$N$11:$N$192,0)),"")</f>
        <v/>
      </c>
      <c r="V164" s="16" t="e">
        <f t="shared" si="124"/>
        <v>#VALUE!</v>
      </c>
      <c r="W164" s="16" t="e">
        <f t="shared" si="141"/>
        <v>#VALUE!</v>
      </c>
      <c r="X164" s="16" t="e">
        <f t="shared" si="142"/>
        <v>#VALUE!</v>
      </c>
      <c r="Y164" s="10" t="str">
        <f t="shared" si="125"/>
        <v>-</v>
      </c>
      <c r="Z164" s="10" t="str">
        <f t="shared" si="126"/>
        <v>-</v>
      </c>
      <c r="AA164" s="13" t="str">
        <f t="shared" si="143"/>
        <v>-</v>
      </c>
      <c r="AB164" s="9" t="str">
        <f t="shared" si="127"/>
        <v>-</v>
      </c>
      <c r="AC164" s="16" t="str">
        <f t="shared" si="144"/>
        <v>-</v>
      </c>
      <c r="AD164" s="16" t="str">
        <f t="shared" si="128"/>
        <v>-</v>
      </c>
      <c r="AE164" s="16" t="str">
        <f t="shared" si="129"/>
        <v>-</v>
      </c>
      <c r="AF164" s="16" t="str">
        <f t="shared" si="145"/>
        <v>-</v>
      </c>
      <c r="AG164" s="16"/>
      <c r="AH164" s="32" t="str">
        <f>IFERROR(INDEX(Walmart!$R$11:$R$192,MATCH('Calculations - Walmart'!D164,Walmart!$N$11:$N$192,0)),"")</f>
        <v/>
      </c>
      <c r="AI164" s="23" t="str">
        <f t="shared" si="146"/>
        <v/>
      </c>
      <c r="AJ164" s="23" t="str">
        <f t="shared" si="147"/>
        <v/>
      </c>
      <c r="AK164" s="9" t="str">
        <f t="shared" si="130"/>
        <v/>
      </c>
      <c r="AL164" s="4" t="str">
        <f t="shared" si="131"/>
        <v/>
      </c>
      <c r="AM164" s="4"/>
      <c r="AN164" s="4"/>
      <c r="AO164" s="4"/>
      <c r="AP164" s="4"/>
      <c r="AQ164" s="4"/>
      <c r="AR164" s="20" t="str">
        <f t="shared" si="132"/>
        <v>-</v>
      </c>
      <c r="AS164" s="13" t="str">
        <f t="shared" si="148"/>
        <v>-</v>
      </c>
      <c r="AT164" s="13" t="str">
        <f t="shared" si="149"/>
        <v>-</v>
      </c>
      <c r="AU164" s="13" t="str">
        <f t="shared" si="133"/>
        <v>-</v>
      </c>
      <c r="AV164" s="16" t="str">
        <f t="shared" si="150"/>
        <v>-</v>
      </c>
      <c r="AW164" s="16" t="str">
        <f t="shared" si="134"/>
        <v>-</v>
      </c>
      <c r="AX164" s="16" t="str">
        <f t="shared" si="135"/>
        <v>-</v>
      </c>
      <c r="AY164" s="16" t="str">
        <f t="shared" si="151"/>
        <v>-</v>
      </c>
      <c r="AZ164" s="13" t="str">
        <f t="shared" si="152"/>
        <v>-</v>
      </c>
      <c r="BA164" s="10" t="str">
        <f t="shared" si="153"/>
        <v>-</v>
      </c>
      <c r="BB164" s="9" t="str">
        <f t="shared" si="154"/>
        <v>-</v>
      </c>
      <c r="BC164" s="13" t="str">
        <f t="shared" si="155"/>
        <v>-</v>
      </c>
      <c r="BD164" s="10" t="str">
        <f t="shared" si="156"/>
        <v>-</v>
      </c>
      <c r="BE164" s="13" t="str">
        <f t="shared" si="157"/>
        <v>-</v>
      </c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</row>
    <row r="165" spans="2:70" x14ac:dyDescent="0.3">
      <c r="B165" s="96" t="str">
        <f t="shared" si="136"/>
        <v/>
      </c>
      <c r="C165" s="96" t="str">
        <f t="shared" si="137"/>
        <v/>
      </c>
      <c r="D165" s="96" t="str">
        <f t="shared" si="138"/>
        <v/>
      </c>
      <c r="E165" s="3"/>
      <c r="F165" s="3"/>
      <c r="G165" s="3"/>
      <c r="H165" s="3"/>
      <c r="I165" s="20">
        <f>IFERROR(INDEX('Input - Walmart'!G$2:G$200,MATCH('Calculations - Walmart'!$D165,'Input - Walmart'!$B$2:$B$200,0)),"")</f>
        <v>0</v>
      </c>
      <c r="J165" s="20">
        <f>IFERROR(INDEX('Input - Walmart'!H$2:H$200,MATCH('Calculations - Walmart'!$D165,'Input - Walmart'!$B$2:$B$200,0)),"")</f>
        <v>0</v>
      </c>
      <c r="K165" s="21">
        <f>IFERROR(INDEX('Input - Walmart'!I$2:I$200,MATCH('Calculations - Walmart'!$D165,'Input - Walmart'!$B$2:$B$200,0)),"")</f>
        <v>0</v>
      </c>
      <c r="L165" s="21">
        <f>IFERROR(INDEX('Input - Walmart'!J$2:J$200,MATCH('Calculations - Walmart'!$D165,'Input - Walmart'!$B$2:$B$200,0)),"")</f>
        <v>0</v>
      </c>
      <c r="M165" s="20">
        <f>IFERROR(INDEX('Input - Walmart'!K$2:K$200,MATCH('Calculations - Walmart'!$D165,'Input - Walmart'!$B$2:$B$200,0)),"")</f>
        <v>0</v>
      </c>
      <c r="N165" s="20">
        <f>IFERROR(INDEX('Input - Walmart'!L$2:L$200,MATCH('Calculations - Walmart'!$D165,'Input - Walmart'!$B$2:$B$200,0)),"")</f>
        <v>0</v>
      </c>
      <c r="O165" s="21" t="str">
        <f t="shared" si="139"/>
        <v/>
      </c>
      <c r="P165" s="21" t="str">
        <f t="shared" si="123"/>
        <v/>
      </c>
      <c r="Q165" s="21">
        <f t="shared" si="140"/>
        <v>0</v>
      </c>
      <c r="R165" s="9">
        <f t="shared" si="121"/>
        <v>0</v>
      </c>
      <c r="S165" s="9">
        <f t="shared" si="122"/>
        <v>0</v>
      </c>
      <c r="T165" s="22" t="str">
        <f>IFERROR(INDEX(Walmart!$S$11:$S$192,MATCH('Calculations - Walmart'!$D165,Walmart!$N$11:$N$192,0)),"")</f>
        <v/>
      </c>
      <c r="U165" s="22" t="str">
        <f>IFERROR(INDEX(Walmart!$T$11:$T$192,MATCH('Calculations - Walmart'!$D165,Walmart!$N$11:$N$192,0)),"")</f>
        <v/>
      </c>
      <c r="V165" s="16" t="e">
        <f t="shared" si="124"/>
        <v>#VALUE!</v>
      </c>
      <c r="W165" s="16" t="e">
        <f t="shared" si="141"/>
        <v>#VALUE!</v>
      </c>
      <c r="X165" s="16" t="e">
        <f t="shared" si="142"/>
        <v>#VALUE!</v>
      </c>
      <c r="Y165" s="10" t="str">
        <f t="shared" si="125"/>
        <v>-</v>
      </c>
      <c r="Z165" s="10" t="str">
        <f t="shared" si="126"/>
        <v>-</v>
      </c>
      <c r="AA165" s="13" t="str">
        <f t="shared" si="143"/>
        <v>-</v>
      </c>
      <c r="AB165" s="9" t="str">
        <f t="shared" si="127"/>
        <v>-</v>
      </c>
      <c r="AC165" s="16" t="str">
        <f t="shared" si="144"/>
        <v>-</v>
      </c>
      <c r="AD165" s="16" t="str">
        <f t="shared" si="128"/>
        <v>-</v>
      </c>
      <c r="AE165" s="16" t="str">
        <f t="shared" si="129"/>
        <v>-</v>
      </c>
      <c r="AF165" s="16" t="str">
        <f t="shared" si="145"/>
        <v>-</v>
      </c>
      <c r="AG165" s="16"/>
      <c r="AH165" s="32" t="str">
        <f>IFERROR(INDEX(Walmart!$R$11:$R$192,MATCH('Calculations - Walmart'!D165,Walmart!$N$11:$N$192,0)),"")</f>
        <v/>
      </c>
      <c r="AI165" s="23" t="str">
        <f t="shared" si="146"/>
        <v/>
      </c>
      <c r="AJ165" s="23" t="str">
        <f t="shared" si="147"/>
        <v/>
      </c>
      <c r="AK165" s="9" t="str">
        <f t="shared" si="130"/>
        <v/>
      </c>
      <c r="AL165" s="4" t="str">
        <f t="shared" si="131"/>
        <v/>
      </c>
      <c r="AM165" s="4"/>
      <c r="AN165" s="4"/>
      <c r="AO165" s="4"/>
      <c r="AP165" s="4"/>
      <c r="AQ165" s="4"/>
      <c r="AR165" s="20" t="str">
        <f t="shared" si="132"/>
        <v>-</v>
      </c>
      <c r="AS165" s="13" t="str">
        <f t="shared" si="148"/>
        <v>-</v>
      </c>
      <c r="AT165" s="13" t="str">
        <f t="shared" si="149"/>
        <v>-</v>
      </c>
      <c r="AU165" s="13" t="str">
        <f t="shared" si="133"/>
        <v>-</v>
      </c>
      <c r="AV165" s="16" t="str">
        <f t="shared" si="150"/>
        <v>-</v>
      </c>
      <c r="AW165" s="16" t="str">
        <f t="shared" si="134"/>
        <v>-</v>
      </c>
      <c r="AX165" s="16" t="str">
        <f t="shared" si="135"/>
        <v>-</v>
      </c>
      <c r="AY165" s="16" t="str">
        <f t="shared" si="151"/>
        <v>-</v>
      </c>
      <c r="AZ165" s="13" t="str">
        <f t="shared" si="152"/>
        <v>-</v>
      </c>
      <c r="BA165" s="10" t="str">
        <f t="shared" si="153"/>
        <v>-</v>
      </c>
      <c r="BB165" s="9" t="str">
        <f t="shared" si="154"/>
        <v>-</v>
      </c>
      <c r="BC165" s="13" t="str">
        <f t="shared" si="155"/>
        <v>-</v>
      </c>
      <c r="BD165" s="10" t="str">
        <f t="shared" si="156"/>
        <v>-</v>
      </c>
      <c r="BE165" s="13" t="str">
        <f t="shared" si="157"/>
        <v>-</v>
      </c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</row>
    <row r="166" spans="2:70" x14ac:dyDescent="0.3">
      <c r="B166" s="96" t="str">
        <f t="shared" si="136"/>
        <v/>
      </c>
      <c r="C166" s="96" t="str">
        <f t="shared" si="137"/>
        <v/>
      </c>
      <c r="D166" s="96" t="str">
        <f t="shared" si="138"/>
        <v/>
      </c>
      <c r="E166" s="3"/>
      <c r="F166" s="3"/>
      <c r="G166" s="3"/>
      <c r="H166" s="3"/>
      <c r="I166" s="20">
        <f>IFERROR(INDEX('Input - Walmart'!G$2:G$200,MATCH('Calculations - Walmart'!$D166,'Input - Walmart'!$B$2:$B$200,0)),"")</f>
        <v>0</v>
      </c>
      <c r="J166" s="20">
        <f>IFERROR(INDEX('Input - Walmart'!H$2:H$200,MATCH('Calculations - Walmart'!$D166,'Input - Walmart'!$B$2:$B$200,0)),"")</f>
        <v>0</v>
      </c>
      <c r="K166" s="21">
        <f>IFERROR(INDEX('Input - Walmart'!I$2:I$200,MATCH('Calculations - Walmart'!$D166,'Input - Walmart'!$B$2:$B$200,0)),"")</f>
        <v>0</v>
      </c>
      <c r="L166" s="21">
        <f>IFERROR(INDEX('Input - Walmart'!J$2:J$200,MATCH('Calculations - Walmart'!$D166,'Input - Walmart'!$B$2:$B$200,0)),"")</f>
        <v>0</v>
      </c>
      <c r="M166" s="20">
        <f>IFERROR(INDEX('Input - Walmart'!K$2:K$200,MATCH('Calculations - Walmart'!$D166,'Input - Walmart'!$B$2:$B$200,0)),"")</f>
        <v>0</v>
      </c>
      <c r="N166" s="20">
        <f>IFERROR(INDEX('Input - Walmart'!L$2:L$200,MATCH('Calculations - Walmart'!$D166,'Input - Walmart'!$B$2:$B$200,0)),"")</f>
        <v>0</v>
      </c>
      <c r="O166" s="21" t="str">
        <f t="shared" si="139"/>
        <v/>
      </c>
      <c r="P166" s="21" t="str">
        <f t="shared" si="123"/>
        <v/>
      </c>
      <c r="Q166" s="21">
        <f t="shared" si="140"/>
        <v>0</v>
      </c>
      <c r="R166" s="9">
        <f t="shared" si="121"/>
        <v>0</v>
      </c>
      <c r="S166" s="9">
        <f t="shared" si="122"/>
        <v>0</v>
      </c>
      <c r="T166" s="22" t="str">
        <f>IFERROR(INDEX(Walmart!$S$11:$S$192,MATCH('Calculations - Walmart'!$D166,Walmart!$N$11:$N$192,0)),"")</f>
        <v/>
      </c>
      <c r="U166" s="22" t="str">
        <f>IFERROR(INDEX(Walmart!$T$11:$T$192,MATCH('Calculations - Walmart'!$D166,Walmart!$N$11:$N$192,0)),"")</f>
        <v/>
      </c>
      <c r="V166" s="16" t="e">
        <f t="shared" si="124"/>
        <v>#VALUE!</v>
      </c>
      <c r="W166" s="16" t="e">
        <f t="shared" si="141"/>
        <v>#VALUE!</v>
      </c>
      <c r="X166" s="16" t="e">
        <f t="shared" si="142"/>
        <v>#VALUE!</v>
      </c>
      <c r="Y166" s="10" t="str">
        <f t="shared" si="125"/>
        <v>-</v>
      </c>
      <c r="Z166" s="10" t="str">
        <f t="shared" si="126"/>
        <v>-</v>
      </c>
      <c r="AA166" s="13" t="str">
        <f t="shared" si="143"/>
        <v>-</v>
      </c>
      <c r="AB166" s="9" t="str">
        <f t="shared" si="127"/>
        <v>-</v>
      </c>
      <c r="AC166" s="16" t="str">
        <f t="shared" si="144"/>
        <v>-</v>
      </c>
      <c r="AD166" s="16" t="str">
        <f t="shared" si="128"/>
        <v>-</v>
      </c>
      <c r="AE166" s="16" t="str">
        <f t="shared" si="129"/>
        <v>-</v>
      </c>
      <c r="AF166" s="16" t="str">
        <f t="shared" si="145"/>
        <v>-</v>
      </c>
      <c r="AG166" s="16"/>
      <c r="AH166" s="32" t="str">
        <f>IFERROR(INDEX(Walmart!$R$11:$R$192,MATCH('Calculations - Walmart'!D166,Walmart!$N$11:$N$192,0)),"")</f>
        <v/>
      </c>
      <c r="AI166" s="23" t="str">
        <f t="shared" si="146"/>
        <v/>
      </c>
      <c r="AJ166" s="23" t="str">
        <f t="shared" si="147"/>
        <v/>
      </c>
      <c r="AK166" s="9" t="str">
        <f t="shared" si="130"/>
        <v/>
      </c>
      <c r="AL166" s="4" t="str">
        <f t="shared" si="131"/>
        <v/>
      </c>
      <c r="AM166" s="4"/>
      <c r="AN166" s="4"/>
      <c r="AO166" s="4"/>
      <c r="AP166" s="4"/>
      <c r="AQ166" s="4"/>
      <c r="AR166" s="20" t="str">
        <f t="shared" si="132"/>
        <v>-</v>
      </c>
      <c r="AS166" s="13" t="str">
        <f t="shared" si="148"/>
        <v>-</v>
      </c>
      <c r="AT166" s="13" t="str">
        <f t="shared" si="149"/>
        <v>-</v>
      </c>
      <c r="AU166" s="13" t="str">
        <f t="shared" si="133"/>
        <v>-</v>
      </c>
      <c r="AV166" s="16" t="str">
        <f t="shared" si="150"/>
        <v>-</v>
      </c>
      <c r="AW166" s="16" t="str">
        <f t="shared" si="134"/>
        <v>-</v>
      </c>
      <c r="AX166" s="16" t="str">
        <f t="shared" si="135"/>
        <v>-</v>
      </c>
      <c r="AY166" s="16" t="str">
        <f t="shared" si="151"/>
        <v>-</v>
      </c>
      <c r="AZ166" s="13" t="str">
        <f t="shared" si="152"/>
        <v>-</v>
      </c>
      <c r="BA166" s="10" t="str">
        <f t="shared" si="153"/>
        <v>-</v>
      </c>
      <c r="BB166" s="9" t="str">
        <f t="shared" si="154"/>
        <v>-</v>
      </c>
      <c r="BC166" s="13" t="str">
        <f t="shared" si="155"/>
        <v>-</v>
      </c>
      <c r="BD166" s="10" t="str">
        <f t="shared" si="156"/>
        <v>-</v>
      </c>
      <c r="BE166" s="13" t="str">
        <f t="shared" si="157"/>
        <v>-</v>
      </c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</row>
    <row r="167" spans="2:70" x14ac:dyDescent="0.3">
      <c r="B167" s="96" t="str">
        <f t="shared" si="136"/>
        <v/>
      </c>
      <c r="C167" s="96" t="str">
        <f t="shared" si="137"/>
        <v/>
      </c>
      <c r="D167" s="96" t="str">
        <f t="shared" si="138"/>
        <v/>
      </c>
      <c r="E167" s="3"/>
      <c r="F167" s="3"/>
      <c r="G167" s="3"/>
      <c r="H167" s="3"/>
      <c r="I167" s="20">
        <f>IFERROR(INDEX('Input - Walmart'!G$2:G$200,MATCH('Calculations - Walmart'!$D167,'Input - Walmart'!$B$2:$B$200,0)),"")</f>
        <v>0</v>
      </c>
      <c r="J167" s="20">
        <f>IFERROR(INDEX('Input - Walmart'!H$2:H$200,MATCH('Calculations - Walmart'!$D167,'Input - Walmart'!$B$2:$B$200,0)),"")</f>
        <v>0</v>
      </c>
      <c r="K167" s="21">
        <f>IFERROR(INDEX('Input - Walmart'!I$2:I$200,MATCH('Calculations - Walmart'!$D167,'Input - Walmart'!$B$2:$B$200,0)),"")</f>
        <v>0</v>
      </c>
      <c r="L167" s="21">
        <f>IFERROR(INDEX('Input - Walmart'!J$2:J$200,MATCH('Calculations - Walmart'!$D167,'Input - Walmart'!$B$2:$B$200,0)),"")</f>
        <v>0</v>
      </c>
      <c r="M167" s="20">
        <f>IFERROR(INDEX('Input - Walmart'!K$2:K$200,MATCH('Calculations - Walmart'!$D167,'Input - Walmart'!$B$2:$B$200,0)),"")</f>
        <v>0</v>
      </c>
      <c r="N167" s="20">
        <f>IFERROR(INDEX('Input - Walmart'!L$2:L$200,MATCH('Calculations - Walmart'!$D167,'Input - Walmart'!$B$2:$B$200,0)),"")</f>
        <v>0</v>
      </c>
      <c r="O167" s="21" t="str">
        <f t="shared" si="139"/>
        <v/>
      </c>
      <c r="P167" s="21" t="str">
        <f t="shared" si="123"/>
        <v/>
      </c>
      <c r="Q167" s="21">
        <f t="shared" si="140"/>
        <v>0</v>
      </c>
      <c r="R167" s="9">
        <f t="shared" si="121"/>
        <v>0</v>
      </c>
      <c r="S167" s="9">
        <f t="shared" si="122"/>
        <v>0</v>
      </c>
      <c r="T167" s="22" t="str">
        <f>IFERROR(INDEX(Walmart!$S$11:$S$192,MATCH('Calculations - Walmart'!$D167,Walmart!$N$11:$N$192,0)),"")</f>
        <v/>
      </c>
      <c r="U167" s="22" t="str">
        <f>IFERROR(INDEX(Walmart!$T$11:$T$192,MATCH('Calculations - Walmart'!$D167,Walmart!$N$11:$N$192,0)),"")</f>
        <v/>
      </c>
      <c r="V167" s="16" t="e">
        <f t="shared" si="124"/>
        <v>#VALUE!</v>
      </c>
      <c r="W167" s="16" t="e">
        <f t="shared" si="141"/>
        <v>#VALUE!</v>
      </c>
      <c r="X167" s="16" t="e">
        <f t="shared" si="142"/>
        <v>#VALUE!</v>
      </c>
      <c r="Y167" s="10" t="str">
        <f t="shared" si="125"/>
        <v>-</v>
      </c>
      <c r="Z167" s="10" t="str">
        <f t="shared" si="126"/>
        <v>-</v>
      </c>
      <c r="AA167" s="13" t="str">
        <f t="shared" si="143"/>
        <v>-</v>
      </c>
      <c r="AB167" s="9" t="str">
        <f t="shared" si="127"/>
        <v>-</v>
      </c>
      <c r="AC167" s="16" t="str">
        <f t="shared" si="144"/>
        <v>-</v>
      </c>
      <c r="AD167" s="16" t="str">
        <f t="shared" si="128"/>
        <v>-</v>
      </c>
      <c r="AE167" s="16" t="str">
        <f t="shared" si="129"/>
        <v>-</v>
      </c>
      <c r="AF167" s="16" t="str">
        <f t="shared" si="145"/>
        <v>-</v>
      </c>
      <c r="AG167" s="16"/>
      <c r="AH167" s="32" t="str">
        <f>IFERROR(INDEX(Walmart!$R$11:$R$192,MATCH('Calculations - Walmart'!D167,Walmart!$N$11:$N$192,0)),"")</f>
        <v/>
      </c>
      <c r="AI167" s="23" t="str">
        <f t="shared" si="146"/>
        <v/>
      </c>
      <c r="AJ167" s="23" t="str">
        <f t="shared" si="147"/>
        <v/>
      </c>
      <c r="AK167" s="9" t="str">
        <f t="shared" si="130"/>
        <v/>
      </c>
      <c r="AL167" s="4" t="str">
        <f t="shared" si="131"/>
        <v/>
      </c>
      <c r="AM167" s="4"/>
      <c r="AN167" s="4"/>
      <c r="AO167" s="4"/>
      <c r="AP167" s="4"/>
      <c r="AQ167" s="4"/>
      <c r="AR167" s="20" t="str">
        <f t="shared" si="132"/>
        <v>-</v>
      </c>
      <c r="AS167" s="13" t="str">
        <f t="shared" si="148"/>
        <v>-</v>
      </c>
      <c r="AT167" s="13" t="str">
        <f t="shared" si="149"/>
        <v>-</v>
      </c>
      <c r="AU167" s="13" t="str">
        <f t="shared" si="133"/>
        <v>-</v>
      </c>
      <c r="AV167" s="16" t="str">
        <f t="shared" si="150"/>
        <v>-</v>
      </c>
      <c r="AW167" s="16" t="str">
        <f t="shared" si="134"/>
        <v>-</v>
      </c>
      <c r="AX167" s="16" t="str">
        <f t="shared" si="135"/>
        <v>-</v>
      </c>
      <c r="AY167" s="16" t="str">
        <f t="shared" si="151"/>
        <v>-</v>
      </c>
      <c r="AZ167" s="13" t="str">
        <f t="shared" si="152"/>
        <v>-</v>
      </c>
      <c r="BA167" s="10" t="str">
        <f t="shared" si="153"/>
        <v>-</v>
      </c>
      <c r="BB167" s="9" t="str">
        <f t="shared" si="154"/>
        <v>-</v>
      </c>
      <c r="BC167" s="13" t="str">
        <f t="shared" si="155"/>
        <v>-</v>
      </c>
      <c r="BD167" s="10" t="str">
        <f t="shared" si="156"/>
        <v>-</v>
      </c>
      <c r="BE167" s="13" t="str">
        <f t="shared" si="157"/>
        <v>-</v>
      </c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</row>
    <row r="168" spans="2:70" x14ac:dyDescent="0.3">
      <c r="B168" s="96" t="str">
        <f t="shared" si="136"/>
        <v/>
      </c>
      <c r="C168" s="96" t="str">
        <f t="shared" si="137"/>
        <v/>
      </c>
      <c r="D168" s="96" t="str">
        <f t="shared" si="138"/>
        <v/>
      </c>
      <c r="E168" s="3"/>
      <c r="F168" s="3"/>
      <c r="G168" s="3"/>
      <c r="H168" s="3"/>
      <c r="I168" s="20">
        <f>IFERROR(INDEX('Input - Walmart'!G$2:G$200,MATCH('Calculations - Walmart'!$D168,'Input - Walmart'!$B$2:$B$200,0)),"")</f>
        <v>0</v>
      </c>
      <c r="J168" s="20">
        <f>IFERROR(INDEX('Input - Walmart'!H$2:H$200,MATCH('Calculations - Walmart'!$D168,'Input - Walmart'!$B$2:$B$200,0)),"")</f>
        <v>0</v>
      </c>
      <c r="K168" s="21">
        <f>IFERROR(INDEX('Input - Walmart'!I$2:I$200,MATCH('Calculations - Walmart'!$D168,'Input - Walmart'!$B$2:$B$200,0)),"")</f>
        <v>0</v>
      </c>
      <c r="L168" s="21">
        <f>IFERROR(INDEX('Input - Walmart'!J$2:J$200,MATCH('Calculations - Walmart'!$D168,'Input - Walmart'!$B$2:$B$200,0)),"")</f>
        <v>0</v>
      </c>
      <c r="M168" s="20">
        <f>IFERROR(INDEX('Input - Walmart'!K$2:K$200,MATCH('Calculations - Walmart'!$D168,'Input - Walmart'!$B$2:$B$200,0)),"")</f>
        <v>0</v>
      </c>
      <c r="N168" s="20">
        <f>IFERROR(INDEX('Input - Walmart'!L$2:L$200,MATCH('Calculations - Walmart'!$D168,'Input - Walmart'!$B$2:$B$200,0)),"")</f>
        <v>0</v>
      </c>
      <c r="O168" s="21" t="str">
        <f t="shared" si="139"/>
        <v/>
      </c>
      <c r="P168" s="21" t="str">
        <f t="shared" si="123"/>
        <v/>
      </c>
      <c r="Q168" s="21">
        <f t="shared" si="140"/>
        <v>0</v>
      </c>
      <c r="R168" s="9">
        <f t="shared" si="121"/>
        <v>0</v>
      </c>
      <c r="S168" s="9">
        <f t="shared" si="122"/>
        <v>0</v>
      </c>
      <c r="T168" s="22" t="str">
        <f>IFERROR(INDEX(Walmart!$S$11:$S$192,MATCH('Calculations - Walmart'!$D168,Walmart!$N$11:$N$192,0)),"")</f>
        <v/>
      </c>
      <c r="U168" s="22" t="str">
        <f>IFERROR(INDEX(Walmart!$T$11:$T$192,MATCH('Calculations - Walmart'!$D168,Walmart!$N$11:$N$192,0)),"")</f>
        <v/>
      </c>
      <c r="V168" s="16" t="e">
        <f t="shared" si="124"/>
        <v>#VALUE!</v>
      </c>
      <c r="W168" s="16" t="e">
        <f t="shared" si="141"/>
        <v>#VALUE!</v>
      </c>
      <c r="X168" s="16" t="e">
        <f t="shared" si="142"/>
        <v>#VALUE!</v>
      </c>
      <c r="Y168" s="10" t="str">
        <f t="shared" si="125"/>
        <v>-</v>
      </c>
      <c r="Z168" s="10" t="str">
        <f t="shared" si="126"/>
        <v>-</v>
      </c>
      <c r="AA168" s="13" t="str">
        <f t="shared" si="143"/>
        <v>-</v>
      </c>
      <c r="AB168" s="9" t="str">
        <f t="shared" si="127"/>
        <v>-</v>
      </c>
      <c r="AC168" s="16" t="str">
        <f t="shared" si="144"/>
        <v>-</v>
      </c>
      <c r="AD168" s="16" t="str">
        <f t="shared" si="128"/>
        <v>-</v>
      </c>
      <c r="AE168" s="16" t="str">
        <f t="shared" si="129"/>
        <v>-</v>
      </c>
      <c r="AF168" s="16" t="str">
        <f t="shared" si="145"/>
        <v>-</v>
      </c>
      <c r="AG168" s="16"/>
      <c r="AH168" s="32" t="str">
        <f>IFERROR(INDEX(Walmart!$R$11:$R$192,MATCH('Calculations - Walmart'!D168,Walmart!$N$11:$N$192,0)),"")</f>
        <v/>
      </c>
      <c r="AI168" s="23" t="str">
        <f t="shared" si="146"/>
        <v/>
      </c>
      <c r="AJ168" s="23" t="str">
        <f t="shared" si="147"/>
        <v/>
      </c>
      <c r="AK168" s="9" t="str">
        <f t="shared" si="130"/>
        <v/>
      </c>
      <c r="AL168" s="4" t="str">
        <f t="shared" si="131"/>
        <v/>
      </c>
      <c r="AM168" s="4"/>
      <c r="AN168" s="4"/>
      <c r="AO168" s="4"/>
      <c r="AP168" s="4"/>
      <c r="AQ168" s="4"/>
      <c r="AR168" s="20" t="str">
        <f t="shared" si="132"/>
        <v>-</v>
      </c>
      <c r="AS168" s="13" t="str">
        <f t="shared" si="148"/>
        <v>-</v>
      </c>
      <c r="AT168" s="13" t="str">
        <f t="shared" si="149"/>
        <v>-</v>
      </c>
      <c r="AU168" s="13" t="str">
        <f t="shared" si="133"/>
        <v>-</v>
      </c>
      <c r="AV168" s="16" t="str">
        <f t="shared" si="150"/>
        <v>-</v>
      </c>
      <c r="AW168" s="16" t="str">
        <f t="shared" si="134"/>
        <v>-</v>
      </c>
      <c r="AX168" s="16" t="str">
        <f t="shared" si="135"/>
        <v>-</v>
      </c>
      <c r="AY168" s="16" t="str">
        <f t="shared" si="151"/>
        <v>-</v>
      </c>
      <c r="AZ168" s="13" t="str">
        <f t="shared" si="152"/>
        <v>-</v>
      </c>
      <c r="BA168" s="10" t="str">
        <f t="shared" si="153"/>
        <v>-</v>
      </c>
      <c r="BB168" s="9" t="str">
        <f t="shared" si="154"/>
        <v>-</v>
      </c>
      <c r="BC168" s="13" t="str">
        <f t="shared" si="155"/>
        <v>-</v>
      </c>
      <c r="BD168" s="10" t="str">
        <f t="shared" si="156"/>
        <v>-</v>
      </c>
      <c r="BE168" s="13" t="str">
        <f t="shared" si="157"/>
        <v>-</v>
      </c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</row>
    <row r="169" spans="2:70" x14ac:dyDescent="0.3">
      <c r="B169" s="96" t="str">
        <f t="shared" si="136"/>
        <v/>
      </c>
      <c r="C169" s="96" t="str">
        <f t="shared" si="137"/>
        <v/>
      </c>
      <c r="D169" s="96" t="str">
        <f t="shared" si="138"/>
        <v/>
      </c>
      <c r="E169" s="3"/>
      <c r="F169" s="3"/>
      <c r="G169" s="3"/>
      <c r="H169" s="3"/>
      <c r="I169" s="20">
        <f>IFERROR(INDEX('Input - Walmart'!G$2:G$200,MATCH('Calculations - Walmart'!$D169,'Input - Walmart'!$B$2:$B$200,0)),"")</f>
        <v>0</v>
      </c>
      <c r="J169" s="20">
        <f>IFERROR(INDEX('Input - Walmart'!H$2:H$200,MATCH('Calculations - Walmart'!$D169,'Input - Walmart'!$B$2:$B$200,0)),"")</f>
        <v>0</v>
      </c>
      <c r="K169" s="21">
        <f>IFERROR(INDEX('Input - Walmart'!I$2:I$200,MATCH('Calculations - Walmart'!$D169,'Input - Walmart'!$B$2:$B$200,0)),"")</f>
        <v>0</v>
      </c>
      <c r="L169" s="21">
        <f>IFERROR(INDEX('Input - Walmart'!J$2:J$200,MATCH('Calculations - Walmart'!$D169,'Input - Walmart'!$B$2:$B$200,0)),"")</f>
        <v>0</v>
      </c>
      <c r="M169" s="20">
        <f>IFERROR(INDEX('Input - Walmart'!K$2:K$200,MATCH('Calculations - Walmart'!$D169,'Input - Walmart'!$B$2:$B$200,0)),"")</f>
        <v>0</v>
      </c>
      <c r="N169" s="20">
        <f>IFERROR(INDEX('Input - Walmart'!L$2:L$200,MATCH('Calculations - Walmart'!$D169,'Input - Walmart'!$B$2:$B$200,0)),"")</f>
        <v>0</v>
      </c>
      <c r="O169" s="21" t="str">
        <f t="shared" si="139"/>
        <v/>
      </c>
      <c r="P169" s="21" t="str">
        <f t="shared" si="123"/>
        <v/>
      </c>
      <c r="Q169" s="21">
        <f t="shared" si="140"/>
        <v>0</v>
      </c>
      <c r="R169" s="9">
        <f t="shared" si="121"/>
        <v>0</v>
      </c>
      <c r="S169" s="9">
        <f t="shared" si="122"/>
        <v>0</v>
      </c>
      <c r="T169" s="22" t="str">
        <f>IFERROR(INDEX(Walmart!$S$11:$S$192,MATCH('Calculations - Walmart'!$D169,Walmart!$N$11:$N$192,0)),"")</f>
        <v/>
      </c>
      <c r="U169" s="22" t="str">
        <f>IFERROR(INDEX(Walmart!$T$11:$T$192,MATCH('Calculations - Walmart'!$D169,Walmart!$N$11:$N$192,0)),"")</f>
        <v/>
      </c>
      <c r="V169" s="16" t="e">
        <f t="shared" si="124"/>
        <v>#VALUE!</v>
      </c>
      <c r="W169" s="16" t="e">
        <f t="shared" si="141"/>
        <v>#VALUE!</v>
      </c>
      <c r="X169" s="16" t="e">
        <f t="shared" si="142"/>
        <v>#VALUE!</v>
      </c>
      <c r="Y169" s="10" t="str">
        <f t="shared" si="125"/>
        <v>-</v>
      </c>
      <c r="Z169" s="10" t="str">
        <f t="shared" si="126"/>
        <v>-</v>
      </c>
      <c r="AA169" s="13" t="str">
        <f t="shared" si="143"/>
        <v>-</v>
      </c>
      <c r="AB169" s="9" t="str">
        <f t="shared" si="127"/>
        <v>-</v>
      </c>
      <c r="AC169" s="16" t="str">
        <f t="shared" si="144"/>
        <v>-</v>
      </c>
      <c r="AD169" s="16" t="str">
        <f t="shared" si="128"/>
        <v>-</v>
      </c>
      <c r="AE169" s="16" t="str">
        <f t="shared" si="129"/>
        <v>-</v>
      </c>
      <c r="AF169" s="16" t="str">
        <f t="shared" si="145"/>
        <v>-</v>
      </c>
      <c r="AG169" s="16"/>
      <c r="AH169" s="32" t="str">
        <f>IFERROR(INDEX(Walmart!$R$11:$R$192,MATCH('Calculations - Walmart'!D169,Walmart!$N$11:$N$192,0)),"")</f>
        <v/>
      </c>
      <c r="AI169" s="23" t="str">
        <f t="shared" si="146"/>
        <v/>
      </c>
      <c r="AJ169" s="23" t="str">
        <f t="shared" si="147"/>
        <v/>
      </c>
      <c r="AK169" s="9" t="str">
        <f t="shared" si="130"/>
        <v/>
      </c>
      <c r="AL169" s="4" t="str">
        <f t="shared" si="131"/>
        <v/>
      </c>
      <c r="AM169" s="4"/>
      <c r="AN169" s="4"/>
      <c r="AO169" s="4"/>
      <c r="AP169" s="4"/>
      <c r="AQ169" s="4"/>
      <c r="AR169" s="20" t="str">
        <f t="shared" si="132"/>
        <v>-</v>
      </c>
      <c r="AS169" s="13" t="str">
        <f t="shared" si="148"/>
        <v>-</v>
      </c>
      <c r="AT169" s="13" t="str">
        <f t="shared" si="149"/>
        <v>-</v>
      </c>
      <c r="AU169" s="13" t="str">
        <f t="shared" si="133"/>
        <v>-</v>
      </c>
      <c r="AV169" s="16" t="str">
        <f t="shared" si="150"/>
        <v>-</v>
      </c>
      <c r="AW169" s="16" t="str">
        <f t="shared" si="134"/>
        <v>-</v>
      </c>
      <c r="AX169" s="16" t="str">
        <f t="shared" si="135"/>
        <v>-</v>
      </c>
      <c r="AY169" s="16" t="str">
        <f t="shared" si="151"/>
        <v>-</v>
      </c>
      <c r="AZ169" s="13" t="str">
        <f t="shared" si="152"/>
        <v>-</v>
      </c>
      <c r="BA169" s="10" t="str">
        <f t="shared" si="153"/>
        <v>-</v>
      </c>
      <c r="BB169" s="9" t="str">
        <f t="shared" si="154"/>
        <v>-</v>
      </c>
      <c r="BC169" s="13" t="str">
        <f t="shared" si="155"/>
        <v>-</v>
      </c>
      <c r="BD169" s="10" t="str">
        <f t="shared" si="156"/>
        <v>-</v>
      </c>
      <c r="BE169" s="13" t="str">
        <f t="shared" si="157"/>
        <v>-</v>
      </c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</row>
    <row r="170" spans="2:70" x14ac:dyDescent="0.3">
      <c r="B170" s="96" t="str">
        <f t="shared" si="136"/>
        <v/>
      </c>
      <c r="C170" s="96" t="str">
        <f t="shared" si="137"/>
        <v/>
      </c>
      <c r="D170" s="96" t="str">
        <f t="shared" si="138"/>
        <v/>
      </c>
      <c r="E170" s="3"/>
      <c r="F170" s="3"/>
      <c r="G170" s="3"/>
      <c r="H170" s="3"/>
      <c r="I170" s="20">
        <f>IFERROR(INDEX('Input - Walmart'!G$2:G$200,MATCH('Calculations - Walmart'!$D170,'Input - Walmart'!$B$2:$B$200,0)),"")</f>
        <v>0</v>
      </c>
      <c r="J170" s="20">
        <f>IFERROR(INDEX('Input - Walmart'!H$2:H$200,MATCH('Calculations - Walmart'!$D170,'Input - Walmart'!$B$2:$B$200,0)),"")</f>
        <v>0</v>
      </c>
      <c r="K170" s="21">
        <f>IFERROR(INDEX('Input - Walmart'!I$2:I$200,MATCH('Calculations - Walmart'!$D170,'Input - Walmart'!$B$2:$B$200,0)),"")</f>
        <v>0</v>
      </c>
      <c r="L170" s="21">
        <f>IFERROR(INDEX('Input - Walmart'!J$2:J$200,MATCH('Calculations - Walmart'!$D170,'Input - Walmart'!$B$2:$B$200,0)),"")</f>
        <v>0</v>
      </c>
      <c r="M170" s="20">
        <f>IFERROR(INDEX('Input - Walmart'!K$2:K$200,MATCH('Calculations - Walmart'!$D170,'Input - Walmart'!$B$2:$B$200,0)),"")</f>
        <v>0</v>
      </c>
      <c r="N170" s="20">
        <f>IFERROR(INDEX('Input - Walmart'!L$2:L$200,MATCH('Calculations - Walmart'!$D170,'Input - Walmart'!$B$2:$B$200,0)),"")</f>
        <v>0</v>
      </c>
      <c r="O170" s="21" t="str">
        <f t="shared" si="139"/>
        <v/>
      </c>
      <c r="P170" s="21" t="str">
        <f t="shared" si="123"/>
        <v/>
      </c>
      <c r="Q170" s="21">
        <f t="shared" si="140"/>
        <v>0</v>
      </c>
      <c r="R170" s="9">
        <f t="shared" si="121"/>
        <v>0</v>
      </c>
      <c r="S170" s="9">
        <f t="shared" si="122"/>
        <v>0</v>
      </c>
      <c r="T170" s="22" t="str">
        <f>IFERROR(INDEX(Walmart!$S$11:$S$192,MATCH('Calculations - Walmart'!$D170,Walmart!$N$11:$N$192,0)),"")</f>
        <v/>
      </c>
      <c r="U170" s="22" t="str">
        <f>IFERROR(INDEX(Walmart!$T$11:$T$192,MATCH('Calculations - Walmart'!$D170,Walmart!$N$11:$N$192,0)),"")</f>
        <v/>
      </c>
      <c r="V170" s="16" t="e">
        <f t="shared" si="124"/>
        <v>#VALUE!</v>
      </c>
      <c r="W170" s="16" t="e">
        <f t="shared" si="141"/>
        <v>#VALUE!</v>
      </c>
      <c r="X170" s="16" t="e">
        <f t="shared" si="142"/>
        <v>#VALUE!</v>
      </c>
      <c r="Y170" s="10" t="str">
        <f t="shared" si="125"/>
        <v>-</v>
      </c>
      <c r="Z170" s="10" t="str">
        <f t="shared" si="126"/>
        <v>-</v>
      </c>
      <c r="AA170" s="13" t="str">
        <f t="shared" si="143"/>
        <v>-</v>
      </c>
      <c r="AB170" s="9" t="str">
        <f t="shared" si="127"/>
        <v>-</v>
      </c>
      <c r="AC170" s="16" t="str">
        <f t="shared" si="144"/>
        <v>-</v>
      </c>
      <c r="AD170" s="16" t="str">
        <f t="shared" si="128"/>
        <v>-</v>
      </c>
      <c r="AE170" s="16" t="str">
        <f t="shared" si="129"/>
        <v>-</v>
      </c>
      <c r="AF170" s="16" t="str">
        <f t="shared" si="145"/>
        <v>-</v>
      </c>
      <c r="AG170" s="16"/>
      <c r="AH170" s="32" t="str">
        <f>IFERROR(INDEX(Walmart!$R$11:$R$192,MATCH('Calculations - Walmart'!D170,Walmart!$N$11:$N$192,0)),"")</f>
        <v/>
      </c>
      <c r="AI170" s="23" t="str">
        <f t="shared" si="146"/>
        <v/>
      </c>
      <c r="AJ170" s="23" t="str">
        <f t="shared" si="147"/>
        <v/>
      </c>
      <c r="AK170" s="9" t="str">
        <f t="shared" si="130"/>
        <v/>
      </c>
      <c r="AL170" s="4" t="str">
        <f t="shared" si="131"/>
        <v/>
      </c>
      <c r="AM170" s="4"/>
      <c r="AN170" s="4"/>
      <c r="AO170" s="4"/>
      <c r="AP170" s="4"/>
      <c r="AQ170" s="4"/>
      <c r="AR170" s="20" t="str">
        <f t="shared" si="132"/>
        <v>-</v>
      </c>
      <c r="AS170" s="13" t="str">
        <f t="shared" si="148"/>
        <v>-</v>
      </c>
      <c r="AT170" s="13" t="str">
        <f t="shared" si="149"/>
        <v>-</v>
      </c>
      <c r="AU170" s="13" t="str">
        <f t="shared" si="133"/>
        <v>-</v>
      </c>
      <c r="AV170" s="16" t="str">
        <f t="shared" si="150"/>
        <v>-</v>
      </c>
      <c r="AW170" s="16" t="str">
        <f t="shared" si="134"/>
        <v>-</v>
      </c>
      <c r="AX170" s="16" t="str">
        <f t="shared" si="135"/>
        <v>-</v>
      </c>
      <c r="AY170" s="16" t="str">
        <f t="shared" si="151"/>
        <v>-</v>
      </c>
      <c r="AZ170" s="13" t="str">
        <f t="shared" si="152"/>
        <v>-</v>
      </c>
      <c r="BA170" s="10" t="str">
        <f t="shared" si="153"/>
        <v>-</v>
      </c>
      <c r="BB170" s="9" t="str">
        <f t="shared" si="154"/>
        <v>-</v>
      </c>
      <c r="BC170" s="13" t="str">
        <f t="shared" si="155"/>
        <v>-</v>
      </c>
      <c r="BD170" s="10" t="str">
        <f t="shared" si="156"/>
        <v>-</v>
      </c>
      <c r="BE170" s="13" t="str">
        <f t="shared" si="157"/>
        <v>-</v>
      </c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</row>
    <row r="171" spans="2:70" x14ac:dyDescent="0.3">
      <c r="B171" s="96" t="str">
        <f t="shared" si="136"/>
        <v/>
      </c>
      <c r="C171" s="96" t="str">
        <f t="shared" si="137"/>
        <v/>
      </c>
      <c r="D171" s="96" t="str">
        <f t="shared" si="138"/>
        <v/>
      </c>
      <c r="E171" s="3"/>
      <c r="F171" s="3"/>
      <c r="G171" s="3"/>
      <c r="H171" s="3"/>
      <c r="I171" s="20">
        <f>IFERROR(INDEX('Input - Walmart'!G$2:G$200,MATCH('Calculations - Walmart'!$D171,'Input - Walmart'!$B$2:$B$200,0)),"")</f>
        <v>0</v>
      </c>
      <c r="J171" s="20">
        <f>IFERROR(INDEX('Input - Walmart'!H$2:H$200,MATCH('Calculations - Walmart'!$D171,'Input - Walmart'!$B$2:$B$200,0)),"")</f>
        <v>0</v>
      </c>
      <c r="K171" s="21">
        <f>IFERROR(INDEX('Input - Walmart'!I$2:I$200,MATCH('Calculations - Walmart'!$D171,'Input - Walmart'!$B$2:$B$200,0)),"")</f>
        <v>0</v>
      </c>
      <c r="L171" s="21">
        <f>IFERROR(INDEX('Input - Walmart'!J$2:J$200,MATCH('Calculations - Walmart'!$D171,'Input - Walmart'!$B$2:$B$200,0)),"")</f>
        <v>0</v>
      </c>
      <c r="M171" s="20">
        <f>IFERROR(INDEX('Input - Walmart'!K$2:K$200,MATCH('Calculations - Walmart'!$D171,'Input - Walmart'!$B$2:$B$200,0)),"")</f>
        <v>0</v>
      </c>
      <c r="N171" s="20">
        <f>IFERROR(INDEX('Input - Walmart'!L$2:L$200,MATCH('Calculations - Walmart'!$D171,'Input - Walmart'!$B$2:$B$200,0)),"")</f>
        <v>0</v>
      </c>
      <c r="O171" s="21" t="str">
        <f t="shared" si="139"/>
        <v/>
      </c>
      <c r="P171" s="21" t="str">
        <f t="shared" si="123"/>
        <v/>
      </c>
      <c r="Q171" s="21">
        <f t="shared" si="140"/>
        <v>0</v>
      </c>
      <c r="R171" s="9">
        <f t="shared" si="121"/>
        <v>0</v>
      </c>
      <c r="S171" s="9">
        <f t="shared" si="122"/>
        <v>0</v>
      </c>
      <c r="T171" s="22" t="str">
        <f>IFERROR(INDEX(Walmart!$S$11:$S$192,MATCH('Calculations - Walmart'!$D171,Walmart!$N$11:$N$192,0)),"")</f>
        <v/>
      </c>
      <c r="U171" s="22" t="str">
        <f>IFERROR(INDEX(Walmart!$T$11:$T$192,MATCH('Calculations - Walmart'!$D171,Walmart!$N$11:$N$192,0)),"")</f>
        <v/>
      </c>
      <c r="V171" s="16" t="e">
        <f t="shared" si="124"/>
        <v>#VALUE!</v>
      </c>
      <c r="W171" s="16" t="e">
        <f t="shared" si="141"/>
        <v>#VALUE!</v>
      </c>
      <c r="X171" s="16" t="e">
        <f t="shared" si="142"/>
        <v>#VALUE!</v>
      </c>
      <c r="Y171" s="10" t="str">
        <f t="shared" si="125"/>
        <v>-</v>
      </c>
      <c r="Z171" s="10" t="str">
        <f t="shared" si="126"/>
        <v>-</v>
      </c>
      <c r="AA171" s="13" t="str">
        <f t="shared" si="143"/>
        <v>-</v>
      </c>
      <c r="AB171" s="9" t="str">
        <f t="shared" si="127"/>
        <v>-</v>
      </c>
      <c r="AC171" s="16" t="str">
        <f t="shared" si="144"/>
        <v>-</v>
      </c>
      <c r="AD171" s="16" t="str">
        <f t="shared" si="128"/>
        <v>-</v>
      </c>
      <c r="AE171" s="16" t="str">
        <f t="shared" si="129"/>
        <v>-</v>
      </c>
      <c r="AF171" s="16" t="str">
        <f t="shared" si="145"/>
        <v>-</v>
      </c>
      <c r="AG171" s="16"/>
      <c r="AH171" s="32" t="str">
        <f>IFERROR(INDEX(Walmart!$R$11:$R$192,MATCH('Calculations - Walmart'!D171,Walmart!$N$11:$N$192,0)),"")</f>
        <v/>
      </c>
      <c r="AI171" s="23" t="str">
        <f t="shared" si="146"/>
        <v/>
      </c>
      <c r="AJ171" s="23" t="str">
        <f t="shared" si="147"/>
        <v/>
      </c>
      <c r="AK171" s="9" t="str">
        <f t="shared" si="130"/>
        <v/>
      </c>
      <c r="AL171" s="4" t="str">
        <f t="shared" si="131"/>
        <v/>
      </c>
      <c r="AM171" s="4"/>
      <c r="AN171" s="4"/>
      <c r="AO171" s="4"/>
      <c r="AP171" s="4"/>
      <c r="AQ171" s="4"/>
      <c r="AR171" s="20" t="str">
        <f t="shared" si="132"/>
        <v>-</v>
      </c>
      <c r="AS171" s="13" t="str">
        <f t="shared" si="148"/>
        <v>-</v>
      </c>
      <c r="AT171" s="13" t="str">
        <f t="shared" si="149"/>
        <v>-</v>
      </c>
      <c r="AU171" s="13" t="str">
        <f t="shared" si="133"/>
        <v>-</v>
      </c>
      <c r="AV171" s="16" t="str">
        <f t="shared" si="150"/>
        <v>-</v>
      </c>
      <c r="AW171" s="16" t="str">
        <f t="shared" si="134"/>
        <v>-</v>
      </c>
      <c r="AX171" s="16" t="str">
        <f t="shared" si="135"/>
        <v>-</v>
      </c>
      <c r="AY171" s="16" t="str">
        <f t="shared" si="151"/>
        <v>-</v>
      </c>
      <c r="AZ171" s="13" t="str">
        <f t="shared" si="152"/>
        <v>-</v>
      </c>
      <c r="BA171" s="10" t="str">
        <f t="shared" si="153"/>
        <v>-</v>
      </c>
      <c r="BB171" s="9" t="str">
        <f t="shared" si="154"/>
        <v>-</v>
      </c>
      <c r="BC171" s="13" t="str">
        <f t="shared" si="155"/>
        <v>-</v>
      </c>
      <c r="BD171" s="10" t="str">
        <f t="shared" si="156"/>
        <v>-</v>
      </c>
      <c r="BE171" s="13" t="str">
        <f t="shared" si="157"/>
        <v>-</v>
      </c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</row>
    <row r="172" spans="2:70" x14ac:dyDescent="0.3">
      <c r="B172" s="96" t="str">
        <f t="shared" si="136"/>
        <v/>
      </c>
      <c r="C172" s="96" t="str">
        <f t="shared" si="137"/>
        <v/>
      </c>
      <c r="D172" s="96" t="str">
        <f t="shared" si="138"/>
        <v/>
      </c>
      <c r="E172" s="3"/>
      <c r="F172" s="3"/>
      <c r="G172" s="3"/>
      <c r="H172" s="3"/>
      <c r="I172" s="20">
        <f>IFERROR(INDEX('Input - Walmart'!G$2:G$200,MATCH('Calculations - Walmart'!$D172,'Input - Walmart'!$B$2:$B$200,0)),"")</f>
        <v>0</v>
      </c>
      <c r="J172" s="20">
        <f>IFERROR(INDEX('Input - Walmart'!H$2:H$200,MATCH('Calculations - Walmart'!$D172,'Input - Walmart'!$B$2:$B$200,0)),"")</f>
        <v>0</v>
      </c>
      <c r="K172" s="21">
        <f>IFERROR(INDEX('Input - Walmart'!I$2:I$200,MATCH('Calculations - Walmart'!$D172,'Input - Walmart'!$B$2:$B$200,0)),"")</f>
        <v>0</v>
      </c>
      <c r="L172" s="21">
        <f>IFERROR(INDEX('Input - Walmart'!J$2:J$200,MATCH('Calculations - Walmart'!$D172,'Input - Walmart'!$B$2:$B$200,0)),"")</f>
        <v>0</v>
      </c>
      <c r="M172" s="20">
        <f>IFERROR(INDEX('Input - Walmart'!K$2:K$200,MATCH('Calculations - Walmart'!$D172,'Input - Walmart'!$B$2:$B$200,0)),"")</f>
        <v>0</v>
      </c>
      <c r="N172" s="20">
        <f>IFERROR(INDEX('Input - Walmart'!L$2:L$200,MATCH('Calculations - Walmart'!$D172,'Input - Walmart'!$B$2:$B$200,0)),"")</f>
        <v>0</v>
      </c>
      <c r="O172" s="21" t="str">
        <f t="shared" si="139"/>
        <v/>
      </c>
      <c r="P172" s="21" t="str">
        <f t="shared" si="123"/>
        <v/>
      </c>
      <c r="Q172" s="21">
        <f t="shared" si="140"/>
        <v>0</v>
      </c>
      <c r="R172" s="9">
        <f t="shared" si="121"/>
        <v>0</v>
      </c>
      <c r="S172" s="9">
        <f t="shared" si="122"/>
        <v>0</v>
      </c>
      <c r="T172" s="22" t="str">
        <f>IFERROR(INDEX(Walmart!$S$11:$S$192,MATCH('Calculations - Walmart'!$D172,Walmart!$N$11:$N$192,0)),"")</f>
        <v/>
      </c>
      <c r="U172" s="22" t="str">
        <f>IFERROR(INDEX(Walmart!$T$11:$T$192,MATCH('Calculations - Walmart'!$D172,Walmart!$N$11:$N$192,0)),"")</f>
        <v/>
      </c>
      <c r="V172" s="16" t="e">
        <f t="shared" si="124"/>
        <v>#VALUE!</v>
      </c>
      <c r="W172" s="16" t="e">
        <f t="shared" si="141"/>
        <v>#VALUE!</v>
      </c>
      <c r="X172" s="16" t="e">
        <f t="shared" si="142"/>
        <v>#VALUE!</v>
      </c>
      <c r="Y172" s="10" t="str">
        <f t="shared" si="125"/>
        <v>-</v>
      </c>
      <c r="Z172" s="10" t="str">
        <f t="shared" si="126"/>
        <v>-</v>
      </c>
      <c r="AA172" s="13" t="str">
        <f t="shared" si="143"/>
        <v>-</v>
      </c>
      <c r="AB172" s="9" t="str">
        <f t="shared" si="127"/>
        <v>-</v>
      </c>
      <c r="AC172" s="16" t="str">
        <f t="shared" si="144"/>
        <v>-</v>
      </c>
      <c r="AD172" s="16" t="str">
        <f t="shared" si="128"/>
        <v>-</v>
      </c>
      <c r="AE172" s="16" t="str">
        <f t="shared" si="129"/>
        <v>-</v>
      </c>
      <c r="AF172" s="16" t="str">
        <f t="shared" si="145"/>
        <v>-</v>
      </c>
      <c r="AG172" s="16"/>
      <c r="AH172" s="32" t="str">
        <f>IFERROR(INDEX(Walmart!$R$11:$R$192,MATCH('Calculations - Walmart'!D172,Walmart!$N$11:$N$192,0)),"")</f>
        <v/>
      </c>
      <c r="AI172" s="23" t="str">
        <f t="shared" si="146"/>
        <v/>
      </c>
      <c r="AJ172" s="23" t="str">
        <f t="shared" si="147"/>
        <v/>
      </c>
      <c r="AK172" s="9" t="str">
        <f t="shared" si="130"/>
        <v/>
      </c>
      <c r="AL172" s="4" t="str">
        <f t="shared" si="131"/>
        <v/>
      </c>
      <c r="AM172" s="4"/>
      <c r="AN172" s="4"/>
      <c r="AO172" s="4"/>
      <c r="AP172" s="4"/>
      <c r="AQ172" s="4"/>
      <c r="AR172" s="20" t="str">
        <f t="shared" si="132"/>
        <v>-</v>
      </c>
      <c r="AS172" s="13" t="str">
        <f t="shared" si="148"/>
        <v>-</v>
      </c>
      <c r="AT172" s="13" t="str">
        <f t="shared" si="149"/>
        <v>-</v>
      </c>
      <c r="AU172" s="13" t="str">
        <f t="shared" si="133"/>
        <v>-</v>
      </c>
      <c r="AV172" s="16" t="str">
        <f t="shared" si="150"/>
        <v>-</v>
      </c>
      <c r="AW172" s="16" t="str">
        <f t="shared" si="134"/>
        <v>-</v>
      </c>
      <c r="AX172" s="16" t="str">
        <f t="shared" si="135"/>
        <v>-</v>
      </c>
      <c r="AY172" s="16" t="str">
        <f t="shared" si="151"/>
        <v>-</v>
      </c>
      <c r="AZ172" s="13" t="str">
        <f t="shared" si="152"/>
        <v>-</v>
      </c>
      <c r="BA172" s="10" t="str">
        <f t="shared" si="153"/>
        <v>-</v>
      </c>
      <c r="BB172" s="9" t="str">
        <f t="shared" si="154"/>
        <v>-</v>
      </c>
      <c r="BC172" s="13" t="str">
        <f t="shared" si="155"/>
        <v>-</v>
      </c>
      <c r="BD172" s="10" t="str">
        <f t="shared" si="156"/>
        <v>-</v>
      </c>
      <c r="BE172" s="13" t="str">
        <f t="shared" si="157"/>
        <v>-</v>
      </c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</row>
    <row r="173" spans="2:70" x14ac:dyDescent="0.3">
      <c r="B173" s="96" t="str">
        <f t="shared" si="136"/>
        <v/>
      </c>
      <c r="C173" s="96" t="str">
        <f t="shared" si="137"/>
        <v/>
      </c>
      <c r="D173" s="96" t="str">
        <f t="shared" si="138"/>
        <v/>
      </c>
      <c r="E173" s="3"/>
      <c r="F173" s="3"/>
      <c r="G173" s="3"/>
      <c r="H173" s="3"/>
      <c r="I173" s="20">
        <f>IFERROR(INDEX('Input - Walmart'!G$2:G$200,MATCH('Calculations - Walmart'!$D173,'Input - Walmart'!$B$2:$B$200,0)),"")</f>
        <v>0</v>
      </c>
      <c r="J173" s="20">
        <f>IFERROR(INDEX('Input - Walmart'!H$2:H$200,MATCH('Calculations - Walmart'!$D173,'Input - Walmart'!$B$2:$B$200,0)),"")</f>
        <v>0</v>
      </c>
      <c r="K173" s="21">
        <f>IFERROR(INDEX('Input - Walmart'!I$2:I$200,MATCH('Calculations - Walmart'!$D173,'Input - Walmart'!$B$2:$B$200,0)),"")</f>
        <v>0</v>
      </c>
      <c r="L173" s="21">
        <f>IFERROR(INDEX('Input - Walmart'!J$2:J$200,MATCH('Calculations - Walmart'!$D173,'Input - Walmart'!$B$2:$B$200,0)),"")</f>
        <v>0</v>
      </c>
      <c r="M173" s="20">
        <f>IFERROR(INDEX('Input - Walmart'!K$2:K$200,MATCH('Calculations - Walmart'!$D173,'Input - Walmart'!$B$2:$B$200,0)),"")</f>
        <v>0</v>
      </c>
      <c r="N173" s="20">
        <f>IFERROR(INDEX('Input - Walmart'!L$2:L$200,MATCH('Calculations - Walmart'!$D173,'Input - Walmart'!$B$2:$B$200,0)),"")</f>
        <v>0</v>
      </c>
      <c r="O173" s="21" t="str">
        <f t="shared" si="139"/>
        <v/>
      </c>
      <c r="P173" s="21" t="str">
        <f t="shared" si="123"/>
        <v/>
      </c>
      <c r="Q173" s="21">
        <f t="shared" si="140"/>
        <v>0</v>
      </c>
      <c r="R173" s="9">
        <f t="shared" si="121"/>
        <v>0</v>
      </c>
      <c r="S173" s="9">
        <f t="shared" si="122"/>
        <v>0</v>
      </c>
      <c r="T173" s="22" t="str">
        <f>IFERROR(INDEX(Walmart!$S$11:$S$192,MATCH('Calculations - Walmart'!$D173,Walmart!$N$11:$N$192,0)),"")</f>
        <v/>
      </c>
      <c r="U173" s="22" t="str">
        <f>IFERROR(INDEX(Walmart!$T$11:$T$192,MATCH('Calculations - Walmart'!$D173,Walmart!$N$11:$N$192,0)),"")</f>
        <v/>
      </c>
      <c r="V173" s="16" t="e">
        <f t="shared" si="124"/>
        <v>#VALUE!</v>
      </c>
      <c r="W173" s="16" t="e">
        <f t="shared" si="141"/>
        <v>#VALUE!</v>
      </c>
      <c r="X173" s="16" t="e">
        <f t="shared" si="142"/>
        <v>#VALUE!</v>
      </c>
      <c r="Y173" s="10" t="str">
        <f t="shared" si="125"/>
        <v>-</v>
      </c>
      <c r="Z173" s="10" t="str">
        <f t="shared" si="126"/>
        <v>-</v>
      </c>
      <c r="AA173" s="13" t="str">
        <f t="shared" si="143"/>
        <v>-</v>
      </c>
      <c r="AB173" s="9" t="str">
        <f t="shared" si="127"/>
        <v>-</v>
      </c>
      <c r="AC173" s="16" t="str">
        <f t="shared" si="144"/>
        <v>-</v>
      </c>
      <c r="AD173" s="16" t="str">
        <f t="shared" si="128"/>
        <v>-</v>
      </c>
      <c r="AE173" s="16" t="str">
        <f t="shared" si="129"/>
        <v>-</v>
      </c>
      <c r="AF173" s="16" t="str">
        <f t="shared" si="145"/>
        <v>-</v>
      </c>
      <c r="AG173" s="16"/>
      <c r="AH173" s="32" t="str">
        <f>IFERROR(INDEX(Walmart!$R$11:$R$192,MATCH('Calculations - Walmart'!D173,Walmart!$N$11:$N$192,0)),"")</f>
        <v/>
      </c>
      <c r="AI173" s="23" t="str">
        <f t="shared" si="146"/>
        <v/>
      </c>
      <c r="AJ173" s="23" t="str">
        <f t="shared" si="147"/>
        <v/>
      </c>
      <c r="AK173" s="9" t="str">
        <f t="shared" si="130"/>
        <v/>
      </c>
      <c r="AL173" s="4" t="str">
        <f t="shared" si="131"/>
        <v/>
      </c>
      <c r="AM173" s="4"/>
      <c r="AN173" s="4"/>
      <c r="AO173" s="4"/>
      <c r="AP173" s="4"/>
      <c r="AQ173" s="4"/>
      <c r="AR173" s="20" t="str">
        <f t="shared" si="132"/>
        <v>-</v>
      </c>
      <c r="AS173" s="13" t="str">
        <f t="shared" si="148"/>
        <v>-</v>
      </c>
      <c r="AT173" s="13" t="str">
        <f t="shared" si="149"/>
        <v>-</v>
      </c>
      <c r="AU173" s="13" t="str">
        <f t="shared" si="133"/>
        <v>-</v>
      </c>
      <c r="AV173" s="16" t="str">
        <f t="shared" si="150"/>
        <v>-</v>
      </c>
      <c r="AW173" s="16" t="str">
        <f t="shared" si="134"/>
        <v>-</v>
      </c>
      <c r="AX173" s="16" t="str">
        <f t="shared" si="135"/>
        <v>-</v>
      </c>
      <c r="AY173" s="16" t="str">
        <f t="shared" si="151"/>
        <v>-</v>
      </c>
      <c r="AZ173" s="13" t="str">
        <f t="shared" si="152"/>
        <v>-</v>
      </c>
      <c r="BA173" s="10" t="str">
        <f t="shared" si="153"/>
        <v>-</v>
      </c>
      <c r="BB173" s="9" t="str">
        <f t="shared" si="154"/>
        <v>-</v>
      </c>
      <c r="BC173" s="13" t="str">
        <f t="shared" si="155"/>
        <v>-</v>
      </c>
      <c r="BD173" s="10" t="str">
        <f t="shared" si="156"/>
        <v>-</v>
      </c>
      <c r="BE173" s="13" t="str">
        <f t="shared" si="157"/>
        <v>-</v>
      </c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</row>
    <row r="174" spans="2:70" x14ac:dyDescent="0.3">
      <c r="B174" s="96" t="str">
        <f t="shared" si="136"/>
        <v/>
      </c>
      <c r="C174" s="96" t="str">
        <f t="shared" si="137"/>
        <v/>
      </c>
      <c r="D174" s="96" t="str">
        <f t="shared" si="138"/>
        <v/>
      </c>
      <c r="E174" s="3"/>
      <c r="F174" s="3"/>
      <c r="G174" s="3"/>
      <c r="H174" s="3"/>
      <c r="I174" s="20">
        <f>IFERROR(INDEX('Input - Walmart'!G$2:G$200,MATCH('Calculations - Walmart'!$D174,'Input - Walmart'!$B$2:$B$200,0)),"")</f>
        <v>0</v>
      </c>
      <c r="J174" s="20">
        <f>IFERROR(INDEX('Input - Walmart'!H$2:H$200,MATCH('Calculations - Walmart'!$D174,'Input - Walmart'!$B$2:$B$200,0)),"")</f>
        <v>0</v>
      </c>
      <c r="K174" s="21">
        <f>IFERROR(INDEX('Input - Walmart'!I$2:I$200,MATCH('Calculations - Walmart'!$D174,'Input - Walmart'!$B$2:$B$200,0)),"")</f>
        <v>0</v>
      </c>
      <c r="L174" s="21">
        <f>IFERROR(INDEX('Input - Walmart'!J$2:J$200,MATCH('Calculations - Walmart'!$D174,'Input - Walmart'!$B$2:$B$200,0)),"")</f>
        <v>0</v>
      </c>
      <c r="M174" s="20">
        <f>IFERROR(INDEX('Input - Walmart'!K$2:K$200,MATCH('Calculations - Walmart'!$D174,'Input - Walmart'!$B$2:$B$200,0)),"")</f>
        <v>0</v>
      </c>
      <c r="N174" s="20">
        <f>IFERROR(INDEX('Input - Walmart'!L$2:L$200,MATCH('Calculations - Walmart'!$D174,'Input - Walmart'!$B$2:$B$200,0)),"")</f>
        <v>0</v>
      </c>
      <c r="O174" s="21" t="str">
        <f t="shared" si="139"/>
        <v/>
      </c>
      <c r="P174" s="21" t="str">
        <f t="shared" si="123"/>
        <v/>
      </c>
      <c r="Q174" s="21">
        <f t="shared" si="140"/>
        <v>0</v>
      </c>
      <c r="R174" s="9">
        <f t="shared" si="121"/>
        <v>0</v>
      </c>
      <c r="S174" s="9">
        <f t="shared" si="122"/>
        <v>0</v>
      </c>
      <c r="T174" s="22" t="str">
        <f>IFERROR(INDEX(Walmart!$S$11:$S$192,MATCH('Calculations - Walmart'!$D174,Walmart!$N$11:$N$192,0)),"")</f>
        <v/>
      </c>
      <c r="U174" s="22" t="str">
        <f>IFERROR(INDEX(Walmart!$T$11:$T$192,MATCH('Calculations - Walmart'!$D174,Walmart!$N$11:$N$192,0)),"")</f>
        <v/>
      </c>
      <c r="V174" s="16" t="e">
        <f t="shared" si="124"/>
        <v>#VALUE!</v>
      </c>
      <c r="W174" s="16" t="e">
        <f t="shared" si="141"/>
        <v>#VALUE!</v>
      </c>
      <c r="X174" s="16" t="e">
        <f t="shared" si="142"/>
        <v>#VALUE!</v>
      </c>
      <c r="Y174" s="10" t="str">
        <f t="shared" si="125"/>
        <v>-</v>
      </c>
      <c r="Z174" s="10" t="str">
        <f t="shared" si="126"/>
        <v>-</v>
      </c>
      <c r="AA174" s="13" t="str">
        <f t="shared" si="143"/>
        <v>-</v>
      </c>
      <c r="AB174" s="9" t="str">
        <f t="shared" si="127"/>
        <v>-</v>
      </c>
      <c r="AC174" s="16" t="str">
        <f t="shared" si="144"/>
        <v>-</v>
      </c>
      <c r="AD174" s="16" t="str">
        <f t="shared" si="128"/>
        <v>-</v>
      </c>
      <c r="AE174" s="16" t="str">
        <f t="shared" si="129"/>
        <v>-</v>
      </c>
      <c r="AF174" s="16" t="str">
        <f t="shared" si="145"/>
        <v>-</v>
      </c>
      <c r="AG174" s="16"/>
      <c r="AH174" s="32" t="str">
        <f>IFERROR(INDEX(Walmart!$R$11:$R$192,MATCH('Calculations - Walmart'!D174,Walmart!$N$11:$N$192,0)),"")</f>
        <v/>
      </c>
      <c r="AI174" s="23" t="str">
        <f t="shared" si="146"/>
        <v/>
      </c>
      <c r="AJ174" s="23" t="str">
        <f t="shared" si="147"/>
        <v/>
      </c>
      <c r="AK174" s="9" t="str">
        <f t="shared" si="130"/>
        <v/>
      </c>
      <c r="AL174" s="4" t="str">
        <f t="shared" si="131"/>
        <v/>
      </c>
      <c r="AM174" s="4"/>
      <c r="AN174" s="4"/>
      <c r="AO174" s="4"/>
      <c r="AP174" s="4"/>
      <c r="AQ174" s="4"/>
      <c r="AR174" s="20" t="str">
        <f t="shared" si="132"/>
        <v>-</v>
      </c>
      <c r="AS174" s="13" t="str">
        <f t="shared" si="148"/>
        <v>-</v>
      </c>
      <c r="AT174" s="13" t="str">
        <f t="shared" si="149"/>
        <v>-</v>
      </c>
      <c r="AU174" s="13" t="str">
        <f t="shared" si="133"/>
        <v>-</v>
      </c>
      <c r="AV174" s="16" t="str">
        <f t="shared" si="150"/>
        <v>-</v>
      </c>
      <c r="AW174" s="16" t="str">
        <f t="shared" si="134"/>
        <v>-</v>
      </c>
      <c r="AX174" s="16" t="str">
        <f t="shared" si="135"/>
        <v>-</v>
      </c>
      <c r="AY174" s="16" t="str">
        <f t="shared" si="151"/>
        <v>-</v>
      </c>
      <c r="AZ174" s="13" t="str">
        <f t="shared" si="152"/>
        <v>-</v>
      </c>
      <c r="BA174" s="10" t="str">
        <f t="shared" si="153"/>
        <v>-</v>
      </c>
      <c r="BB174" s="9" t="str">
        <f t="shared" si="154"/>
        <v>-</v>
      </c>
      <c r="BC174" s="13" t="str">
        <f t="shared" si="155"/>
        <v>-</v>
      </c>
      <c r="BD174" s="10" t="str">
        <f t="shared" si="156"/>
        <v>-</v>
      </c>
      <c r="BE174" s="13" t="str">
        <f t="shared" si="157"/>
        <v>-</v>
      </c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</row>
    <row r="175" spans="2:70" x14ac:dyDescent="0.3">
      <c r="B175" s="96" t="str">
        <f t="shared" si="136"/>
        <v/>
      </c>
      <c r="C175" s="96" t="str">
        <f t="shared" si="137"/>
        <v/>
      </c>
      <c r="D175" s="96" t="str">
        <f t="shared" si="138"/>
        <v/>
      </c>
      <c r="E175" s="3"/>
      <c r="F175" s="3"/>
      <c r="G175" s="3"/>
      <c r="H175" s="3"/>
      <c r="I175" s="20">
        <f>IFERROR(INDEX('Input - Walmart'!G$2:G$200,MATCH('Calculations - Walmart'!$D175,'Input - Walmart'!$B$2:$B$200,0)),"")</f>
        <v>0</v>
      </c>
      <c r="J175" s="20">
        <f>IFERROR(INDEX('Input - Walmart'!H$2:H$200,MATCH('Calculations - Walmart'!$D175,'Input - Walmart'!$B$2:$B$200,0)),"")</f>
        <v>0</v>
      </c>
      <c r="K175" s="21">
        <f>IFERROR(INDEX('Input - Walmart'!I$2:I$200,MATCH('Calculations - Walmart'!$D175,'Input - Walmart'!$B$2:$B$200,0)),"")</f>
        <v>0</v>
      </c>
      <c r="L175" s="21">
        <f>IFERROR(INDEX('Input - Walmart'!J$2:J$200,MATCH('Calculations - Walmart'!$D175,'Input - Walmart'!$B$2:$B$200,0)),"")</f>
        <v>0</v>
      </c>
      <c r="M175" s="20">
        <f>IFERROR(INDEX('Input - Walmart'!K$2:K$200,MATCH('Calculations - Walmart'!$D175,'Input - Walmart'!$B$2:$B$200,0)),"")</f>
        <v>0</v>
      </c>
      <c r="N175" s="20">
        <f>IFERROR(INDEX('Input - Walmart'!L$2:L$200,MATCH('Calculations - Walmart'!$D175,'Input - Walmart'!$B$2:$B$200,0)),"")</f>
        <v>0</v>
      </c>
      <c r="O175" s="21" t="str">
        <f t="shared" si="139"/>
        <v/>
      </c>
      <c r="P175" s="21" t="str">
        <f t="shared" si="123"/>
        <v/>
      </c>
      <c r="Q175" s="21">
        <f t="shared" si="140"/>
        <v>0</v>
      </c>
      <c r="R175" s="9">
        <f t="shared" si="121"/>
        <v>0</v>
      </c>
      <c r="S175" s="9">
        <f t="shared" si="122"/>
        <v>0</v>
      </c>
      <c r="T175" s="22" t="str">
        <f>IFERROR(INDEX(Walmart!$S$11:$S$192,MATCH('Calculations - Walmart'!$D175,Walmart!$N$11:$N$192,0)),"")</f>
        <v/>
      </c>
      <c r="U175" s="22" t="str">
        <f>IFERROR(INDEX(Walmart!$T$11:$T$192,MATCH('Calculations - Walmart'!$D175,Walmart!$N$11:$N$192,0)),"")</f>
        <v/>
      </c>
      <c r="V175" s="16" t="e">
        <f t="shared" si="124"/>
        <v>#VALUE!</v>
      </c>
      <c r="W175" s="16" t="e">
        <f t="shared" si="141"/>
        <v>#VALUE!</v>
      </c>
      <c r="X175" s="16" t="e">
        <f t="shared" si="142"/>
        <v>#VALUE!</v>
      </c>
      <c r="Y175" s="10" t="str">
        <f t="shared" si="125"/>
        <v>-</v>
      </c>
      <c r="Z175" s="10" t="str">
        <f t="shared" si="126"/>
        <v>-</v>
      </c>
      <c r="AA175" s="13" t="str">
        <f t="shared" si="143"/>
        <v>-</v>
      </c>
      <c r="AB175" s="9" t="str">
        <f t="shared" si="127"/>
        <v>-</v>
      </c>
      <c r="AC175" s="16" t="str">
        <f t="shared" si="144"/>
        <v>-</v>
      </c>
      <c r="AD175" s="16" t="str">
        <f t="shared" si="128"/>
        <v>-</v>
      </c>
      <c r="AE175" s="16" t="str">
        <f t="shared" si="129"/>
        <v>-</v>
      </c>
      <c r="AF175" s="16" t="str">
        <f t="shared" si="145"/>
        <v>-</v>
      </c>
      <c r="AG175" s="16"/>
      <c r="AH175" s="32" t="str">
        <f>IFERROR(INDEX(Walmart!$R$11:$R$192,MATCH('Calculations - Walmart'!D175,Walmart!$N$11:$N$192,0)),"")</f>
        <v/>
      </c>
      <c r="AI175" s="23" t="str">
        <f t="shared" si="146"/>
        <v/>
      </c>
      <c r="AJ175" s="23" t="str">
        <f t="shared" si="147"/>
        <v/>
      </c>
      <c r="AK175" s="9" t="str">
        <f t="shared" si="130"/>
        <v/>
      </c>
      <c r="AL175" s="4" t="str">
        <f t="shared" si="131"/>
        <v/>
      </c>
      <c r="AM175" s="4"/>
      <c r="AN175" s="4"/>
      <c r="AO175" s="4"/>
      <c r="AP175" s="4"/>
      <c r="AQ175" s="4"/>
      <c r="AR175" s="20" t="str">
        <f t="shared" si="132"/>
        <v>-</v>
      </c>
      <c r="AS175" s="13" t="str">
        <f t="shared" si="148"/>
        <v>-</v>
      </c>
      <c r="AT175" s="13" t="str">
        <f t="shared" si="149"/>
        <v>-</v>
      </c>
      <c r="AU175" s="13" t="str">
        <f t="shared" si="133"/>
        <v>-</v>
      </c>
      <c r="AV175" s="16" t="str">
        <f t="shared" si="150"/>
        <v>-</v>
      </c>
      <c r="AW175" s="16" t="str">
        <f t="shared" si="134"/>
        <v>-</v>
      </c>
      <c r="AX175" s="16" t="str">
        <f t="shared" si="135"/>
        <v>-</v>
      </c>
      <c r="AY175" s="16" t="str">
        <f t="shared" si="151"/>
        <v>-</v>
      </c>
      <c r="AZ175" s="13" t="str">
        <f t="shared" si="152"/>
        <v>-</v>
      </c>
      <c r="BA175" s="10" t="str">
        <f t="shared" si="153"/>
        <v>-</v>
      </c>
      <c r="BB175" s="9" t="str">
        <f t="shared" si="154"/>
        <v>-</v>
      </c>
      <c r="BC175" s="13" t="str">
        <f t="shared" si="155"/>
        <v>-</v>
      </c>
      <c r="BD175" s="10" t="str">
        <f t="shared" si="156"/>
        <v>-</v>
      </c>
      <c r="BE175" s="13" t="str">
        <f t="shared" si="157"/>
        <v>-</v>
      </c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</row>
    <row r="176" spans="2:70" x14ac:dyDescent="0.3">
      <c r="B176" s="96" t="str">
        <f t="shared" si="136"/>
        <v/>
      </c>
      <c r="C176" s="96" t="str">
        <f t="shared" si="137"/>
        <v/>
      </c>
      <c r="D176" s="96" t="str">
        <f t="shared" si="138"/>
        <v/>
      </c>
      <c r="E176" s="3"/>
      <c r="F176" s="3"/>
      <c r="G176" s="3"/>
      <c r="H176" s="3"/>
      <c r="I176" s="20">
        <f>IFERROR(INDEX('Input - Walmart'!G$2:G$200,MATCH('Calculations - Walmart'!$D176,'Input - Walmart'!$B$2:$B$200,0)),"")</f>
        <v>0</v>
      </c>
      <c r="J176" s="20">
        <f>IFERROR(INDEX('Input - Walmart'!H$2:H$200,MATCH('Calculations - Walmart'!$D176,'Input - Walmart'!$B$2:$B$200,0)),"")</f>
        <v>0</v>
      </c>
      <c r="K176" s="21">
        <f>IFERROR(INDEX('Input - Walmart'!I$2:I$200,MATCH('Calculations - Walmart'!$D176,'Input - Walmart'!$B$2:$B$200,0)),"")</f>
        <v>0</v>
      </c>
      <c r="L176" s="21">
        <f>IFERROR(INDEX('Input - Walmart'!J$2:J$200,MATCH('Calculations - Walmart'!$D176,'Input - Walmart'!$B$2:$B$200,0)),"")</f>
        <v>0</v>
      </c>
      <c r="M176" s="20">
        <f>IFERROR(INDEX('Input - Walmart'!K$2:K$200,MATCH('Calculations - Walmart'!$D176,'Input - Walmart'!$B$2:$B$200,0)),"")</f>
        <v>0</v>
      </c>
      <c r="N176" s="20">
        <f>IFERROR(INDEX('Input - Walmart'!L$2:L$200,MATCH('Calculations - Walmart'!$D176,'Input - Walmart'!$B$2:$B$200,0)),"")</f>
        <v>0</v>
      </c>
      <c r="O176" s="21" t="str">
        <f t="shared" si="139"/>
        <v/>
      </c>
      <c r="P176" s="21" t="str">
        <f t="shared" si="123"/>
        <v/>
      </c>
      <c r="Q176" s="21">
        <f t="shared" si="140"/>
        <v>0</v>
      </c>
      <c r="R176" s="9">
        <f t="shared" si="121"/>
        <v>0</v>
      </c>
      <c r="S176" s="9">
        <f t="shared" si="122"/>
        <v>0</v>
      </c>
      <c r="T176" s="22" t="str">
        <f>IFERROR(INDEX(Walmart!$S$11:$S$192,MATCH('Calculations - Walmart'!$D176,Walmart!$N$11:$N$192,0)),"")</f>
        <v/>
      </c>
      <c r="U176" s="22" t="str">
        <f>IFERROR(INDEX(Walmart!$T$11:$T$192,MATCH('Calculations - Walmart'!$D176,Walmart!$N$11:$N$192,0)),"")</f>
        <v/>
      </c>
      <c r="V176" s="16" t="e">
        <f t="shared" si="124"/>
        <v>#VALUE!</v>
      </c>
      <c r="W176" s="16" t="e">
        <f t="shared" si="141"/>
        <v>#VALUE!</v>
      </c>
      <c r="X176" s="16" t="e">
        <f t="shared" si="142"/>
        <v>#VALUE!</v>
      </c>
      <c r="Y176" s="10" t="str">
        <f t="shared" si="125"/>
        <v>-</v>
      </c>
      <c r="Z176" s="10" t="str">
        <f t="shared" si="126"/>
        <v>-</v>
      </c>
      <c r="AA176" s="13" t="str">
        <f t="shared" si="143"/>
        <v>-</v>
      </c>
      <c r="AB176" s="9" t="str">
        <f t="shared" si="127"/>
        <v>-</v>
      </c>
      <c r="AC176" s="16" t="str">
        <f t="shared" si="144"/>
        <v>-</v>
      </c>
      <c r="AD176" s="16" t="str">
        <f t="shared" si="128"/>
        <v>-</v>
      </c>
      <c r="AE176" s="16" t="str">
        <f t="shared" si="129"/>
        <v>-</v>
      </c>
      <c r="AF176" s="16" t="str">
        <f t="shared" si="145"/>
        <v>-</v>
      </c>
      <c r="AG176" s="16"/>
      <c r="AH176" s="32" t="str">
        <f>IFERROR(INDEX(Walmart!$R$11:$R$192,MATCH('Calculations - Walmart'!D176,Walmart!$N$11:$N$192,0)),"")</f>
        <v/>
      </c>
      <c r="AI176" s="23" t="str">
        <f t="shared" si="146"/>
        <v/>
      </c>
      <c r="AJ176" s="23" t="str">
        <f t="shared" si="147"/>
        <v/>
      </c>
      <c r="AK176" s="9" t="str">
        <f t="shared" si="130"/>
        <v/>
      </c>
      <c r="AL176" s="4" t="str">
        <f t="shared" si="131"/>
        <v/>
      </c>
      <c r="AM176" s="4"/>
      <c r="AN176" s="4"/>
      <c r="AO176" s="4"/>
      <c r="AP176" s="4"/>
      <c r="AQ176" s="4"/>
      <c r="AR176" s="20" t="str">
        <f t="shared" si="132"/>
        <v>-</v>
      </c>
      <c r="AS176" s="13" t="str">
        <f t="shared" si="148"/>
        <v>-</v>
      </c>
      <c r="AT176" s="13" t="str">
        <f t="shared" si="149"/>
        <v>-</v>
      </c>
      <c r="AU176" s="13" t="str">
        <f t="shared" si="133"/>
        <v>-</v>
      </c>
      <c r="AV176" s="16" t="str">
        <f t="shared" si="150"/>
        <v>-</v>
      </c>
      <c r="AW176" s="16" t="str">
        <f t="shared" si="134"/>
        <v>-</v>
      </c>
      <c r="AX176" s="16" t="str">
        <f t="shared" si="135"/>
        <v>-</v>
      </c>
      <c r="AY176" s="16" t="str">
        <f t="shared" si="151"/>
        <v>-</v>
      </c>
      <c r="AZ176" s="13" t="str">
        <f t="shared" si="152"/>
        <v>-</v>
      </c>
      <c r="BA176" s="10" t="str">
        <f t="shared" si="153"/>
        <v>-</v>
      </c>
      <c r="BB176" s="9" t="str">
        <f t="shared" si="154"/>
        <v>-</v>
      </c>
      <c r="BC176" s="13" t="str">
        <f t="shared" si="155"/>
        <v>-</v>
      </c>
      <c r="BD176" s="10" t="str">
        <f t="shared" si="156"/>
        <v>-</v>
      </c>
      <c r="BE176" s="13" t="str">
        <f t="shared" si="157"/>
        <v>-</v>
      </c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</row>
    <row r="177" spans="2:70" x14ac:dyDescent="0.3">
      <c r="B177" s="96" t="str">
        <f t="shared" si="136"/>
        <v/>
      </c>
      <c r="C177" s="96" t="str">
        <f t="shared" si="137"/>
        <v/>
      </c>
      <c r="D177" s="96" t="str">
        <f t="shared" si="138"/>
        <v/>
      </c>
      <c r="E177" s="3"/>
      <c r="F177" s="3"/>
      <c r="G177" s="3"/>
      <c r="H177" s="3"/>
      <c r="I177" s="20">
        <f>IFERROR(INDEX('Input - Walmart'!G$2:G$200,MATCH('Calculations - Walmart'!$D177,'Input - Walmart'!$B$2:$B$200,0)),"")</f>
        <v>0</v>
      </c>
      <c r="J177" s="20">
        <f>IFERROR(INDEX('Input - Walmart'!H$2:H$200,MATCH('Calculations - Walmart'!$D177,'Input - Walmart'!$B$2:$B$200,0)),"")</f>
        <v>0</v>
      </c>
      <c r="K177" s="21">
        <f>IFERROR(INDEX('Input - Walmart'!I$2:I$200,MATCH('Calculations - Walmart'!$D177,'Input - Walmart'!$B$2:$B$200,0)),"")</f>
        <v>0</v>
      </c>
      <c r="L177" s="21">
        <f>IFERROR(INDEX('Input - Walmart'!J$2:J$200,MATCH('Calculations - Walmart'!$D177,'Input - Walmart'!$B$2:$B$200,0)),"")</f>
        <v>0</v>
      </c>
      <c r="M177" s="20">
        <f>IFERROR(INDEX('Input - Walmart'!K$2:K$200,MATCH('Calculations - Walmart'!$D177,'Input - Walmart'!$B$2:$B$200,0)),"")</f>
        <v>0</v>
      </c>
      <c r="N177" s="20">
        <f>IFERROR(INDEX('Input - Walmart'!L$2:L$200,MATCH('Calculations - Walmart'!$D177,'Input - Walmart'!$B$2:$B$200,0)),"")</f>
        <v>0</v>
      </c>
      <c r="O177" s="21" t="str">
        <f t="shared" si="139"/>
        <v/>
      </c>
      <c r="P177" s="21" t="str">
        <f t="shared" si="123"/>
        <v/>
      </c>
      <c r="Q177" s="21">
        <f t="shared" si="140"/>
        <v>0</v>
      </c>
      <c r="R177" s="9">
        <f t="shared" si="121"/>
        <v>0</v>
      </c>
      <c r="S177" s="9">
        <f t="shared" si="122"/>
        <v>0</v>
      </c>
      <c r="T177" s="22" t="str">
        <f>IFERROR(INDEX(Walmart!$S$11:$S$192,MATCH('Calculations - Walmart'!$D177,Walmart!$N$11:$N$192,0)),"")</f>
        <v/>
      </c>
      <c r="U177" s="22" t="str">
        <f>IFERROR(INDEX(Walmart!$T$11:$T$192,MATCH('Calculations - Walmart'!$D177,Walmart!$N$11:$N$192,0)),"")</f>
        <v/>
      </c>
      <c r="V177" s="16" t="e">
        <f t="shared" si="124"/>
        <v>#VALUE!</v>
      </c>
      <c r="W177" s="16" t="e">
        <f t="shared" si="141"/>
        <v>#VALUE!</v>
      </c>
      <c r="X177" s="16" t="e">
        <f t="shared" si="142"/>
        <v>#VALUE!</v>
      </c>
      <c r="Y177" s="10" t="str">
        <f t="shared" si="125"/>
        <v>-</v>
      </c>
      <c r="Z177" s="10" t="str">
        <f t="shared" si="126"/>
        <v>-</v>
      </c>
      <c r="AA177" s="13" t="str">
        <f t="shared" si="143"/>
        <v>-</v>
      </c>
      <c r="AB177" s="9" t="str">
        <f t="shared" si="127"/>
        <v>-</v>
      </c>
      <c r="AC177" s="16" t="str">
        <f t="shared" si="144"/>
        <v>-</v>
      </c>
      <c r="AD177" s="16" t="str">
        <f t="shared" si="128"/>
        <v>-</v>
      </c>
      <c r="AE177" s="16" t="str">
        <f t="shared" si="129"/>
        <v>-</v>
      </c>
      <c r="AF177" s="16" t="str">
        <f t="shared" si="145"/>
        <v>-</v>
      </c>
      <c r="AG177" s="16"/>
      <c r="AH177" s="32" t="str">
        <f>IFERROR(INDEX(Walmart!$R$11:$R$192,MATCH('Calculations - Walmart'!D177,Walmart!$N$11:$N$192,0)),"")</f>
        <v/>
      </c>
      <c r="AI177" s="23" t="str">
        <f t="shared" si="146"/>
        <v/>
      </c>
      <c r="AJ177" s="23" t="str">
        <f t="shared" si="147"/>
        <v/>
      </c>
      <c r="AK177" s="9" t="str">
        <f t="shared" si="130"/>
        <v/>
      </c>
      <c r="AL177" s="4" t="str">
        <f t="shared" si="131"/>
        <v/>
      </c>
      <c r="AM177" s="4"/>
      <c r="AN177" s="4"/>
      <c r="AO177" s="4"/>
      <c r="AP177" s="4"/>
      <c r="AQ177" s="4"/>
      <c r="AR177" s="20" t="str">
        <f t="shared" si="132"/>
        <v>-</v>
      </c>
      <c r="AS177" s="13" t="str">
        <f t="shared" si="148"/>
        <v>-</v>
      </c>
      <c r="AT177" s="13" t="str">
        <f t="shared" si="149"/>
        <v>-</v>
      </c>
      <c r="AU177" s="13" t="str">
        <f t="shared" si="133"/>
        <v>-</v>
      </c>
      <c r="AV177" s="16" t="str">
        <f t="shared" si="150"/>
        <v>-</v>
      </c>
      <c r="AW177" s="16" t="str">
        <f t="shared" si="134"/>
        <v>-</v>
      </c>
      <c r="AX177" s="16" t="str">
        <f t="shared" si="135"/>
        <v>-</v>
      </c>
      <c r="AY177" s="16" t="str">
        <f t="shared" si="151"/>
        <v>-</v>
      </c>
      <c r="AZ177" s="13" t="str">
        <f t="shared" si="152"/>
        <v>-</v>
      </c>
      <c r="BA177" s="10" t="str">
        <f t="shared" si="153"/>
        <v>-</v>
      </c>
      <c r="BB177" s="9" t="str">
        <f t="shared" si="154"/>
        <v>-</v>
      </c>
      <c r="BC177" s="13" t="str">
        <f t="shared" si="155"/>
        <v>-</v>
      </c>
      <c r="BD177" s="10" t="str">
        <f t="shared" si="156"/>
        <v>-</v>
      </c>
      <c r="BE177" s="13" t="str">
        <f t="shared" si="157"/>
        <v>-</v>
      </c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</row>
    <row r="178" spans="2:70" x14ac:dyDescent="0.3">
      <c r="B178" s="96" t="str">
        <f t="shared" si="136"/>
        <v/>
      </c>
      <c r="C178" s="96" t="str">
        <f t="shared" si="137"/>
        <v/>
      </c>
      <c r="D178" s="96" t="str">
        <f t="shared" si="138"/>
        <v/>
      </c>
      <c r="E178" s="3"/>
      <c r="F178" s="3"/>
      <c r="G178" s="3"/>
      <c r="H178" s="3"/>
      <c r="I178" s="20">
        <f>IFERROR(INDEX('Input - Walmart'!G$2:G$200,MATCH('Calculations - Walmart'!$D178,'Input - Walmart'!$B$2:$B$200,0)),"")</f>
        <v>0</v>
      </c>
      <c r="J178" s="20">
        <f>IFERROR(INDEX('Input - Walmart'!H$2:H$200,MATCH('Calculations - Walmart'!$D178,'Input - Walmart'!$B$2:$B$200,0)),"")</f>
        <v>0</v>
      </c>
      <c r="K178" s="21">
        <f>IFERROR(INDEX('Input - Walmart'!I$2:I$200,MATCH('Calculations - Walmart'!$D178,'Input - Walmart'!$B$2:$B$200,0)),"")</f>
        <v>0</v>
      </c>
      <c r="L178" s="21">
        <f>IFERROR(INDEX('Input - Walmart'!J$2:J$200,MATCH('Calculations - Walmart'!$D178,'Input - Walmart'!$B$2:$B$200,0)),"")</f>
        <v>0</v>
      </c>
      <c r="M178" s="20">
        <f>IFERROR(INDEX('Input - Walmart'!K$2:K$200,MATCH('Calculations - Walmart'!$D178,'Input - Walmart'!$B$2:$B$200,0)),"")</f>
        <v>0</v>
      </c>
      <c r="N178" s="20">
        <f>IFERROR(INDEX('Input - Walmart'!L$2:L$200,MATCH('Calculations - Walmart'!$D178,'Input - Walmart'!$B$2:$B$200,0)),"")</f>
        <v>0</v>
      </c>
      <c r="O178" s="21" t="str">
        <f t="shared" si="139"/>
        <v/>
      </c>
      <c r="P178" s="21" t="str">
        <f t="shared" si="123"/>
        <v/>
      </c>
      <c r="Q178" s="21">
        <f t="shared" si="140"/>
        <v>0</v>
      </c>
      <c r="R178" s="9">
        <f t="shared" si="121"/>
        <v>0</v>
      </c>
      <c r="S178" s="9">
        <f t="shared" si="122"/>
        <v>0</v>
      </c>
      <c r="T178" s="22" t="str">
        <f>IFERROR(INDEX(Walmart!$S$11:$S$192,MATCH('Calculations - Walmart'!$D178,Walmart!$N$11:$N$192,0)),"")</f>
        <v/>
      </c>
      <c r="U178" s="22" t="str">
        <f>IFERROR(INDEX(Walmart!$T$11:$T$192,MATCH('Calculations - Walmart'!$D178,Walmart!$N$11:$N$192,0)),"")</f>
        <v/>
      </c>
      <c r="V178" s="16" t="e">
        <f t="shared" si="124"/>
        <v>#VALUE!</v>
      </c>
      <c r="W178" s="16" t="e">
        <f t="shared" si="141"/>
        <v>#VALUE!</v>
      </c>
      <c r="X178" s="16" t="e">
        <f t="shared" si="142"/>
        <v>#VALUE!</v>
      </c>
      <c r="Y178" s="10" t="str">
        <f t="shared" si="125"/>
        <v>-</v>
      </c>
      <c r="Z178" s="10" t="str">
        <f t="shared" si="126"/>
        <v>-</v>
      </c>
      <c r="AA178" s="13" t="str">
        <f t="shared" si="143"/>
        <v>-</v>
      </c>
      <c r="AB178" s="9" t="str">
        <f t="shared" si="127"/>
        <v>-</v>
      </c>
      <c r="AC178" s="16" t="str">
        <f t="shared" si="144"/>
        <v>-</v>
      </c>
      <c r="AD178" s="16" t="str">
        <f t="shared" si="128"/>
        <v>-</v>
      </c>
      <c r="AE178" s="16" t="str">
        <f t="shared" si="129"/>
        <v>-</v>
      </c>
      <c r="AF178" s="16" t="str">
        <f t="shared" si="145"/>
        <v>-</v>
      </c>
      <c r="AG178" s="16"/>
      <c r="AH178" s="32" t="str">
        <f>IFERROR(INDEX(Walmart!$R$11:$R$192,MATCH('Calculations - Walmart'!D178,Walmart!$N$11:$N$192,0)),"")</f>
        <v/>
      </c>
      <c r="AI178" s="23" t="str">
        <f t="shared" si="146"/>
        <v/>
      </c>
      <c r="AJ178" s="23" t="str">
        <f t="shared" si="147"/>
        <v/>
      </c>
      <c r="AK178" s="9" t="str">
        <f t="shared" si="130"/>
        <v/>
      </c>
      <c r="AL178" s="4" t="str">
        <f t="shared" si="131"/>
        <v/>
      </c>
      <c r="AM178" s="4"/>
      <c r="AN178" s="4"/>
      <c r="AO178" s="4"/>
      <c r="AP178" s="4"/>
      <c r="AQ178" s="4"/>
      <c r="AR178" s="20" t="str">
        <f t="shared" si="132"/>
        <v>-</v>
      </c>
      <c r="AS178" s="13" t="str">
        <f t="shared" si="148"/>
        <v>-</v>
      </c>
      <c r="AT178" s="13" t="str">
        <f t="shared" si="149"/>
        <v>-</v>
      </c>
      <c r="AU178" s="13" t="str">
        <f t="shared" si="133"/>
        <v>-</v>
      </c>
      <c r="AV178" s="16" t="str">
        <f t="shared" si="150"/>
        <v>-</v>
      </c>
      <c r="AW178" s="16" t="str">
        <f t="shared" si="134"/>
        <v>-</v>
      </c>
      <c r="AX178" s="16" t="str">
        <f t="shared" si="135"/>
        <v>-</v>
      </c>
      <c r="AY178" s="16" t="str">
        <f t="shared" si="151"/>
        <v>-</v>
      </c>
      <c r="AZ178" s="13" t="str">
        <f t="shared" si="152"/>
        <v>-</v>
      </c>
      <c r="BA178" s="10" t="str">
        <f t="shared" si="153"/>
        <v>-</v>
      </c>
      <c r="BB178" s="9" t="str">
        <f t="shared" si="154"/>
        <v>-</v>
      </c>
      <c r="BC178" s="13" t="str">
        <f t="shared" si="155"/>
        <v>-</v>
      </c>
      <c r="BD178" s="10" t="str">
        <f t="shared" si="156"/>
        <v>-</v>
      </c>
      <c r="BE178" s="13" t="str">
        <f t="shared" si="157"/>
        <v>-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</row>
    <row r="179" spans="2:70" x14ac:dyDescent="0.3">
      <c r="B179" s="96" t="str">
        <f t="shared" si="136"/>
        <v/>
      </c>
      <c r="C179" s="96" t="str">
        <f t="shared" si="137"/>
        <v/>
      </c>
      <c r="D179" s="96" t="str">
        <f t="shared" si="138"/>
        <v/>
      </c>
      <c r="E179" s="3"/>
      <c r="F179" s="3"/>
      <c r="G179" s="3"/>
      <c r="H179" s="3"/>
      <c r="I179" s="20">
        <f>IFERROR(INDEX('Input - Walmart'!G$2:G$200,MATCH('Calculations - Walmart'!$D179,'Input - Walmart'!$B$2:$B$200,0)),"")</f>
        <v>0</v>
      </c>
      <c r="J179" s="20">
        <f>IFERROR(INDEX('Input - Walmart'!H$2:H$200,MATCH('Calculations - Walmart'!$D179,'Input - Walmart'!$B$2:$B$200,0)),"")</f>
        <v>0</v>
      </c>
      <c r="K179" s="21">
        <f>IFERROR(INDEX('Input - Walmart'!I$2:I$200,MATCH('Calculations - Walmart'!$D179,'Input - Walmart'!$B$2:$B$200,0)),"")</f>
        <v>0</v>
      </c>
      <c r="L179" s="21">
        <f>IFERROR(INDEX('Input - Walmart'!J$2:J$200,MATCH('Calculations - Walmart'!$D179,'Input - Walmart'!$B$2:$B$200,0)),"")</f>
        <v>0</v>
      </c>
      <c r="M179" s="20">
        <f>IFERROR(INDEX('Input - Walmart'!K$2:K$200,MATCH('Calculations - Walmart'!$D179,'Input - Walmart'!$B$2:$B$200,0)),"")</f>
        <v>0</v>
      </c>
      <c r="N179" s="20">
        <f>IFERROR(INDEX('Input - Walmart'!L$2:L$200,MATCH('Calculations - Walmart'!$D179,'Input - Walmart'!$B$2:$B$200,0)),"")</f>
        <v>0</v>
      </c>
      <c r="O179" s="21" t="str">
        <f t="shared" si="139"/>
        <v/>
      </c>
      <c r="P179" s="21" t="str">
        <f t="shared" si="123"/>
        <v/>
      </c>
      <c r="Q179" s="21">
        <f t="shared" si="140"/>
        <v>0</v>
      </c>
      <c r="R179" s="9">
        <f t="shared" si="121"/>
        <v>0</v>
      </c>
      <c r="S179" s="9">
        <f t="shared" si="122"/>
        <v>0</v>
      </c>
      <c r="T179" s="22" t="str">
        <f>IFERROR(INDEX(Walmart!$S$11:$S$192,MATCH('Calculations - Walmart'!$D179,Walmart!$N$11:$N$192,0)),"")</f>
        <v/>
      </c>
      <c r="U179" s="22" t="str">
        <f>IFERROR(INDEX(Walmart!$T$11:$T$192,MATCH('Calculations - Walmart'!$D179,Walmart!$N$11:$N$192,0)),"")</f>
        <v/>
      </c>
      <c r="V179" s="16" t="e">
        <f t="shared" si="124"/>
        <v>#VALUE!</v>
      </c>
      <c r="W179" s="16" t="e">
        <f t="shared" si="141"/>
        <v>#VALUE!</v>
      </c>
      <c r="X179" s="16" t="e">
        <f t="shared" si="142"/>
        <v>#VALUE!</v>
      </c>
      <c r="Y179" s="10" t="str">
        <f t="shared" si="125"/>
        <v>-</v>
      </c>
      <c r="Z179" s="10" t="str">
        <f t="shared" si="126"/>
        <v>-</v>
      </c>
      <c r="AA179" s="13" t="str">
        <f t="shared" si="143"/>
        <v>-</v>
      </c>
      <c r="AB179" s="9" t="str">
        <f t="shared" si="127"/>
        <v>-</v>
      </c>
      <c r="AC179" s="16" t="str">
        <f t="shared" si="144"/>
        <v>-</v>
      </c>
      <c r="AD179" s="16" t="str">
        <f t="shared" si="128"/>
        <v>-</v>
      </c>
      <c r="AE179" s="16" t="str">
        <f t="shared" si="129"/>
        <v>-</v>
      </c>
      <c r="AF179" s="16" t="str">
        <f t="shared" si="145"/>
        <v>-</v>
      </c>
      <c r="AG179" s="16"/>
      <c r="AH179" s="32" t="str">
        <f>IFERROR(INDEX(Walmart!$R$11:$R$192,MATCH('Calculations - Walmart'!D179,Walmart!$N$11:$N$192,0)),"")</f>
        <v/>
      </c>
      <c r="AI179" s="23" t="str">
        <f t="shared" si="146"/>
        <v/>
      </c>
      <c r="AJ179" s="23" t="str">
        <f t="shared" si="147"/>
        <v/>
      </c>
      <c r="AK179" s="9" t="str">
        <f t="shared" si="130"/>
        <v/>
      </c>
      <c r="AL179" s="4" t="str">
        <f t="shared" si="131"/>
        <v/>
      </c>
      <c r="AM179" s="4"/>
      <c r="AN179" s="4"/>
      <c r="AO179" s="4"/>
      <c r="AP179" s="4"/>
      <c r="AQ179" s="4"/>
      <c r="AR179" s="20" t="str">
        <f t="shared" si="132"/>
        <v>-</v>
      </c>
      <c r="AS179" s="13" t="str">
        <f t="shared" si="148"/>
        <v>-</v>
      </c>
      <c r="AT179" s="13" t="str">
        <f t="shared" si="149"/>
        <v>-</v>
      </c>
      <c r="AU179" s="13" t="str">
        <f t="shared" si="133"/>
        <v>-</v>
      </c>
      <c r="AV179" s="16" t="str">
        <f t="shared" si="150"/>
        <v>-</v>
      </c>
      <c r="AW179" s="16" t="str">
        <f t="shared" si="134"/>
        <v>-</v>
      </c>
      <c r="AX179" s="16" t="str">
        <f t="shared" si="135"/>
        <v>-</v>
      </c>
      <c r="AY179" s="16" t="str">
        <f t="shared" si="151"/>
        <v>-</v>
      </c>
      <c r="AZ179" s="13" t="str">
        <f t="shared" si="152"/>
        <v>-</v>
      </c>
      <c r="BA179" s="10" t="str">
        <f t="shared" si="153"/>
        <v>-</v>
      </c>
      <c r="BB179" s="9" t="str">
        <f t="shared" si="154"/>
        <v>-</v>
      </c>
      <c r="BC179" s="13" t="str">
        <f t="shared" si="155"/>
        <v>-</v>
      </c>
      <c r="BD179" s="10" t="str">
        <f t="shared" si="156"/>
        <v>-</v>
      </c>
      <c r="BE179" s="13" t="str">
        <f t="shared" si="157"/>
        <v>-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</row>
    <row r="180" spans="2:70" x14ac:dyDescent="0.3">
      <c r="B180" s="96" t="str">
        <f t="shared" si="136"/>
        <v/>
      </c>
      <c r="C180" s="96" t="str">
        <f t="shared" si="137"/>
        <v/>
      </c>
      <c r="D180" s="96" t="str">
        <f t="shared" si="138"/>
        <v/>
      </c>
      <c r="E180" s="3"/>
      <c r="F180" s="3"/>
      <c r="G180" s="3"/>
      <c r="H180" s="3"/>
      <c r="I180" s="20">
        <f>IFERROR(INDEX('Input - Walmart'!G$2:G$200,MATCH('Calculations - Walmart'!$D180,'Input - Walmart'!$B$2:$B$200,0)),"")</f>
        <v>0</v>
      </c>
      <c r="J180" s="20">
        <f>IFERROR(INDEX('Input - Walmart'!H$2:H$200,MATCH('Calculations - Walmart'!$D180,'Input - Walmart'!$B$2:$B$200,0)),"")</f>
        <v>0</v>
      </c>
      <c r="K180" s="21">
        <f>IFERROR(INDEX('Input - Walmart'!I$2:I$200,MATCH('Calculations - Walmart'!$D180,'Input - Walmart'!$B$2:$B$200,0)),"")</f>
        <v>0</v>
      </c>
      <c r="L180" s="21">
        <f>IFERROR(INDEX('Input - Walmart'!J$2:J$200,MATCH('Calculations - Walmart'!$D180,'Input - Walmart'!$B$2:$B$200,0)),"")</f>
        <v>0</v>
      </c>
      <c r="M180" s="20">
        <f>IFERROR(INDEX('Input - Walmart'!K$2:K$200,MATCH('Calculations - Walmart'!$D180,'Input - Walmart'!$B$2:$B$200,0)),"")</f>
        <v>0</v>
      </c>
      <c r="N180" s="20">
        <f>IFERROR(INDEX('Input - Walmart'!L$2:L$200,MATCH('Calculations - Walmart'!$D180,'Input - Walmart'!$B$2:$B$200,0)),"")</f>
        <v>0</v>
      </c>
      <c r="O180" s="21" t="str">
        <f t="shared" si="139"/>
        <v/>
      </c>
      <c r="P180" s="21" t="str">
        <f t="shared" si="123"/>
        <v/>
      </c>
      <c r="Q180" s="21">
        <f t="shared" si="140"/>
        <v>0</v>
      </c>
      <c r="R180" s="9">
        <f t="shared" si="121"/>
        <v>0</v>
      </c>
      <c r="S180" s="9">
        <f t="shared" si="122"/>
        <v>0</v>
      </c>
      <c r="T180" s="22" t="str">
        <f>IFERROR(INDEX(Walmart!$S$11:$S$192,MATCH('Calculations - Walmart'!$D180,Walmart!$N$11:$N$192,0)),"")</f>
        <v/>
      </c>
      <c r="U180" s="22" t="str">
        <f>IFERROR(INDEX(Walmart!$T$11:$T$192,MATCH('Calculations - Walmart'!$D180,Walmart!$N$11:$N$192,0)),"")</f>
        <v/>
      </c>
      <c r="V180" s="16" t="e">
        <f t="shared" si="124"/>
        <v>#VALUE!</v>
      </c>
      <c r="W180" s="16" t="e">
        <f t="shared" si="141"/>
        <v>#VALUE!</v>
      </c>
      <c r="X180" s="16" t="e">
        <f t="shared" si="142"/>
        <v>#VALUE!</v>
      </c>
      <c r="Y180" s="10" t="str">
        <f t="shared" si="125"/>
        <v>-</v>
      </c>
      <c r="Z180" s="10" t="str">
        <f t="shared" si="126"/>
        <v>-</v>
      </c>
      <c r="AA180" s="13" t="str">
        <f t="shared" si="143"/>
        <v>-</v>
      </c>
      <c r="AB180" s="9" t="str">
        <f t="shared" si="127"/>
        <v>-</v>
      </c>
      <c r="AC180" s="16" t="str">
        <f t="shared" si="144"/>
        <v>-</v>
      </c>
      <c r="AD180" s="16" t="str">
        <f t="shared" si="128"/>
        <v>-</v>
      </c>
      <c r="AE180" s="16" t="str">
        <f t="shared" si="129"/>
        <v>-</v>
      </c>
      <c r="AF180" s="16" t="str">
        <f t="shared" si="145"/>
        <v>-</v>
      </c>
      <c r="AG180" s="16"/>
      <c r="AH180" s="32" t="str">
        <f>IFERROR(INDEX(Walmart!$R$11:$R$192,MATCH('Calculations - Walmart'!D180,Walmart!$N$11:$N$192,0)),"")</f>
        <v/>
      </c>
      <c r="AI180" s="23" t="str">
        <f t="shared" si="146"/>
        <v/>
      </c>
      <c r="AJ180" s="23" t="str">
        <f t="shared" si="147"/>
        <v/>
      </c>
      <c r="AK180" s="9" t="str">
        <f t="shared" si="130"/>
        <v/>
      </c>
      <c r="AL180" s="4" t="str">
        <f t="shared" si="131"/>
        <v/>
      </c>
      <c r="AM180" s="4"/>
      <c r="AN180" s="4"/>
      <c r="AO180" s="4"/>
      <c r="AP180" s="4"/>
      <c r="AQ180" s="4"/>
      <c r="AR180" s="20" t="str">
        <f t="shared" si="132"/>
        <v>-</v>
      </c>
      <c r="AS180" s="13" t="str">
        <f t="shared" si="148"/>
        <v>-</v>
      </c>
      <c r="AT180" s="13" t="str">
        <f t="shared" si="149"/>
        <v>-</v>
      </c>
      <c r="AU180" s="13" t="str">
        <f t="shared" si="133"/>
        <v>-</v>
      </c>
      <c r="AV180" s="16" t="str">
        <f t="shared" si="150"/>
        <v>-</v>
      </c>
      <c r="AW180" s="16" t="str">
        <f t="shared" si="134"/>
        <v>-</v>
      </c>
      <c r="AX180" s="16" t="str">
        <f t="shared" si="135"/>
        <v>-</v>
      </c>
      <c r="AY180" s="16" t="str">
        <f t="shared" si="151"/>
        <v>-</v>
      </c>
      <c r="AZ180" s="13" t="str">
        <f t="shared" si="152"/>
        <v>-</v>
      </c>
      <c r="BA180" s="10" t="str">
        <f t="shared" si="153"/>
        <v>-</v>
      </c>
      <c r="BB180" s="9" t="str">
        <f t="shared" si="154"/>
        <v>-</v>
      </c>
      <c r="BC180" s="13" t="str">
        <f t="shared" si="155"/>
        <v>-</v>
      </c>
      <c r="BD180" s="10" t="str">
        <f t="shared" si="156"/>
        <v>-</v>
      </c>
      <c r="BE180" s="13" t="str">
        <f t="shared" si="157"/>
        <v>-</v>
      </c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</row>
    <row r="181" spans="2:70" x14ac:dyDescent="0.3">
      <c r="B181" s="96" t="str">
        <f t="shared" si="136"/>
        <v/>
      </c>
      <c r="C181" s="96" t="str">
        <f t="shared" si="137"/>
        <v/>
      </c>
      <c r="D181" s="96" t="str">
        <f t="shared" si="138"/>
        <v/>
      </c>
      <c r="E181" s="3"/>
      <c r="F181" s="3"/>
      <c r="G181" s="3"/>
      <c r="H181" s="3"/>
      <c r="I181" s="20">
        <f>IFERROR(INDEX('Input - Walmart'!G$2:G$200,MATCH('Calculations - Walmart'!$D181,'Input - Walmart'!$B$2:$B$200,0)),"")</f>
        <v>0</v>
      </c>
      <c r="J181" s="20">
        <f>IFERROR(INDEX('Input - Walmart'!H$2:H$200,MATCH('Calculations - Walmart'!$D181,'Input - Walmart'!$B$2:$B$200,0)),"")</f>
        <v>0</v>
      </c>
      <c r="K181" s="21">
        <f>IFERROR(INDEX('Input - Walmart'!I$2:I$200,MATCH('Calculations - Walmart'!$D181,'Input - Walmart'!$B$2:$B$200,0)),"")</f>
        <v>0</v>
      </c>
      <c r="L181" s="21">
        <f>IFERROR(INDEX('Input - Walmart'!J$2:J$200,MATCH('Calculations - Walmart'!$D181,'Input - Walmart'!$B$2:$B$200,0)),"")</f>
        <v>0</v>
      </c>
      <c r="M181" s="20">
        <f>IFERROR(INDEX('Input - Walmart'!K$2:K$200,MATCH('Calculations - Walmart'!$D181,'Input - Walmart'!$B$2:$B$200,0)),"")</f>
        <v>0</v>
      </c>
      <c r="N181" s="20">
        <f>IFERROR(INDEX('Input - Walmart'!L$2:L$200,MATCH('Calculations - Walmart'!$D181,'Input - Walmart'!$B$2:$B$200,0)),"")</f>
        <v>0</v>
      </c>
      <c r="O181" s="21" t="str">
        <f t="shared" si="139"/>
        <v/>
      </c>
      <c r="P181" s="21" t="str">
        <f t="shared" si="123"/>
        <v/>
      </c>
      <c r="Q181" s="21">
        <f t="shared" si="140"/>
        <v>0</v>
      </c>
      <c r="R181" s="9">
        <f t="shared" si="121"/>
        <v>0</v>
      </c>
      <c r="S181" s="9">
        <f t="shared" si="122"/>
        <v>0</v>
      </c>
      <c r="T181" s="22" t="str">
        <f>IFERROR(INDEX(Walmart!$S$11:$S$192,MATCH('Calculations - Walmart'!$D181,Walmart!$N$11:$N$192,0)),"")</f>
        <v/>
      </c>
      <c r="U181" s="22" t="str">
        <f>IFERROR(INDEX(Walmart!$T$11:$T$192,MATCH('Calculations - Walmart'!$D181,Walmart!$N$11:$N$192,0)),"")</f>
        <v/>
      </c>
      <c r="V181" s="16" t="e">
        <f t="shared" si="124"/>
        <v>#VALUE!</v>
      </c>
      <c r="W181" s="16" t="e">
        <f t="shared" si="141"/>
        <v>#VALUE!</v>
      </c>
      <c r="X181" s="16" t="e">
        <f t="shared" si="142"/>
        <v>#VALUE!</v>
      </c>
      <c r="Y181" s="10" t="str">
        <f t="shared" si="125"/>
        <v>-</v>
      </c>
      <c r="Z181" s="10" t="str">
        <f t="shared" si="126"/>
        <v>-</v>
      </c>
      <c r="AA181" s="13" t="str">
        <f t="shared" si="143"/>
        <v>-</v>
      </c>
      <c r="AB181" s="9" t="str">
        <f t="shared" si="127"/>
        <v>-</v>
      </c>
      <c r="AC181" s="16" t="str">
        <f t="shared" si="144"/>
        <v>-</v>
      </c>
      <c r="AD181" s="16" t="str">
        <f t="shared" si="128"/>
        <v>-</v>
      </c>
      <c r="AE181" s="16" t="str">
        <f t="shared" si="129"/>
        <v>-</v>
      </c>
      <c r="AF181" s="16" t="str">
        <f t="shared" si="145"/>
        <v>-</v>
      </c>
      <c r="AG181" s="16"/>
      <c r="AH181" s="32" t="str">
        <f>IFERROR(INDEX(Walmart!$R$11:$R$192,MATCH('Calculations - Walmart'!D181,Walmart!$N$11:$N$192,0)),"")</f>
        <v/>
      </c>
      <c r="AI181" s="23" t="str">
        <f t="shared" si="146"/>
        <v/>
      </c>
      <c r="AJ181" s="23" t="str">
        <f t="shared" si="147"/>
        <v/>
      </c>
      <c r="AK181" s="9" t="str">
        <f t="shared" si="130"/>
        <v/>
      </c>
      <c r="AL181" s="4" t="str">
        <f t="shared" si="131"/>
        <v/>
      </c>
      <c r="AM181" s="4"/>
      <c r="AN181" s="4"/>
      <c r="AO181" s="4"/>
      <c r="AP181" s="4"/>
      <c r="AQ181" s="4"/>
      <c r="AR181" s="20" t="str">
        <f t="shared" si="132"/>
        <v>-</v>
      </c>
      <c r="AS181" s="13" t="str">
        <f t="shared" si="148"/>
        <v>-</v>
      </c>
      <c r="AT181" s="13" t="str">
        <f t="shared" si="149"/>
        <v>-</v>
      </c>
      <c r="AU181" s="13" t="str">
        <f t="shared" si="133"/>
        <v>-</v>
      </c>
      <c r="AV181" s="16" t="str">
        <f t="shared" si="150"/>
        <v>-</v>
      </c>
      <c r="AW181" s="16" t="str">
        <f t="shared" si="134"/>
        <v>-</v>
      </c>
      <c r="AX181" s="16" t="str">
        <f t="shared" si="135"/>
        <v>-</v>
      </c>
      <c r="AY181" s="16" t="str">
        <f t="shared" si="151"/>
        <v>-</v>
      </c>
      <c r="AZ181" s="13" t="str">
        <f t="shared" si="152"/>
        <v>-</v>
      </c>
      <c r="BA181" s="10" t="str">
        <f t="shared" si="153"/>
        <v>-</v>
      </c>
      <c r="BB181" s="9" t="str">
        <f t="shared" si="154"/>
        <v>-</v>
      </c>
      <c r="BC181" s="13" t="str">
        <f t="shared" si="155"/>
        <v>-</v>
      </c>
      <c r="BD181" s="10" t="str">
        <f t="shared" si="156"/>
        <v>-</v>
      </c>
      <c r="BE181" s="13" t="str">
        <f t="shared" si="157"/>
        <v>-</v>
      </c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</row>
    <row r="182" spans="2:70" x14ac:dyDescent="0.3">
      <c r="B182" s="96" t="str">
        <f t="shared" si="136"/>
        <v/>
      </c>
      <c r="C182" s="96" t="str">
        <f t="shared" si="137"/>
        <v/>
      </c>
      <c r="D182" s="96" t="str">
        <f t="shared" si="138"/>
        <v/>
      </c>
      <c r="E182" s="3"/>
      <c r="F182" s="3"/>
      <c r="G182" s="3"/>
      <c r="H182" s="3"/>
      <c r="I182" s="20">
        <f>IFERROR(INDEX('Input - Walmart'!G$2:G$200,MATCH('Calculations - Walmart'!$D182,'Input - Walmart'!$B$2:$B$200,0)),"")</f>
        <v>0</v>
      </c>
      <c r="J182" s="20">
        <f>IFERROR(INDEX('Input - Walmart'!H$2:H$200,MATCH('Calculations - Walmart'!$D182,'Input - Walmart'!$B$2:$B$200,0)),"")</f>
        <v>0</v>
      </c>
      <c r="K182" s="21">
        <f>IFERROR(INDEX('Input - Walmart'!I$2:I$200,MATCH('Calculations - Walmart'!$D182,'Input - Walmart'!$B$2:$B$200,0)),"")</f>
        <v>0</v>
      </c>
      <c r="L182" s="21">
        <f>IFERROR(INDEX('Input - Walmart'!J$2:J$200,MATCH('Calculations - Walmart'!$D182,'Input - Walmart'!$B$2:$B$200,0)),"")</f>
        <v>0</v>
      </c>
      <c r="M182" s="20">
        <f>IFERROR(INDEX('Input - Walmart'!K$2:K$200,MATCH('Calculations - Walmart'!$D182,'Input - Walmart'!$B$2:$B$200,0)),"")</f>
        <v>0</v>
      </c>
      <c r="N182" s="20">
        <f>IFERROR(INDEX('Input - Walmart'!L$2:L$200,MATCH('Calculations - Walmart'!$D182,'Input - Walmart'!$B$2:$B$200,0)),"")</f>
        <v>0</v>
      </c>
      <c r="O182" s="21" t="str">
        <f t="shared" si="139"/>
        <v/>
      </c>
      <c r="P182" s="21" t="str">
        <f t="shared" si="123"/>
        <v/>
      </c>
      <c r="Q182" s="21">
        <f t="shared" si="140"/>
        <v>0</v>
      </c>
      <c r="R182" s="9">
        <f t="shared" si="121"/>
        <v>0</v>
      </c>
      <c r="S182" s="9">
        <f t="shared" si="122"/>
        <v>0</v>
      </c>
      <c r="T182" s="22" t="str">
        <f>IFERROR(INDEX(Walmart!$S$11:$S$192,MATCH('Calculations - Walmart'!$D182,Walmart!$N$11:$N$192,0)),"")</f>
        <v/>
      </c>
      <c r="U182" s="22" t="str">
        <f>IFERROR(INDEX(Walmart!$T$11:$T$192,MATCH('Calculations - Walmart'!$D182,Walmart!$N$11:$N$192,0)),"")</f>
        <v/>
      </c>
      <c r="V182" s="16" t="e">
        <f t="shared" si="124"/>
        <v>#VALUE!</v>
      </c>
      <c r="W182" s="16" t="e">
        <f t="shared" si="141"/>
        <v>#VALUE!</v>
      </c>
      <c r="X182" s="16" t="e">
        <f t="shared" si="142"/>
        <v>#VALUE!</v>
      </c>
      <c r="Y182" s="10" t="str">
        <f t="shared" si="125"/>
        <v>-</v>
      </c>
      <c r="Z182" s="10" t="str">
        <f t="shared" si="126"/>
        <v>-</v>
      </c>
      <c r="AA182" s="13" t="str">
        <f t="shared" si="143"/>
        <v>-</v>
      </c>
      <c r="AB182" s="9" t="str">
        <f t="shared" si="127"/>
        <v>-</v>
      </c>
      <c r="AC182" s="16" t="str">
        <f t="shared" si="144"/>
        <v>-</v>
      </c>
      <c r="AD182" s="16" t="str">
        <f t="shared" si="128"/>
        <v>-</v>
      </c>
      <c r="AE182" s="16" t="str">
        <f t="shared" si="129"/>
        <v>-</v>
      </c>
      <c r="AF182" s="16" t="str">
        <f t="shared" si="145"/>
        <v>-</v>
      </c>
      <c r="AG182" s="16"/>
      <c r="AH182" s="32" t="str">
        <f>IFERROR(INDEX(Walmart!$R$11:$R$192,MATCH('Calculations - Walmart'!D182,Walmart!$N$11:$N$192,0)),"")</f>
        <v/>
      </c>
      <c r="AI182" s="23" t="str">
        <f t="shared" si="146"/>
        <v/>
      </c>
      <c r="AJ182" s="23" t="str">
        <f t="shared" si="147"/>
        <v/>
      </c>
      <c r="AK182" s="9" t="str">
        <f t="shared" si="130"/>
        <v/>
      </c>
      <c r="AL182" s="4" t="str">
        <f t="shared" si="131"/>
        <v/>
      </c>
      <c r="AM182" s="4"/>
      <c r="AN182" s="4"/>
      <c r="AO182" s="4"/>
      <c r="AP182" s="4"/>
      <c r="AQ182" s="4"/>
      <c r="AR182" s="20" t="str">
        <f t="shared" si="132"/>
        <v>-</v>
      </c>
      <c r="AS182" s="13" t="str">
        <f t="shared" si="148"/>
        <v>-</v>
      </c>
      <c r="AT182" s="13" t="str">
        <f t="shared" si="149"/>
        <v>-</v>
      </c>
      <c r="AU182" s="13" t="str">
        <f t="shared" si="133"/>
        <v>-</v>
      </c>
      <c r="AV182" s="16" t="str">
        <f t="shared" si="150"/>
        <v>-</v>
      </c>
      <c r="AW182" s="16" t="str">
        <f t="shared" si="134"/>
        <v>-</v>
      </c>
      <c r="AX182" s="16" t="str">
        <f t="shared" si="135"/>
        <v>-</v>
      </c>
      <c r="AY182" s="16" t="str">
        <f t="shared" si="151"/>
        <v>-</v>
      </c>
      <c r="AZ182" s="13" t="str">
        <f t="shared" si="152"/>
        <v>-</v>
      </c>
      <c r="BA182" s="10" t="str">
        <f t="shared" si="153"/>
        <v>-</v>
      </c>
      <c r="BB182" s="9" t="str">
        <f t="shared" si="154"/>
        <v>-</v>
      </c>
      <c r="BC182" s="13" t="str">
        <f t="shared" si="155"/>
        <v>-</v>
      </c>
      <c r="BD182" s="10" t="str">
        <f t="shared" si="156"/>
        <v>-</v>
      </c>
      <c r="BE182" s="13" t="str">
        <f t="shared" si="157"/>
        <v>-</v>
      </c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</row>
    <row r="183" spans="2:70" x14ac:dyDescent="0.3">
      <c r="B183" s="96" t="str">
        <f t="shared" si="136"/>
        <v/>
      </c>
      <c r="C183" s="96" t="str">
        <f t="shared" si="137"/>
        <v/>
      </c>
      <c r="D183" s="96" t="str">
        <f t="shared" si="138"/>
        <v/>
      </c>
      <c r="E183" s="3"/>
      <c r="F183" s="3"/>
      <c r="G183" s="3"/>
      <c r="H183" s="3"/>
      <c r="I183" s="20">
        <f>IFERROR(INDEX('Input - Walmart'!G$2:G$200,MATCH('Calculations - Walmart'!$D183,'Input - Walmart'!$B$2:$B$200,0)),"")</f>
        <v>0</v>
      </c>
      <c r="J183" s="20">
        <f>IFERROR(INDEX('Input - Walmart'!H$2:H$200,MATCH('Calculations - Walmart'!$D183,'Input - Walmart'!$B$2:$B$200,0)),"")</f>
        <v>0</v>
      </c>
      <c r="K183" s="21">
        <f>IFERROR(INDEX('Input - Walmart'!I$2:I$200,MATCH('Calculations - Walmart'!$D183,'Input - Walmart'!$B$2:$B$200,0)),"")</f>
        <v>0</v>
      </c>
      <c r="L183" s="21">
        <f>IFERROR(INDEX('Input - Walmart'!J$2:J$200,MATCH('Calculations - Walmart'!$D183,'Input - Walmart'!$B$2:$B$200,0)),"")</f>
        <v>0</v>
      </c>
      <c r="M183" s="20">
        <f>IFERROR(INDEX('Input - Walmart'!K$2:K$200,MATCH('Calculations - Walmart'!$D183,'Input - Walmart'!$B$2:$B$200,0)),"")</f>
        <v>0</v>
      </c>
      <c r="N183" s="20">
        <f>IFERROR(INDEX('Input - Walmart'!L$2:L$200,MATCH('Calculations - Walmart'!$D183,'Input - Walmart'!$B$2:$B$200,0)),"")</f>
        <v>0</v>
      </c>
      <c r="O183" s="21" t="str">
        <f t="shared" si="139"/>
        <v/>
      </c>
      <c r="P183" s="21" t="str">
        <f t="shared" si="123"/>
        <v/>
      </c>
      <c r="Q183" s="21">
        <f t="shared" si="140"/>
        <v>0</v>
      </c>
      <c r="R183" s="9">
        <f t="shared" si="121"/>
        <v>0</v>
      </c>
      <c r="S183" s="9">
        <f t="shared" si="122"/>
        <v>0</v>
      </c>
      <c r="T183" s="22" t="str">
        <f>IFERROR(INDEX(Walmart!$S$11:$S$192,MATCH('Calculations - Walmart'!$D183,Walmart!$N$11:$N$192,0)),"")</f>
        <v/>
      </c>
      <c r="U183" s="22" t="str">
        <f>IFERROR(INDEX(Walmart!$T$11:$T$192,MATCH('Calculations - Walmart'!$D183,Walmart!$N$11:$N$192,0)),"")</f>
        <v/>
      </c>
      <c r="V183" s="16" t="e">
        <f t="shared" si="124"/>
        <v>#VALUE!</v>
      </c>
      <c r="W183" s="16" t="e">
        <f t="shared" si="141"/>
        <v>#VALUE!</v>
      </c>
      <c r="X183" s="16" t="e">
        <f t="shared" si="142"/>
        <v>#VALUE!</v>
      </c>
      <c r="Y183" s="10" t="str">
        <f t="shared" si="125"/>
        <v>-</v>
      </c>
      <c r="Z183" s="10" t="str">
        <f t="shared" si="126"/>
        <v>-</v>
      </c>
      <c r="AA183" s="13" t="str">
        <f t="shared" si="143"/>
        <v>-</v>
      </c>
      <c r="AB183" s="9" t="str">
        <f t="shared" si="127"/>
        <v>-</v>
      </c>
      <c r="AC183" s="16" t="str">
        <f t="shared" si="144"/>
        <v>-</v>
      </c>
      <c r="AD183" s="16" t="str">
        <f t="shared" si="128"/>
        <v>-</v>
      </c>
      <c r="AE183" s="16" t="str">
        <f t="shared" si="129"/>
        <v>-</v>
      </c>
      <c r="AF183" s="16" t="str">
        <f t="shared" si="145"/>
        <v>-</v>
      </c>
      <c r="AG183" s="16"/>
      <c r="AH183" s="32" t="str">
        <f>IFERROR(INDEX(Walmart!$R$11:$R$192,MATCH('Calculations - Walmart'!D183,Walmart!$N$11:$N$192,0)),"")</f>
        <v/>
      </c>
      <c r="AI183" s="23" t="str">
        <f t="shared" si="146"/>
        <v/>
      </c>
      <c r="AJ183" s="23" t="str">
        <f t="shared" si="147"/>
        <v/>
      </c>
      <c r="AK183" s="9" t="str">
        <f t="shared" si="130"/>
        <v/>
      </c>
      <c r="AL183" s="4" t="str">
        <f t="shared" si="131"/>
        <v/>
      </c>
      <c r="AM183" s="4"/>
      <c r="AN183" s="4"/>
      <c r="AO183" s="4"/>
      <c r="AP183" s="4"/>
      <c r="AQ183" s="4"/>
      <c r="AR183" s="20" t="str">
        <f t="shared" si="132"/>
        <v>-</v>
      </c>
      <c r="AS183" s="13" t="str">
        <f t="shared" si="148"/>
        <v>-</v>
      </c>
      <c r="AT183" s="13" t="str">
        <f t="shared" si="149"/>
        <v>-</v>
      </c>
      <c r="AU183" s="13" t="str">
        <f t="shared" si="133"/>
        <v>-</v>
      </c>
      <c r="AV183" s="16" t="str">
        <f t="shared" si="150"/>
        <v>-</v>
      </c>
      <c r="AW183" s="16" t="str">
        <f t="shared" si="134"/>
        <v>-</v>
      </c>
      <c r="AX183" s="16" t="str">
        <f t="shared" si="135"/>
        <v>-</v>
      </c>
      <c r="AY183" s="16" t="str">
        <f t="shared" si="151"/>
        <v>-</v>
      </c>
      <c r="AZ183" s="13" t="str">
        <f t="shared" si="152"/>
        <v>-</v>
      </c>
      <c r="BA183" s="10" t="str">
        <f t="shared" si="153"/>
        <v>-</v>
      </c>
      <c r="BB183" s="9" t="str">
        <f t="shared" si="154"/>
        <v>-</v>
      </c>
      <c r="BC183" s="13" t="str">
        <f t="shared" si="155"/>
        <v>-</v>
      </c>
      <c r="BD183" s="10" t="str">
        <f t="shared" si="156"/>
        <v>-</v>
      </c>
      <c r="BE183" s="13" t="str">
        <f t="shared" si="157"/>
        <v>-</v>
      </c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</row>
    <row r="184" spans="2:70" x14ac:dyDescent="0.3">
      <c r="B184" s="96" t="str">
        <f t="shared" si="136"/>
        <v/>
      </c>
      <c r="C184" s="96" t="str">
        <f t="shared" si="137"/>
        <v/>
      </c>
      <c r="D184" s="96" t="str">
        <f t="shared" si="138"/>
        <v/>
      </c>
      <c r="E184" s="3"/>
      <c r="F184" s="3"/>
      <c r="G184" s="3"/>
      <c r="H184" s="3"/>
      <c r="I184" s="20">
        <f>IFERROR(INDEX('Input - Walmart'!G$2:G$200,MATCH('Calculations - Walmart'!$D184,'Input - Walmart'!$B$2:$B$200,0)),"")</f>
        <v>0</v>
      </c>
      <c r="J184" s="20">
        <f>IFERROR(INDEX('Input - Walmart'!H$2:H$200,MATCH('Calculations - Walmart'!$D184,'Input - Walmart'!$B$2:$B$200,0)),"")</f>
        <v>0</v>
      </c>
      <c r="K184" s="21">
        <f>IFERROR(INDEX('Input - Walmart'!I$2:I$200,MATCH('Calculations - Walmart'!$D184,'Input - Walmart'!$B$2:$B$200,0)),"")</f>
        <v>0</v>
      </c>
      <c r="L184" s="21">
        <f>IFERROR(INDEX('Input - Walmart'!J$2:J$200,MATCH('Calculations - Walmart'!$D184,'Input - Walmart'!$B$2:$B$200,0)),"")</f>
        <v>0</v>
      </c>
      <c r="M184" s="20">
        <f>IFERROR(INDEX('Input - Walmart'!K$2:K$200,MATCH('Calculations - Walmart'!$D184,'Input - Walmart'!$B$2:$B$200,0)),"")</f>
        <v>0</v>
      </c>
      <c r="N184" s="20">
        <f>IFERROR(INDEX('Input - Walmart'!L$2:L$200,MATCH('Calculations - Walmart'!$D184,'Input - Walmart'!$B$2:$B$200,0)),"")</f>
        <v>0</v>
      </c>
      <c r="O184" s="21" t="str">
        <f t="shared" si="139"/>
        <v/>
      </c>
      <c r="P184" s="21" t="str">
        <f t="shared" si="123"/>
        <v/>
      </c>
      <c r="Q184" s="21">
        <f t="shared" si="140"/>
        <v>0</v>
      </c>
      <c r="R184" s="9">
        <f t="shared" si="121"/>
        <v>0</v>
      </c>
      <c r="S184" s="9">
        <f t="shared" si="122"/>
        <v>0</v>
      </c>
      <c r="T184" s="22" t="str">
        <f>IFERROR(INDEX(Walmart!$S$11:$S$192,MATCH('Calculations - Walmart'!$D184,Walmart!$N$11:$N$192,0)),"")</f>
        <v/>
      </c>
      <c r="U184" s="22" t="str">
        <f>IFERROR(INDEX(Walmart!$T$11:$T$192,MATCH('Calculations - Walmart'!$D184,Walmart!$N$11:$N$192,0)),"")</f>
        <v/>
      </c>
      <c r="V184" s="16" t="e">
        <f t="shared" si="124"/>
        <v>#VALUE!</v>
      </c>
      <c r="W184" s="16" t="e">
        <f t="shared" si="141"/>
        <v>#VALUE!</v>
      </c>
      <c r="X184" s="16" t="e">
        <f t="shared" si="142"/>
        <v>#VALUE!</v>
      </c>
      <c r="Y184" s="10" t="str">
        <f t="shared" si="125"/>
        <v>-</v>
      </c>
      <c r="Z184" s="10" t="str">
        <f t="shared" si="126"/>
        <v>-</v>
      </c>
      <c r="AA184" s="13" t="str">
        <f t="shared" si="143"/>
        <v>-</v>
      </c>
      <c r="AB184" s="9" t="str">
        <f t="shared" si="127"/>
        <v>-</v>
      </c>
      <c r="AC184" s="16" t="str">
        <f t="shared" si="144"/>
        <v>-</v>
      </c>
      <c r="AD184" s="16" t="str">
        <f t="shared" si="128"/>
        <v>-</v>
      </c>
      <c r="AE184" s="16" t="str">
        <f t="shared" si="129"/>
        <v>-</v>
      </c>
      <c r="AF184" s="16" t="str">
        <f t="shared" si="145"/>
        <v>-</v>
      </c>
      <c r="AG184" s="16"/>
      <c r="AH184" s="32" t="str">
        <f>IFERROR(INDEX(Walmart!$R$11:$R$192,MATCH('Calculations - Walmart'!D184,Walmart!$N$11:$N$192,0)),"")</f>
        <v/>
      </c>
      <c r="AI184" s="23" t="str">
        <f t="shared" si="146"/>
        <v/>
      </c>
      <c r="AJ184" s="23" t="str">
        <f t="shared" si="147"/>
        <v/>
      </c>
      <c r="AK184" s="9" t="str">
        <f t="shared" si="130"/>
        <v/>
      </c>
      <c r="AL184" s="4" t="str">
        <f t="shared" si="131"/>
        <v/>
      </c>
      <c r="AM184" s="4"/>
      <c r="AN184" s="4"/>
      <c r="AO184" s="4"/>
      <c r="AP184" s="4"/>
      <c r="AQ184" s="4"/>
      <c r="AR184" s="20" t="str">
        <f t="shared" si="132"/>
        <v>-</v>
      </c>
      <c r="AS184" s="13" t="str">
        <f t="shared" si="148"/>
        <v>-</v>
      </c>
      <c r="AT184" s="13" t="str">
        <f t="shared" si="149"/>
        <v>-</v>
      </c>
      <c r="AU184" s="13" t="str">
        <f t="shared" si="133"/>
        <v>-</v>
      </c>
      <c r="AV184" s="16" t="str">
        <f t="shared" si="150"/>
        <v>-</v>
      </c>
      <c r="AW184" s="16" t="str">
        <f t="shared" si="134"/>
        <v>-</v>
      </c>
      <c r="AX184" s="16" t="str">
        <f t="shared" si="135"/>
        <v>-</v>
      </c>
      <c r="AY184" s="16" t="str">
        <f t="shared" si="151"/>
        <v>-</v>
      </c>
      <c r="AZ184" s="13" t="str">
        <f t="shared" si="152"/>
        <v>-</v>
      </c>
      <c r="BA184" s="10" t="str">
        <f t="shared" si="153"/>
        <v>-</v>
      </c>
      <c r="BB184" s="9" t="str">
        <f t="shared" si="154"/>
        <v>-</v>
      </c>
      <c r="BC184" s="13" t="str">
        <f t="shared" si="155"/>
        <v>-</v>
      </c>
      <c r="BD184" s="10" t="str">
        <f t="shared" si="156"/>
        <v>-</v>
      </c>
      <c r="BE184" s="13" t="str">
        <f t="shared" si="157"/>
        <v>-</v>
      </c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</row>
    <row r="185" spans="2:70" x14ac:dyDescent="0.3">
      <c r="B185" s="96" t="str">
        <f t="shared" si="136"/>
        <v/>
      </c>
      <c r="C185" s="96" t="str">
        <f t="shared" si="137"/>
        <v/>
      </c>
      <c r="D185" s="96" t="str">
        <f t="shared" si="138"/>
        <v/>
      </c>
      <c r="E185" s="3"/>
      <c r="F185" s="3"/>
      <c r="G185" s="3"/>
      <c r="H185" s="3"/>
      <c r="I185" s="20">
        <f>IFERROR(INDEX('Input - Walmart'!G$2:G$200,MATCH('Calculations - Walmart'!$D185,'Input - Walmart'!$B$2:$B$200,0)),"")</f>
        <v>0</v>
      </c>
      <c r="J185" s="20">
        <f>IFERROR(INDEX('Input - Walmart'!H$2:H$200,MATCH('Calculations - Walmart'!$D185,'Input - Walmart'!$B$2:$B$200,0)),"")</f>
        <v>0</v>
      </c>
      <c r="K185" s="21">
        <f>IFERROR(INDEX('Input - Walmart'!I$2:I$200,MATCH('Calculations - Walmart'!$D185,'Input - Walmart'!$B$2:$B$200,0)),"")</f>
        <v>0</v>
      </c>
      <c r="L185" s="21">
        <f>IFERROR(INDEX('Input - Walmart'!J$2:J$200,MATCH('Calculations - Walmart'!$D185,'Input - Walmart'!$B$2:$B$200,0)),"")</f>
        <v>0</v>
      </c>
      <c r="M185" s="20">
        <f>IFERROR(INDEX('Input - Walmart'!K$2:K$200,MATCH('Calculations - Walmart'!$D185,'Input - Walmart'!$B$2:$B$200,0)),"")</f>
        <v>0</v>
      </c>
      <c r="N185" s="20">
        <f>IFERROR(INDEX('Input - Walmart'!L$2:L$200,MATCH('Calculations - Walmart'!$D185,'Input - Walmart'!$B$2:$B$200,0)),"")</f>
        <v>0</v>
      </c>
      <c r="O185" s="21" t="str">
        <f t="shared" si="139"/>
        <v/>
      </c>
      <c r="P185" s="21" t="str">
        <f t="shared" si="123"/>
        <v/>
      </c>
      <c r="Q185" s="21">
        <f t="shared" si="140"/>
        <v>0</v>
      </c>
      <c r="R185" s="9">
        <f t="shared" si="121"/>
        <v>0</v>
      </c>
      <c r="S185" s="9">
        <f t="shared" si="122"/>
        <v>0</v>
      </c>
      <c r="T185" s="22" t="str">
        <f>IFERROR(INDEX(Walmart!$S$11:$S$192,MATCH('Calculations - Walmart'!$D185,Walmart!$N$11:$N$192,0)),"")</f>
        <v/>
      </c>
      <c r="U185" s="22" t="str">
        <f>IFERROR(INDEX(Walmart!$T$11:$T$192,MATCH('Calculations - Walmart'!$D185,Walmart!$N$11:$N$192,0)),"")</f>
        <v/>
      </c>
      <c r="V185" s="16" t="e">
        <f t="shared" si="124"/>
        <v>#VALUE!</v>
      </c>
      <c r="W185" s="16" t="e">
        <f t="shared" si="141"/>
        <v>#VALUE!</v>
      </c>
      <c r="X185" s="16" t="e">
        <f t="shared" si="142"/>
        <v>#VALUE!</v>
      </c>
      <c r="Y185" s="10" t="str">
        <f t="shared" si="125"/>
        <v>-</v>
      </c>
      <c r="Z185" s="10" t="str">
        <f t="shared" si="126"/>
        <v>-</v>
      </c>
      <c r="AA185" s="13" t="str">
        <f t="shared" si="143"/>
        <v>-</v>
      </c>
      <c r="AB185" s="9" t="str">
        <f t="shared" si="127"/>
        <v>-</v>
      </c>
      <c r="AC185" s="16" t="str">
        <f t="shared" si="144"/>
        <v>-</v>
      </c>
      <c r="AD185" s="16" t="str">
        <f t="shared" si="128"/>
        <v>-</v>
      </c>
      <c r="AE185" s="16" t="str">
        <f t="shared" si="129"/>
        <v>-</v>
      </c>
      <c r="AF185" s="16" t="str">
        <f t="shared" si="145"/>
        <v>-</v>
      </c>
      <c r="AG185" s="16"/>
      <c r="AH185" s="32" t="str">
        <f>IFERROR(INDEX(Walmart!$R$11:$R$192,MATCH('Calculations - Walmart'!D185,Walmart!$N$11:$N$192,0)),"")</f>
        <v/>
      </c>
      <c r="AI185" s="23" t="str">
        <f t="shared" si="146"/>
        <v/>
      </c>
      <c r="AJ185" s="23" t="str">
        <f t="shared" si="147"/>
        <v/>
      </c>
      <c r="AK185" s="9" t="str">
        <f t="shared" si="130"/>
        <v/>
      </c>
      <c r="AL185" s="4" t="str">
        <f t="shared" si="131"/>
        <v/>
      </c>
      <c r="AM185" s="4"/>
      <c r="AN185" s="4"/>
      <c r="AO185" s="4"/>
      <c r="AP185" s="4"/>
      <c r="AQ185" s="4"/>
      <c r="AR185" s="20" t="str">
        <f t="shared" si="132"/>
        <v>-</v>
      </c>
      <c r="AS185" s="13" t="str">
        <f t="shared" si="148"/>
        <v>-</v>
      </c>
      <c r="AT185" s="13" t="str">
        <f t="shared" si="149"/>
        <v>-</v>
      </c>
      <c r="AU185" s="13" t="str">
        <f t="shared" si="133"/>
        <v>-</v>
      </c>
      <c r="AV185" s="16" t="str">
        <f t="shared" si="150"/>
        <v>-</v>
      </c>
      <c r="AW185" s="16" t="str">
        <f t="shared" si="134"/>
        <v>-</v>
      </c>
      <c r="AX185" s="16" t="str">
        <f t="shared" si="135"/>
        <v>-</v>
      </c>
      <c r="AY185" s="16" t="str">
        <f t="shared" si="151"/>
        <v>-</v>
      </c>
      <c r="AZ185" s="13" t="str">
        <f t="shared" si="152"/>
        <v>-</v>
      </c>
      <c r="BA185" s="10" t="str">
        <f t="shared" si="153"/>
        <v>-</v>
      </c>
      <c r="BB185" s="9" t="str">
        <f t="shared" si="154"/>
        <v>-</v>
      </c>
      <c r="BC185" s="13" t="str">
        <f t="shared" si="155"/>
        <v>-</v>
      </c>
      <c r="BD185" s="10" t="str">
        <f t="shared" si="156"/>
        <v>-</v>
      </c>
      <c r="BE185" s="13" t="str">
        <f t="shared" si="157"/>
        <v>-</v>
      </c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</row>
    <row r="186" spans="2:70" x14ac:dyDescent="0.3">
      <c r="B186" s="96" t="str">
        <f t="shared" si="136"/>
        <v/>
      </c>
      <c r="C186" s="96" t="str">
        <f t="shared" si="137"/>
        <v/>
      </c>
      <c r="D186" s="96" t="str">
        <f t="shared" si="138"/>
        <v/>
      </c>
      <c r="E186" s="3"/>
      <c r="F186" s="3"/>
      <c r="G186" s="3"/>
      <c r="H186" s="3"/>
      <c r="I186" s="20">
        <f>IFERROR(INDEX('Input - Walmart'!G$2:G$200,MATCH('Calculations - Walmart'!$D186,'Input - Walmart'!$B$2:$B$200,0)),"")</f>
        <v>0</v>
      </c>
      <c r="J186" s="20">
        <f>IFERROR(INDEX('Input - Walmart'!H$2:H$200,MATCH('Calculations - Walmart'!$D186,'Input - Walmart'!$B$2:$B$200,0)),"")</f>
        <v>0</v>
      </c>
      <c r="K186" s="21">
        <f>IFERROR(INDEX('Input - Walmart'!I$2:I$200,MATCH('Calculations - Walmart'!$D186,'Input - Walmart'!$B$2:$B$200,0)),"")</f>
        <v>0</v>
      </c>
      <c r="L186" s="21">
        <f>IFERROR(INDEX('Input - Walmart'!J$2:J$200,MATCH('Calculations - Walmart'!$D186,'Input - Walmart'!$B$2:$B$200,0)),"")</f>
        <v>0</v>
      </c>
      <c r="M186" s="20">
        <f>IFERROR(INDEX('Input - Walmart'!K$2:K$200,MATCH('Calculations - Walmart'!$D186,'Input - Walmart'!$B$2:$B$200,0)),"")</f>
        <v>0</v>
      </c>
      <c r="N186" s="20">
        <f>IFERROR(INDEX('Input - Walmart'!L$2:L$200,MATCH('Calculations - Walmart'!$D186,'Input - Walmart'!$B$2:$B$200,0)),"")</f>
        <v>0</v>
      </c>
      <c r="O186" s="21" t="str">
        <f t="shared" si="139"/>
        <v/>
      </c>
      <c r="P186" s="21" t="str">
        <f t="shared" si="123"/>
        <v/>
      </c>
      <c r="Q186" s="21">
        <f t="shared" si="140"/>
        <v>0</v>
      </c>
      <c r="R186" s="9">
        <f t="shared" si="121"/>
        <v>0</v>
      </c>
      <c r="S186" s="9">
        <f t="shared" si="122"/>
        <v>0</v>
      </c>
      <c r="T186" s="22" t="str">
        <f>IFERROR(INDEX(Walmart!$S$11:$S$192,MATCH('Calculations - Walmart'!$D186,Walmart!$N$11:$N$192,0)),"")</f>
        <v/>
      </c>
      <c r="U186" s="22" t="str">
        <f>IFERROR(INDEX(Walmart!$T$11:$T$192,MATCH('Calculations - Walmart'!$D186,Walmart!$N$11:$N$192,0)),"")</f>
        <v/>
      </c>
      <c r="V186" s="16" t="e">
        <f t="shared" si="124"/>
        <v>#VALUE!</v>
      </c>
      <c r="W186" s="16" t="e">
        <f t="shared" si="141"/>
        <v>#VALUE!</v>
      </c>
      <c r="X186" s="16" t="e">
        <f t="shared" si="142"/>
        <v>#VALUE!</v>
      </c>
      <c r="Y186" s="10" t="str">
        <f t="shared" si="125"/>
        <v>-</v>
      </c>
      <c r="Z186" s="10" t="str">
        <f t="shared" si="126"/>
        <v>-</v>
      </c>
      <c r="AA186" s="13" t="str">
        <f t="shared" si="143"/>
        <v>-</v>
      </c>
      <c r="AB186" s="9" t="str">
        <f t="shared" si="127"/>
        <v>-</v>
      </c>
      <c r="AC186" s="16" t="str">
        <f t="shared" si="144"/>
        <v>-</v>
      </c>
      <c r="AD186" s="16" t="str">
        <f t="shared" si="128"/>
        <v>-</v>
      </c>
      <c r="AE186" s="16" t="str">
        <f t="shared" si="129"/>
        <v>-</v>
      </c>
      <c r="AF186" s="16" t="str">
        <f t="shared" si="145"/>
        <v>-</v>
      </c>
      <c r="AG186" s="16"/>
      <c r="AH186" s="32" t="str">
        <f>IFERROR(INDEX(Walmart!$R$11:$R$192,MATCH('Calculations - Walmart'!D186,Walmart!$N$11:$N$192,0)),"")</f>
        <v/>
      </c>
      <c r="AI186" s="23" t="str">
        <f t="shared" si="146"/>
        <v/>
      </c>
      <c r="AJ186" s="23" t="str">
        <f t="shared" si="147"/>
        <v/>
      </c>
      <c r="AK186" s="9" t="str">
        <f t="shared" si="130"/>
        <v/>
      </c>
      <c r="AL186" s="4" t="str">
        <f t="shared" si="131"/>
        <v/>
      </c>
      <c r="AM186" s="4"/>
      <c r="AN186" s="4"/>
      <c r="AO186" s="4"/>
      <c r="AP186" s="4"/>
      <c r="AQ186" s="4"/>
      <c r="AR186" s="20" t="str">
        <f t="shared" si="132"/>
        <v>-</v>
      </c>
      <c r="AS186" s="13" t="str">
        <f t="shared" si="148"/>
        <v>-</v>
      </c>
      <c r="AT186" s="13" t="str">
        <f t="shared" si="149"/>
        <v>-</v>
      </c>
      <c r="AU186" s="13" t="str">
        <f t="shared" si="133"/>
        <v>-</v>
      </c>
      <c r="AV186" s="16" t="str">
        <f t="shared" si="150"/>
        <v>-</v>
      </c>
      <c r="AW186" s="16" t="str">
        <f t="shared" si="134"/>
        <v>-</v>
      </c>
      <c r="AX186" s="16" t="str">
        <f t="shared" si="135"/>
        <v>-</v>
      </c>
      <c r="AY186" s="16" t="str">
        <f t="shared" si="151"/>
        <v>-</v>
      </c>
      <c r="AZ186" s="13" t="str">
        <f t="shared" si="152"/>
        <v>-</v>
      </c>
      <c r="BA186" s="10" t="str">
        <f t="shared" si="153"/>
        <v>-</v>
      </c>
      <c r="BB186" s="9" t="str">
        <f t="shared" si="154"/>
        <v>-</v>
      </c>
      <c r="BC186" s="13" t="str">
        <f t="shared" si="155"/>
        <v>-</v>
      </c>
      <c r="BD186" s="10" t="str">
        <f t="shared" si="156"/>
        <v>-</v>
      </c>
      <c r="BE186" s="13" t="str">
        <f t="shared" si="157"/>
        <v>-</v>
      </c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</row>
    <row r="187" spans="2:70" x14ac:dyDescent="0.3">
      <c r="B187" s="96" t="str">
        <f t="shared" si="136"/>
        <v/>
      </c>
      <c r="C187" s="96" t="str">
        <f t="shared" si="137"/>
        <v/>
      </c>
      <c r="D187" s="96" t="str">
        <f t="shared" si="138"/>
        <v/>
      </c>
      <c r="E187" s="3"/>
      <c r="F187" s="3"/>
      <c r="G187" s="3"/>
      <c r="H187" s="3"/>
      <c r="I187" s="20">
        <f>IFERROR(INDEX('Input - Walmart'!G$2:G$200,MATCH('Calculations - Walmart'!$D187,'Input - Walmart'!$B$2:$B$200,0)),"")</f>
        <v>0</v>
      </c>
      <c r="J187" s="20">
        <f>IFERROR(INDEX('Input - Walmart'!H$2:H$200,MATCH('Calculations - Walmart'!$D187,'Input - Walmart'!$B$2:$B$200,0)),"")</f>
        <v>0</v>
      </c>
      <c r="K187" s="21">
        <f>IFERROR(INDEX('Input - Walmart'!I$2:I$200,MATCH('Calculations - Walmart'!$D187,'Input - Walmart'!$B$2:$B$200,0)),"")</f>
        <v>0</v>
      </c>
      <c r="L187" s="21">
        <f>IFERROR(INDEX('Input - Walmart'!J$2:J$200,MATCH('Calculations - Walmart'!$D187,'Input - Walmart'!$B$2:$B$200,0)),"")</f>
        <v>0</v>
      </c>
      <c r="M187" s="20">
        <f>IFERROR(INDEX('Input - Walmart'!K$2:K$200,MATCH('Calculations - Walmart'!$D187,'Input - Walmart'!$B$2:$B$200,0)),"")</f>
        <v>0</v>
      </c>
      <c r="N187" s="20">
        <f>IFERROR(INDEX('Input - Walmart'!L$2:L$200,MATCH('Calculations - Walmart'!$D187,'Input - Walmart'!$B$2:$B$200,0)),"")</f>
        <v>0</v>
      </c>
      <c r="O187" s="21" t="str">
        <f t="shared" si="139"/>
        <v/>
      </c>
      <c r="P187" s="21" t="str">
        <f t="shared" si="123"/>
        <v/>
      </c>
      <c r="Q187" s="21">
        <f t="shared" si="140"/>
        <v>0</v>
      </c>
      <c r="R187" s="9">
        <f t="shared" si="121"/>
        <v>0</v>
      </c>
      <c r="S187" s="9">
        <f t="shared" si="122"/>
        <v>0</v>
      </c>
      <c r="T187" s="22" t="str">
        <f>IFERROR(INDEX(Walmart!$S$11:$S$192,MATCH('Calculations - Walmart'!$D187,Walmart!$N$11:$N$192,0)),"")</f>
        <v/>
      </c>
      <c r="U187" s="22" t="str">
        <f>IFERROR(INDEX(Walmart!$T$11:$T$192,MATCH('Calculations - Walmart'!$D187,Walmart!$N$11:$N$192,0)),"")</f>
        <v/>
      </c>
      <c r="V187" s="16" t="e">
        <f t="shared" si="124"/>
        <v>#VALUE!</v>
      </c>
      <c r="W187" s="16" t="e">
        <f t="shared" si="141"/>
        <v>#VALUE!</v>
      </c>
      <c r="X187" s="16" t="e">
        <f t="shared" si="142"/>
        <v>#VALUE!</v>
      </c>
      <c r="Y187" s="10" t="str">
        <f t="shared" si="125"/>
        <v>-</v>
      </c>
      <c r="Z187" s="10" t="str">
        <f t="shared" si="126"/>
        <v>-</v>
      </c>
      <c r="AA187" s="13" t="str">
        <f t="shared" si="143"/>
        <v>-</v>
      </c>
      <c r="AB187" s="9" t="str">
        <f t="shared" si="127"/>
        <v>-</v>
      </c>
      <c r="AC187" s="16" t="str">
        <f t="shared" si="144"/>
        <v>-</v>
      </c>
      <c r="AD187" s="16" t="str">
        <f t="shared" si="128"/>
        <v>-</v>
      </c>
      <c r="AE187" s="16" t="str">
        <f t="shared" si="129"/>
        <v>-</v>
      </c>
      <c r="AF187" s="16" t="str">
        <f t="shared" si="145"/>
        <v>-</v>
      </c>
      <c r="AG187" s="16"/>
      <c r="AH187" s="32" t="str">
        <f>IFERROR(INDEX(Walmart!$R$11:$R$192,MATCH('Calculations - Walmart'!D187,Walmart!$N$11:$N$192,0)),"")</f>
        <v/>
      </c>
      <c r="AI187" s="23" t="str">
        <f t="shared" si="146"/>
        <v/>
      </c>
      <c r="AJ187" s="23" t="str">
        <f t="shared" si="147"/>
        <v/>
      </c>
      <c r="AK187" s="9" t="str">
        <f t="shared" si="130"/>
        <v/>
      </c>
      <c r="AL187" s="4" t="str">
        <f t="shared" si="131"/>
        <v/>
      </c>
      <c r="AM187" s="4"/>
      <c r="AN187" s="4"/>
      <c r="AO187" s="4"/>
      <c r="AP187" s="4"/>
      <c r="AQ187" s="4"/>
      <c r="AR187" s="20" t="str">
        <f t="shared" si="132"/>
        <v>-</v>
      </c>
      <c r="AS187" s="13" t="str">
        <f t="shared" si="148"/>
        <v>-</v>
      </c>
      <c r="AT187" s="13" t="str">
        <f t="shared" si="149"/>
        <v>-</v>
      </c>
      <c r="AU187" s="13" t="str">
        <f t="shared" si="133"/>
        <v>-</v>
      </c>
      <c r="AV187" s="16" t="str">
        <f t="shared" si="150"/>
        <v>-</v>
      </c>
      <c r="AW187" s="16" t="str">
        <f t="shared" si="134"/>
        <v>-</v>
      </c>
      <c r="AX187" s="16" t="str">
        <f t="shared" si="135"/>
        <v>-</v>
      </c>
      <c r="AY187" s="16" t="str">
        <f t="shared" si="151"/>
        <v>-</v>
      </c>
      <c r="AZ187" s="13" t="str">
        <f t="shared" si="152"/>
        <v>-</v>
      </c>
      <c r="BA187" s="10" t="str">
        <f t="shared" si="153"/>
        <v>-</v>
      </c>
      <c r="BB187" s="9" t="str">
        <f t="shared" si="154"/>
        <v>-</v>
      </c>
      <c r="BC187" s="13" t="str">
        <f t="shared" si="155"/>
        <v>-</v>
      </c>
      <c r="BD187" s="10" t="str">
        <f t="shared" si="156"/>
        <v>-</v>
      </c>
      <c r="BE187" s="13" t="str">
        <f t="shared" si="157"/>
        <v>-</v>
      </c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</row>
    <row r="188" spans="2:70" x14ac:dyDescent="0.3">
      <c r="B188" s="96" t="str">
        <f t="shared" si="136"/>
        <v/>
      </c>
      <c r="C188" s="96" t="str">
        <f t="shared" si="137"/>
        <v/>
      </c>
      <c r="D188" s="96" t="str">
        <f t="shared" si="138"/>
        <v/>
      </c>
      <c r="E188" s="3"/>
      <c r="F188" s="3"/>
      <c r="G188" s="3"/>
      <c r="H188" s="3"/>
      <c r="I188" s="20">
        <f>IFERROR(INDEX('Input - Walmart'!G$2:G$200,MATCH('Calculations - Walmart'!$D188,'Input - Walmart'!$B$2:$B$200,0)),"")</f>
        <v>0</v>
      </c>
      <c r="J188" s="20">
        <f>IFERROR(INDEX('Input - Walmart'!H$2:H$200,MATCH('Calculations - Walmart'!$D188,'Input - Walmart'!$B$2:$B$200,0)),"")</f>
        <v>0</v>
      </c>
      <c r="K188" s="21">
        <f>IFERROR(INDEX('Input - Walmart'!I$2:I$200,MATCH('Calculations - Walmart'!$D188,'Input - Walmart'!$B$2:$B$200,0)),"")</f>
        <v>0</v>
      </c>
      <c r="L188" s="21">
        <f>IFERROR(INDEX('Input - Walmart'!J$2:J$200,MATCH('Calculations - Walmart'!$D188,'Input - Walmart'!$B$2:$B$200,0)),"")</f>
        <v>0</v>
      </c>
      <c r="M188" s="20">
        <f>IFERROR(INDEX('Input - Walmart'!K$2:K$200,MATCH('Calculations - Walmart'!$D188,'Input - Walmart'!$B$2:$B$200,0)),"")</f>
        <v>0</v>
      </c>
      <c r="N188" s="20">
        <f>IFERROR(INDEX('Input - Walmart'!L$2:L$200,MATCH('Calculations - Walmart'!$D188,'Input - Walmart'!$B$2:$B$200,0)),"")</f>
        <v>0</v>
      </c>
      <c r="O188" s="21" t="str">
        <f t="shared" si="139"/>
        <v/>
      </c>
      <c r="P188" s="21" t="str">
        <f t="shared" si="123"/>
        <v/>
      </c>
      <c r="Q188" s="21">
        <f t="shared" si="140"/>
        <v>0</v>
      </c>
      <c r="R188" s="9">
        <f t="shared" si="121"/>
        <v>0</v>
      </c>
      <c r="S188" s="9">
        <f t="shared" si="122"/>
        <v>0</v>
      </c>
      <c r="T188" s="22" t="str">
        <f>IFERROR(INDEX(Walmart!$S$11:$S$192,MATCH('Calculations - Walmart'!$D188,Walmart!$N$11:$N$192,0)),"")</f>
        <v/>
      </c>
      <c r="U188" s="22" t="str">
        <f>IFERROR(INDEX(Walmart!$T$11:$T$192,MATCH('Calculations - Walmart'!$D188,Walmart!$N$11:$N$192,0)),"")</f>
        <v/>
      </c>
      <c r="V188" s="16" t="e">
        <f t="shared" si="124"/>
        <v>#VALUE!</v>
      </c>
      <c r="W188" s="16" t="e">
        <f t="shared" si="141"/>
        <v>#VALUE!</v>
      </c>
      <c r="X188" s="16" t="e">
        <f t="shared" si="142"/>
        <v>#VALUE!</v>
      </c>
      <c r="Y188" s="10" t="str">
        <f t="shared" si="125"/>
        <v>-</v>
      </c>
      <c r="Z188" s="10" t="str">
        <f t="shared" si="126"/>
        <v>-</v>
      </c>
      <c r="AA188" s="13" t="str">
        <f t="shared" si="143"/>
        <v>-</v>
      </c>
      <c r="AB188" s="9" t="str">
        <f t="shared" si="127"/>
        <v>-</v>
      </c>
      <c r="AC188" s="16" t="str">
        <f t="shared" si="144"/>
        <v>-</v>
      </c>
      <c r="AD188" s="16" t="str">
        <f t="shared" si="128"/>
        <v>-</v>
      </c>
      <c r="AE188" s="16" t="str">
        <f t="shared" si="129"/>
        <v>-</v>
      </c>
      <c r="AF188" s="16" t="str">
        <f t="shared" si="145"/>
        <v>-</v>
      </c>
      <c r="AG188" s="16"/>
      <c r="AH188" s="32" t="str">
        <f>IFERROR(INDEX(Walmart!$R$11:$R$192,MATCH('Calculations - Walmart'!D188,Walmart!$N$11:$N$192,0)),"")</f>
        <v/>
      </c>
      <c r="AI188" s="23" t="str">
        <f t="shared" si="146"/>
        <v/>
      </c>
      <c r="AJ188" s="23" t="str">
        <f t="shared" si="147"/>
        <v/>
      </c>
      <c r="AK188" s="9" t="str">
        <f t="shared" si="130"/>
        <v/>
      </c>
      <c r="AL188" s="4" t="str">
        <f t="shared" si="131"/>
        <v/>
      </c>
      <c r="AM188" s="4"/>
      <c r="AN188" s="4"/>
      <c r="AO188" s="4"/>
      <c r="AP188" s="4"/>
      <c r="AQ188" s="4"/>
      <c r="AR188" s="20" t="str">
        <f t="shared" si="132"/>
        <v>-</v>
      </c>
      <c r="AS188" s="13" t="str">
        <f t="shared" si="148"/>
        <v>-</v>
      </c>
      <c r="AT188" s="13" t="str">
        <f t="shared" si="149"/>
        <v>-</v>
      </c>
      <c r="AU188" s="13" t="str">
        <f t="shared" si="133"/>
        <v>-</v>
      </c>
      <c r="AV188" s="16" t="str">
        <f t="shared" si="150"/>
        <v>-</v>
      </c>
      <c r="AW188" s="16" t="str">
        <f t="shared" si="134"/>
        <v>-</v>
      </c>
      <c r="AX188" s="16" t="str">
        <f t="shared" si="135"/>
        <v>-</v>
      </c>
      <c r="AY188" s="16" t="str">
        <f t="shared" si="151"/>
        <v>-</v>
      </c>
      <c r="AZ188" s="13" t="str">
        <f t="shared" si="152"/>
        <v>-</v>
      </c>
      <c r="BA188" s="10" t="str">
        <f t="shared" si="153"/>
        <v>-</v>
      </c>
      <c r="BB188" s="9" t="str">
        <f t="shared" si="154"/>
        <v>-</v>
      </c>
      <c r="BC188" s="13" t="str">
        <f t="shared" si="155"/>
        <v>-</v>
      </c>
      <c r="BD188" s="10" t="str">
        <f t="shared" si="156"/>
        <v>-</v>
      </c>
      <c r="BE188" s="13" t="str">
        <f t="shared" si="157"/>
        <v>-</v>
      </c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</row>
    <row r="189" spans="2:70" x14ac:dyDescent="0.3">
      <c r="B189" s="96" t="str">
        <f t="shared" si="136"/>
        <v/>
      </c>
      <c r="C189" s="96" t="str">
        <f t="shared" si="137"/>
        <v/>
      </c>
      <c r="D189" s="96" t="str">
        <f t="shared" si="138"/>
        <v/>
      </c>
      <c r="E189" s="3"/>
      <c r="F189" s="3"/>
      <c r="G189" s="3"/>
      <c r="H189" s="3"/>
      <c r="I189" s="20">
        <f>IFERROR(INDEX('Input - Walmart'!G$2:G$200,MATCH('Calculations - Walmart'!$D189,'Input - Walmart'!$B$2:$B$200,0)),"")</f>
        <v>0</v>
      </c>
      <c r="J189" s="20">
        <f>IFERROR(INDEX('Input - Walmart'!H$2:H$200,MATCH('Calculations - Walmart'!$D189,'Input - Walmart'!$B$2:$B$200,0)),"")</f>
        <v>0</v>
      </c>
      <c r="K189" s="21">
        <f>IFERROR(INDEX('Input - Walmart'!I$2:I$200,MATCH('Calculations - Walmart'!$D189,'Input - Walmart'!$B$2:$B$200,0)),"")</f>
        <v>0</v>
      </c>
      <c r="L189" s="21">
        <f>IFERROR(INDEX('Input - Walmart'!J$2:J$200,MATCH('Calculations - Walmart'!$D189,'Input - Walmart'!$B$2:$B$200,0)),"")</f>
        <v>0</v>
      </c>
      <c r="M189" s="20">
        <f>IFERROR(INDEX('Input - Walmart'!K$2:K$200,MATCH('Calculations - Walmart'!$D189,'Input - Walmart'!$B$2:$B$200,0)),"")</f>
        <v>0</v>
      </c>
      <c r="N189" s="20">
        <f>IFERROR(INDEX('Input - Walmart'!L$2:L$200,MATCH('Calculations - Walmart'!$D189,'Input - Walmart'!$B$2:$B$200,0)),"")</f>
        <v>0</v>
      </c>
      <c r="O189" s="21" t="str">
        <f t="shared" si="139"/>
        <v/>
      </c>
      <c r="P189" s="21" t="str">
        <f t="shared" si="123"/>
        <v/>
      </c>
      <c r="Q189" s="21">
        <f t="shared" si="140"/>
        <v>0</v>
      </c>
      <c r="R189" s="9">
        <f t="shared" si="121"/>
        <v>0</v>
      </c>
      <c r="S189" s="9">
        <f t="shared" si="122"/>
        <v>0</v>
      </c>
      <c r="T189" s="22" t="str">
        <f>IFERROR(INDEX(Walmart!$S$11:$S$192,MATCH('Calculations - Walmart'!$D189,Walmart!$N$11:$N$192,0)),"")</f>
        <v/>
      </c>
      <c r="U189" s="22" t="str">
        <f>IFERROR(INDEX(Walmart!$T$11:$T$192,MATCH('Calculations - Walmart'!$D189,Walmart!$N$11:$N$192,0)),"")</f>
        <v/>
      </c>
      <c r="V189" s="16" t="e">
        <f t="shared" si="124"/>
        <v>#VALUE!</v>
      </c>
      <c r="W189" s="16" t="e">
        <f t="shared" si="141"/>
        <v>#VALUE!</v>
      </c>
      <c r="X189" s="16" t="e">
        <f t="shared" si="142"/>
        <v>#VALUE!</v>
      </c>
      <c r="Y189" s="10" t="str">
        <f t="shared" si="125"/>
        <v>-</v>
      </c>
      <c r="Z189" s="10" t="str">
        <f t="shared" si="126"/>
        <v>-</v>
      </c>
      <c r="AA189" s="13" t="str">
        <f t="shared" si="143"/>
        <v>-</v>
      </c>
      <c r="AB189" s="9" t="str">
        <f t="shared" si="127"/>
        <v>-</v>
      </c>
      <c r="AC189" s="16" t="str">
        <f t="shared" si="144"/>
        <v>-</v>
      </c>
      <c r="AD189" s="16" t="str">
        <f t="shared" si="128"/>
        <v>-</v>
      </c>
      <c r="AE189" s="16" t="str">
        <f t="shared" si="129"/>
        <v>-</v>
      </c>
      <c r="AF189" s="16" t="str">
        <f t="shared" si="145"/>
        <v>-</v>
      </c>
      <c r="AG189" s="16"/>
      <c r="AH189" s="32" t="str">
        <f>IFERROR(INDEX(Walmart!$R$11:$R$192,MATCH('Calculations - Walmart'!D189,Walmart!$N$11:$N$192,0)),"")</f>
        <v/>
      </c>
      <c r="AI189" s="23" t="str">
        <f t="shared" si="146"/>
        <v/>
      </c>
      <c r="AJ189" s="23" t="str">
        <f t="shared" si="147"/>
        <v/>
      </c>
      <c r="AK189" s="9" t="str">
        <f t="shared" si="130"/>
        <v/>
      </c>
      <c r="AL189" s="4" t="str">
        <f t="shared" si="131"/>
        <v/>
      </c>
      <c r="AM189" s="4"/>
      <c r="AN189" s="4"/>
      <c r="AO189" s="4"/>
      <c r="AP189" s="4"/>
      <c r="AQ189" s="4"/>
      <c r="AR189" s="20" t="str">
        <f t="shared" si="132"/>
        <v>-</v>
      </c>
      <c r="AS189" s="13" t="str">
        <f t="shared" si="148"/>
        <v>-</v>
      </c>
      <c r="AT189" s="13" t="str">
        <f t="shared" si="149"/>
        <v>-</v>
      </c>
      <c r="AU189" s="13" t="str">
        <f t="shared" si="133"/>
        <v>-</v>
      </c>
      <c r="AV189" s="16" t="str">
        <f t="shared" si="150"/>
        <v>-</v>
      </c>
      <c r="AW189" s="16" t="str">
        <f t="shared" si="134"/>
        <v>-</v>
      </c>
      <c r="AX189" s="16" t="str">
        <f t="shared" si="135"/>
        <v>-</v>
      </c>
      <c r="AY189" s="16" t="str">
        <f t="shared" si="151"/>
        <v>-</v>
      </c>
      <c r="AZ189" s="13" t="str">
        <f t="shared" si="152"/>
        <v>-</v>
      </c>
      <c r="BA189" s="10" t="str">
        <f t="shared" si="153"/>
        <v>-</v>
      </c>
      <c r="BB189" s="9" t="str">
        <f t="shared" si="154"/>
        <v>-</v>
      </c>
      <c r="BC189" s="13" t="str">
        <f t="shared" si="155"/>
        <v>-</v>
      </c>
      <c r="BD189" s="10" t="str">
        <f t="shared" si="156"/>
        <v>-</v>
      </c>
      <c r="BE189" s="13" t="str">
        <f t="shared" si="157"/>
        <v>-</v>
      </c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</row>
    <row r="190" spans="2:70" x14ac:dyDescent="0.3">
      <c r="B190" s="96" t="str">
        <f t="shared" si="136"/>
        <v/>
      </c>
      <c r="C190" s="96" t="str">
        <f t="shared" si="137"/>
        <v/>
      </c>
      <c r="D190" s="96" t="str">
        <f t="shared" si="138"/>
        <v/>
      </c>
      <c r="E190" s="3"/>
      <c r="F190" s="3"/>
      <c r="G190" s="3"/>
      <c r="H190" s="3"/>
      <c r="I190" s="20">
        <f>IFERROR(INDEX('Input - Walmart'!G$2:G$200,MATCH('Calculations - Walmart'!$D190,'Input - Walmart'!$B$2:$B$200,0)),"")</f>
        <v>0</v>
      </c>
      <c r="J190" s="20">
        <f>IFERROR(INDEX('Input - Walmart'!H$2:H$200,MATCH('Calculations - Walmart'!$D190,'Input - Walmart'!$B$2:$B$200,0)),"")</f>
        <v>0</v>
      </c>
      <c r="K190" s="21">
        <f>IFERROR(INDEX('Input - Walmart'!I$2:I$200,MATCH('Calculations - Walmart'!$D190,'Input - Walmart'!$B$2:$B$200,0)),"")</f>
        <v>0</v>
      </c>
      <c r="L190" s="21">
        <f>IFERROR(INDEX('Input - Walmart'!J$2:J$200,MATCH('Calculations - Walmart'!$D190,'Input - Walmart'!$B$2:$B$200,0)),"")</f>
        <v>0</v>
      </c>
      <c r="M190" s="20">
        <f>IFERROR(INDEX('Input - Walmart'!K$2:K$200,MATCH('Calculations - Walmart'!$D190,'Input - Walmart'!$B$2:$B$200,0)),"")</f>
        <v>0</v>
      </c>
      <c r="N190" s="20">
        <f>IFERROR(INDEX('Input - Walmart'!L$2:L$200,MATCH('Calculations - Walmart'!$D190,'Input - Walmart'!$B$2:$B$200,0)),"")</f>
        <v>0</v>
      </c>
      <c r="O190" s="21" t="str">
        <f t="shared" si="139"/>
        <v/>
      </c>
      <c r="P190" s="21" t="str">
        <f t="shared" si="123"/>
        <v/>
      </c>
      <c r="Q190" s="21">
        <f t="shared" si="140"/>
        <v>0</v>
      </c>
      <c r="R190" s="9">
        <f t="shared" si="121"/>
        <v>0</v>
      </c>
      <c r="S190" s="9">
        <f t="shared" si="122"/>
        <v>0</v>
      </c>
      <c r="T190" s="22" t="str">
        <f>IFERROR(INDEX(Walmart!$S$11:$S$192,MATCH('Calculations - Walmart'!$D190,Walmart!$N$11:$N$192,0)),"")</f>
        <v/>
      </c>
      <c r="U190" s="22" t="str">
        <f>IFERROR(INDEX(Walmart!$T$11:$T$192,MATCH('Calculations - Walmart'!$D190,Walmart!$N$11:$N$192,0)),"")</f>
        <v/>
      </c>
      <c r="V190" s="16" t="e">
        <f t="shared" si="124"/>
        <v>#VALUE!</v>
      </c>
      <c r="W190" s="16" t="e">
        <f t="shared" si="141"/>
        <v>#VALUE!</v>
      </c>
      <c r="X190" s="16" t="e">
        <f t="shared" si="142"/>
        <v>#VALUE!</v>
      </c>
      <c r="Y190" s="10" t="str">
        <f t="shared" si="125"/>
        <v>-</v>
      </c>
      <c r="Z190" s="10" t="str">
        <f t="shared" si="126"/>
        <v>-</v>
      </c>
      <c r="AA190" s="13" t="str">
        <f t="shared" si="143"/>
        <v>-</v>
      </c>
      <c r="AB190" s="9" t="str">
        <f t="shared" si="127"/>
        <v>-</v>
      </c>
      <c r="AC190" s="16" t="str">
        <f t="shared" si="144"/>
        <v>-</v>
      </c>
      <c r="AD190" s="16" t="str">
        <f t="shared" si="128"/>
        <v>-</v>
      </c>
      <c r="AE190" s="16" t="str">
        <f t="shared" si="129"/>
        <v>-</v>
      </c>
      <c r="AF190" s="16" t="str">
        <f t="shared" si="145"/>
        <v>-</v>
      </c>
      <c r="AG190" s="16"/>
      <c r="AH190" s="32" t="str">
        <f>IFERROR(INDEX(Walmart!$R$11:$R$192,MATCH('Calculations - Walmart'!D190,Walmart!$N$11:$N$192,0)),"")</f>
        <v/>
      </c>
      <c r="AI190" s="23" t="str">
        <f t="shared" si="146"/>
        <v/>
      </c>
      <c r="AJ190" s="23" t="str">
        <f t="shared" si="147"/>
        <v/>
      </c>
      <c r="AK190" s="9" t="str">
        <f t="shared" si="130"/>
        <v/>
      </c>
      <c r="AL190" s="4" t="str">
        <f t="shared" si="131"/>
        <v/>
      </c>
      <c r="AM190" s="4"/>
      <c r="AN190" s="4"/>
      <c r="AO190" s="4"/>
      <c r="AP190" s="4"/>
      <c r="AQ190" s="4"/>
      <c r="AR190" s="20" t="str">
        <f t="shared" si="132"/>
        <v>-</v>
      </c>
      <c r="AS190" s="13" t="str">
        <f t="shared" si="148"/>
        <v>-</v>
      </c>
      <c r="AT190" s="13" t="str">
        <f t="shared" si="149"/>
        <v>-</v>
      </c>
      <c r="AU190" s="13" t="str">
        <f t="shared" si="133"/>
        <v>-</v>
      </c>
      <c r="AV190" s="16" t="str">
        <f t="shared" si="150"/>
        <v>-</v>
      </c>
      <c r="AW190" s="16" t="str">
        <f t="shared" si="134"/>
        <v>-</v>
      </c>
      <c r="AX190" s="16" t="str">
        <f t="shared" si="135"/>
        <v>-</v>
      </c>
      <c r="AY190" s="16" t="str">
        <f t="shared" si="151"/>
        <v>-</v>
      </c>
      <c r="AZ190" s="13" t="str">
        <f t="shared" si="152"/>
        <v>-</v>
      </c>
      <c r="BA190" s="10" t="str">
        <f t="shared" si="153"/>
        <v>-</v>
      </c>
      <c r="BB190" s="9" t="str">
        <f t="shared" si="154"/>
        <v>-</v>
      </c>
      <c r="BC190" s="13" t="str">
        <f t="shared" si="155"/>
        <v>-</v>
      </c>
      <c r="BD190" s="10" t="str">
        <f t="shared" si="156"/>
        <v>-</v>
      </c>
      <c r="BE190" s="13" t="str">
        <f t="shared" si="157"/>
        <v>-</v>
      </c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</row>
    <row r="191" spans="2:70" x14ac:dyDescent="0.3">
      <c r="B191" s="96" t="str">
        <f t="shared" si="136"/>
        <v/>
      </c>
      <c r="C191" s="96" t="str">
        <f t="shared" si="137"/>
        <v/>
      </c>
      <c r="D191" s="96" t="str">
        <f t="shared" si="138"/>
        <v/>
      </c>
      <c r="E191" s="3"/>
      <c r="F191" s="3"/>
      <c r="G191" s="3"/>
      <c r="H191" s="3"/>
      <c r="I191" s="20">
        <f>IFERROR(INDEX('Input - Walmart'!G$2:G$200,MATCH('Calculations - Walmart'!$D191,'Input - Walmart'!$B$2:$B$200,0)),"")</f>
        <v>0</v>
      </c>
      <c r="J191" s="20">
        <f>IFERROR(INDEX('Input - Walmart'!H$2:H$200,MATCH('Calculations - Walmart'!$D191,'Input - Walmart'!$B$2:$B$200,0)),"")</f>
        <v>0</v>
      </c>
      <c r="K191" s="21">
        <f>IFERROR(INDEX('Input - Walmart'!I$2:I$200,MATCH('Calculations - Walmart'!$D191,'Input - Walmart'!$B$2:$B$200,0)),"")</f>
        <v>0</v>
      </c>
      <c r="L191" s="21">
        <f>IFERROR(INDEX('Input - Walmart'!J$2:J$200,MATCH('Calculations - Walmart'!$D191,'Input - Walmart'!$B$2:$B$200,0)),"")</f>
        <v>0</v>
      </c>
      <c r="M191" s="20">
        <f>IFERROR(INDEX('Input - Walmart'!K$2:K$200,MATCH('Calculations - Walmart'!$D191,'Input - Walmart'!$B$2:$B$200,0)),"")</f>
        <v>0</v>
      </c>
      <c r="N191" s="20">
        <f>IFERROR(INDEX('Input - Walmart'!L$2:L$200,MATCH('Calculations - Walmart'!$D191,'Input - Walmart'!$B$2:$B$200,0)),"")</f>
        <v>0</v>
      </c>
      <c r="O191" s="21" t="str">
        <f t="shared" si="139"/>
        <v/>
      </c>
      <c r="P191" s="21" t="str">
        <f t="shared" si="123"/>
        <v/>
      </c>
      <c r="Q191" s="21">
        <f t="shared" si="140"/>
        <v>0</v>
      </c>
      <c r="R191" s="9">
        <f t="shared" si="121"/>
        <v>0</v>
      </c>
      <c r="S191" s="9">
        <f t="shared" si="122"/>
        <v>0</v>
      </c>
      <c r="T191" s="22" t="str">
        <f>IFERROR(INDEX(Walmart!$S$11:$S$192,MATCH('Calculations - Walmart'!$D191,Walmart!$N$11:$N$192,0)),"")</f>
        <v/>
      </c>
      <c r="U191" s="22" t="str">
        <f>IFERROR(INDEX(Walmart!$T$11:$T$192,MATCH('Calculations - Walmart'!$D191,Walmart!$N$11:$N$192,0)),"")</f>
        <v/>
      </c>
      <c r="V191" s="16" t="e">
        <f t="shared" si="124"/>
        <v>#VALUE!</v>
      </c>
      <c r="W191" s="16" t="e">
        <f t="shared" si="141"/>
        <v>#VALUE!</v>
      </c>
      <c r="X191" s="16" t="e">
        <f t="shared" si="142"/>
        <v>#VALUE!</v>
      </c>
      <c r="Y191" s="10" t="str">
        <f t="shared" si="125"/>
        <v>-</v>
      </c>
      <c r="Z191" s="10" t="str">
        <f t="shared" si="126"/>
        <v>-</v>
      </c>
      <c r="AA191" s="13" t="str">
        <f t="shared" si="143"/>
        <v>-</v>
      </c>
      <c r="AB191" s="9" t="str">
        <f t="shared" si="127"/>
        <v>-</v>
      </c>
      <c r="AC191" s="16" t="str">
        <f t="shared" si="144"/>
        <v>-</v>
      </c>
      <c r="AD191" s="16" t="str">
        <f t="shared" si="128"/>
        <v>-</v>
      </c>
      <c r="AE191" s="16" t="str">
        <f t="shared" si="129"/>
        <v>-</v>
      </c>
      <c r="AF191" s="16" t="str">
        <f t="shared" si="145"/>
        <v>-</v>
      </c>
      <c r="AG191" s="16"/>
      <c r="AH191" s="32" t="str">
        <f>IFERROR(INDEX(Walmart!$R$11:$R$192,MATCH('Calculations - Walmart'!D191,Walmart!$N$11:$N$192,0)),"")</f>
        <v/>
      </c>
      <c r="AI191" s="23" t="str">
        <f t="shared" si="146"/>
        <v/>
      </c>
      <c r="AJ191" s="23" t="str">
        <f t="shared" si="147"/>
        <v/>
      </c>
      <c r="AK191" s="9" t="str">
        <f t="shared" si="130"/>
        <v/>
      </c>
      <c r="AL191" s="4" t="str">
        <f t="shared" si="131"/>
        <v/>
      </c>
      <c r="AM191" s="4"/>
      <c r="AN191" s="4"/>
      <c r="AO191" s="4"/>
      <c r="AP191" s="4"/>
      <c r="AQ191" s="4"/>
      <c r="AR191" s="20" t="str">
        <f t="shared" si="132"/>
        <v>-</v>
      </c>
      <c r="AS191" s="13" t="str">
        <f t="shared" si="148"/>
        <v>-</v>
      </c>
      <c r="AT191" s="13" t="str">
        <f t="shared" si="149"/>
        <v>-</v>
      </c>
      <c r="AU191" s="13" t="str">
        <f t="shared" si="133"/>
        <v>-</v>
      </c>
      <c r="AV191" s="16" t="str">
        <f t="shared" si="150"/>
        <v>-</v>
      </c>
      <c r="AW191" s="16" t="str">
        <f t="shared" si="134"/>
        <v>-</v>
      </c>
      <c r="AX191" s="16" t="str">
        <f t="shared" si="135"/>
        <v>-</v>
      </c>
      <c r="AY191" s="16" t="str">
        <f t="shared" si="151"/>
        <v>-</v>
      </c>
      <c r="AZ191" s="13" t="str">
        <f t="shared" si="152"/>
        <v>-</v>
      </c>
      <c r="BA191" s="10" t="str">
        <f t="shared" si="153"/>
        <v>-</v>
      </c>
      <c r="BB191" s="9" t="str">
        <f t="shared" si="154"/>
        <v>-</v>
      </c>
      <c r="BC191" s="13" t="str">
        <f t="shared" si="155"/>
        <v>-</v>
      </c>
      <c r="BD191" s="10" t="str">
        <f t="shared" si="156"/>
        <v>-</v>
      </c>
      <c r="BE191" s="13" t="str">
        <f t="shared" si="157"/>
        <v>-</v>
      </c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</row>
    <row r="192" spans="2:70" x14ac:dyDescent="0.3">
      <c r="B192" s="96" t="str">
        <f t="shared" si="136"/>
        <v/>
      </c>
      <c r="C192" s="96" t="str">
        <f t="shared" si="137"/>
        <v/>
      </c>
      <c r="D192" s="96" t="str">
        <f t="shared" si="138"/>
        <v/>
      </c>
      <c r="E192" s="3"/>
      <c r="F192" s="3"/>
      <c r="G192" s="3"/>
      <c r="H192" s="3"/>
      <c r="I192" s="20">
        <f>IFERROR(INDEX('Input - Walmart'!G$2:G$200,MATCH('Calculations - Walmart'!$D192,'Input - Walmart'!$B$2:$B$200,0)),"")</f>
        <v>0</v>
      </c>
      <c r="J192" s="20">
        <f>IFERROR(INDEX('Input - Walmart'!H$2:H$200,MATCH('Calculations - Walmart'!$D192,'Input - Walmart'!$B$2:$B$200,0)),"")</f>
        <v>0</v>
      </c>
      <c r="K192" s="21">
        <f>IFERROR(INDEX('Input - Walmart'!I$2:I$200,MATCH('Calculations - Walmart'!$D192,'Input - Walmart'!$B$2:$B$200,0)),"")</f>
        <v>0</v>
      </c>
      <c r="L192" s="21">
        <f>IFERROR(INDEX('Input - Walmart'!J$2:J$200,MATCH('Calculations - Walmart'!$D192,'Input - Walmart'!$B$2:$B$200,0)),"")</f>
        <v>0</v>
      </c>
      <c r="M192" s="20">
        <f>IFERROR(INDEX('Input - Walmart'!K$2:K$200,MATCH('Calculations - Walmart'!$D192,'Input - Walmart'!$B$2:$B$200,0)),"")</f>
        <v>0</v>
      </c>
      <c r="N192" s="20">
        <f>IFERROR(INDEX('Input - Walmart'!L$2:L$200,MATCH('Calculations - Walmart'!$D192,'Input - Walmart'!$B$2:$B$200,0)),"")</f>
        <v>0</v>
      </c>
      <c r="O192" s="21" t="str">
        <f t="shared" si="139"/>
        <v/>
      </c>
      <c r="P192" s="21" t="str">
        <f t="shared" si="123"/>
        <v/>
      </c>
      <c r="Q192" s="21">
        <f t="shared" si="140"/>
        <v>0</v>
      </c>
      <c r="R192" s="9">
        <f t="shared" ref="R192:R229" si="158">I192/SUM(I$32:I$229)</f>
        <v>0</v>
      </c>
      <c r="S192" s="9">
        <f t="shared" ref="S192:S229" si="159">J192/SUM(J$32:J$229)</f>
        <v>0</v>
      </c>
      <c r="T192" s="22" t="str">
        <f>IFERROR(INDEX(Walmart!$S$11:$S$192,MATCH('Calculations - Walmart'!$D192,Walmart!$N$11:$N$192,0)),"")</f>
        <v/>
      </c>
      <c r="U192" s="22" t="str">
        <f>IFERROR(INDEX(Walmart!$T$11:$T$192,MATCH('Calculations - Walmart'!$D192,Walmart!$N$11:$N$192,0)),"")</f>
        <v/>
      </c>
      <c r="V192" s="16" t="e">
        <f t="shared" si="124"/>
        <v>#VALUE!</v>
      </c>
      <c r="W192" s="16" t="e">
        <f t="shared" si="141"/>
        <v>#VALUE!</v>
      </c>
      <c r="X192" s="16" t="e">
        <f t="shared" si="142"/>
        <v>#VALUE!</v>
      </c>
      <c r="Y192" s="10" t="str">
        <f t="shared" si="125"/>
        <v>-</v>
      </c>
      <c r="Z192" s="10" t="str">
        <f t="shared" si="126"/>
        <v>-</v>
      </c>
      <c r="AA192" s="13" t="str">
        <f t="shared" si="143"/>
        <v>-</v>
      </c>
      <c r="AB192" s="9" t="str">
        <f t="shared" si="127"/>
        <v>-</v>
      </c>
      <c r="AC192" s="16" t="str">
        <f t="shared" si="144"/>
        <v>-</v>
      </c>
      <c r="AD192" s="16" t="str">
        <f t="shared" si="128"/>
        <v>-</v>
      </c>
      <c r="AE192" s="16" t="str">
        <f t="shared" si="129"/>
        <v>-</v>
      </c>
      <c r="AF192" s="16" t="str">
        <f t="shared" si="145"/>
        <v>-</v>
      </c>
      <c r="AG192" s="16"/>
      <c r="AH192" s="32" t="str">
        <f>IFERROR(INDEX(Walmart!$R$11:$R$192,MATCH('Calculations - Walmart'!D192,Walmart!$N$11:$N$192,0)),"")</f>
        <v/>
      </c>
      <c r="AI192" s="23" t="str">
        <f t="shared" si="146"/>
        <v/>
      </c>
      <c r="AJ192" s="23" t="str">
        <f t="shared" si="147"/>
        <v/>
      </c>
      <c r="AK192" s="9" t="str">
        <f t="shared" si="130"/>
        <v/>
      </c>
      <c r="AL192" s="4" t="str">
        <f t="shared" si="131"/>
        <v/>
      </c>
      <c r="AM192" s="4"/>
      <c r="AN192" s="4"/>
      <c r="AO192" s="4"/>
      <c r="AP192" s="4"/>
      <c r="AQ192" s="4"/>
      <c r="AR192" s="20" t="str">
        <f t="shared" si="132"/>
        <v>-</v>
      </c>
      <c r="AS192" s="13" t="str">
        <f t="shared" si="148"/>
        <v>-</v>
      </c>
      <c r="AT192" s="13" t="str">
        <f t="shared" si="149"/>
        <v>-</v>
      </c>
      <c r="AU192" s="13" t="str">
        <f t="shared" si="133"/>
        <v>-</v>
      </c>
      <c r="AV192" s="16" t="str">
        <f t="shared" si="150"/>
        <v>-</v>
      </c>
      <c r="AW192" s="16" t="str">
        <f t="shared" si="134"/>
        <v>-</v>
      </c>
      <c r="AX192" s="16" t="str">
        <f t="shared" si="135"/>
        <v>-</v>
      </c>
      <c r="AY192" s="16" t="str">
        <f t="shared" si="151"/>
        <v>-</v>
      </c>
      <c r="AZ192" s="13" t="str">
        <f t="shared" si="152"/>
        <v>-</v>
      </c>
      <c r="BA192" s="10" t="str">
        <f t="shared" si="153"/>
        <v>-</v>
      </c>
      <c r="BB192" s="9" t="str">
        <f t="shared" si="154"/>
        <v>-</v>
      </c>
      <c r="BC192" s="13" t="str">
        <f t="shared" si="155"/>
        <v>-</v>
      </c>
      <c r="BD192" s="10" t="str">
        <f t="shared" si="156"/>
        <v>-</v>
      </c>
      <c r="BE192" s="13" t="str">
        <f t="shared" si="157"/>
        <v>-</v>
      </c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</row>
    <row r="193" spans="2:70" x14ac:dyDescent="0.3">
      <c r="B193" s="96" t="str">
        <f t="shared" si="136"/>
        <v/>
      </c>
      <c r="C193" s="96" t="str">
        <f t="shared" si="137"/>
        <v/>
      </c>
      <c r="D193" s="96" t="str">
        <f t="shared" si="138"/>
        <v/>
      </c>
      <c r="E193" s="3"/>
      <c r="F193" s="3"/>
      <c r="G193" s="3"/>
      <c r="H193" s="3"/>
      <c r="I193" s="20">
        <f>IFERROR(INDEX('Input - Walmart'!G$2:G$200,MATCH('Calculations - Walmart'!$D193,'Input - Walmart'!$B$2:$B$200,0)),"")</f>
        <v>0</v>
      </c>
      <c r="J193" s="20">
        <f>IFERROR(INDEX('Input - Walmart'!H$2:H$200,MATCH('Calculations - Walmart'!$D193,'Input - Walmart'!$B$2:$B$200,0)),"")</f>
        <v>0</v>
      </c>
      <c r="K193" s="21">
        <f>IFERROR(INDEX('Input - Walmart'!I$2:I$200,MATCH('Calculations - Walmart'!$D193,'Input - Walmart'!$B$2:$B$200,0)),"")</f>
        <v>0</v>
      </c>
      <c r="L193" s="21">
        <f>IFERROR(INDEX('Input - Walmart'!J$2:J$200,MATCH('Calculations - Walmart'!$D193,'Input - Walmart'!$B$2:$B$200,0)),"")</f>
        <v>0</v>
      </c>
      <c r="M193" s="20">
        <f>IFERROR(INDEX('Input - Walmart'!K$2:K$200,MATCH('Calculations - Walmart'!$D193,'Input - Walmart'!$B$2:$B$200,0)),"")</f>
        <v>0</v>
      </c>
      <c r="N193" s="20">
        <f>IFERROR(INDEX('Input - Walmart'!L$2:L$200,MATCH('Calculations - Walmart'!$D193,'Input - Walmart'!$B$2:$B$200,0)),"")</f>
        <v>0</v>
      </c>
      <c r="O193" s="21" t="str">
        <f t="shared" si="139"/>
        <v/>
      </c>
      <c r="P193" s="21" t="str">
        <f t="shared" si="123"/>
        <v/>
      </c>
      <c r="Q193" s="21">
        <f t="shared" si="140"/>
        <v>0</v>
      </c>
      <c r="R193" s="9">
        <f t="shared" si="158"/>
        <v>0</v>
      </c>
      <c r="S193" s="9">
        <f t="shared" si="159"/>
        <v>0</v>
      </c>
      <c r="T193" s="22" t="str">
        <f>IFERROR(INDEX(Walmart!$S$11:$S$192,MATCH('Calculations - Walmart'!$D193,Walmart!$N$11:$N$192,0)),"")</f>
        <v/>
      </c>
      <c r="U193" s="22" t="str">
        <f>IFERROR(INDEX(Walmart!$T$11:$T$192,MATCH('Calculations - Walmart'!$D193,Walmart!$N$11:$N$192,0)),"")</f>
        <v/>
      </c>
      <c r="V193" s="16" t="e">
        <f t="shared" si="124"/>
        <v>#VALUE!</v>
      </c>
      <c r="W193" s="16" t="e">
        <f t="shared" si="141"/>
        <v>#VALUE!</v>
      </c>
      <c r="X193" s="16" t="e">
        <f t="shared" si="142"/>
        <v>#VALUE!</v>
      </c>
      <c r="Y193" s="10" t="str">
        <f t="shared" si="125"/>
        <v>-</v>
      </c>
      <c r="Z193" s="10" t="str">
        <f t="shared" si="126"/>
        <v>-</v>
      </c>
      <c r="AA193" s="13" t="str">
        <f t="shared" si="143"/>
        <v>-</v>
      </c>
      <c r="AB193" s="9" t="str">
        <f t="shared" si="127"/>
        <v>-</v>
      </c>
      <c r="AC193" s="16" t="str">
        <f t="shared" si="144"/>
        <v>-</v>
      </c>
      <c r="AD193" s="16" t="str">
        <f t="shared" si="128"/>
        <v>-</v>
      </c>
      <c r="AE193" s="16" t="str">
        <f t="shared" si="129"/>
        <v>-</v>
      </c>
      <c r="AF193" s="16" t="str">
        <f t="shared" si="145"/>
        <v>-</v>
      </c>
      <c r="AG193" s="16"/>
      <c r="AH193" s="32" t="str">
        <f>IFERROR(INDEX(Walmart!$R$11:$R$192,MATCH('Calculations - Walmart'!D193,Walmart!$N$11:$N$192,0)),"")</f>
        <v/>
      </c>
      <c r="AI193" s="23" t="str">
        <f t="shared" si="146"/>
        <v/>
      </c>
      <c r="AJ193" s="23" t="str">
        <f t="shared" si="147"/>
        <v/>
      </c>
      <c r="AK193" s="9" t="str">
        <f t="shared" si="130"/>
        <v/>
      </c>
      <c r="AL193" s="4" t="str">
        <f t="shared" si="131"/>
        <v/>
      </c>
      <c r="AM193" s="4"/>
      <c r="AN193" s="4"/>
      <c r="AO193" s="4"/>
      <c r="AP193" s="4"/>
      <c r="AQ193" s="4"/>
      <c r="AR193" s="20" t="str">
        <f t="shared" si="132"/>
        <v>-</v>
      </c>
      <c r="AS193" s="13" t="str">
        <f t="shared" si="148"/>
        <v>-</v>
      </c>
      <c r="AT193" s="13" t="str">
        <f t="shared" si="149"/>
        <v>-</v>
      </c>
      <c r="AU193" s="13" t="str">
        <f t="shared" si="133"/>
        <v>-</v>
      </c>
      <c r="AV193" s="16" t="str">
        <f t="shared" si="150"/>
        <v>-</v>
      </c>
      <c r="AW193" s="16" t="str">
        <f t="shared" si="134"/>
        <v>-</v>
      </c>
      <c r="AX193" s="16" t="str">
        <f t="shared" si="135"/>
        <v>-</v>
      </c>
      <c r="AY193" s="16" t="str">
        <f t="shared" si="151"/>
        <v>-</v>
      </c>
      <c r="AZ193" s="13" t="str">
        <f t="shared" si="152"/>
        <v>-</v>
      </c>
      <c r="BA193" s="10" t="str">
        <f t="shared" si="153"/>
        <v>-</v>
      </c>
      <c r="BB193" s="9" t="str">
        <f t="shared" si="154"/>
        <v>-</v>
      </c>
      <c r="BC193" s="13" t="str">
        <f t="shared" si="155"/>
        <v>-</v>
      </c>
      <c r="BD193" s="10" t="str">
        <f t="shared" si="156"/>
        <v>-</v>
      </c>
      <c r="BE193" s="13" t="str">
        <f t="shared" si="157"/>
        <v>-</v>
      </c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</row>
    <row r="194" spans="2:70" x14ac:dyDescent="0.3">
      <c r="B194" s="96" t="str">
        <f t="shared" si="136"/>
        <v/>
      </c>
      <c r="C194" s="96" t="str">
        <f t="shared" si="137"/>
        <v/>
      </c>
      <c r="D194" s="96" t="str">
        <f t="shared" si="138"/>
        <v/>
      </c>
      <c r="E194" s="3"/>
      <c r="F194" s="3"/>
      <c r="G194" s="3"/>
      <c r="H194" s="3"/>
      <c r="I194" s="20">
        <f>IFERROR(INDEX('Input - Walmart'!G$2:G$200,MATCH('Calculations - Walmart'!$D194,'Input - Walmart'!$B$2:$B$200,0)),"")</f>
        <v>0</v>
      </c>
      <c r="J194" s="20">
        <f>IFERROR(INDEX('Input - Walmart'!H$2:H$200,MATCH('Calculations - Walmart'!$D194,'Input - Walmart'!$B$2:$B$200,0)),"")</f>
        <v>0</v>
      </c>
      <c r="K194" s="21">
        <f>IFERROR(INDEX('Input - Walmart'!I$2:I$200,MATCH('Calculations - Walmart'!$D194,'Input - Walmart'!$B$2:$B$200,0)),"")</f>
        <v>0</v>
      </c>
      <c r="L194" s="21">
        <f>IFERROR(INDEX('Input - Walmart'!J$2:J$200,MATCH('Calculations - Walmart'!$D194,'Input - Walmart'!$B$2:$B$200,0)),"")</f>
        <v>0</v>
      </c>
      <c r="M194" s="20">
        <f>IFERROR(INDEX('Input - Walmart'!K$2:K$200,MATCH('Calculations - Walmart'!$D194,'Input - Walmart'!$B$2:$B$200,0)),"")</f>
        <v>0</v>
      </c>
      <c r="N194" s="20">
        <f>IFERROR(INDEX('Input - Walmart'!L$2:L$200,MATCH('Calculations - Walmart'!$D194,'Input - Walmart'!$B$2:$B$200,0)),"")</f>
        <v>0</v>
      </c>
      <c r="O194" s="21" t="str">
        <f t="shared" si="139"/>
        <v/>
      </c>
      <c r="P194" s="21" t="str">
        <f t="shared" si="123"/>
        <v/>
      </c>
      <c r="Q194" s="21">
        <f t="shared" si="140"/>
        <v>0</v>
      </c>
      <c r="R194" s="9">
        <f t="shared" si="158"/>
        <v>0</v>
      </c>
      <c r="S194" s="9">
        <f t="shared" si="159"/>
        <v>0</v>
      </c>
      <c r="T194" s="22" t="str">
        <f>IFERROR(INDEX(Walmart!$S$11:$S$192,MATCH('Calculations - Walmart'!$D194,Walmart!$N$11:$N$192,0)),"")</f>
        <v/>
      </c>
      <c r="U194" s="22" t="str">
        <f>IFERROR(INDEX(Walmart!$T$11:$T$192,MATCH('Calculations - Walmart'!$D194,Walmart!$N$11:$N$192,0)),"")</f>
        <v/>
      </c>
      <c r="V194" s="16" t="e">
        <f t="shared" si="124"/>
        <v>#VALUE!</v>
      </c>
      <c r="W194" s="16" t="e">
        <f t="shared" si="141"/>
        <v>#VALUE!</v>
      </c>
      <c r="X194" s="16" t="e">
        <f t="shared" si="142"/>
        <v>#VALUE!</v>
      </c>
      <c r="Y194" s="10" t="str">
        <f t="shared" si="125"/>
        <v>-</v>
      </c>
      <c r="Z194" s="10" t="str">
        <f t="shared" si="126"/>
        <v>-</v>
      </c>
      <c r="AA194" s="13" t="str">
        <f t="shared" si="143"/>
        <v>-</v>
      </c>
      <c r="AB194" s="9" t="str">
        <f t="shared" si="127"/>
        <v>-</v>
      </c>
      <c r="AC194" s="16" t="str">
        <f t="shared" si="144"/>
        <v>-</v>
      </c>
      <c r="AD194" s="16" t="str">
        <f t="shared" si="128"/>
        <v>-</v>
      </c>
      <c r="AE194" s="16" t="str">
        <f t="shared" si="129"/>
        <v>-</v>
      </c>
      <c r="AF194" s="16" t="str">
        <f t="shared" si="145"/>
        <v>-</v>
      </c>
      <c r="AG194" s="16"/>
      <c r="AH194" s="32" t="str">
        <f>IFERROR(INDEX(Walmart!$R$11:$R$192,MATCH('Calculations - Walmart'!D194,Walmart!$N$11:$N$192,0)),"")</f>
        <v/>
      </c>
      <c r="AI194" s="23" t="str">
        <f t="shared" si="146"/>
        <v/>
      </c>
      <c r="AJ194" s="23" t="str">
        <f t="shared" si="147"/>
        <v/>
      </c>
      <c r="AK194" s="9" t="str">
        <f t="shared" si="130"/>
        <v/>
      </c>
      <c r="AL194" s="4" t="str">
        <f t="shared" si="131"/>
        <v/>
      </c>
      <c r="AM194" s="4"/>
      <c r="AN194" s="4"/>
      <c r="AO194" s="4"/>
      <c r="AP194" s="4"/>
      <c r="AQ194" s="4"/>
      <c r="AR194" s="20" t="str">
        <f t="shared" si="132"/>
        <v>-</v>
      </c>
      <c r="AS194" s="13" t="str">
        <f t="shared" si="148"/>
        <v>-</v>
      </c>
      <c r="AT194" s="13" t="str">
        <f t="shared" si="149"/>
        <v>-</v>
      </c>
      <c r="AU194" s="13" t="str">
        <f t="shared" si="133"/>
        <v>-</v>
      </c>
      <c r="AV194" s="16" t="str">
        <f t="shared" si="150"/>
        <v>-</v>
      </c>
      <c r="AW194" s="16" t="str">
        <f t="shared" si="134"/>
        <v>-</v>
      </c>
      <c r="AX194" s="16" t="str">
        <f t="shared" si="135"/>
        <v>-</v>
      </c>
      <c r="AY194" s="16" t="str">
        <f t="shared" si="151"/>
        <v>-</v>
      </c>
      <c r="AZ194" s="13" t="str">
        <f t="shared" si="152"/>
        <v>-</v>
      </c>
      <c r="BA194" s="10" t="str">
        <f t="shared" si="153"/>
        <v>-</v>
      </c>
      <c r="BB194" s="9" t="str">
        <f t="shared" si="154"/>
        <v>-</v>
      </c>
      <c r="BC194" s="13" t="str">
        <f t="shared" si="155"/>
        <v>-</v>
      </c>
      <c r="BD194" s="10" t="str">
        <f t="shared" si="156"/>
        <v>-</v>
      </c>
      <c r="BE194" s="13" t="str">
        <f t="shared" si="157"/>
        <v>-</v>
      </c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</row>
    <row r="195" spans="2:70" x14ac:dyDescent="0.3">
      <c r="B195" s="96" t="str">
        <f t="shared" si="136"/>
        <v/>
      </c>
      <c r="C195" s="96" t="str">
        <f t="shared" si="137"/>
        <v/>
      </c>
      <c r="D195" s="96" t="str">
        <f t="shared" si="138"/>
        <v/>
      </c>
      <c r="E195" s="3"/>
      <c r="F195" s="3"/>
      <c r="G195" s="3"/>
      <c r="H195" s="3"/>
      <c r="I195" s="20">
        <f>IFERROR(INDEX('Input - Walmart'!G$2:G$200,MATCH('Calculations - Walmart'!$D195,'Input - Walmart'!$B$2:$B$200,0)),"")</f>
        <v>0</v>
      </c>
      <c r="J195" s="20">
        <f>IFERROR(INDEX('Input - Walmart'!H$2:H$200,MATCH('Calculations - Walmart'!$D195,'Input - Walmart'!$B$2:$B$200,0)),"")</f>
        <v>0</v>
      </c>
      <c r="K195" s="21">
        <f>IFERROR(INDEX('Input - Walmart'!I$2:I$200,MATCH('Calculations - Walmart'!$D195,'Input - Walmart'!$B$2:$B$200,0)),"")</f>
        <v>0</v>
      </c>
      <c r="L195" s="21">
        <f>IFERROR(INDEX('Input - Walmart'!J$2:J$200,MATCH('Calculations - Walmart'!$D195,'Input - Walmart'!$B$2:$B$200,0)),"")</f>
        <v>0</v>
      </c>
      <c r="M195" s="20">
        <f>IFERROR(INDEX('Input - Walmart'!K$2:K$200,MATCH('Calculations - Walmart'!$D195,'Input - Walmart'!$B$2:$B$200,0)),"")</f>
        <v>0</v>
      </c>
      <c r="N195" s="20">
        <f>IFERROR(INDEX('Input - Walmart'!L$2:L$200,MATCH('Calculations - Walmart'!$D195,'Input - Walmart'!$B$2:$B$200,0)),"")</f>
        <v>0</v>
      </c>
      <c r="O195" s="21" t="str">
        <f t="shared" si="139"/>
        <v/>
      </c>
      <c r="P195" s="21" t="str">
        <f t="shared" si="123"/>
        <v/>
      </c>
      <c r="Q195" s="21">
        <f t="shared" si="140"/>
        <v>0</v>
      </c>
      <c r="R195" s="9">
        <f t="shared" si="158"/>
        <v>0</v>
      </c>
      <c r="S195" s="9">
        <f t="shared" si="159"/>
        <v>0</v>
      </c>
      <c r="T195" s="22" t="str">
        <f>IFERROR(INDEX(Walmart!$S$11:$S$192,MATCH('Calculations - Walmart'!$D195,Walmart!$N$11:$N$192,0)),"")</f>
        <v/>
      </c>
      <c r="U195" s="22" t="str">
        <f>IFERROR(INDEX(Walmart!$T$11:$T$192,MATCH('Calculations - Walmart'!$D195,Walmart!$N$11:$N$192,0)),"")</f>
        <v/>
      </c>
      <c r="V195" s="16" t="e">
        <f t="shared" si="124"/>
        <v>#VALUE!</v>
      </c>
      <c r="W195" s="16" t="e">
        <f t="shared" si="141"/>
        <v>#VALUE!</v>
      </c>
      <c r="X195" s="16" t="e">
        <f t="shared" si="142"/>
        <v>#VALUE!</v>
      </c>
      <c r="Y195" s="10" t="str">
        <f t="shared" si="125"/>
        <v>-</v>
      </c>
      <c r="Z195" s="10" t="str">
        <f t="shared" si="126"/>
        <v>-</v>
      </c>
      <c r="AA195" s="13" t="str">
        <f t="shared" si="143"/>
        <v>-</v>
      </c>
      <c r="AB195" s="9" t="str">
        <f t="shared" si="127"/>
        <v>-</v>
      </c>
      <c r="AC195" s="16" t="str">
        <f t="shared" si="144"/>
        <v>-</v>
      </c>
      <c r="AD195" s="16" t="str">
        <f t="shared" si="128"/>
        <v>-</v>
      </c>
      <c r="AE195" s="16" t="str">
        <f t="shared" si="129"/>
        <v>-</v>
      </c>
      <c r="AF195" s="16" t="str">
        <f t="shared" si="145"/>
        <v>-</v>
      </c>
      <c r="AG195" s="16"/>
      <c r="AH195" s="32" t="str">
        <f>IFERROR(INDEX(Walmart!$R$11:$R$192,MATCH('Calculations - Walmart'!D195,Walmart!$N$11:$N$192,0)),"")</f>
        <v/>
      </c>
      <c r="AI195" s="23" t="str">
        <f t="shared" si="146"/>
        <v/>
      </c>
      <c r="AJ195" s="23" t="str">
        <f t="shared" si="147"/>
        <v/>
      </c>
      <c r="AK195" s="9" t="str">
        <f t="shared" si="130"/>
        <v/>
      </c>
      <c r="AL195" s="4" t="str">
        <f t="shared" si="131"/>
        <v/>
      </c>
      <c r="AM195" s="4"/>
      <c r="AN195" s="4"/>
      <c r="AO195" s="4"/>
      <c r="AP195" s="4"/>
      <c r="AQ195" s="4"/>
      <c r="AR195" s="20" t="str">
        <f t="shared" si="132"/>
        <v>-</v>
      </c>
      <c r="AS195" s="13" t="str">
        <f t="shared" si="148"/>
        <v>-</v>
      </c>
      <c r="AT195" s="13" t="str">
        <f t="shared" si="149"/>
        <v>-</v>
      </c>
      <c r="AU195" s="13" t="str">
        <f t="shared" si="133"/>
        <v>-</v>
      </c>
      <c r="AV195" s="16" t="str">
        <f t="shared" si="150"/>
        <v>-</v>
      </c>
      <c r="AW195" s="16" t="str">
        <f t="shared" si="134"/>
        <v>-</v>
      </c>
      <c r="AX195" s="16" t="str">
        <f t="shared" si="135"/>
        <v>-</v>
      </c>
      <c r="AY195" s="16" t="str">
        <f t="shared" si="151"/>
        <v>-</v>
      </c>
      <c r="AZ195" s="13" t="str">
        <f t="shared" si="152"/>
        <v>-</v>
      </c>
      <c r="BA195" s="10" t="str">
        <f t="shared" si="153"/>
        <v>-</v>
      </c>
      <c r="BB195" s="9" t="str">
        <f t="shared" si="154"/>
        <v>-</v>
      </c>
      <c r="BC195" s="13" t="str">
        <f t="shared" si="155"/>
        <v>-</v>
      </c>
      <c r="BD195" s="10" t="str">
        <f t="shared" si="156"/>
        <v>-</v>
      </c>
      <c r="BE195" s="13" t="str">
        <f t="shared" si="157"/>
        <v>-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</row>
    <row r="196" spans="2:70" x14ac:dyDescent="0.3">
      <c r="B196" s="96" t="str">
        <f t="shared" si="136"/>
        <v/>
      </c>
      <c r="C196" s="96" t="str">
        <f t="shared" si="137"/>
        <v/>
      </c>
      <c r="D196" s="96" t="str">
        <f t="shared" si="138"/>
        <v/>
      </c>
      <c r="E196" s="3"/>
      <c r="F196" s="3"/>
      <c r="G196" s="3"/>
      <c r="H196" s="3"/>
      <c r="I196" s="20">
        <f>IFERROR(INDEX('Input - Walmart'!G$2:G$200,MATCH('Calculations - Walmart'!$D196,'Input - Walmart'!$B$2:$B$200,0)),"")</f>
        <v>0</v>
      </c>
      <c r="J196" s="20">
        <f>IFERROR(INDEX('Input - Walmart'!H$2:H$200,MATCH('Calculations - Walmart'!$D196,'Input - Walmart'!$B$2:$B$200,0)),"")</f>
        <v>0</v>
      </c>
      <c r="K196" s="21">
        <f>IFERROR(INDEX('Input - Walmart'!I$2:I$200,MATCH('Calculations - Walmart'!$D196,'Input - Walmart'!$B$2:$B$200,0)),"")</f>
        <v>0</v>
      </c>
      <c r="L196" s="21">
        <f>IFERROR(INDEX('Input - Walmart'!J$2:J$200,MATCH('Calculations - Walmart'!$D196,'Input - Walmart'!$B$2:$B$200,0)),"")</f>
        <v>0</v>
      </c>
      <c r="M196" s="20">
        <f>IFERROR(INDEX('Input - Walmart'!K$2:K$200,MATCH('Calculations - Walmart'!$D196,'Input - Walmart'!$B$2:$B$200,0)),"")</f>
        <v>0</v>
      </c>
      <c r="N196" s="20">
        <f>IFERROR(INDEX('Input - Walmart'!L$2:L$200,MATCH('Calculations - Walmart'!$D196,'Input - Walmart'!$B$2:$B$200,0)),"")</f>
        <v>0</v>
      </c>
      <c r="O196" s="21" t="str">
        <f t="shared" si="139"/>
        <v/>
      </c>
      <c r="P196" s="21" t="str">
        <f t="shared" si="123"/>
        <v/>
      </c>
      <c r="Q196" s="21">
        <f t="shared" si="140"/>
        <v>0</v>
      </c>
      <c r="R196" s="9">
        <f t="shared" si="158"/>
        <v>0</v>
      </c>
      <c r="S196" s="9">
        <f t="shared" si="159"/>
        <v>0</v>
      </c>
      <c r="T196" s="22" t="str">
        <f>IFERROR(INDEX(Walmart!$S$11:$S$192,MATCH('Calculations - Walmart'!$D196,Walmart!$N$11:$N$192,0)),"")</f>
        <v/>
      </c>
      <c r="U196" s="22" t="str">
        <f>IFERROR(INDEX(Walmart!$T$11:$T$192,MATCH('Calculations - Walmart'!$D196,Walmart!$N$11:$N$192,0)),"")</f>
        <v/>
      </c>
      <c r="V196" s="16" t="e">
        <f t="shared" si="124"/>
        <v>#VALUE!</v>
      </c>
      <c r="W196" s="16" t="e">
        <f t="shared" si="141"/>
        <v>#VALUE!</v>
      </c>
      <c r="X196" s="16" t="e">
        <f t="shared" si="142"/>
        <v>#VALUE!</v>
      </c>
      <c r="Y196" s="10" t="str">
        <f t="shared" si="125"/>
        <v>-</v>
      </c>
      <c r="Z196" s="10" t="str">
        <f t="shared" si="126"/>
        <v>-</v>
      </c>
      <c r="AA196" s="13" t="str">
        <f t="shared" si="143"/>
        <v>-</v>
      </c>
      <c r="AB196" s="9" t="str">
        <f t="shared" si="127"/>
        <v>-</v>
      </c>
      <c r="AC196" s="16" t="str">
        <f t="shared" si="144"/>
        <v>-</v>
      </c>
      <c r="AD196" s="16" t="str">
        <f t="shared" si="128"/>
        <v>-</v>
      </c>
      <c r="AE196" s="16" t="str">
        <f t="shared" si="129"/>
        <v>-</v>
      </c>
      <c r="AF196" s="16" t="str">
        <f t="shared" si="145"/>
        <v>-</v>
      </c>
      <c r="AG196" s="16"/>
      <c r="AH196" s="32" t="str">
        <f>IFERROR(INDEX(Walmart!$R$11:$R$192,MATCH('Calculations - Walmart'!D196,Walmart!$N$11:$N$192,0)),"")</f>
        <v/>
      </c>
      <c r="AI196" s="23" t="str">
        <f t="shared" si="146"/>
        <v/>
      </c>
      <c r="AJ196" s="23" t="str">
        <f t="shared" si="147"/>
        <v/>
      </c>
      <c r="AK196" s="9" t="str">
        <f t="shared" si="130"/>
        <v/>
      </c>
      <c r="AL196" s="4" t="str">
        <f t="shared" si="131"/>
        <v/>
      </c>
      <c r="AM196" s="4"/>
      <c r="AN196" s="4"/>
      <c r="AO196" s="4"/>
      <c r="AP196" s="4"/>
      <c r="AQ196" s="4"/>
      <c r="AR196" s="20" t="str">
        <f t="shared" si="132"/>
        <v>-</v>
      </c>
      <c r="AS196" s="13" t="str">
        <f t="shared" si="148"/>
        <v>-</v>
      </c>
      <c r="AT196" s="13" t="str">
        <f t="shared" si="149"/>
        <v>-</v>
      </c>
      <c r="AU196" s="13" t="str">
        <f t="shared" si="133"/>
        <v>-</v>
      </c>
      <c r="AV196" s="16" t="str">
        <f t="shared" si="150"/>
        <v>-</v>
      </c>
      <c r="AW196" s="16" t="str">
        <f t="shared" si="134"/>
        <v>-</v>
      </c>
      <c r="AX196" s="16" t="str">
        <f t="shared" si="135"/>
        <v>-</v>
      </c>
      <c r="AY196" s="16" t="str">
        <f t="shared" si="151"/>
        <v>-</v>
      </c>
      <c r="AZ196" s="13" t="str">
        <f t="shared" si="152"/>
        <v>-</v>
      </c>
      <c r="BA196" s="10" t="str">
        <f t="shared" si="153"/>
        <v>-</v>
      </c>
      <c r="BB196" s="9" t="str">
        <f t="shared" si="154"/>
        <v>-</v>
      </c>
      <c r="BC196" s="13" t="str">
        <f t="shared" si="155"/>
        <v>-</v>
      </c>
      <c r="BD196" s="10" t="str">
        <f t="shared" si="156"/>
        <v>-</v>
      </c>
      <c r="BE196" s="13" t="str">
        <f t="shared" si="157"/>
        <v>-</v>
      </c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</row>
    <row r="197" spans="2:70" x14ac:dyDescent="0.3">
      <c r="B197" s="96" t="str">
        <f t="shared" si="136"/>
        <v/>
      </c>
      <c r="C197" s="96" t="str">
        <f t="shared" si="137"/>
        <v/>
      </c>
      <c r="D197" s="96" t="str">
        <f t="shared" si="138"/>
        <v/>
      </c>
      <c r="E197" s="3"/>
      <c r="F197" s="3"/>
      <c r="G197" s="3"/>
      <c r="H197" s="3"/>
      <c r="I197" s="20">
        <f>IFERROR(INDEX('Input - Walmart'!G$2:G$200,MATCH('Calculations - Walmart'!$D197,'Input - Walmart'!$B$2:$B$200,0)),"")</f>
        <v>0</v>
      </c>
      <c r="J197" s="20">
        <f>IFERROR(INDEX('Input - Walmart'!H$2:H$200,MATCH('Calculations - Walmart'!$D197,'Input - Walmart'!$B$2:$B$200,0)),"")</f>
        <v>0</v>
      </c>
      <c r="K197" s="21">
        <f>IFERROR(INDEX('Input - Walmart'!I$2:I$200,MATCH('Calculations - Walmart'!$D197,'Input - Walmart'!$B$2:$B$200,0)),"")</f>
        <v>0</v>
      </c>
      <c r="L197" s="21">
        <f>IFERROR(INDEX('Input - Walmart'!J$2:J$200,MATCH('Calculations - Walmart'!$D197,'Input - Walmart'!$B$2:$B$200,0)),"")</f>
        <v>0</v>
      </c>
      <c r="M197" s="20">
        <f>IFERROR(INDEX('Input - Walmart'!K$2:K$200,MATCH('Calculations - Walmart'!$D197,'Input - Walmart'!$B$2:$B$200,0)),"")</f>
        <v>0</v>
      </c>
      <c r="N197" s="20">
        <f>IFERROR(INDEX('Input - Walmart'!L$2:L$200,MATCH('Calculations - Walmart'!$D197,'Input - Walmart'!$B$2:$B$200,0)),"")</f>
        <v>0</v>
      </c>
      <c r="O197" s="21" t="str">
        <f t="shared" si="139"/>
        <v/>
      </c>
      <c r="P197" s="21" t="str">
        <f t="shared" si="123"/>
        <v/>
      </c>
      <c r="Q197" s="21">
        <f t="shared" si="140"/>
        <v>0</v>
      </c>
      <c r="R197" s="9">
        <f t="shared" si="158"/>
        <v>0</v>
      </c>
      <c r="S197" s="9">
        <f t="shared" si="159"/>
        <v>0</v>
      </c>
      <c r="T197" s="22" t="str">
        <f>IFERROR(INDEX(Walmart!$S$11:$S$192,MATCH('Calculations - Walmart'!$D197,Walmart!$N$11:$N$192,0)),"")</f>
        <v/>
      </c>
      <c r="U197" s="22" t="str">
        <f>IFERROR(INDEX(Walmart!$T$11:$T$192,MATCH('Calculations - Walmart'!$D197,Walmart!$N$11:$N$192,0)),"")</f>
        <v/>
      </c>
      <c r="V197" s="16" t="e">
        <f t="shared" si="124"/>
        <v>#VALUE!</v>
      </c>
      <c r="W197" s="16" t="e">
        <f t="shared" si="141"/>
        <v>#VALUE!</v>
      </c>
      <c r="X197" s="16" t="e">
        <f t="shared" si="142"/>
        <v>#VALUE!</v>
      </c>
      <c r="Y197" s="10" t="str">
        <f t="shared" si="125"/>
        <v>-</v>
      </c>
      <c r="Z197" s="10" t="str">
        <f t="shared" si="126"/>
        <v>-</v>
      </c>
      <c r="AA197" s="13" t="str">
        <f t="shared" si="143"/>
        <v>-</v>
      </c>
      <c r="AB197" s="9" t="str">
        <f t="shared" si="127"/>
        <v>-</v>
      </c>
      <c r="AC197" s="16" t="str">
        <f t="shared" si="144"/>
        <v>-</v>
      </c>
      <c r="AD197" s="16" t="str">
        <f t="shared" si="128"/>
        <v>-</v>
      </c>
      <c r="AE197" s="16" t="str">
        <f t="shared" si="129"/>
        <v>-</v>
      </c>
      <c r="AF197" s="16" t="str">
        <f t="shared" si="145"/>
        <v>-</v>
      </c>
      <c r="AG197" s="16"/>
      <c r="AH197" s="32" t="str">
        <f>IFERROR(INDEX(Walmart!$R$11:$R$192,MATCH('Calculations - Walmart'!D197,Walmart!$N$11:$N$192,0)),"")</f>
        <v/>
      </c>
      <c r="AI197" s="23" t="str">
        <f t="shared" si="146"/>
        <v/>
      </c>
      <c r="AJ197" s="23" t="str">
        <f t="shared" si="147"/>
        <v/>
      </c>
      <c r="AK197" s="9" t="str">
        <f t="shared" si="130"/>
        <v/>
      </c>
      <c r="AL197" s="4" t="str">
        <f t="shared" si="131"/>
        <v/>
      </c>
      <c r="AM197" s="4"/>
      <c r="AN197" s="4"/>
      <c r="AO197" s="4"/>
      <c r="AP197" s="4"/>
      <c r="AQ197" s="4"/>
      <c r="AR197" s="20" t="str">
        <f t="shared" si="132"/>
        <v>-</v>
      </c>
      <c r="AS197" s="13" t="str">
        <f t="shared" si="148"/>
        <v>-</v>
      </c>
      <c r="AT197" s="13" t="str">
        <f t="shared" si="149"/>
        <v>-</v>
      </c>
      <c r="AU197" s="13" t="str">
        <f t="shared" si="133"/>
        <v>-</v>
      </c>
      <c r="AV197" s="16" t="str">
        <f t="shared" si="150"/>
        <v>-</v>
      </c>
      <c r="AW197" s="16" t="str">
        <f t="shared" si="134"/>
        <v>-</v>
      </c>
      <c r="AX197" s="16" t="str">
        <f t="shared" si="135"/>
        <v>-</v>
      </c>
      <c r="AY197" s="16" t="str">
        <f t="shared" si="151"/>
        <v>-</v>
      </c>
      <c r="AZ197" s="13" t="str">
        <f t="shared" si="152"/>
        <v>-</v>
      </c>
      <c r="BA197" s="10" t="str">
        <f t="shared" si="153"/>
        <v>-</v>
      </c>
      <c r="BB197" s="9" t="str">
        <f t="shared" si="154"/>
        <v>-</v>
      </c>
      <c r="BC197" s="13" t="str">
        <f t="shared" si="155"/>
        <v>-</v>
      </c>
      <c r="BD197" s="10" t="str">
        <f t="shared" si="156"/>
        <v>-</v>
      </c>
      <c r="BE197" s="13" t="str">
        <f t="shared" si="157"/>
        <v>-</v>
      </c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</row>
    <row r="198" spans="2:70" x14ac:dyDescent="0.3">
      <c r="B198" s="96" t="str">
        <f t="shared" si="136"/>
        <v/>
      </c>
      <c r="C198" s="96" t="str">
        <f t="shared" si="137"/>
        <v/>
      </c>
      <c r="D198" s="96" t="str">
        <f t="shared" si="138"/>
        <v/>
      </c>
      <c r="E198" s="3"/>
      <c r="F198" s="3"/>
      <c r="G198" s="3"/>
      <c r="H198" s="3"/>
      <c r="I198" s="20">
        <f>IFERROR(INDEX('Input - Walmart'!G$2:G$200,MATCH('Calculations - Walmart'!$D198,'Input - Walmart'!$B$2:$B$200,0)),"")</f>
        <v>0</v>
      </c>
      <c r="J198" s="20">
        <f>IFERROR(INDEX('Input - Walmart'!H$2:H$200,MATCH('Calculations - Walmart'!$D198,'Input - Walmart'!$B$2:$B$200,0)),"")</f>
        <v>0</v>
      </c>
      <c r="K198" s="21">
        <f>IFERROR(INDEX('Input - Walmart'!I$2:I$200,MATCH('Calculations - Walmart'!$D198,'Input - Walmart'!$B$2:$B$200,0)),"")</f>
        <v>0</v>
      </c>
      <c r="L198" s="21">
        <f>IFERROR(INDEX('Input - Walmart'!J$2:J$200,MATCH('Calculations - Walmart'!$D198,'Input - Walmart'!$B$2:$B$200,0)),"")</f>
        <v>0</v>
      </c>
      <c r="M198" s="20">
        <f>IFERROR(INDEX('Input - Walmart'!K$2:K$200,MATCH('Calculations - Walmart'!$D198,'Input - Walmart'!$B$2:$B$200,0)),"")</f>
        <v>0</v>
      </c>
      <c r="N198" s="20">
        <f>IFERROR(INDEX('Input - Walmart'!L$2:L$200,MATCH('Calculations - Walmart'!$D198,'Input - Walmart'!$B$2:$B$200,0)),"")</f>
        <v>0</v>
      </c>
      <c r="O198" s="21" t="str">
        <f t="shared" si="139"/>
        <v/>
      </c>
      <c r="P198" s="21" t="str">
        <f t="shared" si="123"/>
        <v/>
      </c>
      <c r="Q198" s="21">
        <f t="shared" si="140"/>
        <v>0</v>
      </c>
      <c r="R198" s="9">
        <f t="shared" si="158"/>
        <v>0</v>
      </c>
      <c r="S198" s="9">
        <f t="shared" si="159"/>
        <v>0</v>
      </c>
      <c r="T198" s="22" t="str">
        <f>IFERROR(INDEX(Walmart!$S$11:$S$192,MATCH('Calculations - Walmart'!$D198,Walmart!$N$11:$N$192,0)),"")</f>
        <v/>
      </c>
      <c r="U198" s="22" t="str">
        <f>IFERROR(INDEX(Walmart!$T$11:$T$192,MATCH('Calculations - Walmart'!$D198,Walmart!$N$11:$N$192,0)),"")</f>
        <v/>
      </c>
      <c r="V198" s="16" t="e">
        <f t="shared" si="124"/>
        <v>#VALUE!</v>
      </c>
      <c r="W198" s="16" t="e">
        <f t="shared" si="141"/>
        <v>#VALUE!</v>
      </c>
      <c r="X198" s="16" t="e">
        <f t="shared" si="142"/>
        <v>#VALUE!</v>
      </c>
      <c r="Y198" s="10" t="str">
        <f t="shared" si="125"/>
        <v>-</v>
      </c>
      <c r="Z198" s="10" t="str">
        <f t="shared" si="126"/>
        <v>-</v>
      </c>
      <c r="AA198" s="13" t="str">
        <f t="shared" si="143"/>
        <v>-</v>
      </c>
      <c r="AB198" s="9" t="str">
        <f t="shared" si="127"/>
        <v>-</v>
      </c>
      <c r="AC198" s="16" t="str">
        <f t="shared" si="144"/>
        <v>-</v>
      </c>
      <c r="AD198" s="16" t="str">
        <f t="shared" si="128"/>
        <v>-</v>
      </c>
      <c r="AE198" s="16" t="str">
        <f t="shared" si="129"/>
        <v>-</v>
      </c>
      <c r="AF198" s="16" t="str">
        <f t="shared" si="145"/>
        <v>-</v>
      </c>
      <c r="AG198" s="16"/>
      <c r="AH198" s="32" t="str">
        <f>IFERROR(INDEX(Walmart!$R$11:$R$192,MATCH('Calculations - Walmart'!D198,Walmart!$N$11:$N$192,0)),"")</f>
        <v/>
      </c>
      <c r="AI198" s="23" t="str">
        <f t="shared" si="146"/>
        <v/>
      </c>
      <c r="AJ198" s="23" t="str">
        <f t="shared" si="147"/>
        <v/>
      </c>
      <c r="AK198" s="9" t="str">
        <f t="shared" si="130"/>
        <v/>
      </c>
      <c r="AL198" s="4" t="str">
        <f t="shared" si="131"/>
        <v/>
      </c>
      <c r="AM198" s="4"/>
      <c r="AN198" s="4"/>
      <c r="AO198" s="4"/>
      <c r="AP198" s="4"/>
      <c r="AQ198" s="4"/>
      <c r="AR198" s="20" t="str">
        <f t="shared" si="132"/>
        <v>-</v>
      </c>
      <c r="AS198" s="13" t="str">
        <f t="shared" si="148"/>
        <v>-</v>
      </c>
      <c r="AT198" s="13" t="str">
        <f t="shared" si="149"/>
        <v>-</v>
      </c>
      <c r="AU198" s="13" t="str">
        <f t="shared" si="133"/>
        <v>-</v>
      </c>
      <c r="AV198" s="16" t="str">
        <f t="shared" si="150"/>
        <v>-</v>
      </c>
      <c r="AW198" s="16" t="str">
        <f t="shared" si="134"/>
        <v>-</v>
      </c>
      <c r="AX198" s="16" t="str">
        <f t="shared" si="135"/>
        <v>-</v>
      </c>
      <c r="AY198" s="16" t="str">
        <f t="shared" si="151"/>
        <v>-</v>
      </c>
      <c r="AZ198" s="13" t="str">
        <f t="shared" si="152"/>
        <v>-</v>
      </c>
      <c r="BA198" s="10" t="str">
        <f t="shared" si="153"/>
        <v>-</v>
      </c>
      <c r="BB198" s="9" t="str">
        <f t="shared" si="154"/>
        <v>-</v>
      </c>
      <c r="BC198" s="13" t="str">
        <f t="shared" si="155"/>
        <v>-</v>
      </c>
      <c r="BD198" s="10" t="str">
        <f t="shared" si="156"/>
        <v>-</v>
      </c>
      <c r="BE198" s="13" t="str">
        <f t="shared" si="157"/>
        <v>-</v>
      </c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</row>
    <row r="199" spans="2:70" x14ac:dyDescent="0.3">
      <c r="B199" s="96" t="str">
        <f t="shared" si="136"/>
        <v/>
      </c>
      <c r="C199" s="96" t="str">
        <f t="shared" si="137"/>
        <v/>
      </c>
      <c r="D199" s="96" t="str">
        <f t="shared" si="138"/>
        <v/>
      </c>
      <c r="E199" s="3"/>
      <c r="F199" s="3"/>
      <c r="G199" s="3"/>
      <c r="H199" s="3"/>
      <c r="I199" s="20">
        <f>IFERROR(INDEX('Input - Walmart'!G$2:G$200,MATCH('Calculations - Walmart'!$D199,'Input - Walmart'!$B$2:$B$200,0)),"")</f>
        <v>0</v>
      </c>
      <c r="J199" s="20">
        <f>IFERROR(INDEX('Input - Walmart'!H$2:H$200,MATCH('Calculations - Walmart'!$D199,'Input - Walmart'!$B$2:$B$200,0)),"")</f>
        <v>0</v>
      </c>
      <c r="K199" s="21">
        <f>IFERROR(INDEX('Input - Walmart'!I$2:I$200,MATCH('Calculations - Walmart'!$D199,'Input - Walmart'!$B$2:$B$200,0)),"")</f>
        <v>0</v>
      </c>
      <c r="L199" s="21">
        <f>IFERROR(INDEX('Input - Walmart'!J$2:J$200,MATCH('Calculations - Walmart'!$D199,'Input - Walmart'!$B$2:$B$200,0)),"")</f>
        <v>0</v>
      </c>
      <c r="M199" s="20">
        <f>IFERROR(INDEX('Input - Walmart'!K$2:K$200,MATCH('Calculations - Walmart'!$D199,'Input - Walmart'!$B$2:$B$200,0)),"")</f>
        <v>0</v>
      </c>
      <c r="N199" s="20">
        <f>IFERROR(INDEX('Input - Walmart'!L$2:L$200,MATCH('Calculations - Walmart'!$D199,'Input - Walmart'!$B$2:$B$200,0)),"")</f>
        <v>0</v>
      </c>
      <c r="O199" s="21" t="str">
        <f t="shared" si="139"/>
        <v/>
      </c>
      <c r="P199" s="21" t="str">
        <f t="shared" si="123"/>
        <v/>
      </c>
      <c r="Q199" s="21">
        <f t="shared" si="140"/>
        <v>0</v>
      </c>
      <c r="R199" s="9">
        <f t="shared" si="158"/>
        <v>0</v>
      </c>
      <c r="S199" s="9">
        <f t="shared" si="159"/>
        <v>0</v>
      </c>
      <c r="T199" s="22" t="str">
        <f>IFERROR(INDEX(Walmart!$S$11:$S$192,MATCH('Calculations - Walmart'!$D199,Walmart!$N$11:$N$192,0)),"")</f>
        <v/>
      </c>
      <c r="U199" s="22" t="str">
        <f>IFERROR(INDEX(Walmart!$T$11:$T$192,MATCH('Calculations - Walmart'!$D199,Walmart!$N$11:$N$192,0)),"")</f>
        <v/>
      </c>
      <c r="V199" s="16" t="e">
        <f t="shared" si="124"/>
        <v>#VALUE!</v>
      </c>
      <c r="W199" s="16" t="e">
        <f t="shared" si="141"/>
        <v>#VALUE!</v>
      </c>
      <c r="X199" s="16" t="e">
        <f t="shared" si="142"/>
        <v>#VALUE!</v>
      </c>
      <c r="Y199" s="10" t="str">
        <f t="shared" si="125"/>
        <v>-</v>
      </c>
      <c r="Z199" s="10" t="str">
        <f t="shared" si="126"/>
        <v>-</v>
      </c>
      <c r="AA199" s="13" t="str">
        <f t="shared" si="143"/>
        <v>-</v>
      </c>
      <c r="AB199" s="9" t="str">
        <f t="shared" si="127"/>
        <v>-</v>
      </c>
      <c r="AC199" s="16" t="str">
        <f t="shared" si="144"/>
        <v>-</v>
      </c>
      <c r="AD199" s="16" t="str">
        <f t="shared" si="128"/>
        <v>-</v>
      </c>
      <c r="AE199" s="16" t="str">
        <f t="shared" si="129"/>
        <v>-</v>
      </c>
      <c r="AF199" s="16" t="str">
        <f t="shared" si="145"/>
        <v>-</v>
      </c>
      <c r="AG199" s="16"/>
      <c r="AH199" s="32" t="str">
        <f>IFERROR(INDEX(Walmart!$R$11:$R$192,MATCH('Calculations - Walmart'!D199,Walmart!$N$11:$N$192,0)),"")</f>
        <v/>
      </c>
      <c r="AI199" s="23" t="str">
        <f t="shared" si="146"/>
        <v/>
      </c>
      <c r="AJ199" s="23" t="str">
        <f t="shared" si="147"/>
        <v/>
      </c>
      <c r="AK199" s="9" t="str">
        <f t="shared" si="130"/>
        <v/>
      </c>
      <c r="AL199" s="4" t="str">
        <f t="shared" si="131"/>
        <v/>
      </c>
      <c r="AM199" s="4"/>
      <c r="AN199" s="4"/>
      <c r="AO199" s="4"/>
      <c r="AP199" s="4"/>
      <c r="AQ199" s="4"/>
      <c r="AR199" s="20" t="str">
        <f t="shared" si="132"/>
        <v>-</v>
      </c>
      <c r="AS199" s="13" t="str">
        <f t="shared" si="148"/>
        <v>-</v>
      </c>
      <c r="AT199" s="13" t="str">
        <f t="shared" si="149"/>
        <v>-</v>
      </c>
      <c r="AU199" s="13" t="str">
        <f t="shared" si="133"/>
        <v>-</v>
      </c>
      <c r="AV199" s="16" t="str">
        <f t="shared" si="150"/>
        <v>-</v>
      </c>
      <c r="AW199" s="16" t="str">
        <f t="shared" si="134"/>
        <v>-</v>
      </c>
      <c r="AX199" s="16" t="str">
        <f t="shared" si="135"/>
        <v>-</v>
      </c>
      <c r="AY199" s="16" t="str">
        <f t="shared" si="151"/>
        <v>-</v>
      </c>
      <c r="AZ199" s="13" t="str">
        <f t="shared" si="152"/>
        <v>-</v>
      </c>
      <c r="BA199" s="10" t="str">
        <f t="shared" si="153"/>
        <v>-</v>
      </c>
      <c r="BB199" s="9" t="str">
        <f t="shared" si="154"/>
        <v>-</v>
      </c>
      <c r="BC199" s="13" t="str">
        <f t="shared" si="155"/>
        <v>-</v>
      </c>
      <c r="BD199" s="10" t="str">
        <f t="shared" si="156"/>
        <v>-</v>
      </c>
      <c r="BE199" s="13" t="str">
        <f t="shared" si="157"/>
        <v>-</v>
      </c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</row>
    <row r="200" spans="2:70" x14ac:dyDescent="0.3">
      <c r="B200" s="96" t="str">
        <f t="shared" si="136"/>
        <v/>
      </c>
      <c r="C200" s="96" t="str">
        <f t="shared" si="137"/>
        <v/>
      </c>
      <c r="D200" s="96" t="str">
        <f t="shared" si="138"/>
        <v/>
      </c>
      <c r="E200" s="3"/>
      <c r="F200" s="3"/>
      <c r="G200" s="3"/>
      <c r="H200" s="3"/>
      <c r="I200" s="20">
        <f>IFERROR(INDEX('Input - Walmart'!G$2:G$200,MATCH('Calculations - Walmart'!$D200,'Input - Walmart'!$B$2:$B$200,0)),"")</f>
        <v>0</v>
      </c>
      <c r="J200" s="20">
        <f>IFERROR(INDEX('Input - Walmart'!H$2:H$200,MATCH('Calculations - Walmart'!$D200,'Input - Walmart'!$B$2:$B$200,0)),"")</f>
        <v>0</v>
      </c>
      <c r="K200" s="21">
        <f>IFERROR(INDEX('Input - Walmart'!I$2:I$200,MATCH('Calculations - Walmart'!$D200,'Input - Walmart'!$B$2:$B$200,0)),"")</f>
        <v>0</v>
      </c>
      <c r="L200" s="21">
        <f>IFERROR(INDEX('Input - Walmart'!J$2:J$200,MATCH('Calculations - Walmart'!$D200,'Input - Walmart'!$B$2:$B$200,0)),"")</f>
        <v>0</v>
      </c>
      <c r="M200" s="20">
        <f>IFERROR(INDEX('Input - Walmart'!K$2:K$200,MATCH('Calculations - Walmart'!$D200,'Input - Walmart'!$B$2:$B$200,0)),"")</f>
        <v>0</v>
      </c>
      <c r="N200" s="20">
        <f>IFERROR(INDEX('Input - Walmart'!L$2:L$200,MATCH('Calculations - Walmart'!$D200,'Input - Walmart'!$B$2:$B$200,0)),"")</f>
        <v>0</v>
      </c>
      <c r="O200" s="21" t="str">
        <f t="shared" si="139"/>
        <v/>
      </c>
      <c r="P200" s="21" t="str">
        <f t="shared" si="123"/>
        <v/>
      </c>
      <c r="Q200" s="21">
        <f t="shared" si="140"/>
        <v>0</v>
      </c>
      <c r="R200" s="9">
        <f t="shared" si="158"/>
        <v>0</v>
      </c>
      <c r="S200" s="9">
        <f t="shared" si="159"/>
        <v>0</v>
      </c>
      <c r="T200" s="22" t="str">
        <f>IFERROR(INDEX(Walmart!$S$11:$S$192,MATCH('Calculations - Walmart'!$D200,Walmart!$N$11:$N$192,0)),"")</f>
        <v/>
      </c>
      <c r="U200" s="22" t="str">
        <f>IFERROR(INDEX(Walmart!$T$11:$T$192,MATCH('Calculations - Walmart'!$D200,Walmart!$N$11:$N$192,0)),"")</f>
        <v/>
      </c>
      <c r="V200" s="16" t="e">
        <f t="shared" si="124"/>
        <v>#VALUE!</v>
      </c>
      <c r="W200" s="16" t="e">
        <f t="shared" si="141"/>
        <v>#VALUE!</v>
      </c>
      <c r="X200" s="16" t="e">
        <f t="shared" si="142"/>
        <v>#VALUE!</v>
      </c>
      <c r="Y200" s="10" t="str">
        <f t="shared" si="125"/>
        <v>-</v>
      </c>
      <c r="Z200" s="10" t="str">
        <f t="shared" si="126"/>
        <v>-</v>
      </c>
      <c r="AA200" s="13" t="str">
        <f t="shared" si="143"/>
        <v>-</v>
      </c>
      <c r="AB200" s="9" t="str">
        <f t="shared" si="127"/>
        <v>-</v>
      </c>
      <c r="AC200" s="16" t="str">
        <f t="shared" si="144"/>
        <v>-</v>
      </c>
      <c r="AD200" s="16" t="str">
        <f t="shared" si="128"/>
        <v>-</v>
      </c>
      <c r="AE200" s="16" t="str">
        <f t="shared" si="129"/>
        <v>-</v>
      </c>
      <c r="AF200" s="16" t="str">
        <f t="shared" si="145"/>
        <v>-</v>
      </c>
      <c r="AG200" s="16"/>
      <c r="AH200" s="32" t="str">
        <f>IFERROR(INDEX(Walmart!$R$11:$R$192,MATCH('Calculations - Walmart'!D200,Walmart!$N$11:$N$192,0)),"")</f>
        <v/>
      </c>
      <c r="AI200" s="23" t="str">
        <f t="shared" si="146"/>
        <v/>
      </c>
      <c r="AJ200" s="23" t="str">
        <f t="shared" si="147"/>
        <v/>
      </c>
      <c r="AK200" s="9" t="str">
        <f t="shared" si="130"/>
        <v/>
      </c>
      <c r="AL200" s="4" t="str">
        <f t="shared" si="131"/>
        <v/>
      </c>
      <c r="AM200" s="4"/>
      <c r="AN200" s="4"/>
      <c r="AO200" s="4"/>
      <c r="AP200" s="4"/>
      <c r="AQ200" s="4"/>
      <c r="AR200" s="20" t="str">
        <f t="shared" si="132"/>
        <v>-</v>
      </c>
      <c r="AS200" s="13" t="str">
        <f t="shared" si="148"/>
        <v>-</v>
      </c>
      <c r="AT200" s="13" t="str">
        <f t="shared" si="149"/>
        <v>-</v>
      </c>
      <c r="AU200" s="13" t="str">
        <f t="shared" si="133"/>
        <v>-</v>
      </c>
      <c r="AV200" s="16" t="str">
        <f t="shared" si="150"/>
        <v>-</v>
      </c>
      <c r="AW200" s="16" t="str">
        <f t="shared" si="134"/>
        <v>-</v>
      </c>
      <c r="AX200" s="16" t="str">
        <f t="shared" si="135"/>
        <v>-</v>
      </c>
      <c r="AY200" s="16" t="str">
        <f t="shared" si="151"/>
        <v>-</v>
      </c>
      <c r="AZ200" s="13" t="str">
        <f t="shared" si="152"/>
        <v>-</v>
      </c>
      <c r="BA200" s="10" t="str">
        <f t="shared" si="153"/>
        <v>-</v>
      </c>
      <c r="BB200" s="9" t="str">
        <f t="shared" si="154"/>
        <v>-</v>
      </c>
      <c r="BC200" s="13" t="str">
        <f t="shared" si="155"/>
        <v>-</v>
      </c>
      <c r="BD200" s="10" t="str">
        <f t="shared" si="156"/>
        <v>-</v>
      </c>
      <c r="BE200" s="13" t="str">
        <f t="shared" si="157"/>
        <v>-</v>
      </c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</row>
    <row r="201" spans="2:70" x14ac:dyDescent="0.3">
      <c r="B201" s="96" t="str">
        <f t="shared" si="136"/>
        <v/>
      </c>
      <c r="C201" s="96" t="str">
        <f t="shared" si="137"/>
        <v/>
      </c>
      <c r="D201" s="96" t="str">
        <f t="shared" si="138"/>
        <v/>
      </c>
      <c r="E201" s="3"/>
      <c r="F201" s="3"/>
      <c r="G201" s="3"/>
      <c r="H201" s="3"/>
      <c r="I201" s="20">
        <f>IFERROR(INDEX('Input - Walmart'!G$2:G$200,MATCH('Calculations - Walmart'!$D201,'Input - Walmart'!$B$2:$B$200,0)),"")</f>
        <v>0</v>
      </c>
      <c r="J201" s="20">
        <f>IFERROR(INDEX('Input - Walmart'!H$2:H$200,MATCH('Calculations - Walmart'!$D201,'Input - Walmart'!$B$2:$B$200,0)),"")</f>
        <v>0</v>
      </c>
      <c r="K201" s="21">
        <f>IFERROR(INDEX('Input - Walmart'!I$2:I$200,MATCH('Calculations - Walmart'!$D201,'Input - Walmart'!$B$2:$B$200,0)),"")</f>
        <v>0</v>
      </c>
      <c r="L201" s="21">
        <f>IFERROR(INDEX('Input - Walmart'!J$2:J$200,MATCH('Calculations - Walmart'!$D201,'Input - Walmart'!$B$2:$B$200,0)),"")</f>
        <v>0</v>
      </c>
      <c r="M201" s="20">
        <f>IFERROR(INDEX('Input - Walmart'!K$2:K$200,MATCH('Calculations - Walmart'!$D201,'Input - Walmart'!$B$2:$B$200,0)),"")</f>
        <v>0</v>
      </c>
      <c r="N201" s="20">
        <f>IFERROR(INDEX('Input - Walmart'!L$2:L$200,MATCH('Calculations - Walmart'!$D201,'Input - Walmart'!$B$2:$B$200,0)),"")</f>
        <v>0</v>
      </c>
      <c r="O201" s="21" t="str">
        <f t="shared" si="139"/>
        <v/>
      </c>
      <c r="P201" s="21" t="str">
        <f t="shared" si="123"/>
        <v/>
      </c>
      <c r="Q201" s="21">
        <f t="shared" si="140"/>
        <v>0</v>
      </c>
      <c r="R201" s="9">
        <f t="shared" si="158"/>
        <v>0</v>
      </c>
      <c r="S201" s="9">
        <f t="shared" si="159"/>
        <v>0</v>
      </c>
      <c r="T201" s="22" t="str">
        <f>IFERROR(INDEX(Walmart!$S$11:$S$192,MATCH('Calculations - Walmart'!$D201,Walmart!$N$11:$N$192,0)),"")</f>
        <v/>
      </c>
      <c r="U201" s="22" t="str">
        <f>IFERROR(INDEX(Walmart!$T$11:$T$192,MATCH('Calculations - Walmart'!$D201,Walmart!$N$11:$N$192,0)),"")</f>
        <v/>
      </c>
      <c r="V201" s="16" t="e">
        <f t="shared" si="124"/>
        <v>#VALUE!</v>
      </c>
      <c r="W201" s="16" t="e">
        <f t="shared" si="141"/>
        <v>#VALUE!</v>
      </c>
      <c r="X201" s="16" t="e">
        <f t="shared" si="142"/>
        <v>#VALUE!</v>
      </c>
      <c r="Y201" s="10" t="str">
        <f t="shared" si="125"/>
        <v>-</v>
      </c>
      <c r="Z201" s="10" t="str">
        <f t="shared" si="126"/>
        <v>-</v>
      </c>
      <c r="AA201" s="13" t="str">
        <f t="shared" si="143"/>
        <v>-</v>
      </c>
      <c r="AB201" s="9" t="str">
        <f t="shared" si="127"/>
        <v>-</v>
      </c>
      <c r="AC201" s="16" t="str">
        <f t="shared" si="144"/>
        <v>-</v>
      </c>
      <c r="AD201" s="16" t="str">
        <f t="shared" si="128"/>
        <v>-</v>
      </c>
      <c r="AE201" s="16" t="str">
        <f t="shared" si="129"/>
        <v>-</v>
      </c>
      <c r="AF201" s="16" t="str">
        <f t="shared" si="145"/>
        <v>-</v>
      </c>
      <c r="AG201" s="16"/>
      <c r="AH201" s="32" t="str">
        <f>IFERROR(INDEX(Walmart!$R$11:$R$192,MATCH('Calculations - Walmart'!D201,Walmart!$N$11:$N$192,0)),"")</f>
        <v/>
      </c>
      <c r="AI201" s="23" t="str">
        <f t="shared" si="146"/>
        <v/>
      </c>
      <c r="AJ201" s="23" t="str">
        <f t="shared" si="147"/>
        <v/>
      </c>
      <c r="AK201" s="9" t="str">
        <f t="shared" si="130"/>
        <v/>
      </c>
      <c r="AL201" s="4" t="str">
        <f t="shared" si="131"/>
        <v/>
      </c>
      <c r="AM201" s="4"/>
      <c r="AN201" s="4"/>
      <c r="AO201" s="4"/>
      <c r="AP201" s="4"/>
      <c r="AQ201" s="4"/>
      <c r="AR201" s="20" t="str">
        <f t="shared" si="132"/>
        <v>-</v>
      </c>
      <c r="AS201" s="13" t="str">
        <f t="shared" si="148"/>
        <v>-</v>
      </c>
      <c r="AT201" s="13" t="str">
        <f t="shared" si="149"/>
        <v>-</v>
      </c>
      <c r="AU201" s="13" t="str">
        <f t="shared" si="133"/>
        <v>-</v>
      </c>
      <c r="AV201" s="16" t="str">
        <f t="shared" si="150"/>
        <v>-</v>
      </c>
      <c r="AW201" s="16" t="str">
        <f t="shared" si="134"/>
        <v>-</v>
      </c>
      <c r="AX201" s="16" t="str">
        <f t="shared" si="135"/>
        <v>-</v>
      </c>
      <c r="AY201" s="16" t="str">
        <f t="shared" si="151"/>
        <v>-</v>
      </c>
      <c r="AZ201" s="13" t="str">
        <f t="shared" si="152"/>
        <v>-</v>
      </c>
      <c r="BA201" s="10" t="str">
        <f t="shared" si="153"/>
        <v>-</v>
      </c>
      <c r="BB201" s="9" t="str">
        <f t="shared" si="154"/>
        <v>-</v>
      </c>
      <c r="BC201" s="13" t="str">
        <f t="shared" si="155"/>
        <v>-</v>
      </c>
      <c r="BD201" s="10" t="str">
        <f t="shared" si="156"/>
        <v>-</v>
      </c>
      <c r="BE201" s="13" t="str">
        <f t="shared" si="157"/>
        <v>-</v>
      </c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</row>
    <row r="202" spans="2:70" x14ac:dyDescent="0.3">
      <c r="B202" s="96" t="str">
        <f t="shared" si="136"/>
        <v/>
      </c>
      <c r="C202" s="96" t="str">
        <f t="shared" si="137"/>
        <v/>
      </c>
      <c r="D202" s="96" t="str">
        <f t="shared" si="138"/>
        <v/>
      </c>
      <c r="E202" s="3"/>
      <c r="F202" s="3"/>
      <c r="G202" s="3"/>
      <c r="H202" s="3"/>
      <c r="I202" s="20">
        <f>IFERROR(INDEX('Input - Walmart'!G$2:G$200,MATCH('Calculations - Walmart'!$D202,'Input - Walmart'!$B$2:$B$200,0)),"")</f>
        <v>0</v>
      </c>
      <c r="J202" s="20">
        <f>IFERROR(INDEX('Input - Walmart'!H$2:H$200,MATCH('Calculations - Walmart'!$D202,'Input - Walmart'!$B$2:$B$200,0)),"")</f>
        <v>0</v>
      </c>
      <c r="K202" s="21">
        <f>IFERROR(INDEX('Input - Walmart'!I$2:I$200,MATCH('Calculations - Walmart'!$D202,'Input - Walmart'!$B$2:$B$200,0)),"")</f>
        <v>0</v>
      </c>
      <c r="L202" s="21">
        <f>IFERROR(INDEX('Input - Walmart'!J$2:J$200,MATCH('Calculations - Walmart'!$D202,'Input - Walmart'!$B$2:$B$200,0)),"")</f>
        <v>0</v>
      </c>
      <c r="M202" s="20">
        <f>IFERROR(INDEX('Input - Walmart'!K$2:K$200,MATCH('Calculations - Walmart'!$D202,'Input - Walmart'!$B$2:$B$200,0)),"")</f>
        <v>0</v>
      </c>
      <c r="N202" s="20">
        <f>IFERROR(INDEX('Input - Walmart'!L$2:L$200,MATCH('Calculations - Walmart'!$D202,'Input - Walmart'!$B$2:$B$200,0)),"")</f>
        <v>0</v>
      </c>
      <c r="O202" s="21" t="str">
        <f t="shared" si="139"/>
        <v/>
      </c>
      <c r="P202" s="21" t="str">
        <f t="shared" si="123"/>
        <v/>
      </c>
      <c r="Q202" s="21">
        <f t="shared" si="140"/>
        <v>0</v>
      </c>
      <c r="R202" s="9">
        <f t="shared" si="158"/>
        <v>0</v>
      </c>
      <c r="S202" s="9">
        <f t="shared" si="159"/>
        <v>0</v>
      </c>
      <c r="T202" s="22" t="str">
        <f>IFERROR(INDEX(Walmart!$S$11:$S$192,MATCH('Calculations - Walmart'!$D202,Walmart!$N$11:$N$192,0)),"")</f>
        <v/>
      </c>
      <c r="U202" s="22" t="str">
        <f>IFERROR(INDEX(Walmart!$T$11:$T$192,MATCH('Calculations - Walmart'!$D202,Walmart!$N$11:$N$192,0)),"")</f>
        <v/>
      </c>
      <c r="V202" s="16" t="e">
        <f t="shared" si="124"/>
        <v>#VALUE!</v>
      </c>
      <c r="W202" s="16" t="e">
        <f t="shared" si="141"/>
        <v>#VALUE!</v>
      </c>
      <c r="X202" s="16" t="e">
        <f t="shared" si="142"/>
        <v>#VALUE!</v>
      </c>
      <c r="Y202" s="10" t="str">
        <f t="shared" si="125"/>
        <v>-</v>
      </c>
      <c r="Z202" s="10" t="str">
        <f t="shared" si="126"/>
        <v>-</v>
      </c>
      <c r="AA202" s="13" t="str">
        <f t="shared" si="143"/>
        <v>-</v>
      </c>
      <c r="AB202" s="9" t="str">
        <f t="shared" si="127"/>
        <v>-</v>
      </c>
      <c r="AC202" s="16" t="str">
        <f t="shared" si="144"/>
        <v>-</v>
      </c>
      <c r="AD202" s="16" t="str">
        <f t="shared" si="128"/>
        <v>-</v>
      </c>
      <c r="AE202" s="16" t="str">
        <f t="shared" si="129"/>
        <v>-</v>
      </c>
      <c r="AF202" s="16" t="str">
        <f t="shared" si="145"/>
        <v>-</v>
      </c>
      <c r="AG202" s="16"/>
      <c r="AH202" s="32" t="str">
        <f>IFERROR(INDEX(Walmart!$R$11:$R$192,MATCH('Calculations - Walmart'!D202,Walmart!$N$11:$N$192,0)),"")</f>
        <v/>
      </c>
      <c r="AI202" s="23" t="str">
        <f t="shared" si="146"/>
        <v/>
      </c>
      <c r="AJ202" s="23" t="str">
        <f t="shared" si="147"/>
        <v/>
      </c>
      <c r="AK202" s="9" t="str">
        <f t="shared" si="130"/>
        <v/>
      </c>
      <c r="AL202" s="4" t="str">
        <f t="shared" si="131"/>
        <v/>
      </c>
      <c r="AM202" s="4"/>
      <c r="AN202" s="4"/>
      <c r="AO202" s="4"/>
      <c r="AP202" s="4"/>
      <c r="AQ202" s="4"/>
      <c r="AR202" s="20" t="str">
        <f t="shared" si="132"/>
        <v>-</v>
      </c>
      <c r="AS202" s="13" t="str">
        <f t="shared" si="148"/>
        <v>-</v>
      </c>
      <c r="AT202" s="13" t="str">
        <f t="shared" si="149"/>
        <v>-</v>
      </c>
      <c r="AU202" s="13" t="str">
        <f t="shared" si="133"/>
        <v>-</v>
      </c>
      <c r="AV202" s="16" t="str">
        <f t="shared" si="150"/>
        <v>-</v>
      </c>
      <c r="AW202" s="16" t="str">
        <f t="shared" si="134"/>
        <v>-</v>
      </c>
      <c r="AX202" s="16" t="str">
        <f t="shared" si="135"/>
        <v>-</v>
      </c>
      <c r="AY202" s="16" t="str">
        <f t="shared" si="151"/>
        <v>-</v>
      </c>
      <c r="AZ202" s="13" t="str">
        <f t="shared" si="152"/>
        <v>-</v>
      </c>
      <c r="BA202" s="10" t="str">
        <f t="shared" si="153"/>
        <v>-</v>
      </c>
      <c r="BB202" s="9" t="str">
        <f t="shared" si="154"/>
        <v>-</v>
      </c>
      <c r="BC202" s="13" t="str">
        <f t="shared" si="155"/>
        <v>-</v>
      </c>
      <c r="BD202" s="10" t="str">
        <f t="shared" si="156"/>
        <v>-</v>
      </c>
      <c r="BE202" s="13" t="str">
        <f t="shared" si="157"/>
        <v>-</v>
      </c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</row>
    <row r="203" spans="2:70" x14ac:dyDescent="0.3">
      <c r="B203" s="96" t="str">
        <f t="shared" si="136"/>
        <v/>
      </c>
      <c r="C203" s="96" t="str">
        <f t="shared" si="137"/>
        <v/>
      </c>
      <c r="D203" s="96" t="str">
        <f t="shared" si="138"/>
        <v/>
      </c>
      <c r="E203" s="3"/>
      <c r="F203" s="3"/>
      <c r="G203" s="3"/>
      <c r="H203" s="3"/>
      <c r="I203" s="20">
        <f>IFERROR(INDEX('Input - Walmart'!G$2:G$200,MATCH('Calculations - Walmart'!$D203,'Input - Walmart'!$B$2:$B$200,0)),"")</f>
        <v>0</v>
      </c>
      <c r="J203" s="20">
        <f>IFERROR(INDEX('Input - Walmart'!H$2:H$200,MATCH('Calculations - Walmart'!$D203,'Input - Walmart'!$B$2:$B$200,0)),"")</f>
        <v>0</v>
      </c>
      <c r="K203" s="21">
        <f>IFERROR(INDEX('Input - Walmart'!I$2:I$200,MATCH('Calculations - Walmart'!$D203,'Input - Walmart'!$B$2:$B$200,0)),"")</f>
        <v>0</v>
      </c>
      <c r="L203" s="21">
        <f>IFERROR(INDEX('Input - Walmart'!J$2:J$200,MATCH('Calculations - Walmart'!$D203,'Input - Walmart'!$B$2:$B$200,0)),"")</f>
        <v>0</v>
      </c>
      <c r="M203" s="20">
        <f>IFERROR(INDEX('Input - Walmart'!K$2:K$200,MATCH('Calculations - Walmart'!$D203,'Input - Walmart'!$B$2:$B$200,0)),"")</f>
        <v>0</v>
      </c>
      <c r="N203" s="20">
        <f>IFERROR(INDEX('Input - Walmart'!L$2:L$200,MATCH('Calculations - Walmart'!$D203,'Input - Walmart'!$B$2:$B$200,0)),"")</f>
        <v>0</v>
      </c>
      <c r="O203" s="21" t="str">
        <f t="shared" si="139"/>
        <v/>
      </c>
      <c r="P203" s="21" t="str">
        <f t="shared" si="123"/>
        <v/>
      </c>
      <c r="Q203" s="21">
        <f t="shared" si="140"/>
        <v>0</v>
      </c>
      <c r="R203" s="9">
        <f t="shared" si="158"/>
        <v>0</v>
      </c>
      <c r="S203" s="9">
        <f t="shared" si="159"/>
        <v>0</v>
      </c>
      <c r="T203" s="22" t="str">
        <f>IFERROR(INDEX(Walmart!$S$11:$S$192,MATCH('Calculations - Walmart'!$D203,Walmart!$N$11:$N$192,0)),"")</f>
        <v/>
      </c>
      <c r="U203" s="22" t="str">
        <f>IFERROR(INDEX(Walmart!$T$11:$T$192,MATCH('Calculations - Walmart'!$D203,Walmart!$N$11:$N$192,0)),"")</f>
        <v/>
      </c>
      <c r="V203" s="16" t="e">
        <f t="shared" si="124"/>
        <v>#VALUE!</v>
      </c>
      <c r="W203" s="16" t="e">
        <f t="shared" si="141"/>
        <v>#VALUE!</v>
      </c>
      <c r="X203" s="16" t="e">
        <f t="shared" si="142"/>
        <v>#VALUE!</v>
      </c>
      <c r="Y203" s="10" t="str">
        <f t="shared" si="125"/>
        <v>-</v>
      </c>
      <c r="Z203" s="10" t="str">
        <f t="shared" si="126"/>
        <v>-</v>
      </c>
      <c r="AA203" s="13" t="str">
        <f t="shared" si="143"/>
        <v>-</v>
      </c>
      <c r="AB203" s="9" t="str">
        <f t="shared" si="127"/>
        <v>-</v>
      </c>
      <c r="AC203" s="16" t="str">
        <f t="shared" si="144"/>
        <v>-</v>
      </c>
      <c r="AD203" s="16" t="str">
        <f t="shared" si="128"/>
        <v>-</v>
      </c>
      <c r="AE203" s="16" t="str">
        <f t="shared" si="129"/>
        <v>-</v>
      </c>
      <c r="AF203" s="16" t="str">
        <f t="shared" si="145"/>
        <v>-</v>
      </c>
      <c r="AG203" s="16"/>
      <c r="AH203" s="32" t="str">
        <f>IFERROR(INDEX(Walmart!$R$11:$R$192,MATCH('Calculations - Walmart'!D203,Walmart!$N$11:$N$192,0)),"")</f>
        <v/>
      </c>
      <c r="AI203" s="23" t="str">
        <f t="shared" si="146"/>
        <v/>
      </c>
      <c r="AJ203" s="23" t="str">
        <f t="shared" si="147"/>
        <v/>
      </c>
      <c r="AK203" s="9" t="str">
        <f t="shared" si="130"/>
        <v/>
      </c>
      <c r="AL203" s="4" t="str">
        <f t="shared" si="131"/>
        <v/>
      </c>
      <c r="AM203" s="4"/>
      <c r="AN203" s="4"/>
      <c r="AO203" s="4"/>
      <c r="AP203" s="4"/>
      <c r="AQ203" s="4"/>
      <c r="AR203" s="20" t="str">
        <f t="shared" si="132"/>
        <v>-</v>
      </c>
      <c r="AS203" s="13" t="str">
        <f t="shared" si="148"/>
        <v>-</v>
      </c>
      <c r="AT203" s="13" t="str">
        <f t="shared" si="149"/>
        <v>-</v>
      </c>
      <c r="AU203" s="13" t="str">
        <f t="shared" si="133"/>
        <v>-</v>
      </c>
      <c r="AV203" s="16" t="str">
        <f t="shared" si="150"/>
        <v>-</v>
      </c>
      <c r="AW203" s="16" t="str">
        <f t="shared" si="134"/>
        <v>-</v>
      </c>
      <c r="AX203" s="16" t="str">
        <f t="shared" si="135"/>
        <v>-</v>
      </c>
      <c r="AY203" s="16" t="str">
        <f t="shared" si="151"/>
        <v>-</v>
      </c>
      <c r="AZ203" s="13" t="str">
        <f t="shared" si="152"/>
        <v>-</v>
      </c>
      <c r="BA203" s="10" t="str">
        <f t="shared" si="153"/>
        <v>-</v>
      </c>
      <c r="BB203" s="9" t="str">
        <f t="shared" si="154"/>
        <v>-</v>
      </c>
      <c r="BC203" s="13" t="str">
        <f t="shared" si="155"/>
        <v>-</v>
      </c>
      <c r="BD203" s="10" t="str">
        <f t="shared" si="156"/>
        <v>-</v>
      </c>
      <c r="BE203" s="13" t="str">
        <f t="shared" si="157"/>
        <v>-</v>
      </c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</row>
    <row r="204" spans="2:70" x14ac:dyDescent="0.3">
      <c r="B204" s="96" t="str">
        <f t="shared" si="136"/>
        <v/>
      </c>
      <c r="C204" s="96" t="str">
        <f t="shared" si="137"/>
        <v/>
      </c>
      <c r="D204" s="96" t="str">
        <f t="shared" si="138"/>
        <v/>
      </c>
      <c r="E204" s="3"/>
      <c r="F204" s="3"/>
      <c r="G204" s="3"/>
      <c r="H204" s="3"/>
      <c r="I204" s="20">
        <f>IFERROR(INDEX('Input - Walmart'!G$2:G$200,MATCH('Calculations - Walmart'!$D204,'Input - Walmart'!$B$2:$B$200,0)),"")</f>
        <v>0</v>
      </c>
      <c r="J204" s="20">
        <f>IFERROR(INDEX('Input - Walmart'!H$2:H$200,MATCH('Calculations - Walmart'!$D204,'Input - Walmart'!$B$2:$B$200,0)),"")</f>
        <v>0</v>
      </c>
      <c r="K204" s="21">
        <f>IFERROR(INDEX('Input - Walmart'!I$2:I$200,MATCH('Calculations - Walmart'!$D204,'Input - Walmart'!$B$2:$B$200,0)),"")</f>
        <v>0</v>
      </c>
      <c r="L204" s="21">
        <f>IFERROR(INDEX('Input - Walmart'!J$2:J$200,MATCH('Calculations - Walmart'!$D204,'Input - Walmart'!$B$2:$B$200,0)),"")</f>
        <v>0</v>
      </c>
      <c r="M204" s="20">
        <f>IFERROR(INDEX('Input - Walmart'!K$2:K$200,MATCH('Calculations - Walmart'!$D204,'Input - Walmart'!$B$2:$B$200,0)),"")</f>
        <v>0</v>
      </c>
      <c r="N204" s="20">
        <f>IFERROR(INDEX('Input - Walmart'!L$2:L$200,MATCH('Calculations - Walmart'!$D204,'Input - Walmart'!$B$2:$B$200,0)),"")</f>
        <v>0</v>
      </c>
      <c r="O204" s="21" t="str">
        <f t="shared" si="139"/>
        <v/>
      </c>
      <c r="P204" s="21" t="str">
        <f t="shared" si="123"/>
        <v/>
      </c>
      <c r="Q204" s="21">
        <f t="shared" si="140"/>
        <v>0</v>
      </c>
      <c r="R204" s="9">
        <f t="shared" si="158"/>
        <v>0</v>
      </c>
      <c r="S204" s="9">
        <f t="shared" si="159"/>
        <v>0</v>
      </c>
      <c r="T204" s="22" t="str">
        <f>IFERROR(INDEX(Walmart!$S$11:$S$192,MATCH('Calculations - Walmart'!$D204,Walmart!$N$11:$N$192,0)),"")</f>
        <v/>
      </c>
      <c r="U204" s="22" t="str">
        <f>IFERROR(INDEX(Walmart!$T$11:$T$192,MATCH('Calculations - Walmart'!$D204,Walmart!$N$11:$N$192,0)),"")</f>
        <v/>
      </c>
      <c r="V204" s="16" t="e">
        <f t="shared" si="124"/>
        <v>#VALUE!</v>
      </c>
      <c r="W204" s="16" t="e">
        <f t="shared" si="141"/>
        <v>#VALUE!</v>
      </c>
      <c r="X204" s="16" t="e">
        <f t="shared" si="142"/>
        <v>#VALUE!</v>
      </c>
      <c r="Y204" s="10" t="str">
        <f t="shared" si="125"/>
        <v>-</v>
      </c>
      <c r="Z204" s="10" t="str">
        <f t="shared" si="126"/>
        <v>-</v>
      </c>
      <c r="AA204" s="13" t="str">
        <f t="shared" si="143"/>
        <v>-</v>
      </c>
      <c r="AB204" s="9" t="str">
        <f t="shared" si="127"/>
        <v>-</v>
      </c>
      <c r="AC204" s="16" t="str">
        <f t="shared" si="144"/>
        <v>-</v>
      </c>
      <c r="AD204" s="16" t="str">
        <f t="shared" si="128"/>
        <v>-</v>
      </c>
      <c r="AE204" s="16" t="str">
        <f t="shared" si="129"/>
        <v>-</v>
      </c>
      <c r="AF204" s="16" t="str">
        <f t="shared" si="145"/>
        <v>-</v>
      </c>
      <c r="AG204" s="16"/>
      <c r="AH204" s="32" t="str">
        <f>IFERROR(INDEX(Walmart!$R$11:$R$192,MATCH('Calculations - Walmart'!D204,Walmart!$N$11:$N$192,0)),"")</f>
        <v/>
      </c>
      <c r="AI204" s="23" t="str">
        <f t="shared" si="146"/>
        <v/>
      </c>
      <c r="AJ204" s="23" t="str">
        <f t="shared" si="147"/>
        <v/>
      </c>
      <c r="AK204" s="9" t="str">
        <f t="shared" si="130"/>
        <v/>
      </c>
      <c r="AL204" s="4" t="str">
        <f t="shared" si="131"/>
        <v/>
      </c>
      <c r="AM204" s="4"/>
      <c r="AN204" s="4"/>
      <c r="AO204" s="4"/>
      <c r="AP204" s="4"/>
      <c r="AQ204" s="4"/>
      <c r="AR204" s="20" t="str">
        <f t="shared" si="132"/>
        <v>-</v>
      </c>
      <c r="AS204" s="13" t="str">
        <f t="shared" si="148"/>
        <v>-</v>
      </c>
      <c r="AT204" s="13" t="str">
        <f t="shared" si="149"/>
        <v>-</v>
      </c>
      <c r="AU204" s="13" t="str">
        <f t="shared" si="133"/>
        <v>-</v>
      </c>
      <c r="AV204" s="16" t="str">
        <f t="shared" si="150"/>
        <v>-</v>
      </c>
      <c r="AW204" s="16" t="str">
        <f t="shared" si="134"/>
        <v>-</v>
      </c>
      <c r="AX204" s="16" t="str">
        <f t="shared" si="135"/>
        <v>-</v>
      </c>
      <c r="AY204" s="16" t="str">
        <f t="shared" si="151"/>
        <v>-</v>
      </c>
      <c r="AZ204" s="13" t="str">
        <f t="shared" si="152"/>
        <v>-</v>
      </c>
      <c r="BA204" s="10" t="str">
        <f t="shared" si="153"/>
        <v>-</v>
      </c>
      <c r="BB204" s="9" t="str">
        <f t="shared" si="154"/>
        <v>-</v>
      </c>
      <c r="BC204" s="13" t="str">
        <f t="shared" si="155"/>
        <v>-</v>
      </c>
      <c r="BD204" s="10" t="str">
        <f t="shared" si="156"/>
        <v>-</v>
      </c>
      <c r="BE204" s="13" t="str">
        <f t="shared" si="157"/>
        <v>-</v>
      </c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</row>
    <row r="205" spans="2:70" x14ac:dyDescent="0.3">
      <c r="B205" s="96" t="str">
        <f t="shared" si="136"/>
        <v/>
      </c>
      <c r="C205" s="96" t="str">
        <f t="shared" si="137"/>
        <v/>
      </c>
      <c r="D205" s="96" t="str">
        <f t="shared" si="138"/>
        <v/>
      </c>
      <c r="E205" s="3"/>
      <c r="F205" s="3"/>
      <c r="G205" s="3"/>
      <c r="H205" s="3"/>
      <c r="I205" s="20">
        <f>IFERROR(INDEX('Input - Walmart'!G$2:G$200,MATCH('Calculations - Walmart'!$D205,'Input - Walmart'!$B$2:$B$200,0)),"")</f>
        <v>0</v>
      </c>
      <c r="J205" s="20">
        <f>IFERROR(INDEX('Input - Walmart'!H$2:H$200,MATCH('Calculations - Walmart'!$D205,'Input - Walmart'!$B$2:$B$200,0)),"")</f>
        <v>0</v>
      </c>
      <c r="K205" s="21">
        <f>IFERROR(INDEX('Input - Walmart'!I$2:I$200,MATCH('Calculations - Walmart'!$D205,'Input - Walmart'!$B$2:$B$200,0)),"")</f>
        <v>0</v>
      </c>
      <c r="L205" s="21">
        <f>IFERROR(INDEX('Input - Walmart'!J$2:J$200,MATCH('Calculations - Walmart'!$D205,'Input - Walmart'!$B$2:$B$200,0)),"")</f>
        <v>0</v>
      </c>
      <c r="M205" s="20">
        <f>IFERROR(INDEX('Input - Walmart'!K$2:K$200,MATCH('Calculations - Walmart'!$D205,'Input - Walmart'!$B$2:$B$200,0)),"")</f>
        <v>0</v>
      </c>
      <c r="N205" s="20">
        <f>IFERROR(INDEX('Input - Walmart'!L$2:L$200,MATCH('Calculations - Walmart'!$D205,'Input - Walmart'!$B$2:$B$200,0)),"")</f>
        <v>0</v>
      </c>
      <c r="O205" s="21" t="str">
        <f t="shared" si="139"/>
        <v/>
      </c>
      <c r="P205" s="21" t="str">
        <f t="shared" si="123"/>
        <v/>
      </c>
      <c r="Q205" s="21">
        <f t="shared" si="140"/>
        <v>0</v>
      </c>
      <c r="R205" s="9">
        <f t="shared" si="158"/>
        <v>0</v>
      </c>
      <c r="S205" s="9">
        <f t="shared" si="159"/>
        <v>0</v>
      </c>
      <c r="T205" s="22" t="str">
        <f>IFERROR(INDEX(Walmart!$S$11:$S$192,MATCH('Calculations - Walmart'!$D205,Walmart!$N$11:$N$192,0)),"")</f>
        <v/>
      </c>
      <c r="U205" s="22" t="str">
        <f>IFERROR(INDEX(Walmart!$T$11:$T$192,MATCH('Calculations - Walmart'!$D205,Walmart!$N$11:$N$192,0)),"")</f>
        <v/>
      </c>
      <c r="V205" s="16" t="e">
        <f t="shared" si="124"/>
        <v>#VALUE!</v>
      </c>
      <c r="W205" s="16" t="e">
        <f t="shared" si="141"/>
        <v>#VALUE!</v>
      </c>
      <c r="X205" s="16" t="e">
        <f t="shared" si="142"/>
        <v>#VALUE!</v>
      </c>
      <c r="Y205" s="10" t="str">
        <f t="shared" si="125"/>
        <v>-</v>
      </c>
      <c r="Z205" s="10" t="str">
        <f t="shared" si="126"/>
        <v>-</v>
      </c>
      <c r="AA205" s="13" t="str">
        <f t="shared" si="143"/>
        <v>-</v>
      </c>
      <c r="AB205" s="9" t="str">
        <f t="shared" si="127"/>
        <v>-</v>
      </c>
      <c r="AC205" s="16" t="str">
        <f t="shared" si="144"/>
        <v>-</v>
      </c>
      <c r="AD205" s="16" t="str">
        <f t="shared" si="128"/>
        <v>-</v>
      </c>
      <c r="AE205" s="16" t="str">
        <f t="shared" si="129"/>
        <v>-</v>
      </c>
      <c r="AF205" s="16" t="str">
        <f t="shared" si="145"/>
        <v>-</v>
      </c>
      <c r="AG205" s="16"/>
      <c r="AH205" s="32" t="str">
        <f>IFERROR(INDEX(Walmart!$R$11:$R$192,MATCH('Calculations - Walmart'!D205,Walmart!$N$11:$N$192,0)),"")</f>
        <v/>
      </c>
      <c r="AI205" s="23" t="str">
        <f t="shared" si="146"/>
        <v/>
      </c>
      <c r="AJ205" s="23" t="str">
        <f t="shared" si="147"/>
        <v/>
      </c>
      <c r="AK205" s="9" t="str">
        <f t="shared" si="130"/>
        <v/>
      </c>
      <c r="AL205" s="4" t="str">
        <f t="shared" si="131"/>
        <v/>
      </c>
      <c r="AM205" s="4"/>
      <c r="AN205" s="4"/>
      <c r="AO205" s="4"/>
      <c r="AP205" s="4"/>
      <c r="AQ205" s="4"/>
      <c r="AR205" s="20" t="str">
        <f t="shared" si="132"/>
        <v>-</v>
      </c>
      <c r="AS205" s="13" t="str">
        <f t="shared" si="148"/>
        <v>-</v>
      </c>
      <c r="AT205" s="13" t="str">
        <f t="shared" si="149"/>
        <v>-</v>
      </c>
      <c r="AU205" s="13" t="str">
        <f t="shared" si="133"/>
        <v>-</v>
      </c>
      <c r="AV205" s="16" t="str">
        <f t="shared" si="150"/>
        <v>-</v>
      </c>
      <c r="AW205" s="16" t="str">
        <f t="shared" si="134"/>
        <v>-</v>
      </c>
      <c r="AX205" s="16" t="str">
        <f t="shared" si="135"/>
        <v>-</v>
      </c>
      <c r="AY205" s="16" t="str">
        <f t="shared" si="151"/>
        <v>-</v>
      </c>
      <c r="AZ205" s="13" t="str">
        <f t="shared" si="152"/>
        <v>-</v>
      </c>
      <c r="BA205" s="10" t="str">
        <f t="shared" si="153"/>
        <v>-</v>
      </c>
      <c r="BB205" s="9" t="str">
        <f t="shared" si="154"/>
        <v>-</v>
      </c>
      <c r="BC205" s="13" t="str">
        <f t="shared" si="155"/>
        <v>-</v>
      </c>
      <c r="BD205" s="10" t="str">
        <f t="shared" si="156"/>
        <v>-</v>
      </c>
      <c r="BE205" s="13" t="str">
        <f t="shared" si="157"/>
        <v>-</v>
      </c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</row>
    <row r="206" spans="2:70" x14ac:dyDescent="0.3">
      <c r="B206" s="96" t="str">
        <f t="shared" si="136"/>
        <v/>
      </c>
      <c r="C206" s="96" t="str">
        <f t="shared" si="137"/>
        <v/>
      </c>
      <c r="D206" s="96" t="str">
        <f t="shared" si="138"/>
        <v/>
      </c>
      <c r="E206" s="3"/>
      <c r="F206" s="3"/>
      <c r="G206" s="3"/>
      <c r="H206" s="3"/>
      <c r="I206" s="20">
        <f>IFERROR(INDEX('Input - Walmart'!G$2:G$200,MATCH('Calculations - Walmart'!$D206,'Input - Walmart'!$B$2:$B$200,0)),"")</f>
        <v>0</v>
      </c>
      <c r="J206" s="20">
        <f>IFERROR(INDEX('Input - Walmart'!H$2:H$200,MATCH('Calculations - Walmart'!$D206,'Input - Walmart'!$B$2:$B$200,0)),"")</f>
        <v>0</v>
      </c>
      <c r="K206" s="21">
        <f>IFERROR(INDEX('Input - Walmart'!I$2:I$200,MATCH('Calculations - Walmart'!$D206,'Input - Walmart'!$B$2:$B$200,0)),"")</f>
        <v>0</v>
      </c>
      <c r="L206" s="21">
        <f>IFERROR(INDEX('Input - Walmart'!J$2:J$200,MATCH('Calculations - Walmart'!$D206,'Input - Walmart'!$B$2:$B$200,0)),"")</f>
        <v>0</v>
      </c>
      <c r="M206" s="20">
        <f>IFERROR(INDEX('Input - Walmart'!K$2:K$200,MATCH('Calculations - Walmart'!$D206,'Input - Walmart'!$B$2:$B$200,0)),"")</f>
        <v>0</v>
      </c>
      <c r="N206" s="20">
        <f>IFERROR(INDEX('Input - Walmart'!L$2:L$200,MATCH('Calculations - Walmart'!$D206,'Input - Walmart'!$B$2:$B$200,0)),"")</f>
        <v>0</v>
      </c>
      <c r="O206" s="21" t="str">
        <f t="shared" si="139"/>
        <v/>
      </c>
      <c r="P206" s="21" t="str">
        <f t="shared" si="123"/>
        <v/>
      </c>
      <c r="Q206" s="21">
        <f t="shared" si="140"/>
        <v>0</v>
      </c>
      <c r="R206" s="9">
        <f t="shared" si="158"/>
        <v>0</v>
      </c>
      <c r="S206" s="9">
        <f t="shared" si="159"/>
        <v>0</v>
      </c>
      <c r="T206" s="22" t="str">
        <f>IFERROR(INDEX(Walmart!$S$11:$S$192,MATCH('Calculations - Walmart'!$D206,Walmart!$N$11:$N$192,0)),"")</f>
        <v/>
      </c>
      <c r="U206" s="22" t="str">
        <f>IFERROR(INDEX(Walmart!$T$11:$T$192,MATCH('Calculations - Walmart'!$D206,Walmart!$N$11:$N$192,0)),"")</f>
        <v/>
      </c>
      <c r="V206" s="16" t="e">
        <f t="shared" si="124"/>
        <v>#VALUE!</v>
      </c>
      <c r="W206" s="16" t="e">
        <f t="shared" si="141"/>
        <v>#VALUE!</v>
      </c>
      <c r="X206" s="16" t="e">
        <f t="shared" si="142"/>
        <v>#VALUE!</v>
      </c>
      <c r="Y206" s="10" t="str">
        <f t="shared" si="125"/>
        <v>-</v>
      </c>
      <c r="Z206" s="10" t="str">
        <f t="shared" si="126"/>
        <v>-</v>
      </c>
      <c r="AA206" s="13" t="str">
        <f t="shared" si="143"/>
        <v>-</v>
      </c>
      <c r="AB206" s="9" t="str">
        <f t="shared" si="127"/>
        <v>-</v>
      </c>
      <c r="AC206" s="16" t="str">
        <f t="shared" si="144"/>
        <v>-</v>
      </c>
      <c r="AD206" s="16" t="str">
        <f t="shared" si="128"/>
        <v>-</v>
      </c>
      <c r="AE206" s="16" t="str">
        <f t="shared" si="129"/>
        <v>-</v>
      </c>
      <c r="AF206" s="16" t="str">
        <f t="shared" si="145"/>
        <v>-</v>
      </c>
      <c r="AG206" s="16"/>
      <c r="AH206" s="32" t="str">
        <f>IFERROR(INDEX(Walmart!$R$11:$R$192,MATCH('Calculations - Walmart'!D206,Walmart!$N$11:$N$192,0)),"")</f>
        <v/>
      </c>
      <c r="AI206" s="23" t="str">
        <f t="shared" si="146"/>
        <v/>
      </c>
      <c r="AJ206" s="23" t="str">
        <f t="shared" si="147"/>
        <v/>
      </c>
      <c r="AK206" s="9" t="str">
        <f t="shared" si="130"/>
        <v/>
      </c>
      <c r="AL206" s="4" t="str">
        <f t="shared" si="131"/>
        <v/>
      </c>
      <c r="AM206" s="4"/>
      <c r="AN206" s="4"/>
      <c r="AO206" s="4"/>
      <c r="AP206" s="4"/>
      <c r="AQ206" s="4"/>
      <c r="AR206" s="20" t="str">
        <f t="shared" si="132"/>
        <v>-</v>
      </c>
      <c r="AS206" s="13" t="str">
        <f t="shared" si="148"/>
        <v>-</v>
      </c>
      <c r="AT206" s="13" t="str">
        <f t="shared" si="149"/>
        <v>-</v>
      </c>
      <c r="AU206" s="13" t="str">
        <f t="shared" si="133"/>
        <v>-</v>
      </c>
      <c r="AV206" s="16" t="str">
        <f t="shared" si="150"/>
        <v>-</v>
      </c>
      <c r="AW206" s="16" t="str">
        <f t="shared" si="134"/>
        <v>-</v>
      </c>
      <c r="AX206" s="16" t="str">
        <f t="shared" si="135"/>
        <v>-</v>
      </c>
      <c r="AY206" s="16" t="str">
        <f t="shared" si="151"/>
        <v>-</v>
      </c>
      <c r="AZ206" s="13" t="str">
        <f t="shared" si="152"/>
        <v>-</v>
      </c>
      <c r="BA206" s="10" t="str">
        <f t="shared" si="153"/>
        <v>-</v>
      </c>
      <c r="BB206" s="9" t="str">
        <f t="shared" si="154"/>
        <v>-</v>
      </c>
      <c r="BC206" s="13" t="str">
        <f t="shared" si="155"/>
        <v>-</v>
      </c>
      <c r="BD206" s="10" t="str">
        <f t="shared" si="156"/>
        <v>-</v>
      </c>
      <c r="BE206" s="13" t="str">
        <f t="shared" si="157"/>
        <v>-</v>
      </c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</row>
    <row r="207" spans="2:70" x14ac:dyDescent="0.3">
      <c r="B207" s="96" t="str">
        <f t="shared" si="136"/>
        <v/>
      </c>
      <c r="C207" s="96" t="str">
        <f t="shared" si="137"/>
        <v/>
      </c>
      <c r="D207" s="96" t="str">
        <f t="shared" si="138"/>
        <v/>
      </c>
      <c r="E207" s="3"/>
      <c r="F207" s="3"/>
      <c r="G207" s="3"/>
      <c r="H207" s="3"/>
      <c r="I207" s="20">
        <f>IFERROR(INDEX('Input - Walmart'!G$2:G$200,MATCH('Calculations - Walmart'!$D207,'Input - Walmart'!$B$2:$B$200,0)),"")</f>
        <v>0</v>
      </c>
      <c r="J207" s="20">
        <f>IFERROR(INDEX('Input - Walmart'!H$2:H$200,MATCH('Calculations - Walmart'!$D207,'Input - Walmart'!$B$2:$B$200,0)),"")</f>
        <v>0</v>
      </c>
      <c r="K207" s="21">
        <f>IFERROR(INDEX('Input - Walmart'!I$2:I$200,MATCH('Calculations - Walmart'!$D207,'Input - Walmart'!$B$2:$B$200,0)),"")</f>
        <v>0</v>
      </c>
      <c r="L207" s="21">
        <f>IFERROR(INDEX('Input - Walmart'!J$2:J$200,MATCH('Calculations - Walmart'!$D207,'Input - Walmart'!$B$2:$B$200,0)),"")</f>
        <v>0</v>
      </c>
      <c r="M207" s="20">
        <f>IFERROR(INDEX('Input - Walmart'!K$2:K$200,MATCH('Calculations - Walmart'!$D207,'Input - Walmart'!$B$2:$B$200,0)),"")</f>
        <v>0</v>
      </c>
      <c r="N207" s="20">
        <f>IFERROR(INDEX('Input - Walmart'!L$2:L$200,MATCH('Calculations - Walmart'!$D207,'Input - Walmart'!$B$2:$B$200,0)),"")</f>
        <v>0</v>
      </c>
      <c r="O207" s="21" t="str">
        <f t="shared" si="139"/>
        <v/>
      </c>
      <c r="P207" s="21" t="str">
        <f t="shared" si="123"/>
        <v/>
      </c>
      <c r="Q207" s="21">
        <f t="shared" si="140"/>
        <v>0</v>
      </c>
      <c r="R207" s="9">
        <f t="shared" si="158"/>
        <v>0</v>
      </c>
      <c r="S207" s="9">
        <f t="shared" si="159"/>
        <v>0</v>
      </c>
      <c r="T207" s="22" t="str">
        <f>IFERROR(INDEX(Walmart!$S$11:$S$192,MATCH('Calculations - Walmart'!$D207,Walmart!$N$11:$N$192,0)),"")</f>
        <v/>
      </c>
      <c r="U207" s="22" t="str">
        <f>IFERROR(INDEX(Walmart!$T$11:$T$192,MATCH('Calculations - Walmart'!$D207,Walmart!$N$11:$N$192,0)),"")</f>
        <v/>
      </c>
      <c r="V207" s="16" t="e">
        <f t="shared" si="124"/>
        <v>#VALUE!</v>
      </c>
      <c r="W207" s="16" t="e">
        <f t="shared" si="141"/>
        <v>#VALUE!</v>
      </c>
      <c r="X207" s="16" t="e">
        <f t="shared" si="142"/>
        <v>#VALUE!</v>
      </c>
      <c r="Y207" s="10" t="str">
        <f t="shared" si="125"/>
        <v>-</v>
      </c>
      <c r="Z207" s="10" t="str">
        <f t="shared" si="126"/>
        <v>-</v>
      </c>
      <c r="AA207" s="13" t="str">
        <f t="shared" si="143"/>
        <v>-</v>
      </c>
      <c r="AB207" s="9" t="str">
        <f t="shared" si="127"/>
        <v>-</v>
      </c>
      <c r="AC207" s="16" t="str">
        <f t="shared" si="144"/>
        <v>-</v>
      </c>
      <c r="AD207" s="16" t="str">
        <f t="shared" si="128"/>
        <v>-</v>
      </c>
      <c r="AE207" s="16" t="str">
        <f t="shared" si="129"/>
        <v>-</v>
      </c>
      <c r="AF207" s="16" t="str">
        <f t="shared" si="145"/>
        <v>-</v>
      </c>
      <c r="AG207" s="16"/>
      <c r="AH207" s="32" t="str">
        <f>IFERROR(INDEX(Walmart!$R$11:$R$192,MATCH('Calculations - Walmart'!D207,Walmart!$N$11:$N$192,0)),"")</f>
        <v/>
      </c>
      <c r="AI207" s="23" t="str">
        <f t="shared" si="146"/>
        <v/>
      </c>
      <c r="AJ207" s="23" t="str">
        <f t="shared" si="147"/>
        <v/>
      </c>
      <c r="AK207" s="9" t="str">
        <f t="shared" si="130"/>
        <v/>
      </c>
      <c r="AL207" s="4" t="str">
        <f t="shared" si="131"/>
        <v/>
      </c>
      <c r="AM207" s="4"/>
      <c r="AN207" s="4"/>
      <c r="AO207" s="4"/>
      <c r="AP207" s="4"/>
      <c r="AQ207" s="4"/>
      <c r="AR207" s="20" t="str">
        <f t="shared" si="132"/>
        <v>-</v>
      </c>
      <c r="AS207" s="13" t="str">
        <f t="shared" si="148"/>
        <v>-</v>
      </c>
      <c r="AT207" s="13" t="str">
        <f t="shared" si="149"/>
        <v>-</v>
      </c>
      <c r="AU207" s="13" t="str">
        <f t="shared" si="133"/>
        <v>-</v>
      </c>
      <c r="AV207" s="16" t="str">
        <f t="shared" si="150"/>
        <v>-</v>
      </c>
      <c r="AW207" s="16" t="str">
        <f t="shared" si="134"/>
        <v>-</v>
      </c>
      <c r="AX207" s="16" t="str">
        <f t="shared" si="135"/>
        <v>-</v>
      </c>
      <c r="AY207" s="16" t="str">
        <f t="shared" si="151"/>
        <v>-</v>
      </c>
      <c r="AZ207" s="13" t="str">
        <f t="shared" si="152"/>
        <v>-</v>
      </c>
      <c r="BA207" s="10" t="str">
        <f t="shared" si="153"/>
        <v>-</v>
      </c>
      <c r="BB207" s="9" t="str">
        <f t="shared" si="154"/>
        <v>-</v>
      </c>
      <c r="BC207" s="13" t="str">
        <f t="shared" si="155"/>
        <v>-</v>
      </c>
      <c r="BD207" s="10" t="str">
        <f t="shared" si="156"/>
        <v>-</v>
      </c>
      <c r="BE207" s="13" t="str">
        <f t="shared" si="157"/>
        <v>-</v>
      </c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</row>
    <row r="208" spans="2:70" x14ac:dyDescent="0.3">
      <c r="B208" s="96" t="str">
        <f t="shared" si="136"/>
        <v/>
      </c>
      <c r="C208" s="96" t="str">
        <f t="shared" si="137"/>
        <v/>
      </c>
      <c r="D208" s="96" t="str">
        <f t="shared" si="138"/>
        <v/>
      </c>
      <c r="E208" s="3"/>
      <c r="F208" s="3"/>
      <c r="G208" s="3"/>
      <c r="H208" s="3"/>
      <c r="I208" s="20">
        <f>IFERROR(INDEX('Input - Walmart'!G$2:G$200,MATCH('Calculations - Walmart'!$D208,'Input - Walmart'!$B$2:$B$200,0)),"")</f>
        <v>0</v>
      </c>
      <c r="J208" s="20">
        <f>IFERROR(INDEX('Input - Walmart'!H$2:H$200,MATCH('Calculations - Walmart'!$D208,'Input - Walmart'!$B$2:$B$200,0)),"")</f>
        <v>0</v>
      </c>
      <c r="K208" s="21">
        <f>IFERROR(INDEX('Input - Walmart'!I$2:I$200,MATCH('Calculations - Walmart'!$D208,'Input - Walmart'!$B$2:$B$200,0)),"")</f>
        <v>0</v>
      </c>
      <c r="L208" s="21">
        <f>IFERROR(INDEX('Input - Walmart'!J$2:J$200,MATCH('Calculations - Walmart'!$D208,'Input - Walmart'!$B$2:$B$200,0)),"")</f>
        <v>0</v>
      </c>
      <c r="M208" s="20">
        <f>IFERROR(INDEX('Input - Walmart'!K$2:K$200,MATCH('Calculations - Walmart'!$D208,'Input - Walmart'!$B$2:$B$200,0)),"")</f>
        <v>0</v>
      </c>
      <c r="N208" s="20">
        <f>IFERROR(INDEX('Input - Walmart'!L$2:L$200,MATCH('Calculations - Walmart'!$D208,'Input - Walmart'!$B$2:$B$200,0)),"")</f>
        <v>0</v>
      </c>
      <c r="O208" s="21" t="str">
        <f t="shared" si="139"/>
        <v/>
      </c>
      <c r="P208" s="21" t="str">
        <f t="shared" si="123"/>
        <v/>
      </c>
      <c r="Q208" s="21">
        <f t="shared" si="140"/>
        <v>0</v>
      </c>
      <c r="R208" s="9">
        <f t="shared" si="158"/>
        <v>0</v>
      </c>
      <c r="S208" s="9">
        <f t="shared" si="159"/>
        <v>0</v>
      </c>
      <c r="T208" s="22" t="str">
        <f>IFERROR(INDEX(Walmart!$S$11:$S$192,MATCH('Calculations - Walmart'!$D208,Walmart!$N$11:$N$192,0)),"")</f>
        <v/>
      </c>
      <c r="U208" s="22" t="str">
        <f>IFERROR(INDEX(Walmart!$T$11:$T$192,MATCH('Calculations - Walmart'!$D208,Walmart!$N$11:$N$192,0)),"")</f>
        <v/>
      </c>
      <c r="V208" s="16" t="e">
        <f t="shared" si="124"/>
        <v>#VALUE!</v>
      </c>
      <c r="W208" s="16" t="e">
        <f t="shared" si="141"/>
        <v>#VALUE!</v>
      </c>
      <c r="X208" s="16" t="e">
        <f t="shared" si="142"/>
        <v>#VALUE!</v>
      </c>
      <c r="Y208" s="10" t="str">
        <f t="shared" si="125"/>
        <v>-</v>
      </c>
      <c r="Z208" s="10" t="str">
        <f t="shared" si="126"/>
        <v>-</v>
      </c>
      <c r="AA208" s="13" t="str">
        <f t="shared" si="143"/>
        <v>-</v>
      </c>
      <c r="AB208" s="9" t="str">
        <f t="shared" si="127"/>
        <v>-</v>
      </c>
      <c r="AC208" s="16" t="str">
        <f t="shared" si="144"/>
        <v>-</v>
      </c>
      <c r="AD208" s="16" t="str">
        <f t="shared" si="128"/>
        <v>-</v>
      </c>
      <c r="AE208" s="16" t="str">
        <f t="shared" si="129"/>
        <v>-</v>
      </c>
      <c r="AF208" s="16" t="str">
        <f t="shared" si="145"/>
        <v>-</v>
      </c>
      <c r="AG208" s="16"/>
      <c r="AH208" s="32" t="str">
        <f>IFERROR(INDEX(Walmart!$R$11:$R$192,MATCH('Calculations - Walmart'!D208,Walmart!$N$11:$N$192,0)),"")</f>
        <v/>
      </c>
      <c r="AI208" s="23" t="str">
        <f t="shared" si="146"/>
        <v/>
      </c>
      <c r="AJ208" s="23" t="str">
        <f t="shared" si="147"/>
        <v/>
      </c>
      <c r="AK208" s="9" t="str">
        <f t="shared" si="130"/>
        <v/>
      </c>
      <c r="AL208" s="4" t="str">
        <f t="shared" si="131"/>
        <v/>
      </c>
      <c r="AM208" s="4"/>
      <c r="AN208" s="4"/>
      <c r="AO208" s="4"/>
      <c r="AP208" s="4"/>
      <c r="AQ208" s="4"/>
      <c r="AR208" s="20" t="str">
        <f t="shared" si="132"/>
        <v>-</v>
      </c>
      <c r="AS208" s="13" t="str">
        <f t="shared" si="148"/>
        <v>-</v>
      </c>
      <c r="AT208" s="13" t="str">
        <f t="shared" si="149"/>
        <v>-</v>
      </c>
      <c r="AU208" s="13" t="str">
        <f t="shared" si="133"/>
        <v>-</v>
      </c>
      <c r="AV208" s="16" t="str">
        <f t="shared" si="150"/>
        <v>-</v>
      </c>
      <c r="AW208" s="16" t="str">
        <f t="shared" si="134"/>
        <v>-</v>
      </c>
      <c r="AX208" s="16" t="str">
        <f t="shared" si="135"/>
        <v>-</v>
      </c>
      <c r="AY208" s="16" t="str">
        <f t="shared" si="151"/>
        <v>-</v>
      </c>
      <c r="AZ208" s="13" t="str">
        <f t="shared" si="152"/>
        <v>-</v>
      </c>
      <c r="BA208" s="10" t="str">
        <f t="shared" si="153"/>
        <v>-</v>
      </c>
      <c r="BB208" s="9" t="str">
        <f t="shared" si="154"/>
        <v>-</v>
      </c>
      <c r="BC208" s="13" t="str">
        <f t="shared" si="155"/>
        <v>-</v>
      </c>
      <c r="BD208" s="10" t="str">
        <f t="shared" si="156"/>
        <v>-</v>
      </c>
      <c r="BE208" s="13" t="str">
        <f t="shared" si="157"/>
        <v>-</v>
      </c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</row>
    <row r="209" spans="2:70" x14ac:dyDescent="0.3">
      <c r="B209" s="96" t="str">
        <f t="shared" si="136"/>
        <v/>
      </c>
      <c r="C209" s="96" t="str">
        <f t="shared" si="137"/>
        <v/>
      </c>
      <c r="D209" s="96" t="str">
        <f t="shared" si="138"/>
        <v/>
      </c>
      <c r="E209" s="3"/>
      <c r="F209" s="3"/>
      <c r="G209" s="3"/>
      <c r="H209" s="3"/>
      <c r="I209" s="20">
        <f>IFERROR(INDEX('Input - Walmart'!G$2:G$200,MATCH('Calculations - Walmart'!$D209,'Input - Walmart'!$B$2:$B$200,0)),"")</f>
        <v>0</v>
      </c>
      <c r="J209" s="20">
        <f>IFERROR(INDEX('Input - Walmart'!H$2:H$200,MATCH('Calculations - Walmart'!$D209,'Input - Walmart'!$B$2:$B$200,0)),"")</f>
        <v>0</v>
      </c>
      <c r="K209" s="21">
        <f>IFERROR(INDEX('Input - Walmart'!I$2:I$200,MATCH('Calculations - Walmart'!$D209,'Input - Walmart'!$B$2:$B$200,0)),"")</f>
        <v>0</v>
      </c>
      <c r="L209" s="21">
        <f>IFERROR(INDEX('Input - Walmart'!J$2:J$200,MATCH('Calculations - Walmart'!$D209,'Input - Walmart'!$B$2:$B$200,0)),"")</f>
        <v>0</v>
      </c>
      <c r="M209" s="20">
        <f>IFERROR(INDEX('Input - Walmart'!K$2:K$200,MATCH('Calculations - Walmart'!$D209,'Input - Walmart'!$B$2:$B$200,0)),"")</f>
        <v>0</v>
      </c>
      <c r="N209" s="20">
        <f>IFERROR(INDEX('Input - Walmart'!L$2:L$200,MATCH('Calculations - Walmart'!$D209,'Input - Walmart'!$B$2:$B$200,0)),"")</f>
        <v>0</v>
      </c>
      <c r="O209" s="21" t="str">
        <f t="shared" si="139"/>
        <v/>
      </c>
      <c r="P209" s="21" t="str">
        <f t="shared" si="123"/>
        <v/>
      </c>
      <c r="Q209" s="21">
        <f t="shared" si="140"/>
        <v>0</v>
      </c>
      <c r="R209" s="9">
        <f t="shared" si="158"/>
        <v>0</v>
      </c>
      <c r="S209" s="9">
        <f t="shared" si="159"/>
        <v>0</v>
      </c>
      <c r="T209" s="22" t="str">
        <f>IFERROR(INDEX(Walmart!$S$11:$S$192,MATCH('Calculations - Walmart'!$D209,Walmart!$N$11:$N$192,0)),"")</f>
        <v/>
      </c>
      <c r="U209" s="22" t="str">
        <f>IFERROR(INDEX(Walmart!$T$11:$T$192,MATCH('Calculations - Walmart'!$D209,Walmart!$N$11:$N$192,0)),"")</f>
        <v/>
      </c>
      <c r="V209" s="16" t="e">
        <f t="shared" si="124"/>
        <v>#VALUE!</v>
      </c>
      <c r="W209" s="16" t="e">
        <f t="shared" si="141"/>
        <v>#VALUE!</v>
      </c>
      <c r="X209" s="16" t="e">
        <f t="shared" si="142"/>
        <v>#VALUE!</v>
      </c>
      <c r="Y209" s="10" t="str">
        <f t="shared" si="125"/>
        <v>-</v>
      </c>
      <c r="Z209" s="10" t="str">
        <f t="shared" si="126"/>
        <v>-</v>
      </c>
      <c r="AA209" s="13" t="str">
        <f t="shared" si="143"/>
        <v>-</v>
      </c>
      <c r="AB209" s="9" t="str">
        <f t="shared" si="127"/>
        <v>-</v>
      </c>
      <c r="AC209" s="16" t="str">
        <f t="shared" si="144"/>
        <v>-</v>
      </c>
      <c r="AD209" s="16" t="str">
        <f t="shared" si="128"/>
        <v>-</v>
      </c>
      <c r="AE209" s="16" t="str">
        <f t="shared" si="129"/>
        <v>-</v>
      </c>
      <c r="AF209" s="16" t="str">
        <f t="shared" si="145"/>
        <v>-</v>
      </c>
      <c r="AG209" s="16"/>
      <c r="AH209" s="32" t="str">
        <f>IFERROR(INDEX(Walmart!$R$11:$R$192,MATCH('Calculations - Walmart'!D209,Walmart!$N$11:$N$192,0)),"")</f>
        <v/>
      </c>
      <c r="AI209" s="23" t="str">
        <f t="shared" si="146"/>
        <v/>
      </c>
      <c r="AJ209" s="23" t="str">
        <f t="shared" si="147"/>
        <v/>
      </c>
      <c r="AK209" s="9" t="str">
        <f t="shared" si="130"/>
        <v/>
      </c>
      <c r="AL209" s="4" t="str">
        <f t="shared" si="131"/>
        <v/>
      </c>
      <c r="AM209" s="4"/>
      <c r="AN209" s="4"/>
      <c r="AO209" s="4"/>
      <c r="AP209" s="4"/>
      <c r="AQ209" s="4"/>
      <c r="AR209" s="20" t="str">
        <f t="shared" si="132"/>
        <v>-</v>
      </c>
      <c r="AS209" s="13" t="str">
        <f t="shared" si="148"/>
        <v>-</v>
      </c>
      <c r="AT209" s="13" t="str">
        <f t="shared" si="149"/>
        <v>-</v>
      </c>
      <c r="AU209" s="13" t="str">
        <f t="shared" si="133"/>
        <v>-</v>
      </c>
      <c r="AV209" s="16" t="str">
        <f t="shared" si="150"/>
        <v>-</v>
      </c>
      <c r="AW209" s="16" t="str">
        <f t="shared" si="134"/>
        <v>-</v>
      </c>
      <c r="AX209" s="16" t="str">
        <f t="shared" si="135"/>
        <v>-</v>
      </c>
      <c r="AY209" s="16" t="str">
        <f t="shared" si="151"/>
        <v>-</v>
      </c>
      <c r="AZ209" s="13" t="str">
        <f t="shared" si="152"/>
        <v>-</v>
      </c>
      <c r="BA209" s="10" t="str">
        <f t="shared" si="153"/>
        <v>-</v>
      </c>
      <c r="BB209" s="9" t="str">
        <f t="shared" si="154"/>
        <v>-</v>
      </c>
      <c r="BC209" s="13" t="str">
        <f t="shared" si="155"/>
        <v>-</v>
      </c>
      <c r="BD209" s="10" t="str">
        <f t="shared" si="156"/>
        <v>-</v>
      </c>
      <c r="BE209" s="13" t="str">
        <f t="shared" si="157"/>
        <v>-</v>
      </c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</row>
    <row r="210" spans="2:70" x14ac:dyDescent="0.3">
      <c r="B210" s="96" t="str">
        <f t="shared" si="136"/>
        <v/>
      </c>
      <c r="C210" s="96" t="str">
        <f t="shared" si="137"/>
        <v/>
      </c>
      <c r="D210" s="96" t="str">
        <f t="shared" si="138"/>
        <v/>
      </c>
      <c r="E210" s="3"/>
      <c r="F210" s="3"/>
      <c r="G210" s="3"/>
      <c r="H210" s="3"/>
      <c r="I210" s="20">
        <f>IFERROR(INDEX('Input - Walmart'!G$2:G$200,MATCH('Calculations - Walmart'!$D210,'Input - Walmart'!$B$2:$B$200,0)),"")</f>
        <v>0</v>
      </c>
      <c r="J210" s="20">
        <f>IFERROR(INDEX('Input - Walmart'!H$2:H$200,MATCH('Calculations - Walmart'!$D210,'Input - Walmart'!$B$2:$B$200,0)),"")</f>
        <v>0</v>
      </c>
      <c r="K210" s="21">
        <f>IFERROR(INDEX('Input - Walmart'!I$2:I$200,MATCH('Calculations - Walmart'!$D210,'Input - Walmart'!$B$2:$B$200,0)),"")</f>
        <v>0</v>
      </c>
      <c r="L210" s="21">
        <f>IFERROR(INDEX('Input - Walmart'!J$2:J$200,MATCH('Calculations - Walmart'!$D210,'Input - Walmart'!$B$2:$B$200,0)),"")</f>
        <v>0</v>
      </c>
      <c r="M210" s="20">
        <f>IFERROR(INDEX('Input - Walmart'!K$2:K$200,MATCH('Calculations - Walmart'!$D210,'Input - Walmart'!$B$2:$B$200,0)),"")</f>
        <v>0</v>
      </c>
      <c r="N210" s="20">
        <f>IFERROR(INDEX('Input - Walmart'!L$2:L$200,MATCH('Calculations - Walmart'!$D210,'Input - Walmart'!$B$2:$B$200,0)),"")</f>
        <v>0</v>
      </c>
      <c r="O210" s="21" t="str">
        <f t="shared" si="139"/>
        <v/>
      </c>
      <c r="P210" s="21" t="str">
        <f t="shared" si="123"/>
        <v/>
      </c>
      <c r="Q210" s="21">
        <f t="shared" si="140"/>
        <v>0</v>
      </c>
      <c r="R210" s="9">
        <f t="shared" si="158"/>
        <v>0</v>
      </c>
      <c r="S210" s="9">
        <f t="shared" si="159"/>
        <v>0</v>
      </c>
      <c r="T210" s="22" t="str">
        <f>IFERROR(INDEX(Walmart!$S$11:$S$192,MATCH('Calculations - Walmart'!$D210,Walmart!$N$11:$N$192,0)),"")</f>
        <v/>
      </c>
      <c r="U210" s="22" t="str">
        <f>IFERROR(INDEX(Walmart!$T$11:$T$192,MATCH('Calculations - Walmart'!$D210,Walmart!$N$11:$N$192,0)),"")</f>
        <v/>
      </c>
      <c r="V210" s="16" t="e">
        <f t="shared" si="124"/>
        <v>#VALUE!</v>
      </c>
      <c r="W210" s="16" t="e">
        <f t="shared" si="141"/>
        <v>#VALUE!</v>
      </c>
      <c r="X210" s="16" t="e">
        <f t="shared" si="142"/>
        <v>#VALUE!</v>
      </c>
      <c r="Y210" s="10" t="str">
        <f t="shared" si="125"/>
        <v>-</v>
      </c>
      <c r="Z210" s="10" t="str">
        <f t="shared" si="126"/>
        <v>-</v>
      </c>
      <c r="AA210" s="13" t="str">
        <f t="shared" si="143"/>
        <v>-</v>
      </c>
      <c r="AB210" s="9" t="str">
        <f t="shared" si="127"/>
        <v>-</v>
      </c>
      <c r="AC210" s="16" t="str">
        <f t="shared" si="144"/>
        <v>-</v>
      </c>
      <c r="AD210" s="16" t="str">
        <f t="shared" si="128"/>
        <v>-</v>
      </c>
      <c r="AE210" s="16" t="str">
        <f t="shared" si="129"/>
        <v>-</v>
      </c>
      <c r="AF210" s="16" t="str">
        <f t="shared" si="145"/>
        <v>-</v>
      </c>
      <c r="AG210" s="16"/>
      <c r="AH210" s="32" t="str">
        <f>IFERROR(INDEX(Walmart!$R$11:$R$192,MATCH('Calculations - Walmart'!D210,Walmart!$N$11:$N$192,0)),"")</f>
        <v/>
      </c>
      <c r="AI210" s="23" t="str">
        <f t="shared" si="146"/>
        <v/>
      </c>
      <c r="AJ210" s="23" t="str">
        <f t="shared" si="147"/>
        <v/>
      </c>
      <c r="AK210" s="9" t="str">
        <f t="shared" si="130"/>
        <v/>
      </c>
      <c r="AL210" s="4" t="str">
        <f t="shared" si="131"/>
        <v/>
      </c>
      <c r="AM210" s="4"/>
      <c r="AN210" s="4"/>
      <c r="AO210" s="4"/>
      <c r="AP210" s="4"/>
      <c r="AQ210" s="4"/>
      <c r="AR210" s="20" t="str">
        <f t="shared" si="132"/>
        <v>-</v>
      </c>
      <c r="AS210" s="13" t="str">
        <f t="shared" si="148"/>
        <v>-</v>
      </c>
      <c r="AT210" s="13" t="str">
        <f t="shared" si="149"/>
        <v>-</v>
      </c>
      <c r="AU210" s="13" t="str">
        <f t="shared" si="133"/>
        <v>-</v>
      </c>
      <c r="AV210" s="16" t="str">
        <f t="shared" si="150"/>
        <v>-</v>
      </c>
      <c r="AW210" s="16" t="str">
        <f t="shared" si="134"/>
        <v>-</v>
      </c>
      <c r="AX210" s="16" t="str">
        <f t="shared" si="135"/>
        <v>-</v>
      </c>
      <c r="AY210" s="16" t="str">
        <f t="shared" si="151"/>
        <v>-</v>
      </c>
      <c r="AZ210" s="13" t="str">
        <f t="shared" si="152"/>
        <v>-</v>
      </c>
      <c r="BA210" s="10" t="str">
        <f t="shared" si="153"/>
        <v>-</v>
      </c>
      <c r="BB210" s="9" t="str">
        <f t="shared" si="154"/>
        <v>-</v>
      </c>
      <c r="BC210" s="13" t="str">
        <f t="shared" si="155"/>
        <v>-</v>
      </c>
      <c r="BD210" s="10" t="str">
        <f t="shared" si="156"/>
        <v>-</v>
      </c>
      <c r="BE210" s="13" t="str">
        <f t="shared" si="157"/>
        <v>-</v>
      </c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</row>
    <row r="211" spans="2:70" x14ac:dyDescent="0.3">
      <c r="B211" s="96" t="str">
        <f t="shared" si="136"/>
        <v/>
      </c>
      <c r="C211" s="96" t="str">
        <f t="shared" si="137"/>
        <v/>
      </c>
      <c r="D211" s="96" t="str">
        <f t="shared" si="138"/>
        <v/>
      </c>
      <c r="E211" s="3"/>
      <c r="F211" s="3"/>
      <c r="G211" s="3"/>
      <c r="H211" s="3"/>
      <c r="I211" s="20">
        <f>IFERROR(INDEX('Input - Walmart'!G$2:G$200,MATCH('Calculations - Walmart'!$D211,'Input - Walmart'!$B$2:$B$200,0)),"")</f>
        <v>0</v>
      </c>
      <c r="J211" s="20">
        <f>IFERROR(INDEX('Input - Walmart'!H$2:H$200,MATCH('Calculations - Walmart'!$D211,'Input - Walmart'!$B$2:$B$200,0)),"")</f>
        <v>0</v>
      </c>
      <c r="K211" s="21">
        <f>IFERROR(INDEX('Input - Walmart'!I$2:I$200,MATCH('Calculations - Walmart'!$D211,'Input - Walmart'!$B$2:$B$200,0)),"")</f>
        <v>0</v>
      </c>
      <c r="L211" s="21">
        <f>IFERROR(INDEX('Input - Walmart'!J$2:J$200,MATCH('Calculations - Walmart'!$D211,'Input - Walmart'!$B$2:$B$200,0)),"")</f>
        <v>0</v>
      </c>
      <c r="M211" s="20">
        <f>IFERROR(INDEX('Input - Walmart'!K$2:K$200,MATCH('Calculations - Walmart'!$D211,'Input - Walmart'!$B$2:$B$200,0)),"")</f>
        <v>0</v>
      </c>
      <c r="N211" s="20">
        <f>IFERROR(INDEX('Input - Walmart'!L$2:L$200,MATCH('Calculations - Walmart'!$D211,'Input - Walmart'!$B$2:$B$200,0)),"")</f>
        <v>0</v>
      </c>
      <c r="O211" s="21" t="str">
        <f t="shared" si="139"/>
        <v/>
      </c>
      <c r="P211" s="21" t="str">
        <f t="shared" si="123"/>
        <v/>
      </c>
      <c r="Q211" s="21">
        <f t="shared" si="140"/>
        <v>0</v>
      </c>
      <c r="R211" s="9">
        <f t="shared" si="158"/>
        <v>0</v>
      </c>
      <c r="S211" s="9">
        <f t="shared" si="159"/>
        <v>0</v>
      </c>
      <c r="T211" s="22" t="str">
        <f>IFERROR(INDEX(Walmart!$S$11:$S$192,MATCH('Calculations - Walmart'!$D211,Walmart!$N$11:$N$192,0)),"")</f>
        <v/>
      </c>
      <c r="U211" s="22" t="str">
        <f>IFERROR(INDEX(Walmart!$T$11:$T$192,MATCH('Calculations - Walmart'!$D211,Walmart!$N$11:$N$192,0)),"")</f>
        <v/>
      </c>
      <c r="V211" s="16" t="e">
        <f t="shared" si="124"/>
        <v>#VALUE!</v>
      </c>
      <c r="W211" s="16" t="e">
        <f t="shared" si="141"/>
        <v>#VALUE!</v>
      </c>
      <c r="X211" s="16" t="e">
        <f t="shared" si="142"/>
        <v>#VALUE!</v>
      </c>
      <c r="Y211" s="10" t="str">
        <f t="shared" si="125"/>
        <v>-</v>
      </c>
      <c r="Z211" s="10" t="str">
        <f t="shared" si="126"/>
        <v>-</v>
      </c>
      <c r="AA211" s="13" t="str">
        <f t="shared" si="143"/>
        <v>-</v>
      </c>
      <c r="AB211" s="9" t="str">
        <f t="shared" si="127"/>
        <v>-</v>
      </c>
      <c r="AC211" s="16" t="str">
        <f t="shared" si="144"/>
        <v>-</v>
      </c>
      <c r="AD211" s="16" t="str">
        <f t="shared" si="128"/>
        <v>-</v>
      </c>
      <c r="AE211" s="16" t="str">
        <f t="shared" si="129"/>
        <v>-</v>
      </c>
      <c r="AF211" s="16" t="str">
        <f t="shared" si="145"/>
        <v>-</v>
      </c>
      <c r="AG211" s="16"/>
      <c r="AH211" s="32" t="str">
        <f>IFERROR(INDEX(Walmart!$R$11:$R$192,MATCH('Calculations - Walmart'!D211,Walmart!$N$11:$N$192,0)),"")</f>
        <v/>
      </c>
      <c r="AI211" s="23" t="str">
        <f t="shared" si="146"/>
        <v/>
      </c>
      <c r="AJ211" s="23" t="str">
        <f t="shared" si="147"/>
        <v/>
      </c>
      <c r="AK211" s="9" t="str">
        <f t="shared" si="130"/>
        <v/>
      </c>
      <c r="AL211" s="4" t="str">
        <f t="shared" si="131"/>
        <v/>
      </c>
      <c r="AM211" s="4"/>
      <c r="AN211" s="4"/>
      <c r="AO211" s="4"/>
      <c r="AP211" s="4"/>
      <c r="AQ211" s="4"/>
      <c r="AR211" s="20" t="str">
        <f t="shared" si="132"/>
        <v>-</v>
      </c>
      <c r="AS211" s="13" t="str">
        <f t="shared" si="148"/>
        <v>-</v>
      </c>
      <c r="AT211" s="13" t="str">
        <f t="shared" si="149"/>
        <v>-</v>
      </c>
      <c r="AU211" s="13" t="str">
        <f t="shared" si="133"/>
        <v>-</v>
      </c>
      <c r="AV211" s="16" t="str">
        <f t="shared" si="150"/>
        <v>-</v>
      </c>
      <c r="AW211" s="16" t="str">
        <f t="shared" si="134"/>
        <v>-</v>
      </c>
      <c r="AX211" s="16" t="str">
        <f t="shared" si="135"/>
        <v>-</v>
      </c>
      <c r="AY211" s="16" t="str">
        <f t="shared" si="151"/>
        <v>-</v>
      </c>
      <c r="AZ211" s="13" t="str">
        <f t="shared" si="152"/>
        <v>-</v>
      </c>
      <c r="BA211" s="10" t="str">
        <f t="shared" si="153"/>
        <v>-</v>
      </c>
      <c r="BB211" s="9" t="str">
        <f t="shared" si="154"/>
        <v>-</v>
      </c>
      <c r="BC211" s="13" t="str">
        <f t="shared" si="155"/>
        <v>-</v>
      </c>
      <c r="BD211" s="10" t="str">
        <f t="shared" si="156"/>
        <v>-</v>
      </c>
      <c r="BE211" s="13" t="str">
        <f t="shared" si="157"/>
        <v>-</v>
      </c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</row>
    <row r="212" spans="2:70" x14ac:dyDescent="0.3">
      <c r="B212" s="96" t="str">
        <f t="shared" si="136"/>
        <v/>
      </c>
      <c r="C212" s="96" t="str">
        <f t="shared" si="137"/>
        <v/>
      </c>
      <c r="D212" s="96" t="str">
        <f t="shared" si="138"/>
        <v/>
      </c>
      <c r="E212" s="3"/>
      <c r="F212" s="3"/>
      <c r="G212" s="3"/>
      <c r="H212" s="3"/>
      <c r="I212" s="20">
        <f>IFERROR(INDEX('Input - Walmart'!G$2:G$200,MATCH('Calculations - Walmart'!$D212,'Input - Walmart'!$B$2:$B$200,0)),"")</f>
        <v>0</v>
      </c>
      <c r="J212" s="20">
        <f>IFERROR(INDEX('Input - Walmart'!H$2:H$200,MATCH('Calculations - Walmart'!$D212,'Input - Walmart'!$B$2:$B$200,0)),"")</f>
        <v>0</v>
      </c>
      <c r="K212" s="21">
        <f>IFERROR(INDEX('Input - Walmart'!I$2:I$200,MATCH('Calculations - Walmart'!$D212,'Input - Walmart'!$B$2:$B$200,0)),"")</f>
        <v>0</v>
      </c>
      <c r="L212" s="21">
        <f>IFERROR(INDEX('Input - Walmart'!J$2:J$200,MATCH('Calculations - Walmart'!$D212,'Input - Walmart'!$B$2:$B$200,0)),"")</f>
        <v>0</v>
      </c>
      <c r="M212" s="20">
        <f>IFERROR(INDEX('Input - Walmart'!K$2:K$200,MATCH('Calculations - Walmart'!$D212,'Input - Walmart'!$B$2:$B$200,0)),"")</f>
        <v>0</v>
      </c>
      <c r="N212" s="20">
        <f>IFERROR(INDEX('Input - Walmart'!L$2:L$200,MATCH('Calculations - Walmart'!$D212,'Input - Walmart'!$B$2:$B$200,0)),"")</f>
        <v>0</v>
      </c>
      <c r="O212" s="21" t="str">
        <f t="shared" si="139"/>
        <v/>
      </c>
      <c r="P212" s="21" t="str">
        <f t="shared" si="123"/>
        <v/>
      </c>
      <c r="Q212" s="21">
        <f t="shared" si="140"/>
        <v>0</v>
      </c>
      <c r="R212" s="9">
        <f t="shared" si="158"/>
        <v>0</v>
      </c>
      <c r="S212" s="9">
        <f t="shared" si="159"/>
        <v>0</v>
      </c>
      <c r="T212" s="22" t="str">
        <f>IFERROR(INDEX(Walmart!$S$11:$S$192,MATCH('Calculations - Walmart'!$D212,Walmart!$N$11:$N$192,0)),"")</f>
        <v/>
      </c>
      <c r="U212" s="22" t="str">
        <f>IFERROR(INDEX(Walmart!$T$11:$T$192,MATCH('Calculations - Walmart'!$D212,Walmart!$N$11:$N$192,0)),"")</f>
        <v/>
      </c>
      <c r="V212" s="16" t="e">
        <f t="shared" si="124"/>
        <v>#VALUE!</v>
      </c>
      <c r="W212" s="16" t="e">
        <f t="shared" si="141"/>
        <v>#VALUE!</v>
      </c>
      <c r="X212" s="16" t="e">
        <f t="shared" si="142"/>
        <v>#VALUE!</v>
      </c>
      <c r="Y212" s="10" t="str">
        <f t="shared" si="125"/>
        <v>-</v>
      </c>
      <c r="Z212" s="10" t="str">
        <f t="shared" si="126"/>
        <v>-</v>
      </c>
      <c r="AA212" s="13" t="str">
        <f t="shared" si="143"/>
        <v>-</v>
      </c>
      <c r="AB212" s="9" t="str">
        <f t="shared" si="127"/>
        <v>-</v>
      </c>
      <c r="AC212" s="16" t="str">
        <f t="shared" si="144"/>
        <v>-</v>
      </c>
      <c r="AD212" s="16" t="str">
        <f t="shared" si="128"/>
        <v>-</v>
      </c>
      <c r="AE212" s="16" t="str">
        <f t="shared" si="129"/>
        <v>-</v>
      </c>
      <c r="AF212" s="16" t="str">
        <f t="shared" si="145"/>
        <v>-</v>
      </c>
      <c r="AG212" s="16"/>
      <c r="AH212" s="32" t="str">
        <f>IFERROR(INDEX(Walmart!$R$11:$R$192,MATCH('Calculations - Walmart'!D212,Walmart!$N$11:$N$192,0)),"")</f>
        <v/>
      </c>
      <c r="AI212" s="23" t="str">
        <f t="shared" si="146"/>
        <v/>
      </c>
      <c r="AJ212" s="23" t="str">
        <f t="shared" si="147"/>
        <v/>
      </c>
      <c r="AK212" s="9" t="str">
        <f t="shared" si="130"/>
        <v/>
      </c>
      <c r="AL212" s="4" t="str">
        <f t="shared" si="131"/>
        <v/>
      </c>
      <c r="AM212" s="4"/>
      <c r="AN212" s="4"/>
      <c r="AO212" s="4"/>
      <c r="AP212" s="4"/>
      <c r="AQ212" s="4"/>
      <c r="AR212" s="20" t="str">
        <f t="shared" si="132"/>
        <v>-</v>
      </c>
      <c r="AS212" s="13" t="str">
        <f t="shared" si="148"/>
        <v>-</v>
      </c>
      <c r="AT212" s="13" t="str">
        <f t="shared" si="149"/>
        <v>-</v>
      </c>
      <c r="AU212" s="13" t="str">
        <f t="shared" si="133"/>
        <v>-</v>
      </c>
      <c r="AV212" s="16" t="str">
        <f t="shared" si="150"/>
        <v>-</v>
      </c>
      <c r="AW212" s="16" t="str">
        <f t="shared" si="134"/>
        <v>-</v>
      </c>
      <c r="AX212" s="16" t="str">
        <f t="shared" si="135"/>
        <v>-</v>
      </c>
      <c r="AY212" s="16" t="str">
        <f t="shared" si="151"/>
        <v>-</v>
      </c>
      <c r="AZ212" s="13" t="str">
        <f t="shared" si="152"/>
        <v>-</v>
      </c>
      <c r="BA212" s="10" t="str">
        <f t="shared" si="153"/>
        <v>-</v>
      </c>
      <c r="BB212" s="9" t="str">
        <f t="shared" si="154"/>
        <v>-</v>
      </c>
      <c r="BC212" s="13" t="str">
        <f t="shared" si="155"/>
        <v>-</v>
      </c>
      <c r="BD212" s="10" t="str">
        <f t="shared" si="156"/>
        <v>-</v>
      </c>
      <c r="BE212" s="13" t="str">
        <f t="shared" si="157"/>
        <v>-</v>
      </c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</row>
    <row r="213" spans="2:70" x14ac:dyDescent="0.3">
      <c r="B213" s="96" t="str">
        <f t="shared" si="136"/>
        <v/>
      </c>
      <c r="C213" s="96" t="str">
        <f t="shared" si="137"/>
        <v/>
      </c>
      <c r="D213" s="96" t="str">
        <f t="shared" si="138"/>
        <v/>
      </c>
      <c r="E213" s="3"/>
      <c r="F213" s="3"/>
      <c r="G213" s="3"/>
      <c r="H213" s="3"/>
      <c r="I213" s="20">
        <f>IFERROR(INDEX('Input - Walmart'!G$2:G$200,MATCH('Calculations - Walmart'!$D213,'Input - Walmart'!$B$2:$B$200,0)),"")</f>
        <v>0</v>
      </c>
      <c r="J213" s="20">
        <f>IFERROR(INDEX('Input - Walmart'!H$2:H$200,MATCH('Calculations - Walmart'!$D213,'Input - Walmart'!$B$2:$B$200,0)),"")</f>
        <v>0</v>
      </c>
      <c r="K213" s="21">
        <f>IFERROR(INDEX('Input - Walmart'!I$2:I$200,MATCH('Calculations - Walmart'!$D213,'Input - Walmart'!$B$2:$B$200,0)),"")</f>
        <v>0</v>
      </c>
      <c r="L213" s="21">
        <f>IFERROR(INDEX('Input - Walmart'!J$2:J$200,MATCH('Calculations - Walmart'!$D213,'Input - Walmart'!$B$2:$B$200,0)),"")</f>
        <v>0</v>
      </c>
      <c r="M213" s="20">
        <f>IFERROR(INDEX('Input - Walmart'!K$2:K$200,MATCH('Calculations - Walmart'!$D213,'Input - Walmart'!$B$2:$B$200,0)),"")</f>
        <v>0</v>
      </c>
      <c r="N213" s="20">
        <f>IFERROR(INDEX('Input - Walmart'!L$2:L$200,MATCH('Calculations - Walmart'!$D213,'Input - Walmart'!$B$2:$B$200,0)),"")</f>
        <v>0</v>
      </c>
      <c r="O213" s="21" t="str">
        <f t="shared" si="139"/>
        <v/>
      </c>
      <c r="P213" s="21" t="str">
        <f t="shared" si="123"/>
        <v/>
      </c>
      <c r="Q213" s="21">
        <f t="shared" si="140"/>
        <v>0</v>
      </c>
      <c r="R213" s="9">
        <f t="shared" si="158"/>
        <v>0</v>
      </c>
      <c r="S213" s="9">
        <f t="shared" si="159"/>
        <v>0</v>
      </c>
      <c r="T213" s="22" t="str">
        <f>IFERROR(INDEX(Walmart!$S$11:$S$192,MATCH('Calculations - Walmart'!$D213,Walmart!$N$11:$N$192,0)),"")</f>
        <v/>
      </c>
      <c r="U213" s="22" t="str">
        <f>IFERROR(INDEX(Walmart!$T$11:$T$192,MATCH('Calculations - Walmart'!$D213,Walmart!$N$11:$N$192,0)),"")</f>
        <v/>
      </c>
      <c r="V213" s="16" t="e">
        <f t="shared" si="124"/>
        <v>#VALUE!</v>
      </c>
      <c r="W213" s="16" t="e">
        <f t="shared" si="141"/>
        <v>#VALUE!</v>
      </c>
      <c r="X213" s="16" t="e">
        <f t="shared" si="142"/>
        <v>#VALUE!</v>
      </c>
      <c r="Y213" s="10" t="str">
        <f t="shared" si="125"/>
        <v>-</v>
      </c>
      <c r="Z213" s="10" t="str">
        <f t="shared" si="126"/>
        <v>-</v>
      </c>
      <c r="AA213" s="13" t="str">
        <f t="shared" si="143"/>
        <v>-</v>
      </c>
      <c r="AB213" s="9" t="str">
        <f t="shared" si="127"/>
        <v>-</v>
      </c>
      <c r="AC213" s="16" t="str">
        <f t="shared" si="144"/>
        <v>-</v>
      </c>
      <c r="AD213" s="16" t="str">
        <f t="shared" si="128"/>
        <v>-</v>
      </c>
      <c r="AE213" s="16" t="str">
        <f t="shared" si="129"/>
        <v>-</v>
      </c>
      <c r="AF213" s="16" t="str">
        <f t="shared" si="145"/>
        <v>-</v>
      </c>
      <c r="AG213" s="16"/>
      <c r="AH213" s="32" t="str">
        <f>IFERROR(INDEX(Walmart!$R$11:$R$192,MATCH('Calculations - Walmart'!D213,Walmart!$N$11:$N$192,0)),"")</f>
        <v/>
      </c>
      <c r="AI213" s="23" t="str">
        <f t="shared" si="146"/>
        <v/>
      </c>
      <c r="AJ213" s="23" t="str">
        <f t="shared" si="147"/>
        <v/>
      </c>
      <c r="AK213" s="9" t="str">
        <f t="shared" si="130"/>
        <v/>
      </c>
      <c r="AL213" s="4" t="str">
        <f t="shared" si="131"/>
        <v/>
      </c>
      <c r="AM213" s="4"/>
      <c r="AN213" s="4"/>
      <c r="AO213" s="4"/>
      <c r="AP213" s="4"/>
      <c r="AQ213" s="4"/>
      <c r="AR213" s="20" t="str">
        <f t="shared" si="132"/>
        <v>-</v>
      </c>
      <c r="AS213" s="13" t="str">
        <f t="shared" si="148"/>
        <v>-</v>
      </c>
      <c r="AT213" s="13" t="str">
        <f t="shared" si="149"/>
        <v>-</v>
      </c>
      <c r="AU213" s="13" t="str">
        <f t="shared" si="133"/>
        <v>-</v>
      </c>
      <c r="AV213" s="16" t="str">
        <f t="shared" si="150"/>
        <v>-</v>
      </c>
      <c r="AW213" s="16" t="str">
        <f t="shared" si="134"/>
        <v>-</v>
      </c>
      <c r="AX213" s="16" t="str">
        <f t="shared" si="135"/>
        <v>-</v>
      </c>
      <c r="AY213" s="16" t="str">
        <f t="shared" si="151"/>
        <v>-</v>
      </c>
      <c r="AZ213" s="13" t="str">
        <f t="shared" si="152"/>
        <v>-</v>
      </c>
      <c r="BA213" s="10" t="str">
        <f t="shared" si="153"/>
        <v>-</v>
      </c>
      <c r="BB213" s="9" t="str">
        <f t="shared" si="154"/>
        <v>-</v>
      </c>
      <c r="BC213" s="13" t="str">
        <f t="shared" si="155"/>
        <v>-</v>
      </c>
      <c r="BD213" s="10" t="str">
        <f t="shared" si="156"/>
        <v>-</v>
      </c>
      <c r="BE213" s="13" t="str">
        <f t="shared" si="157"/>
        <v>-</v>
      </c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</row>
    <row r="214" spans="2:70" x14ac:dyDescent="0.3">
      <c r="B214" s="96" t="str">
        <f t="shared" si="136"/>
        <v/>
      </c>
      <c r="C214" s="96" t="str">
        <f t="shared" si="137"/>
        <v/>
      </c>
      <c r="D214" s="96" t="str">
        <f t="shared" si="138"/>
        <v/>
      </c>
      <c r="E214" s="3"/>
      <c r="F214" s="3"/>
      <c r="G214" s="3"/>
      <c r="H214" s="3"/>
      <c r="I214" s="20">
        <f>IFERROR(INDEX('Input - Walmart'!G$2:G$200,MATCH('Calculations - Walmart'!$D214,'Input - Walmart'!$B$2:$B$200,0)),"")</f>
        <v>0</v>
      </c>
      <c r="J214" s="20">
        <f>IFERROR(INDEX('Input - Walmart'!H$2:H$200,MATCH('Calculations - Walmart'!$D214,'Input - Walmart'!$B$2:$B$200,0)),"")</f>
        <v>0</v>
      </c>
      <c r="K214" s="21">
        <f>IFERROR(INDEX('Input - Walmart'!I$2:I$200,MATCH('Calculations - Walmart'!$D214,'Input - Walmart'!$B$2:$B$200,0)),"")</f>
        <v>0</v>
      </c>
      <c r="L214" s="21">
        <f>IFERROR(INDEX('Input - Walmart'!J$2:J$200,MATCH('Calculations - Walmart'!$D214,'Input - Walmart'!$B$2:$B$200,0)),"")</f>
        <v>0</v>
      </c>
      <c r="M214" s="20">
        <f>IFERROR(INDEX('Input - Walmart'!K$2:K$200,MATCH('Calculations - Walmart'!$D214,'Input - Walmart'!$B$2:$B$200,0)),"")</f>
        <v>0</v>
      </c>
      <c r="N214" s="20">
        <f>IFERROR(INDEX('Input - Walmart'!L$2:L$200,MATCH('Calculations - Walmart'!$D214,'Input - Walmart'!$B$2:$B$200,0)),"")</f>
        <v>0</v>
      </c>
      <c r="O214" s="21" t="str">
        <f t="shared" si="139"/>
        <v/>
      </c>
      <c r="P214" s="21" t="str">
        <f t="shared" si="123"/>
        <v/>
      </c>
      <c r="Q214" s="21">
        <f t="shared" si="140"/>
        <v>0</v>
      </c>
      <c r="R214" s="9">
        <f t="shared" si="158"/>
        <v>0</v>
      </c>
      <c r="S214" s="9">
        <f t="shared" si="159"/>
        <v>0</v>
      </c>
      <c r="T214" s="22" t="str">
        <f>IFERROR(INDEX(Walmart!$S$11:$S$192,MATCH('Calculations - Walmart'!$D214,Walmart!$N$11:$N$192,0)),"")</f>
        <v/>
      </c>
      <c r="U214" s="22" t="str">
        <f>IFERROR(INDEX(Walmart!$T$11:$T$192,MATCH('Calculations - Walmart'!$D214,Walmart!$N$11:$N$192,0)),"")</f>
        <v/>
      </c>
      <c r="V214" s="16" t="e">
        <f t="shared" si="124"/>
        <v>#VALUE!</v>
      </c>
      <c r="W214" s="16" t="e">
        <f t="shared" si="141"/>
        <v>#VALUE!</v>
      </c>
      <c r="X214" s="16" t="e">
        <f t="shared" si="142"/>
        <v>#VALUE!</v>
      </c>
      <c r="Y214" s="10" t="str">
        <f t="shared" si="125"/>
        <v>-</v>
      </c>
      <c r="Z214" s="10" t="str">
        <f t="shared" si="126"/>
        <v>-</v>
      </c>
      <c r="AA214" s="13" t="str">
        <f t="shared" si="143"/>
        <v>-</v>
      </c>
      <c r="AB214" s="9" t="str">
        <f t="shared" si="127"/>
        <v>-</v>
      </c>
      <c r="AC214" s="16" t="str">
        <f t="shared" si="144"/>
        <v>-</v>
      </c>
      <c r="AD214" s="16" t="str">
        <f t="shared" si="128"/>
        <v>-</v>
      </c>
      <c r="AE214" s="16" t="str">
        <f t="shared" si="129"/>
        <v>-</v>
      </c>
      <c r="AF214" s="16" t="str">
        <f t="shared" si="145"/>
        <v>-</v>
      </c>
      <c r="AG214" s="16"/>
      <c r="AH214" s="32" t="str">
        <f>IFERROR(INDEX(Walmart!$R$11:$R$192,MATCH('Calculations - Walmart'!D214,Walmart!$N$11:$N$192,0)),"")</f>
        <v/>
      </c>
      <c r="AI214" s="23" t="str">
        <f t="shared" si="146"/>
        <v/>
      </c>
      <c r="AJ214" s="23" t="str">
        <f t="shared" si="147"/>
        <v/>
      </c>
      <c r="AK214" s="9" t="str">
        <f t="shared" si="130"/>
        <v/>
      </c>
      <c r="AL214" s="4" t="str">
        <f t="shared" si="131"/>
        <v/>
      </c>
      <c r="AM214" s="4"/>
      <c r="AN214" s="4"/>
      <c r="AO214" s="4"/>
      <c r="AP214" s="4"/>
      <c r="AQ214" s="4"/>
      <c r="AR214" s="20" t="str">
        <f t="shared" si="132"/>
        <v>-</v>
      </c>
      <c r="AS214" s="13" t="str">
        <f t="shared" si="148"/>
        <v>-</v>
      </c>
      <c r="AT214" s="13" t="str">
        <f t="shared" si="149"/>
        <v>-</v>
      </c>
      <c r="AU214" s="13" t="str">
        <f t="shared" si="133"/>
        <v>-</v>
      </c>
      <c r="AV214" s="16" t="str">
        <f t="shared" si="150"/>
        <v>-</v>
      </c>
      <c r="AW214" s="16" t="str">
        <f t="shared" si="134"/>
        <v>-</v>
      </c>
      <c r="AX214" s="16" t="str">
        <f t="shared" si="135"/>
        <v>-</v>
      </c>
      <c r="AY214" s="16" t="str">
        <f t="shared" si="151"/>
        <v>-</v>
      </c>
      <c r="AZ214" s="13" t="str">
        <f t="shared" si="152"/>
        <v>-</v>
      </c>
      <c r="BA214" s="10" t="str">
        <f t="shared" si="153"/>
        <v>-</v>
      </c>
      <c r="BB214" s="9" t="str">
        <f t="shared" si="154"/>
        <v>-</v>
      </c>
      <c r="BC214" s="13" t="str">
        <f t="shared" si="155"/>
        <v>-</v>
      </c>
      <c r="BD214" s="10" t="str">
        <f t="shared" si="156"/>
        <v>-</v>
      </c>
      <c r="BE214" s="13" t="str">
        <f t="shared" si="157"/>
        <v>-</v>
      </c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</row>
    <row r="215" spans="2:70" x14ac:dyDescent="0.3">
      <c r="B215" s="96" t="str">
        <f t="shared" si="136"/>
        <v/>
      </c>
      <c r="C215" s="96" t="str">
        <f t="shared" si="137"/>
        <v/>
      </c>
      <c r="D215" s="96" t="str">
        <f t="shared" si="138"/>
        <v/>
      </c>
      <c r="E215" s="3"/>
      <c r="F215" s="3"/>
      <c r="G215" s="3"/>
      <c r="H215" s="3"/>
      <c r="I215" s="20">
        <f>IFERROR(INDEX('Input - Walmart'!G$2:G$200,MATCH('Calculations - Walmart'!$D215,'Input - Walmart'!$B$2:$B$200,0)),"")</f>
        <v>0</v>
      </c>
      <c r="J215" s="20">
        <f>IFERROR(INDEX('Input - Walmart'!H$2:H$200,MATCH('Calculations - Walmart'!$D215,'Input - Walmart'!$B$2:$B$200,0)),"")</f>
        <v>0</v>
      </c>
      <c r="K215" s="21">
        <f>IFERROR(INDEX('Input - Walmart'!I$2:I$200,MATCH('Calculations - Walmart'!$D215,'Input - Walmart'!$B$2:$B$200,0)),"")</f>
        <v>0</v>
      </c>
      <c r="L215" s="21">
        <f>IFERROR(INDEX('Input - Walmart'!J$2:J$200,MATCH('Calculations - Walmart'!$D215,'Input - Walmart'!$B$2:$B$200,0)),"")</f>
        <v>0</v>
      </c>
      <c r="M215" s="20">
        <f>IFERROR(INDEX('Input - Walmart'!K$2:K$200,MATCH('Calculations - Walmart'!$D215,'Input - Walmart'!$B$2:$B$200,0)),"")</f>
        <v>0</v>
      </c>
      <c r="N215" s="20">
        <f>IFERROR(INDEX('Input - Walmart'!L$2:L$200,MATCH('Calculations - Walmart'!$D215,'Input - Walmart'!$B$2:$B$200,0)),"")</f>
        <v>0</v>
      </c>
      <c r="O215" s="21" t="str">
        <f t="shared" si="139"/>
        <v/>
      </c>
      <c r="P215" s="21" t="str">
        <f t="shared" si="123"/>
        <v/>
      </c>
      <c r="Q215" s="21">
        <f t="shared" si="140"/>
        <v>0</v>
      </c>
      <c r="R215" s="9">
        <f t="shared" si="158"/>
        <v>0</v>
      </c>
      <c r="S215" s="9">
        <f t="shared" si="159"/>
        <v>0</v>
      </c>
      <c r="T215" s="22" t="str">
        <f>IFERROR(INDEX(Walmart!$S$11:$S$192,MATCH('Calculations - Walmart'!$D215,Walmart!$N$11:$N$192,0)),"")</f>
        <v/>
      </c>
      <c r="U215" s="22" t="str">
        <f>IFERROR(INDEX(Walmart!$T$11:$T$192,MATCH('Calculations - Walmart'!$D215,Walmart!$N$11:$N$192,0)),"")</f>
        <v/>
      </c>
      <c r="V215" s="16" t="e">
        <f t="shared" si="124"/>
        <v>#VALUE!</v>
      </c>
      <c r="W215" s="16" t="e">
        <f t="shared" si="141"/>
        <v>#VALUE!</v>
      </c>
      <c r="X215" s="16" t="e">
        <f t="shared" si="142"/>
        <v>#VALUE!</v>
      </c>
      <c r="Y215" s="10" t="str">
        <f t="shared" si="125"/>
        <v>-</v>
      </c>
      <c r="Z215" s="10" t="str">
        <f t="shared" si="126"/>
        <v>-</v>
      </c>
      <c r="AA215" s="13" t="str">
        <f t="shared" si="143"/>
        <v>-</v>
      </c>
      <c r="AB215" s="9" t="str">
        <f t="shared" si="127"/>
        <v>-</v>
      </c>
      <c r="AC215" s="16" t="str">
        <f t="shared" si="144"/>
        <v>-</v>
      </c>
      <c r="AD215" s="16" t="str">
        <f t="shared" si="128"/>
        <v>-</v>
      </c>
      <c r="AE215" s="16" t="str">
        <f t="shared" si="129"/>
        <v>-</v>
      </c>
      <c r="AF215" s="16" t="str">
        <f t="shared" si="145"/>
        <v>-</v>
      </c>
      <c r="AG215" s="16"/>
      <c r="AH215" s="32" t="str">
        <f>IFERROR(INDEX(Walmart!$R$11:$R$192,MATCH('Calculations - Walmart'!D215,Walmart!$N$11:$N$192,0)),"")</f>
        <v/>
      </c>
      <c r="AI215" s="23" t="str">
        <f t="shared" si="146"/>
        <v/>
      </c>
      <c r="AJ215" s="23" t="str">
        <f t="shared" si="147"/>
        <v/>
      </c>
      <c r="AK215" s="9" t="str">
        <f t="shared" si="130"/>
        <v/>
      </c>
      <c r="AL215" s="4" t="str">
        <f t="shared" si="131"/>
        <v/>
      </c>
      <c r="AM215" s="4"/>
      <c r="AN215" s="4"/>
      <c r="AO215" s="4"/>
      <c r="AP215" s="4"/>
      <c r="AQ215" s="4"/>
      <c r="AR215" s="20" t="str">
        <f t="shared" si="132"/>
        <v>-</v>
      </c>
      <c r="AS215" s="13" t="str">
        <f t="shared" si="148"/>
        <v>-</v>
      </c>
      <c r="AT215" s="13" t="str">
        <f t="shared" si="149"/>
        <v>-</v>
      </c>
      <c r="AU215" s="13" t="str">
        <f t="shared" si="133"/>
        <v>-</v>
      </c>
      <c r="AV215" s="16" t="str">
        <f t="shared" si="150"/>
        <v>-</v>
      </c>
      <c r="AW215" s="16" t="str">
        <f t="shared" si="134"/>
        <v>-</v>
      </c>
      <c r="AX215" s="16" t="str">
        <f t="shared" si="135"/>
        <v>-</v>
      </c>
      <c r="AY215" s="16" t="str">
        <f t="shared" si="151"/>
        <v>-</v>
      </c>
      <c r="AZ215" s="13" t="str">
        <f t="shared" si="152"/>
        <v>-</v>
      </c>
      <c r="BA215" s="10" t="str">
        <f t="shared" si="153"/>
        <v>-</v>
      </c>
      <c r="BB215" s="9" t="str">
        <f t="shared" si="154"/>
        <v>-</v>
      </c>
      <c r="BC215" s="13" t="str">
        <f t="shared" si="155"/>
        <v>-</v>
      </c>
      <c r="BD215" s="10" t="str">
        <f t="shared" si="156"/>
        <v>-</v>
      </c>
      <c r="BE215" s="13" t="str">
        <f t="shared" si="157"/>
        <v>-</v>
      </c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</row>
    <row r="216" spans="2:70" x14ac:dyDescent="0.3">
      <c r="B216" s="96" t="str">
        <f t="shared" si="136"/>
        <v/>
      </c>
      <c r="C216" s="96" t="str">
        <f t="shared" si="137"/>
        <v/>
      </c>
      <c r="D216" s="96" t="str">
        <f t="shared" si="138"/>
        <v/>
      </c>
      <c r="E216" s="3"/>
      <c r="F216" s="3"/>
      <c r="G216" s="3"/>
      <c r="H216" s="3"/>
      <c r="I216" s="20">
        <f>IFERROR(INDEX('Input - Walmart'!G$2:G$200,MATCH('Calculations - Walmart'!$D216,'Input - Walmart'!$B$2:$B$200,0)),"")</f>
        <v>0</v>
      </c>
      <c r="J216" s="20">
        <f>IFERROR(INDEX('Input - Walmart'!H$2:H$200,MATCH('Calculations - Walmart'!$D216,'Input - Walmart'!$B$2:$B$200,0)),"")</f>
        <v>0</v>
      </c>
      <c r="K216" s="21">
        <f>IFERROR(INDEX('Input - Walmart'!I$2:I$200,MATCH('Calculations - Walmart'!$D216,'Input - Walmart'!$B$2:$B$200,0)),"")</f>
        <v>0</v>
      </c>
      <c r="L216" s="21">
        <f>IFERROR(INDEX('Input - Walmart'!J$2:J$200,MATCH('Calculations - Walmart'!$D216,'Input - Walmart'!$B$2:$B$200,0)),"")</f>
        <v>0</v>
      </c>
      <c r="M216" s="20">
        <f>IFERROR(INDEX('Input - Walmart'!K$2:K$200,MATCH('Calculations - Walmart'!$D216,'Input - Walmart'!$B$2:$B$200,0)),"")</f>
        <v>0</v>
      </c>
      <c r="N216" s="20">
        <f>IFERROR(INDEX('Input - Walmart'!L$2:L$200,MATCH('Calculations - Walmart'!$D216,'Input - Walmart'!$B$2:$B$200,0)),"")</f>
        <v>0</v>
      </c>
      <c r="O216" s="21" t="str">
        <f t="shared" si="139"/>
        <v/>
      </c>
      <c r="P216" s="21" t="str">
        <f t="shared" si="123"/>
        <v/>
      </c>
      <c r="Q216" s="21">
        <f t="shared" si="140"/>
        <v>0</v>
      </c>
      <c r="R216" s="9">
        <f t="shared" si="158"/>
        <v>0</v>
      </c>
      <c r="S216" s="9">
        <f t="shared" si="159"/>
        <v>0</v>
      </c>
      <c r="T216" s="22" t="str">
        <f>IFERROR(INDEX(Walmart!$S$11:$S$192,MATCH('Calculations - Walmart'!$D216,Walmart!$N$11:$N$192,0)),"")</f>
        <v/>
      </c>
      <c r="U216" s="22" t="str">
        <f>IFERROR(INDEX(Walmart!$T$11:$T$192,MATCH('Calculations - Walmart'!$D216,Walmart!$N$11:$N$192,0)),"")</f>
        <v/>
      </c>
      <c r="V216" s="16" t="e">
        <f t="shared" si="124"/>
        <v>#VALUE!</v>
      </c>
      <c r="W216" s="16" t="e">
        <f t="shared" si="141"/>
        <v>#VALUE!</v>
      </c>
      <c r="X216" s="16" t="e">
        <f t="shared" si="142"/>
        <v>#VALUE!</v>
      </c>
      <c r="Y216" s="10" t="str">
        <f t="shared" si="125"/>
        <v>-</v>
      </c>
      <c r="Z216" s="10" t="str">
        <f t="shared" si="126"/>
        <v>-</v>
      </c>
      <c r="AA216" s="13" t="str">
        <f t="shared" si="143"/>
        <v>-</v>
      </c>
      <c r="AB216" s="9" t="str">
        <f t="shared" si="127"/>
        <v>-</v>
      </c>
      <c r="AC216" s="16" t="str">
        <f t="shared" si="144"/>
        <v>-</v>
      </c>
      <c r="AD216" s="16" t="str">
        <f t="shared" si="128"/>
        <v>-</v>
      </c>
      <c r="AE216" s="16" t="str">
        <f t="shared" si="129"/>
        <v>-</v>
      </c>
      <c r="AF216" s="16" t="str">
        <f t="shared" si="145"/>
        <v>-</v>
      </c>
      <c r="AG216" s="16"/>
      <c r="AH216" s="32" t="str">
        <f>IFERROR(INDEX(Walmart!$R$11:$R$192,MATCH('Calculations - Walmart'!D216,Walmart!$N$11:$N$192,0)),"")</f>
        <v/>
      </c>
      <c r="AI216" s="23" t="str">
        <f t="shared" si="146"/>
        <v/>
      </c>
      <c r="AJ216" s="23" t="str">
        <f t="shared" si="147"/>
        <v/>
      </c>
      <c r="AK216" s="9" t="str">
        <f t="shared" si="130"/>
        <v/>
      </c>
      <c r="AL216" s="4" t="str">
        <f t="shared" si="131"/>
        <v/>
      </c>
      <c r="AM216" s="4"/>
      <c r="AN216" s="4"/>
      <c r="AO216" s="4"/>
      <c r="AP216" s="4"/>
      <c r="AQ216" s="4"/>
      <c r="AR216" s="20" t="str">
        <f t="shared" si="132"/>
        <v>-</v>
      </c>
      <c r="AS216" s="13" t="str">
        <f t="shared" si="148"/>
        <v>-</v>
      </c>
      <c r="AT216" s="13" t="str">
        <f t="shared" si="149"/>
        <v>-</v>
      </c>
      <c r="AU216" s="13" t="str">
        <f t="shared" si="133"/>
        <v>-</v>
      </c>
      <c r="AV216" s="16" t="str">
        <f t="shared" si="150"/>
        <v>-</v>
      </c>
      <c r="AW216" s="16" t="str">
        <f t="shared" si="134"/>
        <v>-</v>
      </c>
      <c r="AX216" s="16" t="str">
        <f t="shared" si="135"/>
        <v>-</v>
      </c>
      <c r="AY216" s="16" t="str">
        <f t="shared" si="151"/>
        <v>-</v>
      </c>
      <c r="AZ216" s="13" t="str">
        <f t="shared" si="152"/>
        <v>-</v>
      </c>
      <c r="BA216" s="10" t="str">
        <f t="shared" si="153"/>
        <v>-</v>
      </c>
      <c r="BB216" s="9" t="str">
        <f t="shared" si="154"/>
        <v>-</v>
      </c>
      <c r="BC216" s="13" t="str">
        <f t="shared" si="155"/>
        <v>-</v>
      </c>
      <c r="BD216" s="10" t="str">
        <f t="shared" si="156"/>
        <v>-</v>
      </c>
      <c r="BE216" s="13" t="str">
        <f t="shared" si="157"/>
        <v>-</v>
      </c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</row>
    <row r="217" spans="2:70" x14ac:dyDescent="0.3">
      <c r="B217" s="96" t="str">
        <f t="shared" si="136"/>
        <v/>
      </c>
      <c r="C217" s="96" t="str">
        <f t="shared" si="137"/>
        <v/>
      </c>
      <c r="D217" s="96" t="str">
        <f t="shared" si="138"/>
        <v/>
      </c>
      <c r="E217" s="3"/>
      <c r="F217" s="3"/>
      <c r="G217" s="3"/>
      <c r="H217" s="3"/>
      <c r="I217" s="20">
        <f>IFERROR(INDEX('Input - Walmart'!G$2:G$200,MATCH('Calculations - Walmart'!$D217,'Input - Walmart'!$B$2:$B$200,0)),"")</f>
        <v>0</v>
      </c>
      <c r="J217" s="20">
        <f>IFERROR(INDEX('Input - Walmart'!H$2:H$200,MATCH('Calculations - Walmart'!$D217,'Input - Walmart'!$B$2:$B$200,0)),"")</f>
        <v>0</v>
      </c>
      <c r="K217" s="21">
        <f>IFERROR(INDEX('Input - Walmart'!I$2:I$200,MATCH('Calculations - Walmart'!$D217,'Input - Walmart'!$B$2:$B$200,0)),"")</f>
        <v>0</v>
      </c>
      <c r="L217" s="21">
        <f>IFERROR(INDEX('Input - Walmart'!J$2:J$200,MATCH('Calculations - Walmart'!$D217,'Input - Walmart'!$B$2:$B$200,0)),"")</f>
        <v>0</v>
      </c>
      <c r="M217" s="20">
        <f>IFERROR(INDEX('Input - Walmart'!K$2:K$200,MATCH('Calculations - Walmart'!$D217,'Input - Walmart'!$B$2:$B$200,0)),"")</f>
        <v>0</v>
      </c>
      <c r="N217" s="20">
        <f>IFERROR(INDEX('Input - Walmart'!L$2:L$200,MATCH('Calculations - Walmart'!$D217,'Input - Walmart'!$B$2:$B$200,0)),"")</f>
        <v>0</v>
      </c>
      <c r="O217" s="21" t="str">
        <f t="shared" si="139"/>
        <v/>
      </c>
      <c r="P217" s="21" t="str">
        <f t="shared" si="123"/>
        <v/>
      </c>
      <c r="Q217" s="21">
        <f t="shared" si="140"/>
        <v>0</v>
      </c>
      <c r="R217" s="9">
        <f t="shared" si="158"/>
        <v>0</v>
      </c>
      <c r="S217" s="9">
        <f t="shared" si="159"/>
        <v>0</v>
      </c>
      <c r="T217" s="22" t="str">
        <f>IFERROR(INDEX(Walmart!$S$11:$S$192,MATCH('Calculations - Walmart'!$D217,Walmart!$N$11:$N$192,0)),"")</f>
        <v/>
      </c>
      <c r="U217" s="22" t="str">
        <f>IFERROR(INDEX(Walmart!$T$11:$T$192,MATCH('Calculations - Walmart'!$D217,Walmart!$N$11:$N$192,0)),"")</f>
        <v/>
      </c>
      <c r="V217" s="16" t="e">
        <f t="shared" si="124"/>
        <v>#VALUE!</v>
      </c>
      <c r="W217" s="16" t="e">
        <f t="shared" si="141"/>
        <v>#VALUE!</v>
      </c>
      <c r="X217" s="16" t="e">
        <f t="shared" si="142"/>
        <v>#VALUE!</v>
      </c>
      <c r="Y217" s="10" t="str">
        <f t="shared" si="125"/>
        <v>-</v>
      </c>
      <c r="Z217" s="10" t="str">
        <f t="shared" si="126"/>
        <v>-</v>
      </c>
      <c r="AA217" s="13" t="str">
        <f t="shared" si="143"/>
        <v>-</v>
      </c>
      <c r="AB217" s="9" t="str">
        <f t="shared" si="127"/>
        <v>-</v>
      </c>
      <c r="AC217" s="16" t="str">
        <f t="shared" si="144"/>
        <v>-</v>
      </c>
      <c r="AD217" s="16" t="str">
        <f t="shared" si="128"/>
        <v>-</v>
      </c>
      <c r="AE217" s="16" t="str">
        <f t="shared" si="129"/>
        <v>-</v>
      </c>
      <c r="AF217" s="16" t="str">
        <f t="shared" si="145"/>
        <v>-</v>
      </c>
      <c r="AG217" s="16"/>
      <c r="AH217" s="32" t="str">
        <f>IFERROR(INDEX(Walmart!$R$11:$R$192,MATCH('Calculations - Walmart'!D217,Walmart!$N$11:$N$192,0)),"")</f>
        <v/>
      </c>
      <c r="AI217" s="23" t="str">
        <f t="shared" si="146"/>
        <v/>
      </c>
      <c r="AJ217" s="23" t="str">
        <f t="shared" si="147"/>
        <v/>
      </c>
      <c r="AK217" s="9" t="str">
        <f t="shared" si="130"/>
        <v/>
      </c>
      <c r="AL217" s="4" t="str">
        <f t="shared" si="131"/>
        <v/>
      </c>
      <c r="AM217" s="4"/>
      <c r="AN217" s="4"/>
      <c r="AO217" s="4"/>
      <c r="AP217" s="4"/>
      <c r="AQ217" s="4"/>
      <c r="AR217" s="20" t="str">
        <f t="shared" si="132"/>
        <v>-</v>
      </c>
      <c r="AS217" s="13" t="str">
        <f t="shared" si="148"/>
        <v>-</v>
      </c>
      <c r="AT217" s="13" t="str">
        <f t="shared" si="149"/>
        <v>-</v>
      </c>
      <c r="AU217" s="13" t="str">
        <f t="shared" si="133"/>
        <v>-</v>
      </c>
      <c r="AV217" s="16" t="str">
        <f t="shared" si="150"/>
        <v>-</v>
      </c>
      <c r="AW217" s="16" t="str">
        <f t="shared" si="134"/>
        <v>-</v>
      </c>
      <c r="AX217" s="16" t="str">
        <f t="shared" si="135"/>
        <v>-</v>
      </c>
      <c r="AY217" s="16" t="str">
        <f t="shared" si="151"/>
        <v>-</v>
      </c>
      <c r="AZ217" s="13" t="str">
        <f t="shared" si="152"/>
        <v>-</v>
      </c>
      <c r="BA217" s="10" t="str">
        <f t="shared" si="153"/>
        <v>-</v>
      </c>
      <c r="BB217" s="9" t="str">
        <f t="shared" si="154"/>
        <v>-</v>
      </c>
      <c r="BC217" s="13" t="str">
        <f t="shared" si="155"/>
        <v>-</v>
      </c>
      <c r="BD217" s="10" t="str">
        <f t="shared" si="156"/>
        <v>-</v>
      </c>
      <c r="BE217" s="13" t="str">
        <f t="shared" si="157"/>
        <v>-</v>
      </c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</row>
    <row r="218" spans="2:70" x14ac:dyDescent="0.3">
      <c r="B218" s="96" t="str">
        <f t="shared" si="136"/>
        <v/>
      </c>
      <c r="C218" s="96" t="str">
        <f t="shared" si="137"/>
        <v/>
      </c>
      <c r="D218" s="96" t="str">
        <f t="shared" si="138"/>
        <v/>
      </c>
      <c r="E218" s="3"/>
      <c r="F218" s="3"/>
      <c r="G218" s="3"/>
      <c r="H218" s="3"/>
      <c r="I218" s="20">
        <f>IFERROR(INDEX('Input - Walmart'!G$2:G$200,MATCH('Calculations - Walmart'!$D218,'Input - Walmart'!$B$2:$B$200,0)),"")</f>
        <v>0</v>
      </c>
      <c r="J218" s="20">
        <f>IFERROR(INDEX('Input - Walmart'!H$2:H$200,MATCH('Calculations - Walmart'!$D218,'Input - Walmart'!$B$2:$B$200,0)),"")</f>
        <v>0</v>
      </c>
      <c r="K218" s="21">
        <f>IFERROR(INDEX('Input - Walmart'!I$2:I$200,MATCH('Calculations - Walmart'!$D218,'Input - Walmart'!$B$2:$B$200,0)),"")</f>
        <v>0</v>
      </c>
      <c r="L218" s="21">
        <f>IFERROR(INDEX('Input - Walmart'!J$2:J$200,MATCH('Calculations - Walmart'!$D218,'Input - Walmart'!$B$2:$B$200,0)),"")</f>
        <v>0</v>
      </c>
      <c r="M218" s="20">
        <f>IFERROR(INDEX('Input - Walmart'!K$2:K$200,MATCH('Calculations - Walmart'!$D218,'Input - Walmart'!$B$2:$B$200,0)),"")</f>
        <v>0</v>
      </c>
      <c r="N218" s="20">
        <f>IFERROR(INDEX('Input - Walmart'!L$2:L$200,MATCH('Calculations - Walmart'!$D218,'Input - Walmart'!$B$2:$B$200,0)),"")</f>
        <v>0</v>
      </c>
      <c r="O218" s="21" t="str">
        <f t="shared" si="139"/>
        <v/>
      </c>
      <c r="P218" s="21" t="str">
        <f t="shared" si="123"/>
        <v/>
      </c>
      <c r="Q218" s="21">
        <f t="shared" si="140"/>
        <v>0</v>
      </c>
      <c r="R218" s="9">
        <f t="shared" si="158"/>
        <v>0</v>
      </c>
      <c r="S218" s="9">
        <f t="shared" si="159"/>
        <v>0</v>
      </c>
      <c r="T218" s="22" t="str">
        <f>IFERROR(INDEX(Walmart!$S$11:$S$192,MATCH('Calculations - Walmart'!$D218,Walmart!$N$11:$N$192,0)),"")</f>
        <v/>
      </c>
      <c r="U218" s="22" t="str">
        <f>IFERROR(INDEX(Walmart!$T$11:$T$192,MATCH('Calculations - Walmart'!$D218,Walmart!$N$11:$N$192,0)),"")</f>
        <v/>
      </c>
      <c r="V218" s="16" t="e">
        <f t="shared" si="124"/>
        <v>#VALUE!</v>
      </c>
      <c r="W218" s="16" t="e">
        <f t="shared" si="141"/>
        <v>#VALUE!</v>
      </c>
      <c r="X218" s="16" t="e">
        <f t="shared" si="142"/>
        <v>#VALUE!</v>
      </c>
      <c r="Y218" s="10" t="str">
        <f t="shared" si="125"/>
        <v>-</v>
      </c>
      <c r="Z218" s="10" t="str">
        <f t="shared" si="126"/>
        <v>-</v>
      </c>
      <c r="AA218" s="13" t="str">
        <f t="shared" si="143"/>
        <v>-</v>
      </c>
      <c r="AB218" s="9" t="str">
        <f t="shared" si="127"/>
        <v>-</v>
      </c>
      <c r="AC218" s="16" t="str">
        <f t="shared" si="144"/>
        <v>-</v>
      </c>
      <c r="AD218" s="16" t="str">
        <f t="shared" si="128"/>
        <v>-</v>
      </c>
      <c r="AE218" s="16" t="str">
        <f t="shared" si="129"/>
        <v>-</v>
      </c>
      <c r="AF218" s="16" t="str">
        <f t="shared" si="145"/>
        <v>-</v>
      </c>
      <c r="AG218" s="16"/>
      <c r="AH218" s="32" t="str">
        <f>IFERROR(INDEX(Walmart!$R$11:$R$192,MATCH('Calculations - Walmart'!D218,Walmart!$N$11:$N$192,0)),"")</f>
        <v/>
      </c>
      <c r="AI218" s="23" t="str">
        <f t="shared" si="146"/>
        <v/>
      </c>
      <c r="AJ218" s="23" t="str">
        <f t="shared" si="147"/>
        <v/>
      </c>
      <c r="AK218" s="9" t="str">
        <f t="shared" si="130"/>
        <v/>
      </c>
      <c r="AL218" s="4" t="str">
        <f t="shared" si="131"/>
        <v/>
      </c>
      <c r="AM218" s="4"/>
      <c r="AN218" s="4"/>
      <c r="AO218" s="4"/>
      <c r="AP218" s="4"/>
      <c r="AQ218" s="4"/>
      <c r="AR218" s="20" t="str">
        <f t="shared" si="132"/>
        <v>-</v>
      </c>
      <c r="AS218" s="13" t="str">
        <f t="shared" si="148"/>
        <v>-</v>
      </c>
      <c r="AT218" s="13" t="str">
        <f t="shared" si="149"/>
        <v>-</v>
      </c>
      <c r="AU218" s="13" t="str">
        <f t="shared" si="133"/>
        <v>-</v>
      </c>
      <c r="AV218" s="16" t="str">
        <f t="shared" si="150"/>
        <v>-</v>
      </c>
      <c r="AW218" s="16" t="str">
        <f t="shared" si="134"/>
        <v>-</v>
      </c>
      <c r="AX218" s="16" t="str">
        <f t="shared" si="135"/>
        <v>-</v>
      </c>
      <c r="AY218" s="16" t="str">
        <f t="shared" si="151"/>
        <v>-</v>
      </c>
      <c r="AZ218" s="13" t="str">
        <f t="shared" si="152"/>
        <v>-</v>
      </c>
      <c r="BA218" s="10" t="str">
        <f t="shared" si="153"/>
        <v>-</v>
      </c>
      <c r="BB218" s="9" t="str">
        <f t="shared" si="154"/>
        <v>-</v>
      </c>
      <c r="BC218" s="13" t="str">
        <f t="shared" si="155"/>
        <v>-</v>
      </c>
      <c r="BD218" s="10" t="str">
        <f t="shared" si="156"/>
        <v>-</v>
      </c>
      <c r="BE218" s="13" t="str">
        <f t="shared" si="157"/>
        <v>-</v>
      </c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</row>
    <row r="219" spans="2:70" x14ac:dyDescent="0.3">
      <c r="B219" s="96" t="str">
        <f t="shared" si="136"/>
        <v/>
      </c>
      <c r="C219" s="96" t="str">
        <f t="shared" si="137"/>
        <v/>
      </c>
      <c r="D219" s="96" t="str">
        <f t="shared" si="138"/>
        <v/>
      </c>
      <c r="E219" s="3"/>
      <c r="F219" s="3"/>
      <c r="G219" s="3"/>
      <c r="H219" s="3"/>
      <c r="I219" s="20">
        <f>IFERROR(INDEX('Input - Walmart'!G$2:G$200,MATCH('Calculations - Walmart'!$D219,'Input - Walmart'!$B$2:$B$200,0)),"")</f>
        <v>0</v>
      </c>
      <c r="J219" s="20">
        <f>IFERROR(INDEX('Input - Walmart'!H$2:H$200,MATCH('Calculations - Walmart'!$D219,'Input - Walmart'!$B$2:$B$200,0)),"")</f>
        <v>0</v>
      </c>
      <c r="K219" s="21">
        <f>IFERROR(INDEX('Input - Walmart'!I$2:I$200,MATCH('Calculations - Walmart'!$D219,'Input - Walmart'!$B$2:$B$200,0)),"")</f>
        <v>0</v>
      </c>
      <c r="L219" s="21">
        <f>IFERROR(INDEX('Input - Walmart'!J$2:J$200,MATCH('Calculations - Walmart'!$D219,'Input - Walmart'!$B$2:$B$200,0)),"")</f>
        <v>0</v>
      </c>
      <c r="M219" s="20">
        <f>IFERROR(INDEX('Input - Walmart'!K$2:K$200,MATCH('Calculations - Walmart'!$D219,'Input - Walmart'!$B$2:$B$200,0)),"")</f>
        <v>0</v>
      </c>
      <c r="N219" s="20">
        <f>IFERROR(INDEX('Input - Walmart'!L$2:L$200,MATCH('Calculations - Walmart'!$D219,'Input - Walmart'!$B$2:$B$200,0)),"")</f>
        <v>0</v>
      </c>
      <c r="O219" s="21" t="str">
        <f t="shared" si="139"/>
        <v/>
      </c>
      <c r="P219" s="21" t="str">
        <f t="shared" si="123"/>
        <v/>
      </c>
      <c r="Q219" s="21">
        <f t="shared" si="140"/>
        <v>0</v>
      </c>
      <c r="R219" s="9">
        <f t="shared" si="158"/>
        <v>0</v>
      </c>
      <c r="S219" s="9">
        <f t="shared" si="159"/>
        <v>0</v>
      </c>
      <c r="T219" s="22" t="str">
        <f>IFERROR(INDEX(Walmart!$S$11:$S$192,MATCH('Calculations - Walmart'!$D219,Walmart!$N$11:$N$192,0)),"")</f>
        <v/>
      </c>
      <c r="U219" s="22" t="str">
        <f>IFERROR(INDEX(Walmart!$T$11:$T$192,MATCH('Calculations - Walmart'!$D219,Walmart!$N$11:$N$192,0)),"")</f>
        <v/>
      </c>
      <c r="V219" s="16" t="e">
        <f t="shared" si="124"/>
        <v>#VALUE!</v>
      </c>
      <c r="W219" s="16" t="e">
        <f t="shared" si="141"/>
        <v>#VALUE!</v>
      </c>
      <c r="X219" s="16" t="e">
        <f t="shared" si="142"/>
        <v>#VALUE!</v>
      </c>
      <c r="Y219" s="10" t="str">
        <f t="shared" si="125"/>
        <v>-</v>
      </c>
      <c r="Z219" s="10" t="str">
        <f t="shared" si="126"/>
        <v>-</v>
      </c>
      <c r="AA219" s="13" t="str">
        <f t="shared" si="143"/>
        <v>-</v>
      </c>
      <c r="AB219" s="9" t="str">
        <f t="shared" si="127"/>
        <v>-</v>
      </c>
      <c r="AC219" s="16" t="str">
        <f t="shared" si="144"/>
        <v>-</v>
      </c>
      <c r="AD219" s="16" t="str">
        <f t="shared" si="128"/>
        <v>-</v>
      </c>
      <c r="AE219" s="16" t="str">
        <f t="shared" si="129"/>
        <v>-</v>
      </c>
      <c r="AF219" s="16" t="str">
        <f t="shared" si="145"/>
        <v>-</v>
      </c>
      <c r="AG219" s="16"/>
      <c r="AH219" s="32" t="str">
        <f>IFERROR(INDEX(Walmart!$R$11:$R$192,MATCH('Calculations - Walmart'!D219,Walmart!$N$11:$N$192,0)),"")</f>
        <v/>
      </c>
      <c r="AI219" s="23" t="str">
        <f t="shared" si="146"/>
        <v/>
      </c>
      <c r="AJ219" s="23" t="str">
        <f t="shared" si="147"/>
        <v/>
      </c>
      <c r="AK219" s="9" t="str">
        <f t="shared" si="130"/>
        <v/>
      </c>
      <c r="AL219" s="4" t="str">
        <f t="shared" si="131"/>
        <v/>
      </c>
      <c r="AM219" s="4"/>
      <c r="AN219" s="4"/>
      <c r="AO219" s="4"/>
      <c r="AP219" s="4"/>
      <c r="AQ219" s="4"/>
      <c r="AR219" s="20" t="str">
        <f t="shared" si="132"/>
        <v>-</v>
      </c>
      <c r="AS219" s="13" t="str">
        <f t="shared" si="148"/>
        <v>-</v>
      </c>
      <c r="AT219" s="13" t="str">
        <f t="shared" si="149"/>
        <v>-</v>
      </c>
      <c r="AU219" s="13" t="str">
        <f t="shared" si="133"/>
        <v>-</v>
      </c>
      <c r="AV219" s="16" t="str">
        <f t="shared" si="150"/>
        <v>-</v>
      </c>
      <c r="AW219" s="16" t="str">
        <f t="shared" si="134"/>
        <v>-</v>
      </c>
      <c r="AX219" s="16" t="str">
        <f t="shared" si="135"/>
        <v>-</v>
      </c>
      <c r="AY219" s="16" t="str">
        <f t="shared" si="151"/>
        <v>-</v>
      </c>
      <c r="AZ219" s="13" t="str">
        <f t="shared" si="152"/>
        <v>-</v>
      </c>
      <c r="BA219" s="10" t="str">
        <f t="shared" si="153"/>
        <v>-</v>
      </c>
      <c r="BB219" s="9" t="str">
        <f t="shared" si="154"/>
        <v>-</v>
      </c>
      <c r="BC219" s="13" t="str">
        <f t="shared" si="155"/>
        <v>-</v>
      </c>
      <c r="BD219" s="10" t="str">
        <f t="shared" si="156"/>
        <v>-</v>
      </c>
      <c r="BE219" s="13" t="str">
        <f t="shared" si="157"/>
        <v>-</v>
      </c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</row>
    <row r="220" spans="2:70" x14ac:dyDescent="0.3">
      <c r="B220" s="96" t="str">
        <f t="shared" si="136"/>
        <v/>
      </c>
      <c r="C220" s="96" t="str">
        <f t="shared" si="137"/>
        <v/>
      </c>
      <c r="D220" s="96" t="str">
        <f t="shared" si="138"/>
        <v/>
      </c>
      <c r="E220" s="3"/>
      <c r="F220" s="3"/>
      <c r="G220" s="3"/>
      <c r="H220" s="3"/>
      <c r="I220" s="20">
        <f>IFERROR(INDEX('Input - Walmart'!G$2:G$200,MATCH('Calculations - Walmart'!$D220,'Input - Walmart'!$B$2:$B$200,0)),"")</f>
        <v>0</v>
      </c>
      <c r="J220" s="20">
        <f>IFERROR(INDEX('Input - Walmart'!H$2:H$200,MATCH('Calculations - Walmart'!$D220,'Input - Walmart'!$B$2:$B$200,0)),"")</f>
        <v>0</v>
      </c>
      <c r="K220" s="21">
        <f>IFERROR(INDEX('Input - Walmart'!I$2:I$200,MATCH('Calculations - Walmart'!$D220,'Input - Walmart'!$B$2:$B$200,0)),"")</f>
        <v>0</v>
      </c>
      <c r="L220" s="21">
        <f>IFERROR(INDEX('Input - Walmart'!J$2:J$200,MATCH('Calculations - Walmart'!$D220,'Input - Walmart'!$B$2:$B$200,0)),"")</f>
        <v>0</v>
      </c>
      <c r="M220" s="20">
        <f>IFERROR(INDEX('Input - Walmart'!K$2:K$200,MATCH('Calculations - Walmart'!$D220,'Input - Walmart'!$B$2:$B$200,0)),"")</f>
        <v>0</v>
      </c>
      <c r="N220" s="20">
        <f>IFERROR(INDEX('Input - Walmart'!L$2:L$200,MATCH('Calculations - Walmart'!$D220,'Input - Walmart'!$B$2:$B$200,0)),"")</f>
        <v>0</v>
      </c>
      <c r="O220" s="21" t="str">
        <f t="shared" si="139"/>
        <v/>
      </c>
      <c r="P220" s="21" t="str">
        <f t="shared" si="123"/>
        <v/>
      </c>
      <c r="Q220" s="21">
        <f t="shared" si="140"/>
        <v>0</v>
      </c>
      <c r="R220" s="9">
        <f t="shared" si="158"/>
        <v>0</v>
      </c>
      <c r="S220" s="9">
        <f t="shared" si="159"/>
        <v>0</v>
      </c>
      <c r="T220" s="22" t="str">
        <f>IFERROR(INDEX(Walmart!$S$11:$S$192,MATCH('Calculations - Walmart'!$D220,Walmart!$N$11:$N$192,0)),"")</f>
        <v/>
      </c>
      <c r="U220" s="22" t="str">
        <f>IFERROR(INDEX(Walmart!$T$11:$T$192,MATCH('Calculations - Walmart'!$D220,Walmart!$N$11:$N$192,0)),"")</f>
        <v/>
      </c>
      <c r="V220" s="16" t="e">
        <f t="shared" si="124"/>
        <v>#VALUE!</v>
      </c>
      <c r="W220" s="16" t="e">
        <f t="shared" si="141"/>
        <v>#VALUE!</v>
      </c>
      <c r="X220" s="16" t="e">
        <f t="shared" si="142"/>
        <v>#VALUE!</v>
      </c>
      <c r="Y220" s="10" t="str">
        <f t="shared" si="125"/>
        <v>-</v>
      </c>
      <c r="Z220" s="10" t="str">
        <f t="shared" si="126"/>
        <v>-</v>
      </c>
      <c r="AA220" s="13" t="str">
        <f t="shared" si="143"/>
        <v>-</v>
      </c>
      <c r="AB220" s="9" t="str">
        <f t="shared" si="127"/>
        <v>-</v>
      </c>
      <c r="AC220" s="16" t="str">
        <f t="shared" si="144"/>
        <v>-</v>
      </c>
      <c r="AD220" s="16" t="str">
        <f t="shared" si="128"/>
        <v>-</v>
      </c>
      <c r="AE220" s="16" t="str">
        <f t="shared" si="129"/>
        <v>-</v>
      </c>
      <c r="AF220" s="16" t="str">
        <f t="shared" si="145"/>
        <v>-</v>
      </c>
      <c r="AG220" s="16"/>
      <c r="AH220" s="32" t="str">
        <f>IFERROR(INDEX(Walmart!$R$11:$R$192,MATCH('Calculations - Walmart'!D220,Walmart!$N$11:$N$192,0)),"")</f>
        <v/>
      </c>
      <c r="AI220" s="23" t="str">
        <f t="shared" si="146"/>
        <v/>
      </c>
      <c r="AJ220" s="23" t="str">
        <f t="shared" si="147"/>
        <v/>
      </c>
      <c r="AK220" s="9" t="str">
        <f t="shared" si="130"/>
        <v/>
      </c>
      <c r="AL220" s="4" t="str">
        <f t="shared" si="131"/>
        <v/>
      </c>
      <c r="AM220" s="4"/>
      <c r="AN220" s="4"/>
      <c r="AO220" s="4"/>
      <c r="AP220" s="4"/>
      <c r="AQ220" s="4"/>
      <c r="AR220" s="20" t="str">
        <f t="shared" si="132"/>
        <v>-</v>
      </c>
      <c r="AS220" s="13" t="str">
        <f t="shared" si="148"/>
        <v>-</v>
      </c>
      <c r="AT220" s="13" t="str">
        <f t="shared" si="149"/>
        <v>-</v>
      </c>
      <c r="AU220" s="13" t="str">
        <f t="shared" si="133"/>
        <v>-</v>
      </c>
      <c r="AV220" s="16" t="str">
        <f t="shared" si="150"/>
        <v>-</v>
      </c>
      <c r="AW220" s="16" t="str">
        <f t="shared" si="134"/>
        <v>-</v>
      </c>
      <c r="AX220" s="16" t="str">
        <f t="shared" si="135"/>
        <v>-</v>
      </c>
      <c r="AY220" s="16" t="str">
        <f t="shared" si="151"/>
        <v>-</v>
      </c>
      <c r="AZ220" s="13" t="str">
        <f t="shared" si="152"/>
        <v>-</v>
      </c>
      <c r="BA220" s="10" t="str">
        <f t="shared" si="153"/>
        <v>-</v>
      </c>
      <c r="BB220" s="9" t="str">
        <f t="shared" si="154"/>
        <v>-</v>
      </c>
      <c r="BC220" s="13" t="str">
        <f t="shared" si="155"/>
        <v>-</v>
      </c>
      <c r="BD220" s="10" t="str">
        <f t="shared" si="156"/>
        <v>-</v>
      </c>
      <c r="BE220" s="13" t="str">
        <f t="shared" si="157"/>
        <v>-</v>
      </c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</row>
    <row r="221" spans="2:70" x14ac:dyDescent="0.3">
      <c r="B221" s="96" t="str">
        <f t="shared" si="136"/>
        <v/>
      </c>
      <c r="C221" s="96" t="str">
        <f t="shared" si="137"/>
        <v/>
      </c>
      <c r="D221" s="96" t="str">
        <f t="shared" si="138"/>
        <v/>
      </c>
      <c r="E221" s="3"/>
      <c r="F221" s="3"/>
      <c r="G221" s="3"/>
      <c r="H221" s="3"/>
      <c r="I221" s="20">
        <f>IFERROR(INDEX('Input - Walmart'!G$2:G$200,MATCH('Calculations - Walmart'!$D221,'Input - Walmart'!$B$2:$B$200,0)),"")</f>
        <v>0</v>
      </c>
      <c r="J221" s="20">
        <f>IFERROR(INDEX('Input - Walmart'!H$2:H$200,MATCH('Calculations - Walmart'!$D221,'Input - Walmart'!$B$2:$B$200,0)),"")</f>
        <v>0</v>
      </c>
      <c r="K221" s="21">
        <f>IFERROR(INDEX('Input - Walmart'!I$2:I$200,MATCH('Calculations - Walmart'!$D221,'Input - Walmart'!$B$2:$B$200,0)),"")</f>
        <v>0</v>
      </c>
      <c r="L221" s="21">
        <f>IFERROR(INDEX('Input - Walmart'!J$2:J$200,MATCH('Calculations - Walmart'!$D221,'Input - Walmart'!$B$2:$B$200,0)),"")</f>
        <v>0</v>
      </c>
      <c r="M221" s="20">
        <f>IFERROR(INDEX('Input - Walmart'!K$2:K$200,MATCH('Calculations - Walmart'!$D221,'Input - Walmart'!$B$2:$B$200,0)),"")</f>
        <v>0</v>
      </c>
      <c r="N221" s="20">
        <f>IFERROR(INDEX('Input - Walmart'!L$2:L$200,MATCH('Calculations - Walmart'!$D221,'Input - Walmart'!$B$2:$B$200,0)),"")</f>
        <v>0</v>
      </c>
      <c r="O221" s="21" t="str">
        <f t="shared" si="139"/>
        <v/>
      </c>
      <c r="P221" s="21" t="str">
        <f t="shared" si="123"/>
        <v/>
      </c>
      <c r="Q221" s="21">
        <f t="shared" si="140"/>
        <v>0</v>
      </c>
      <c r="R221" s="9">
        <f t="shared" si="158"/>
        <v>0</v>
      </c>
      <c r="S221" s="9">
        <f t="shared" si="159"/>
        <v>0</v>
      </c>
      <c r="T221" s="22" t="str">
        <f>IFERROR(INDEX(Walmart!$S$11:$S$192,MATCH('Calculations - Walmart'!$D221,Walmart!$N$11:$N$192,0)),"")</f>
        <v/>
      </c>
      <c r="U221" s="22" t="str">
        <f>IFERROR(INDEX(Walmart!$T$11:$T$192,MATCH('Calculations - Walmart'!$D221,Walmart!$N$11:$N$192,0)),"")</f>
        <v/>
      </c>
      <c r="V221" s="16" t="e">
        <f t="shared" si="124"/>
        <v>#VALUE!</v>
      </c>
      <c r="W221" s="16" t="e">
        <f t="shared" si="141"/>
        <v>#VALUE!</v>
      </c>
      <c r="X221" s="16" t="e">
        <f t="shared" si="142"/>
        <v>#VALUE!</v>
      </c>
      <c r="Y221" s="10" t="str">
        <f t="shared" si="125"/>
        <v>-</v>
      </c>
      <c r="Z221" s="10" t="str">
        <f t="shared" si="126"/>
        <v>-</v>
      </c>
      <c r="AA221" s="13" t="str">
        <f t="shared" si="143"/>
        <v>-</v>
      </c>
      <c r="AB221" s="9" t="str">
        <f t="shared" si="127"/>
        <v>-</v>
      </c>
      <c r="AC221" s="16" t="str">
        <f t="shared" si="144"/>
        <v>-</v>
      </c>
      <c r="AD221" s="16" t="str">
        <f t="shared" si="128"/>
        <v>-</v>
      </c>
      <c r="AE221" s="16" t="str">
        <f t="shared" si="129"/>
        <v>-</v>
      </c>
      <c r="AF221" s="16" t="str">
        <f t="shared" si="145"/>
        <v>-</v>
      </c>
      <c r="AG221" s="16"/>
      <c r="AH221" s="32" t="str">
        <f>IFERROR(INDEX(Walmart!$R$11:$R$192,MATCH('Calculations - Walmart'!D221,Walmart!$N$11:$N$192,0)),"")</f>
        <v/>
      </c>
      <c r="AI221" s="23" t="str">
        <f t="shared" si="146"/>
        <v/>
      </c>
      <c r="AJ221" s="23" t="str">
        <f t="shared" si="147"/>
        <v/>
      </c>
      <c r="AK221" s="9" t="str">
        <f t="shared" si="130"/>
        <v/>
      </c>
      <c r="AL221" s="4" t="str">
        <f t="shared" si="131"/>
        <v/>
      </c>
      <c r="AM221" s="4"/>
      <c r="AN221" s="4"/>
      <c r="AO221" s="4"/>
      <c r="AP221" s="4"/>
      <c r="AQ221" s="4"/>
      <c r="AR221" s="20" t="str">
        <f t="shared" si="132"/>
        <v>-</v>
      </c>
      <c r="AS221" s="13" t="str">
        <f t="shared" si="148"/>
        <v>-</v>
      </c>
      <c r="AT221" s="13" t="str">
        <f t="shared" si="149"/>
        <v>-</v>
      </c>
      <c r="AU221" s="13" t="str">
        <f t="shared" si="133"/>
        <v>-</v>
      </c>
      <c r="AV221" s="16" t="str">
        <f t="shared" si="150"/>
        <v>-</v>
      </c>
      <c r="AW221" s="16" t="str">
        <f t="shared" si="134"/>
        <v>-</v>
      </c>
      <c r="AX221" s="16" t="str">
        <f t="shared" si="135"/>
        <v>-</v>
      </c>
      <c r="AY221" s="16" t="str">
        <f t="shared" si="151"/>
        <v>-</v>
      </c>
      <c r="AZ221" s="13" t="str">
        <f t="shared" si="152"/>
        <v>-</v>
      </c>
      <c r="BA221" s="10" t="str">
        <f t="shared" si="153"/>
        <v>-</v>
      </c>
      <c r="BB221" s="9" t="str">
        <f t="shared" si="154"/>
        <v>-</v>
      </c>
      <c r="BC221" s="13" t="str">
        <f t="shared" si="155"/>
        <v>-</v>
      </c>
      <c r="BD221" s="10" t="str">
        <f t="shared" si="156"/>
        <v>-</v>
      </c>
      <c r="BE221" s="13" t="str">
        <f t="shared" si="157"/>
        <v>-</v>
      </c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</row>
    <row r="222" spans="2:70" x14ac:dyDescent="0.3">
      <c r="B222" s="96" t="str">
        <f t="shared" si="136"/>
        <v/>
      </c>
      <c r="C222" s="96" t="str">
        <f t="shared" si="137"/>
        <v/>
      </c>
      <c r="D222" s="96" t="str">
        <f t="shared" si="138"/>
        <v/>
      </c>
      <c r="E222" s="3"/>
      <c r="F222" s="3"/>
      <c r="G222" s="3"/>
      <c r="H222" s="3"/>
      <c r="I222" s="20">
        <f>IFERROR(INDEX('Input - Walmart'!G$2:G$200,MATCH('Calculations - Walmart'!$D222,'Input - Walmart'!$B$2:$B$200,0)),"")</f>
        <v>0</v>
      </c>
      <c r="J222" s="20">
        <f>IFERROR(INDEX('Input - Walmart'!H$2:H$200,MATCH('Calculations - Walmart'!$D222,'Input - Walmart'!$B$2:$B$200,0)),"")</f>
        <v>0</v>
      </c>
      <c r="K222" s="21">
        <f>IFERROR(INDEX('Input - Walmart'!I$2:I$200,MATCH('Calculations - Walmart'!$D222,'Input - Walmart'!$B$2:$B$200,0)),"")</f>
        <v>0</v>
      </c>
      <c r="L222" s="21">
        <f>IFERROR(INDEX('Input - Walmart'!J$2:J$200,MATCH('Calculations - Walmart'!$D222,'Input - Walmart'!$B$2:$B$200,0)),"")</f>
        <v>0</v>
      </c>
      <c r="M222" s="20">
        <f>IFERROR(INDEX('Input - Walmart'!K$2:K$200,MATCH('Calculations - Walmart'!$D222,'Input - Walmart'!$B$2:$B$200,0)),"")</f>
        <v>0</v>
      </c>
      <c r="N222" s="20">
        <f>IFERROR(INDEX('Input - Walmart'!L$2:L$200,MATCH('Calculations - Walmart'!$D222,'Input - Walmart'!$B$2:$B$200,0)),"")</f>
        <v>0</v>
      </c>
      <c r="O222" s="21" t="str">
        <f t="shared" si="139"/>
        <v/>
      </c>
      <c r="P222" s="21" t="str">
        <f t="shared" si="123"/>
        <v/>
      </c>
      <c r="Q222" s="21">
        <f t="shared" si="140"/>
        <v>0</v>
      </c>
      <c r="R222" s="9">
        <f t="shared" si="158"/>
        <v>0</v>
      </c>
      <c r="S222" s="9">
        <f t="shared" si="159"/>
        <v>0</v>
      </c>
      <c r="T222" s="22" t="str">
        <f>IFERROR(INDEX(Walmart!$S$11:$S$192,MATCH('Calculations - Walmart'!$D222,Walmart!$N$11:$N$192,0)),"")</f>
        <v/>
      </c>
      <c r="U222" s="22" t="str">
        <f>IFERROR(INDEX(Walmart!$T$11:$T$192,MATCH('Calculations - Walmart'!$D222,Walmart!$N$11:$N$192,0)),"")</f>
        <v/>
      </c>
      <c r="V222" s="16" t="e">
        <f t="shared" si="124"/>
        <v>#VALUE!</v>
      </c>
      <c r="W222" s="16" t="e">
        <f t="shared" si="141"/>
        <v>#VALUE!</v>
      </c>
      <c r="X222" s="16" t="e">
        <f t="shared" si="142"/>
        <v>#VALUE!</v>
      </c>
      <c r="Y222" s="10" t="str">
        <f t="shared" si="125"/>
        <v>-</v>
      </c>
      <c r="Z222" s="10" t="str">
        <f t="shared" si="126"/>
        <v>-</v>
      </c>
      <c r="AA222" s="13" t="str">
        <f t="shared" si="143"/>
        <v>-</v>
      </c>
      <c r="AB222" s="9" t="str">
        <f t="shared" si="127"/>
        <v>-</v>
      </c>
      <c r="AC222" s="16" t="str">
        <f t="shared" si="144"/>
        <v>-</v>
      </c>
      <c r="AD222" s="16" t="str">
        <f t="shared" si="128"/>
        <v>-</v>
      </c>
      <c r="AE222" s="16" t="str">
        <f t="shared" si="129"/>
        <v>-</v>
      </c>
      <c r="AF222" s="16" t="str">
        <f t="shared" si="145"/>
        <v>-</v>
      </c>
      <c r="AG222" s="16"/>
      <c r="AH222" s="32" t="str">
        <f>IFERROR(INDEX(Walmart!$R$11:$R$192,MATCH('Calculations - Walmart'!D222,Walmart!$N$11:$N$192,0)),"")</f>
        <v/>
      </c>
      <c r="AI222" s="23" t="str">
        <f t="shared" si="146"/>
        <v/>
      </c>
      <c r="AJ222" s="23" t="str">
        <f t="shared" si="147"/>
        <v/>
      </c>
      <c r="AK222" s="9" t="str">
        <f t="shared" si="130"/>
        <v/>
      </c>
      <c r="AL222" s="4" t="str">
        <f t="shared" si="131"/>
        <v/>
      </c>
      <c r="AM222" s="4"/>
      <c r="AN222" s="4"/>
      <c r="AO222" s="4"/>
      <c r="AP222" s="4"/>
      <c r="AQ222" s="4"/>
      <c r="AR222" s="20" t="str">
        <f t="shared" si="132"/>
        <v>-</v>
      </c>
      <c r="AS222" s="13" t="str">
        <f t="shared" si="148"/>
        <v>-</v>
      </c>
      <c r="AT222" s="13" t="str">
        <f t="shared" si="149"/>
        <v>-</v>
      </c>
      <c r="AU222" s="13" t="str">
        <f t="shared" si="133"/>
        <v>-</v>
      </c>
      <c r="AV222" s="16" t="str">
        <f t="shared" si="150"/>
        <v>-</v>
      </c>
      <c r="AW222" s="16" t="str">
        <f t="shared" si="134"/>
        <v>-</v>
      </c>
      <c r="AX222" s="16" t="str">
        <f t="shared" si="135"/>
        <v>-</v>
      </c>
      <c r="AY222" s="16" t="str">
        <f t="shared" si="151"/>
        <v>-</v>
      </c>
      <c r="AZ222" s="13" t="str">
        <f t="shared" si="152"/>
        <v>-</v>
      </c>
      <c r="BA222" s="10" t="str">
        <f t="shared" si="153"/>
        <v>-</v>
      </c>
      <c r="BB222" s="9" t="str">
        <f t="shared" si="154"/>
        <v>-</v>
      </c>
      <c r="BC222" s="13" t="str">
        <f t="shared" si="155"/>
        <v>-</v>
      </c>
      <c r="BD222" s="10" t="str">
        <f t="shared" si="156"/>
        <v>-</v>
      </c>
      <c r="BE222" s="13" t="str">
        <f t="shared" si="157"/>
        <v>-</v>
      </c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</row>
    <row r="223" spans="2:70" x14ac:dyDescent="0.3">
      <c r="B223" s="96" t="str">
        <f t="shared" si="136"/>
        <v/>
      </c>
      <c r="C223" s="96" t="str">
        <f t="shared" si="137"/>
        <v/>
      </c>
      <c r="D223" s="96" t="str">
        <f t="shared" si="138"/>
        <v/>
      </c>
      <c r="E223" s="3"/>
      <c r="F223" s="3"/>
      <c r="G223" s="3"/>
      <c r="H223" s="3"/>
      <c r="I223" s="20">
        <f>IFERROR(INDEX('Input - Walmart'!G$2:G$200,MATCH('Calculations - Walmart'!$D223,'Input - Walmart'!$B$2:$B$200,0)),"")</f>
        <v>0</v>
      </c>
      <c r="J223" s="20">
        <f>IFERROR(INDEX('Input - Walmart'!H$2:H$200,MATCH('Calculations - Walmart'!$D223,'Input - Walmart'!$B$2:$B$200,0)),"")</f>
        <v>0</v>
      </c>
      <c r="K223" s="21">
        <f>IFERROR(INDEX('Input - Walmart'!I$2:I$200,MATCH('Calculations - Walmart'!$D223,'Input - Walmart'!$B$2:$B$200,0)),"")</f>
        <v>0</v>
      </c>
      <c r="L223" s="21">
        <f>IFERROR(INDEX('Input - Walmart'!J$2:J$200,MATCH('Calculations - Walmart'!$D223,'Input - Walmart'!$B$2:$B$200,0)),"")</f>
        <v>0</v>
      </c>
      <c r="M223" s="20">
        <f>IFERROR(INDEX('Input - Walmart'!K$2:K$200,MATCH('Calculations - Walmart'!$D223,'Input - Walmart'!$B$2:$B$200,0)),"")</f>
        <v>0</v>
      </c>
      <c r="N223" s="20">
        <f>IFERROR(INDEX('Input - Walmart'!L$2:L$200,MATCH('Calculations - Walmart'!$D223,'Input - Walmart'!$B$2:$B$200,0)),"")</f>
        <v>0</v>
      </c>
      <c r="O223" s="21" t="str">
        <f t="shared" si="139"/>
        <v/>
      </c>
      <c r="P223" s="21" t="str">
        <f t="shared" si="123"/>
        <v/>
      </c>
      <c r="Q223" s="21">
        <f t="shared" si="140"/>
        <v>0</v>
      </c>
      <c r="R223" s="9">
        <f t="shared" si="158"/>
        <v>0</v>
      </c>
      <c r="S223" s="9">
        <f t="shared" si="159"/>
        <v>0</v>
      </c>
      <c r="T223" s="22" t="str">
        <f>IFERROR(INDEX(Walmart!$S$11:$S$192,MATCH('Calculations - Walmart'!$D223,Walmart!$N$11:$N$192,0)),"")</f>
        <v/>
      </c>
      <c r="U223" s="22" t="str">
        <f>IFERROR(INDEX(Walmart!$T$11:$T$192,MATCH('Calculations - Walmart'!$D223,Walmart!$N$11:$N$192,0)),"")</f>
        <v/>
      </c>
      <c r="V223" s="16" t="e">
        <f t="shared" si="124"/>
        <v>#VALUE!</v>
      </c>
      <c r="W223" s="16" t="e">
        <f t="shared" si="141"/>
        <v>#VALUE!</v>
      </c>
      <c r="X223" s="16" t="e">
        <f t="shared" si="142"/>
        <v>#VALUE!</v>
      </c>
      <c r="Y223" s="10" t="str">
        <f t="shared" si="125"/>
        <v>-</v>
      </c>
      <c r="Z223" s="10" t="str">
        <f t="shared" si="126"/>
        <v>-</v>
      </c>
      <c r="AA223" s="13" t="str">
        <f t="shared" si="143"/>
        <v>-</v>
      </c>
      <c r="AB223" s="9" t="str">
        <f t="shared" si="127"/>
        <v>-</v>
      </c>
      <c r="AC223" s="16" t="str">
        <f t="shared" si="144"/>
        <v>-</v>
      </c>
      <c r="AD223" s="16" t="str">
        <f t="shared" si="128"/>
        <v>-</v>
      </c>
      <c r="AE223" s="16" t="str">
        <f t="shared" si="129"/>
        <v>-</v>
      </c>
      <c r="AF223" s="16" t="str">
        <f t="shared" si="145"/>
        <v>-</v>
      </c>
      <c r="AG223" s="16"/>
      <c r="AH223" s="32" t="str">
        <f>IFERROR(INDEX(Walmart!$R$11:$R$192,MATCH('Calculations - Walmart'!D223,Walmart!$N$11:$N$192,0)),"")</f>
        <v/>
      </c>
      <c r="AI223" s="23" t="str">
        <f t="shared" si="146"/>
        <v/>
      </c>
      <c r="AJ223" s="23" t="str">
        <f t="shared" si="147"/>
        <v/>
      </c>
      <c r="AK223" s="9" t="str">
        <f t="shared" si="130"/>
        <v/>
      </c>
      <c r="AL223" s="4" t="str">
        <f t="shared" si="131"/>
        <v/>
      </c>
      <c r="AM223" s="4"/>
      <c r="AN223" s="4"/>
      <c r="AO223" s="4"/>
      <c r="AP223" s="4"/>
      <c r="AQ223" s="4"/>
      <c r="AR223" s="20" t="str">
        <f t="shared" si="132"/>
        <v>-</v>
      </c>
      <c r="AS223" s="13" t="str">
        <f t="shared" si="148"/>
        <v>-</v>
      </c>
      <c r="AT223" s="13" t="str">
        <f t="shared" si="149"/>
        <v>-</v>
      </c>
      <c r="AU223" s="13" t="str">
        <f t="shared" si="133"/>
        <v>-</v>
      </c>
      <c r="AV223" s="16" t="str">
        <f t="shared" si="150"/>
        <v>-</v>
      </c>
      <c r="AW223" s="16" t="str">
        <f t="shared" si="134"/>
        <v>-</v>
      </c>
      <c r="AX223" s="16" t="str">
        <f t="shared" si="135"/>
        <v>-</v>
      </c>
      <c r="AY223" s="16" t="str">
        <f t="shared" si="151"/>
        <v>-</v>
      </c>
      <c r="AZ223" s="13" t="str">
        <f t="shared" si="152"/>
        <v>-</v>
      </c>
      <c r="BA223" s="10" t="str">
        <f t="shared" si="153"/>
        <v>-</v>
      </c>
      <c r="BB223" s="9" t="str">
        <f t="shared" si="154"/>
        <v>-</v>
      </c>
      <c r="BC223" s="13" t="str">
        <f t="shared" si="155"/>
        <v>-</v>
      </c>
      <c r="BD223" s="10" t="str">
        <f t="shared" si="156"/>
        <v>-</v>
      </c>
      <c r="BE223" s="13" t="str">
        <f t="shared" si="157"/>
        <v>-</v>
      </c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</row>
    <row r="224" spans="2:70" x14ac:dyDescent="0.3">
      <c r="B224" s="96" t="str">
        <f t="shared" si="136"/>
        <v/>
      </c>
      <c r="C224" s="96" t="str">
        <f t="shared" si="137"/>
        <v/>
      </c>
      <c r="D224" s="96" t="str">
        <f t="shared" si="138"/>
        <v/>
      </c>
      <c r="E224" s="3"/>
      <c r="F224" s="3"/>
      <c r="G224" s="3"/>
      <c r="H224" s="3"/>
      <c r="I224" s="20">
        <f>IFERROR(INDEX('Input - Walmart'!G$2:G$200,MATCH('Calculations - Walmart'!$D224,'Input - Walmart'!$B$2:$B$200,0)),"")</f>
        <v>0</v>
      </c>
      <c r="J224" s="20">
        <f>IFERROR(INDEX('Input - Walmart'!H$2:H$200,MATCH('Calculations - Walmart'!$D224,'Input - Walmart'!$B$2:$B$200,0)),"")</f>
        <v>0</v>
      </c>
      <c r="K224" s="21">
        <f>IFERROR(INDEX('Input - Walmart'!I$2:I$200,MATCH('Calculations - Walmart'!$D224,'Input - Walmart'!$B$2:$B$200,0)),"")</f>
        <v>0</v>
      </c>
      <c r="L224" s="21">
        <f>IFERROR(INDEX('Input - Walmart'!J$2:J$200,MATCH('Calculations - Walmart'!$D224,'Input - Walmart'!$B$2:$B$200,0)),"")</f>
        <v>0</v>
      </c>
      <c r="M224" s="20">
        <f>IFERROR(INDEX('Input - Walmart'!K$2:K$200,MATCH('Calculations - Walmart'!$D224,'Input - Walmart'!$B$2:$B$200,0)),"")</f>
        <v>0</v>
      </c>
      <c r="N224" s="20">
        <f>IFERROR(INDEX('Input - Walmart'!L$2:L$200,MATCH('Calculations - Walmart'!$D224,'Input - Walmart'!$B$2:$B$200,0)),"")</f>
        <v>0</v>
      </c>
      <c r="O224" s="21" t="str">
        <f t="shared" si="139"/>
        <v/>
      </c>
      <c r="P224" s="21" t="str">
        <f t="shared" ref="P224:P229" si="160">IFERROR(M224/N224,"")</f>
        <v/>
      </c>
      <c r="Q224" s="21">
        <f t="shared" si="140"/>
        <v>0</v>
      </c>
      <c r="R224" s="9">
        <f t="shared" si="158"/>
        <v>0</v>
      </c>
      <c r="S224" s="9">
        <f t="shared" si="159"/>
        <v>0</v>
      </c>
      <c r="T224" s="22" t="str">
        <f>IFERROR(INDEX(Walmart!$S$11:$S$192,MATCH('Calculations - Walmart'!$D224,Walmart!$N$11:$N$192,0)),"")</f>
        <v/>
      </c>
      <c r="U224" s="22" t="str">
        <f>IFERROR(INDEX(Walmart!$T$11:$T$192,MATCH('Calculations - Walmart'!$D224,Walmart!$N$11:$N$192,0)),"")</f>
        <v/>
      </c>
      <c r="V224" s="16" t="e">
        <f t="shared" ref="V224:V229" si="161">T224*I224</f>
        <v>#VALUE!</v>
      </c>
      <c r="W224" s="16" t="e">
        <f t="shared" si="141"/>
        <v>#VALUE!</v>
      </c>
      <c r="X224" s="16" t="e">
        <f t="shared" si="142"/>
        <v>#VALUE!</v>
      </c>
      <c r="Y224" s="10" t="str">
        <f t="shared" ref="Y224:Y229" si="162">IFERROR(X224/J224,"-")</f>
        <v>-</v>
      </c>
      <c r="Z224" s="10" t="str">
        <f t="shared" ref="Z224:Z229" si="163">IFERROR((L224+O224)*J224*0.5,"-")</f>
        <v>-</v>
      </c>
      <c r="AA224" s="13" t="str">
        <f t="shared" si="143"/>
        <v>-</v>
      </c>
      <c r="AB224" s="9" t="str">
        <f t="shared" ref="AB224:AB229" si="164">IFERROR(AA224-R224,"-")</f>
        <v>-</v>
      </c>
      <c r="AC224" s="16" t="str">
        <f t="shared" si="144"/>
        <v>-</v>
      </c>
      <c r="AD224" s="16" t="str">
        <f t="shared" ref="AD224:AD229" si="165">IFERROR(AC224/O224,"-")</f>
        <v>-</v>
      </c>
      <c r="AE224" s="16" t="str">
        <f t="shared" ref="AE224:AE229" si="166">IFERROR(T224*AC224,"-")</f>
        <v>-</v>
      </c>
      <c r="AF224" s="16" t="str">
        <f t="shared" si="145"/>
        <v>-</v>
      </c>
      <c r="AG224" s="16"/>
      <c r="AH224" s="32" t="str">
        <f>IFERROR(INDEX(Walmart!$R$11:$R$192,MATCH('Calculations - Walmart'!D224,Walmart!$N$11:$N$192,0)),"")</f>
        <v/>
      </c>
      <c r="AI224" s="23" t="str">
        <f t="shared" si="146"/>
        <v/>
      </c>
      <c r="AJ224" s="23" t="str">
        <f t="shared" si="147"/>
        <v/>
      </c>
      <c r="AK224" s="9" t="str">
        <f t="shared" ref="AK224:AK229" si="167">IFERROR((AH224-O224)/O224,"")</f>
        <v/>
      </c>
      <c r="AL224" s="4" t="str">
        <f t="shared" ref="AL224:AL229" si="168">IFERROR(MAX((1+AK224*Q224/5)*J224,0),"")</f>
        <v/>
      </c>
      <c r="AM224" s="4"/>
      <c r="AN224" s="4"/>
      <c r="AO224" s="4"/>
      <c r="AP224" s="4"/>
      <c r="AQ224" s="4"/>
      <c r="AR224" s="20" t="str">
        <f t="shared" ref="AR224:AR229" si="169">IFERROR(0.5*(L224+AH224)*AL224,"-")</f>
        <v>-</v>
      </c>
      <c r="AS224" s="13" t="str">
        <f t="shared" si="148"/>
        <v>-</v>
      </c>
      <c r="AT224" s="13" t="str">
        <f t="shared" si="149"/>
        <v>-</v>
      </c>
      <c r="AU224" s="13" t="str">
        <f t="shared" ref="AU224:AU229" si="170">IFERROR(AT224-R224,"-")</f>
        <v>-</v>
      </c>
      <c r="AV224" s="16" t="str">
        <f t="shared" si="150"/>
        <v>-</v>
      </c>
      <c r="AW224" s="16" t="str">
        <f t="shared" ref="AW224:AW229" si="171">IFERROR(AV224/AH224,"-")</f>
        <v>-</v>
      </c>
      <c r="AX224" s="16" t="str">
        <f t="shared" ref="AX224:AX229" si="172">IFERROR(AI224*AV224,"-")</f>
        <v>-</v>
      </c>
      <c r="AY224" s="16" t="str">
        <f t="shared" si="151"/>
        <v>-</v>
      </c>
      <c r="AZ224" s="13" t="str">
        <f t="shared" si="152"/>
        <v>-</v>
      </c>
      <c r="BA224" s="10" t="str">
        <f t="shared" si="153"/>
        <v>-</v>
      </c>
      <c r="BB224" s="9" t="str">
        <f t="shared" si="154"/>
        <v>-</v>
      </c>
      <c r="BC224" s="13" t="str">
        <f t="shared" si="155"/>
        <v>-</v>
      </c>
      <c r="BD224" s="10" t="str">
        <f t="shared" si="156"/>
        <v>-</v>
      </c>
      <c r="BE224" s="13" t="str">
        <f t="shared" si="157"/>
        <v>-</v>
      </c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</row>
    <row r="225" spans="2:70" x14ac:dyDescent="0.3">
      <c r="B225" s="96" t="str">
        <f t="shared" ref="B225:B229" si="173">IFERROR(E225&amp;F225,"")</f>
        <v/>
      </c>
      <c r="C225" s="96" t="str">
        <f t="shared" ref="C225:C229" si="174">E225&amp;F225&amp;G225</f>
        <v/>
      </c>
      <c r="D225" s="96" t="str">
        <f t="shared" ref="D225:D229" si="175">IFERROR(E225&amp;F225&amp;G225&amp;H225,"")</f>
        <v/>
      </c>
      <c r="E225" s="3"/>
      <c r="F225" s="3"/>
      <c r="G225" s="3"/>
      <c r="H225" s="3"/>
      <c r="I225" s="20">
        <f>IFERROR(INDEX('Input - Walmart'!G$2:G$200,MATCH('Calculations - Walmart'!$D225,'Input - Walmart'!$B$2:$B$200,0)),"")</f>
        <v>0</v>
      </c>
      <c r="J225" s="20">
        <f>IFERROR(INDEX('Input - Walmart'!H$2:H$200,MATCH('Calculations - Walmart'!$D225,'Input - Walmart'!$B$2:$B$200,0)),"")</f>
        <v>0</v>
      </c>
      <c r="K225" s="21">
        <f>IFERROR(INDEX('Input - Walmart'!I$2:I$200,MATCH('Calculations - Walmart'!$D225,'Input - Walmart'!$B$2:$B$200,0)),"")</f>
        <v>0</v>
      </c>
      <c r="L225" s="21">
        <f>IFERROR(INDEX('Input - Walmart'!J$2:J$200,MATCH('Calculations - Walmart'!$D225,'Input - Walmart'!$B$2:$B$200,0)),"")</f>
        <v>0</v>
      </c>
      <c r="M225" s="20">
        <f>IFERROR(INDEX('Input - Walmart'!K$2:K$200,MATCH('Calculations - Walmart'!$D225,'Input - Walmart'!$B$2:$B$200,0)),"")</f>
        <v>0</v>
      </c>
      <c r="N225" s="20">
        <f>IFERROR(INDEX('Input - Walmart'!L$2:L$200,MATCH('Calculations - Walmart'!$D225,'Input - Walmart'!$B$2:$B$200,0)),"")</f>
        <v>0</v>
      </c>
      <c r="O225" s="21" t="str">
        <f t="shared" ref="O225:O229" si="176">IFERROR(I225/J225,"")</f>
        <v/>
      </c>
      <c r="P225" s="21" t="str">
        <f t="shared" si="160"/>
        <v/>
      </c>
      <c r="Q225" s="21">
        <f t="shared" ref="Q225:Q229" si="177">IFERROR((O225/(O225-L225)*5),0)</f>
        <v>0</v>
      </c>
      <c r="R225" s="9">
        <f t="shared" si="158"/>
        <v>0</v>
      </c>
      <c r="S225" s="9">
        <f t="shared" si="159"/>
        <v>0</v>
      </c>
      <c r="T225" s="22" t="str">
        <f>IFERROR(INDEX(Walmart!$S$11:$S$192,MATCH('Calculations - Walmart'!$D225,Walmart!$N$11:$N$192,0)),"")</f>
        <v/>
      </c>
      <c r="U225" s="22" t="str">
        <f>IFERROR(INDEX(Walmart!$T$11:$T$192,MATCH('Calculations - Walmart'!$D225,Walmart!$N$11:$N$192,0)),"")</f>
        <v/>
      </c>
      <c r="V225" s="16" t="e">
        <f t="shared" si="161"/>
        <v>#VALUE!</v>
      </c>
      <c r="W225" s="16" t="e">
        <f t="shared" ref="W225:W229" si="178">U225*V225</f>
        <v>#VALUE!</v>
      </c>
      <c r="X225" s="16" t="e">
        <f t="shared" ref="X225:X229" si="179">V225-W225</f>
        <v>#VALUE!</v>
      </c>
      <c r="Y225" s="10" t="str">
        <f t="shared" si="162"/>
        <v>-</v>
      </c>
      <c r="Z225" s="10" t="str">
        <f t="shared" si="163"/>
        <v>-</v>
      </c>
      <c r="AA225" s="13" t="str">
        <f t="shared" ref="AA225:AA229" si="180">IFERROR(Z225/$Z$30,"-")</f>
        <v>-</v>
      </c>
      <c r="AB225" s="9" t="str">
        <f t="shared" si="164"/>
        <v>-</v>
      </c>
      <c r="AC225" s="16" t="str">
        <f t="shared" ref="AC225:AC229" si="181">IFERROR(AA225*$I$30,"-")</f>
        <v>-</v>
      </c>
      <c r="AD225" s="16" t="str">
        <f t="shared" si="165"/>
        <v>-</v>
      </c>
      <c r="AE225" s="16" t="str">
        <f t="shared" si="166"/>
        <v>-</v>
      </c>
      <c r="AF225" s="16" t="str">
        <f t="shared" ref="AF225:AF229" si="182">IFERROR(AE225-(Y225)*AD225,"-")</f>
        <v>-</v>
      </c>
      <c r="AG225" s="16"/>
      <c r="AH225" s="32" t="str">
        <f>IFERROR(INDEX(Walmart!$R$11:$R$192,MATCH('Calculations - Walmart'!D225,Walmart!$N$11:$N$192,0)),"")</f>
        <v/>
      </c>
      <c r="AI225" s="23" t="str">
        <f t="shared" ref="AI225:AI229" si="183">T225</f>
        <v/>
      </c>
      <c r="AJ225" s="23" t="str">
        <f t="shared" ref="AJ225:AJ229" si="184">U225</f>
        <v/>
      </c>
      <c r="AK225" s="9" t="str">
        <f t="shared" si="167"/>
        <v/>
      </c>
      <c r="AL225" s="4" t="str">
        <f t="shared" si="168"/>
        <v/>
      </c>
      <c r="AM225" s="4"/>
      <c r="AN225" s="4"/>
      <c r="AO225" s="4"/>
      <c r="AP225" s="4"/>
      <c r="AQ225" s="4"/>
      <c r="AR225" s="20" t="str">
        <f t="shared" si="169"/>
        <v>-</v>
      </c>
      <c r="AS225" s="13" t="str">
        <f t="shared" ref="AS225:AS229" si="185">IFERROR(AR225/AR$30,"-")</f>
        <v>-</v>
      </c>
      <c r="AT225" s="13" t="str">
        <f t="shared" ref="AT225:AT229" si="186">IFERROR(AS225*$R$30,"-")</f>
        <v>-</v>
      </c>
      <c r="AU225" s="13" t="str">
        <f t="shared" si="170"/>
        <v>-</v>
      </c>
      <c r="AV225" s="16" t="str">
        <f t="shared" ref="AV225:AV229" si="187">IFERROR(AT225*AQ$32,"-")</f>
        <v>-</v>
      </c>
      <c r="AW225" s="16" t="str">
        <f t="shared" si="171"/>
        <v>-</v>
      </c>
      <c r="AX225" s="16" t="str">
        <f t="shared" si="172"/>
        <v>-</v>
      </c>
      <c r="AY225" s="16" t="str">
        <f t="shared" ref="AY225:AY229" si="188">IFERROR(AX225-(Y225*AW225),"-")</f>
        <v>-</v>
      </c>
      <c r="AZ225" s="13" t="str">
        <f t="shared" ref="AZ225:AZ229" si="189">IFERROR(AW225/SUMIFS($AW$32:$AW$229,$B$32:$B$229,B225),"-")</f>
        <v>-</v>
      </c>
      <c r="BA225" s="10" t="str">
        <f t="shared" ref="BA225:BA229" si="190">IFERROR(AZ225*INDEX($AU$4:$AU$24,MATCH($B225,$D$4:$D$24,0)),"-")</f>
        <v>-</v>
      </c>
      <c r="BB225" s="9" t="str">
        <f t="shared" ref="BB225:BB229" si="191">IFERROR(BA225/SUM($BA$32:$BA$229),"-")</f>
        <v>-</v>
      </c>
      <c r="BC225" s="13" t="str">
        <f t="shared" ref="BC225:BC229" si="192">IFERROR(AV225/SUMIFS($AV$32:$AV$229,$B$32:$B$229,B225),"-")</f>
        <v>-</v>
      </c>
      <c r="BD225" s="10" t="str">
        <f t="shared" ref="BD225:BD229" si="193">IFERROR(BC225*INDEX($AT$4:$AT$24,MATCH($B225,$D$4:$D$24,0)),"-")</f>
        <v>-</v>
      </c>
      <c r="BE225" s="13" t="str">
        <f t="shared" ref="BE225:BE229" si="194">IFERROR(BD225/SUM($BD$32:$BD$229),"-")</f>
        <v>-</v>
      </c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</row>
    <row r="226" spans="2:70" x14ac:dyDescent="0.3">
      <c r="B226" s="96" t="str">
        <f t="shared" si="173"/>
        <v/>
      </c>
      <c r="C226" s="96" t="str">
        <f t="shared" si="174"/>
        <v/>
      </c>
      <c r="D226" s="96" t="str">
        <f t="shared" si="175"/>
        <v/>
      </c>
      <c r="E226" s="3"/>
      <c r="F226" s="3"/>
      <c r="G226" s="3"/>
      <c r="H226" s="3"/>
      <c r="I226" s="20">
        <f>IFERROR(INDEX('Input - Walmart'!G$2:G$200,MATCH('Calculations - Walmart'!$D226,'Input - Walmart'!$B$2:$B$200,0)),"")</f>
        <v>0</v>
      </c>
      <c r="J226" s="20">
        <f>IFERROR(INDEX('Input - Walmart'!H$2:H$200,MATCH('Calculations - Walmart'!$D226,'Input - Walmart'!$B$2:$B$200,0)),"")</f>
        <v>0</v>
      </c>
      <c r="K226" s="21">
        <f>IFERROR(INDEX('Input - Walmart'!I$2:I$200,MATCH('Calculations - Walmart'!$D226,'Input - Walmart'!$B$2:$B$200,0)),"")</f>
        <v>0</v>
      </c>
      <c r="L226" s="21">
        <f>IFERROR(INDEX('Input - Walmart'!J$2:J$200,MATCH('Calculations - Walmart'!$D226,'Input - Walmart'!$B$2:$B$200,0)),"")</f>
        <v>0</v>
      </c>
      <c r="M226" s="20">
        <f>IFERROR(INDEX('Input - Walmart'!K$2:K$200,MATCH('Calculations - Walmart'!$D226,'Input - Walmart'!$B$2:$B$200,0)),"")</f>
        <v>0</v>
      </c>
      <c r="N226" s="20">
        <f>IFERROR(INDEX('Input - Walmart'!L$2:L$200,MATCH('Calculations - Walmart'!$D226,'Input - Walmart'!$B$2:$B$200,0)),"")</f>
        <v>0</v>
      </c>
      <c r="O226" s="21" t="str">
        <f t="shared" si="176"/>
        <v/>
      </c>
      <c r="P226" s="21" t="str">
        <f t="shared" si="160"/>
        <v/>
      </c>
      <c r="Q226" s="21">
        <f t="shared" si="177"/>
        <v>0</v>
      </c>
      <c r="R226" s="9">
        <f t="shared" si="158"/>
        <v>0</v>
      </c>
      <c r="S226" s="9">
        <f t="shared" si="159"/>
        <v>0</v>
      </c>
      <c r="T226" s="22" t="str">
        <f>IFERROR(INDEX(Walmart!$S$11:$S$192,MATCH('Calculations - Walmart'!$D226,Walmart!$N$11:$N$192,0)),"")</f>
        <v/>
      </c>
      <c r="U226" s="22" t="str">
        <f>IFERROR(INDEX(Walmart!$T$11:$T$192,MATCH('Calculations - Walmart'!$D226,Walmart!$N$11:$N$192,0)),"")</f>
        <v/>
      </c>
      <c r="V226" s="16" t="e">
        <f t="shared" si="161"/>
        <v>#VALUE!</v>
      </c>
      <c r="W226" s="16" t="e">
        <f t="shared" si="178"/>
        <v>#VALUE!</v>
      </c>
      <c r="X226" s="16" t="e">
        <f t="shared" si="179"/>
        <v>#VALUE!</v>
      </c>
      <c r="Y226" s="10" t="str">
        <f t="shared" si="162"/>
        <v>-</v>
      </c>
      <c r="Z226" s="10" t="str">
        <f t="shared" si="163"/>
        <v>-</v>
      </c>
      <c r="AA226" s="13" t="str">
        <f t="shared" si="180"/>
        <v>-</v>
      </c>
      <c r="AB226" s="9" t="str">
        <f t="shared" si="164"/>
        <v>-</v>
      </c>
      <c r="AC226" s="16" t="str">
        <f t="shared" si="181"/>
        <v>-</v>
      </c>
      <c r="AD226" s="16" t="str">
        <f t="shared" si="165"/>
        <v>-</v>
      </c>
      <c r="AE226" s="16" t="str">
        <f t="shared" si="166"/>
        <v>-</v>
      </c>
      <c r="AF226" s="16" t="str">
        <f t="shared" si="182"/>
        <v>-</v>
      </c>
      <c r="AG226" s="16"/>
      <c r="AH226" s="32" t="str">
        <f>IFERROR(INDEX(Walmart!$R$11:$R$192,MATCH('Calculations - Walmart'!D226,Walmart!$N$11:$N$192,0)),"")</f>
        <v/>
      </c>
      <c r="AI226" s="23" t="str">
        <f t="shared" si="183"/>
        <v/>
      </c>
      <c r="AJ226" s="23" t="str">
        <f t="shared" si="184"/>
        <v/>
      </c>
      <c r="AK226" s="9" t="str">
        <f t="shared" si="167"/>
        <v/>
      </c>
      <c r="AL226" s="4" t="str">
        <f t="shared" si="168"/>
        <v/>
      </c>
      <c r="AM226" s="4"/>
      <c r="AN226" s="4"/>
      <c r="AO226" s="4"/>
      <c r="AP226" s="4"/>
      <c r="AQ226" s="4"/>
      <c r="AR226" s="20" t="str">
        <f t="shared" si="169"/>
        <v>-</v>
      </c>
      <c r="AS226" s="13" t="str">
        <f t="shared" si="185"/>
        <v>-</v>
      </c>
      <c r="AT226" s="13" t="str">
        <f t="shared" si="186"/>
        <v>-</v>
      </c>
      <c r="AU226" s="13" t="str">
        <f t="shared" si="170"/>
        <v>-</v>
      </c>
      <c r="AV226" s="16" t="str">
        <f t="shared" si="187"/>
        <v>-</v>
      </c>
      <c r="AW226" s="16" t="str">
        <f t="shared" si="171"/>
        <v>-</v>
      </c>
      <c r="AX226" s="16" t="str">
        <f t="shared" si="172"/>
        <v>-</v>
      </c>
      <c r="AY226" s="16" t="str">
        <f t="shared" si="188"/>
        <v>-</v>
      </c>
      <c r="AZ226" s="13" t="str">
        <f t="shared" si="189"/>
        <v>-</v>
      </c>
      <c r="BA226" s="10" t="str">
        <f t="shared" si="190"/>
        <v>-</v>
      </c>
      <c r="BB226" s="9" t="str">
        <f t="shared" si="191"/>
        <v>-</v>
      </c>
      <c r="BC226" s="13" t="str">
        <f t="shared" si="192"/>
        <v>-</v>
      </c>
      <c r="BD226" s="10" t="str">
        <f t="shared" si="193"/>
        <v>-</v>
      </c>
      <c r="BE226" s="13" t="str">
        <f t="shared" si="194"/>
        <v>-</v>
      </c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</row>
    <row r="227" spans="2:70" x14ac:dyDescent="0.3">
      <c r="B227" s="96" t="str">
        <f t="shared" si="173"/>
        <v/>
      </c>
      <c r="C227" s="96" t="str">
        <f t="shared" si="174"/>
        <v/>
      </c>
      <c r="D227" s="96" t="str">
        <f t="shared" si="175"/>
        <v/>
      </c>
      <c r="E227" s="3"/>
      <c r="F227" s="3"/>
      <c r="G227" s="3"/>
      <c r="H227" s="3"/>
      <c r="I227" s="20">
        <f>IFERROR(INDEX('Input - Walmart'!G$2:G$200,MATCH('Calculations - Walmart'!$D227,'Input - Walmart'!$B$2:$B$200,0)),"")</f>
        <v>0</v>
      </c>
      <c r="J227" s="20">
        <f>IFERROR(INDEX('Input - Walmart'!H$2:H$200,MATCH('Calculations - Walmart'!$D227,'Input - Walmart'!$B$2:$B$200,0)),"")</f>
        <v>0</v>
      </c>
      <c r="K227" s="21">
        <f>IFERROR(INDEX('Input - Walmart'!I$2:I$200,MATCH('Calculations - Walmart'!$D227,'Input - Walmart'!$B$2:$B$200,0)),"")</f>
        <v>0</v>
      </c>
      <c r="L227" s="21">
        <f>IFERROR(INDEX('Input - Walmart'!J$2:J$200,MATCH('Calculations - Walmart'!$D227,'Input - Walmart'!$B$2:$B$200,0)),"")</f>
        <v>0</v>
      </c>
      <c r="M227" s="20">
        <f>IFERROR(INDEX('Input - Walmart'!K$2:K$200,MATCH('Calculations - Walmart'!$D227,'Input - Walmart'!$B$2:$B$200,0)),"")</f>
        <v>0</v>
      </c>
      <c r="N227" s="20">
        <f>IFERROR(INDEX('Input - Walmart'!L$2:L$200,MATCH('Calculations - Walmart'!$D227,'Input - Walmart'!$B$2:$B$200,0)),"")</f>
        <v>0</v>
      </c>
      <c r="O227" s="21" t="str">
        <f t="shared" si="176"/>
        <v/>
      </c>
      <c r="P227" s="21" t="str">
        <f t="shared" si="160"/>
        <v/>
      </c>
      <c r="Q227" s="21">
        <f t="shared" si="177"/>
        <v>0</v>
      </c>
      <c r="R227" s="9">
        <f t="shared" si="158"/>
        <v>0</v>
      </c>
      <c r="S227" s="9">
        <f t="shared" si="159"/>
        <v>0</v>
      </c>
      <c r="T227" s="22" t="str">
        <f>IFERROR(INDEX(Walmart!$S$11:$S$192,MATCH('Calculations - Walmart'!$D227,Walmart!$N$11:$N$192,0)),"")</f>
        <v/>
      </c>
      <c r="U227" s="22" t="str">
        <f>IFERROR(INDEX(Walmart!$T$11:$T$192,MATCH('Calculations - Walmart'!$D227,Walmart!$N$11:$N$192,0)),"")</f>
        <v/>
      </c>
      <c r="V227" s="16" t="e">
        <f t="shared" si="161"/>
        <v>#VALUE!</v>
      </c>
      <c r="W227" s="16" t="e">
        <f t="shared" si="178"/>
        <v>#VALUE!</v>
      </c>
      <c r="X227" s="16" t="e">
        <f t="shared" si="179"/>
        <v>#VALUE!</v>
      </c>
      <c r="Y227" s="10" t="str">
        <f t="shared" si="162"/>
        <v>-</v>
      </c>
      <c r="Z227" s="10" t="str">
        <f t="shared" si="163"/>
        <v>-</v>
      </c>
      <c r="AA227" s="13" t="str">
        <f t="shared" si="180"/>
        <v>-</v>
      </c>
      <c r="AB227" s="9" t="str">
        <f t="shared" si="164"/>
        <v>-</v>
      </c>
      <c r="AC227" s="16" t="str">
        <f t="shared" si="181"/>
        <v>-</v>
      </c>
      <c r="AD227" s="16" t="str">
        <f t="shared" si="165"/>
        <v>-</v>
      </c>
      <c r="AE227" s="16" t="str">
        <f t="shared" si="166"/>
        <v>-</v>
      </c>
      <c r="AF227" s="16" t="str">
        <f t="shared" si="182"/>
        <v>-</v>
      </c>
      <c r="AG227" s="16"/>
      <c r="AH227" s="32" t="str">
        <f>IFERROR(INDEX(Walmart!$R$11:$R$192,MATCH('Calculations - Walmart'!D227,Walmart!$N$11:$N$192,0)),"")</f>
        <v/>
      </c>
      <c r="AI227" s="23" t="str">
        <f t="shared" si="183"/>
        <v/>
      </c>
      <c r="AJ227" s="23" t="str">
        <f t="shared" si="184"/>
        <v/>
      </c>
      <c r="AK227" s="9" t="str">
        <f t="shared" si="167"/>
        <v/>
      </c>
      <c r="AL227" s="4" t="str">
        <f t="shared" si="168"/>
        <v/>
      </c>
      <c r="AM227" s="4"/>
      <c r="AN227" s="4"/>
      <c r="AO227" s="4"/>
      <c r="AP227" s="4"/>
      <c r="AQ227" s="4"/>
      <c r="AR227" s="20" t="str">
        <f t="shared" si="169"/>
        <v>-</v>
      </c>
      <c r="AS227" s="13" t="str">
        <f t="shared" si="185"/>
        <v>-</v>
      </c>
      <c r="AT227" s="13" t="str">
        <f t="shared" si="186"/>
        <v>-</v>
      </c>
      <c r="AU227" s="13" t="str">
        <f t="shared" si="170"/>
        <v>-</v>
      </c>
      <c r="AV227" s="16" t="str">
        <f t="shared" si="187"/>
        <v>-</v>
      </c>
      <c r="AW227" s="16" t="str">
        <f t="shared" si="171"/>
        <v>-</v>
      </c>
      <c r="AX227" s="16" t="str">
        <f t="shared" si="172"/>
        <v>-</v>
      </c>
      <c r="AY227" s="16" t="str">
        <f t="shared" si="188"/>
        <v>-</v>
      </c>
      <c r="AZ227" s="13" t="str">
        <f t="shared" si="189"/>
        <v>-</v>
      </c>
      <c r="BA227" s="10" t="str">
        <f t="shared" si="190"/>
        <v>-</v>
      </c>
      <c r="BB227" s="9" t="str">
        <f t="shared" si="191"/>
        <v>-</v>
      </c>
      <c r="BC227" s="13" t="str">
        <f t="shared" si="192"/>
        <v>-</v>
      </c>
      <c r="BD227" s="10" t="str">
        <f t="shared" si="193"/>
        <v>-</v>
      </c>
      <c r="BE227" s="13" t="str">
        <f t="shared" si="194"/>
        <v>-</v>
      </c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</row>
    <row r="228" spans="2:70" x14ac:dyDescent="0.3">
      <c r="B228" s="96" t="str">
        <f t="shared" si="173"/>
        <v/>
      </c>
      <c r="C228" s="96" t="str">
        <f t="shared" si="174"/>
        <v/>
      </c>
      <c r="D228" s="96" t="str">
        <f t="shared" si="175"/>
        <v/>
      </c>
      <c r="E228" s="3"/>
      <c r="F228" s="3"/>
      <c r="G228" s="3"/>
      <c r="H228" s="3"/>
      <c r="I228" s="20">
        <f>IFERROR(INDEX('Input - Walmart'!G$2:G$200,MATCH('Calculations - Walmart'!$D228,'Input - Walmart'!$B$2:$B$200,0)),"")</f>
        <v>0</v>
      </c>
      <c r="J228" s="20">
        <f>IFERROR(INDEX('Input - Walmart'!H$2:H$200,MATCH('Calculations - Walmart'!$D228,'Input - Walmart'!$B$2:$B$200,0)),"")</f>
        <v>0</v>
      </c>
      <c r="K228" s="21">
        <f>IFERROR(INDEX('Input - Walmart'!I$2:I$200,MATCH('Calculations - Walmart'!$D228,'Input - Walmart'!$B$2:$B$200,0)),"")</f>
        <v>0</v>
      </c>
      <c r="L228" s="21">
        <f>IFERROR(INDEX('Input - Walmart'!J$2:J$200,MATCH('Calculations - Walmart'!$D228,'Input - Walmart'!$B$2:$B$200,0)),"")</f>
        <v>0</v>
      </c>
      <c r="M228" s="20">
        <f>IFERROR(INDEX('Input - Walmart'!K$2:K$200,MATCH('Calculations - Walmart'!$D228,'Input - Walmart'!$B$2:$B$200,0)),"")</f>
        <v>0</v>
      </c>
      <c r="N228" s="20">
        <f>IFERROR(INDEX('Input - Walmart'!L$2:L$200,MATCH('Calculations - Walmart'!$D228,'Input - Walmart'!$B$2:$B$200,0)),"")</f>
        <v>0</v>
      </c>
      <c r="O228" s="21" t="str">
        <f t="shared" si="176"/>
        <v/>
      </c>
      <c r="P228" s="21" t="str">
        <f t="shared" si="160"/>
        <v/>
      </c>
      <c r="Q228" s="21">
        <f t="shared" si="177"/>
        <v>0</v>
      </c>
      <c r="R228" s="9">
        <f t="shared" si="158"/>
        <v>0</v>
      </c>
      <c r="S228" s="9">
        <f t="shared" si="159"/>
        <v>0</v>
      </c>
      <c r="T228" s="22" t="str">
        <f>IFERROR(INDEX(Walmart!$S$11:$S$192,MATCH('Calculations - Walmart'!$D228,Walmart!$N$11:$N$192,0)),"")</f>
        <v/>
      </c>
      <c r="U228" s="22" t="str">
        <f>IFERROR(INDEX(Walmart!$T$11:$T$192,MATCH('Calculations - Walmart'!$D228,Walmart!$N$11:$N$192,0)),"")</f>
        <v/>
      </c>
      <c r="V228" s="16" t="e">
        <f t="shared" si="161"/>
        <v>#VALUE!</v>
      </c>
      <c r="W228" s="16" t="e">
        <f t="shared" si="178"/>
        <v>#VALUE!</v>
      </c>
      <c r="X228" s="16" t="e">
        <f t="shared" si="179"/>
        <v>#VALUE!</v>
      </c>
      <c r="Y228" s="10" t="str">
        <f t="shared" si="162"/>
        <v>-</v>
      </c>
      <c r="Z228" s="10" t="str">
        <f t="shared" si="163"/>
        <v>-</v>
      </c>
      <c r="AA228" s="13" t="str">
        <f t="shared" si="180"/>
        <v>-</v>
      </c>
      <c r="AB228" s="9" t="str">
        <f t="shared" si="164"/>
        <v>-</v>
      </c>
      <c r="AC228" s="16" t="str">
        <f t="shared" si="181"/>
        <v>-</v>
      </c>
      <c r="AD228" s="16" t="str">
        <f t="shared" si="165"/>
        <v>-</v>
      </c>
      <c r="AE228" s="16" t="str">
        <f t="shared" si="166"/>
        <v>-</v>
      </c>
      <c r="AF228" s="16" t="str">
        <f t="shared" si="182"/>
        <v>-</v>
      </c>
      <c r="AG228" s="16"/>
      <c r="AH228" s="32" t="str">
        <f>IFERROR(INDEX(Walmart!$R$11:$R$192,MATCH('Calculations - Walmart'!D228,Walmart!$N$11:$N$192,0)),"")</f>
        <v/>
      </c>
      <c r="AI228" s="23" t="str">
        <f t="shared" si="183"/>
        <v/>
      </c>
      <c r="AJ228" s="23" t="str">
        <f t="shared" si="184"/>
        <v/>
      </c>
      <c r="AK228" s="9" t="str">
        <f t="shared" si="167"/>
        <v/>
      </c>
      <c r="AL228" s="4" t="str">
        <f t="shared" si="168"/>
        <v/>
      </c>
      <c r="AM228" s="4"/>
      <c r="AN228" s="4"/>
      <c r="AO228" s="4"/>
      <c r="AP228" s="4"/>
      <c r="AQ228" s="4"/>
      <c r="AR228" s="20" t="str">
        <f t="shared" si="169"/>
        <v>-</v>
      </c>
      <c r="AS228" s="13" t="str">
        <f t="shared" si="185"/>
        <v>-</v>
      </c>
      <c r="AT228" s="13" t="str">
        <f t="shared" si="186"/>
        <v>-</v>
      </c>
      <c r="AU228" s="13" t="str">
        <f t="shared" si="170"/>
        <v>-</v>
      </c>
      <c r="AV228" s="16" t="str">
        <f t="shared" si="187"/>
        <v>-</v>
      </c>
      <c r="AW228" s="16" t="str">
        <f t="shared" si="171"/>
        <v>-</v>
      </c>
      <c r="AX228" s="16" t="str">
        <f t="shared" si="172"/>
        <v>-</v>
      </c>
      <c r="AY228" s="16" t="str">
        <f t="shared" si="188"/>
        <v>-</v>
      </c>
      <c r="AZ228" s="13" t="str">
        <f t="shared" si="189"/>
        <v>-</v>
      </c>
      <c r="BA228" s="10" t="str">
        <f t="shared" si="190"/>
        <v>-</v>
      </c>
      <c r="BB228" s="9" t="str">
        <f t="shared" si="191"/>
        <v>-</v>
      </c>
      <c r="BC228" s="13" t="str">
        <f t="shared" si="192"/>
        <v>-</v>
      </c>
      <c r="BD228" s="10" t="str">
        <f t="shared" si="193"/>
        <v>-</v>
      </c>
      <c r="BE228" s="13" t="str">
        <f t="shared" si="194"/>
        <v>-</v>
      </c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</row>
    <row r="229" spans="2:70" x14ac:dyDescent="0.3">
      <c r="B229" s="96" t="str">
        <f t="shared" si="173"/>
        <v/>
      </c>
      <c r="C229" s="96" t="str">
        <f t="shared" si="174"/>
        <v/>
      </c>
      <c r="D229" s="96" t="str">
        <f t="shared" si="175"/>
        <v/>
      </c>
      <c r="E229" s="3"/>
      <c r="F229" s="3"/>
      <c r="G229" s="3"/>
      <c r="H229" s="3"/>
      <c r="I229" s="20">
        <f>IFERROR(INDEX('Input - Walmart'!G$2:G$200,MATCH('Calculations - Walmart'!$D229,'Input - Walmart'!$B$2:$B$200,0)),"")</f>
        <v>0</v>
      </c>
      <c r="J229" s="20">
        <f>IFERROR(INDEX('Input - Walmart'!H$2:H$200,MATCH('Calculations - Walmart'!$D229,'Input - Walmart'!$B$2:$B$200,0)),"")</f>
        <v>0</v>
      </c>
      <c r="K229" s="21">
        <f>IFERROR(INDEX('Input - Walmart'!I$2:I$200,MATCH('Calculations - Walmart'!$D229,'Input - Walmart'!$B$2:$B$200,0)),"")</f>
        <v>0</v>
      </c>
      <c r="L229" s="21">
        <f>IFERROR(INDEX('Input - Walmart'!J$2:J$200,MATCH('Calculations - Walmart'!$D229,'Input - Walmart'!$B$2:$B$200,0)),"")</f>
        <v>0</v>
      </c>
      <c r="M229" s="20">
        <f>IFERROR(INDEX('Input - Walmart'!K$2:K$200,MATCH('Calculations - Walmart'!$D229,'Input - Walmart'!$B$2:$B$200,0)),"")</f>
        <v>0</v>
      </c>
      <c r="N229" s="20">
        <f>IFERROR(INDEX('Input - Walmart'!L$2:L$200,MATCH('Calculations - Walmart'!$D229,'Input - Walmart'!$B$2:$B$200,0)),"")</f>
        <v>0</v>
      </c>
      <c r="O229" s="21" t="str">
        <f t="shared" si="176"/>
        <v/>
      </c>
      <c r="P229" s="21" t="str">
        <f t="shared" si="160"/>
        <v/>
      </c>
      <c r="Q229" s="21">
        <f t="shared" si="177"/>
        <v>0</v>
      </c>
      <c r="R229" s="9">
        <f t="shared" si="158"/>
        <v>0</v>
      </c>
      <c r="S229" s="9">
        <f t="shared" si="159"/>
        <v>0</v>
      </c>
      <c r="T229" s="22" t="str">
        <f>IFERROR(INDEX(Walmart!$S$11:$S$192,MATCH('Calculations - Walmart'!$D229,Walmart!$N$11:$N$192,0)),"")</f>
        <v/>
      </c>
      <c r="U229" s="22" t="str">
        <f>IFERROR(INDEX(Walmart!$T$11:$T$192,MATCH('Calculations - Walmart'!$D229,Walmart!$N$11:$N$192,0)),"")</f>
        <v/>
      </c>
      <c r="V229" s="16" t="e">
        <f t="shared" si="161"/>
        <v>#VALUE!</v>
      </c>
      <c r="W229" s="16" t="e">
        <f t="shared" si="178"/>
        <v>#VALUE!</v>
      </c>
      <c r="X229" s="16" t="e">
        <f t="shared" si="179"/>
        <v>#VALUE!</v>
      </c>
      <c r="Y229" s="10" t="str">
        <f t="shared" si="162"/>
        <v>-</v>
      </c>
      <c r="Z229" s="10" t="str">
        <f t="shared" si="163"/>
        <v>-</v>
      </c>
      <c r="AA229" s="13" t="str">
        <f t="shared" si="180"/>
        <v>-</v>
      </c>
      <c r="AB229" s="9" t="str">
        <f t="shared" si="164"/>
        <v>-</v>
      </c>
      <c r="AC229" s="16" t="str">
        <f t="shared" si="181"/>
        <v>-</v>
      </c>
      <c r="AD229" s="16" t="str">
        <f t="shared" si="165"/>
        <v>-</v>
      </c>
      <c r="AE229" s="16" t="str">
        <f t="shared" si="166"/>
        <v>-</v>
      </c>
      <c r="AF229" s="16" t="str">
        <f t="shared" si="182"/>
        <v>-</v>
      </c>
      <c r="AG229" s="16"/>
      <c r="AH229" s="32" t="str">
        <f>IFERROR(INDEX(Walmart!$R$11:$R$192,MATCH('Calculations - Walmart'!D229,Walmart!$N$11:$N$192,0)),"")</f>
        <v/>
      </c>
      <c r="AI229" s="23" t="str">
        <f t="shared" si="183"/>
        <v/>
      </c>
      <c r="AJ229" s="23" t="str">
        <f t="shared" si="184"/>
        <v/>
      </c>
      <c r="AK229" s="9" t="str">
        <f t="shared" si="167"/>
        <v/>
      </c>
      <c r="AL229" s="4" t="str">
        <f t="shared" si="168"/>
        <v/>
      </c>
      <c r="AM229" s="4"/>
      <c r="AN229" s="4"/>
      <c r="AO229" s="4"/>
      <c r="AP229" s="4"/>
      <c r="AQ229" s="4"/>
      <c r="AR229" s="20" t="str">
        <f t="shared" si="169"/>
        <v>-</v>
      </c>
      <c r="AS229" s="13" t="str">
        <f t="shared" si="185"/>
        <v>-</v>
      </c>
      <c r="AT229" s="13" t="str">
        <f t="shared" si="186"/>
        <v>-</v>
      </c>
      <c r="AU229" s="13" t="str">
        <f t="shared" si="170"/>
        <v>-</v>
      </c>
      <c r="AV229" s="16" t="str">
        <f t="shared" si="187"/>
        <v>-</v>
      </c>
      <c r="AW229" s="16" t="str">
        <f t="shared" si="171"/>
        <v>-</v>
      </c>
      <c r="AX229" s="16" t="str">
        <f t="shared" si="172"/>
        <v>-</v>
      </c>
      <c r="AY229" s="16" t="str">
        <f t="shared" si="188"/>
        <v>-</v>
      </c>
      <c r="AZ229" s="13" t="str">
        <f t="shared" si="189"/>
        <v>-</v>
      </c>
      <c r="BA229" s="10" t="str">
        <f t="shared" si="190"/>
        <v>-</v>
      </c>
      <c r="BB229" s="9" t="str">
        <f t="shared" si="191"/>
        <v>-</v>
      </c>
      <c r="BC229" s="13" t="str">
        <f t="shared" si="192"/>
        <v>-</v>
      </c>
      <c r="BD229" s="10" t="str">
        <f t="shared" si="193"/>
        <v>-</v>
      </c>
      <c r="BE229" s="13" t="str">
        <f t="shared" si="194"/>
        <v>-</v>
      </c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992F7-7E6A-442D-8A1F-DF95AF6786A3}">
  <sheetPr codeName="Sheet9">
    <tabColor theme="4" tint="0.79998168889431442"/>
  </sheetPr>
  <dimension ref="A1:AH125"/>
  <sheetViews>
    <sheetView showGridLines="0" topLeftCell="I1" zoomScale="55" zoomScaleNormal="55" workbookViewId="0">
      <selection activeCell="P8" sqref="P8:W8"/>
    </sheetView>
  </sheetViews>
  <sheetFormatPr defaultColWidth="15.77734375" defaultRowHeight="14.4" x14ac:dyDescent="0.3"/>
  <cols>
    <col min="1" max="1" width="8.88671875" style="92" customWidth="1"/>
    <col min="2" max="2" width="43.88671875" style="92" bestFit="1" customWidth="1"/>
    <col min="3" max="4" width="32.109375" style="92" bestFit="1" customWidth="1"/>
    <col min="5" max="5" width="34.88671875" style="92" bestFit="1" customWidth="1"/>
    <col min="6" max="6" width="23.5546875" style="92" bestFit="1" customWidth="1"/>
    <col min="7" max="7" width="29.33203125" style="92" bestFit="1" customWidth="1"/>
    <col min="8" max="8" width="25.77734375" style="92" customWidth="1"/>
    <col min="9" max="9" width="29.33203125" style="92" bestFit="1" customWidth="1"/>
    <col min="10" max="10" width="25.77734375" style="92" customWidth="1"/>
    <col min="11" max="11" width="29.33203125" style="92" bestFit="1" customWidth="1"/>
    <col min="12" max="12" width="25.77734375" style="92" customWidth="1"/>
    <col min="13" max="13" width="27.88671875" style="92" customWidth="1"/>
    <col min="14" max="15" width="23.5546875" style="92" hidden="1" customWidth="1"/>
    <col min="16" max="16" width="33.44140625" style="92" bestFit="1" customWidth="1"/>
    <col min="17" max="17" width="31.6640625" style="92" customWidth="1"/>
    <col min="18" max="18" width="35.21875" style="92" customWidth="1"/>
    <col min="19" max="19" width="26.88671875" style="92" customWidth="1"/>
    <col min="20" max="20" width="34.6640625" style="92" customWidth="1"/>
    <col min="21" max="21" width="30.77734375" style="92" customWidth="1"/>
    <col min="22" max="23" width="30.77734375" style="127" customWidth="1"/>
    <col min="24" max="24" width="30.77734375" style="92" customWidth="1"/>
    <col min="25" max="25" width="45.77734375" style="92" customWidth="1"/>
    <col min="26" max="29" width="29.33203125" style="92" bestFit="1" customWidth="1"/>
    <col min="30" max="30" width="34.88671875" style="92" bestFit="1" customWidth="1"/>
    <col min="31" max="31" width="25.77734375" style="92" customWidth="1"/>
    <col min="32" max="16384" width="15.77734375" style="92"/>
  </cols>
  <sheetData>
    <row r="1" spans="1:32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</row>
    <row r="2" spans="1:32" x14ac:dyDescent="0.3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</row>
    <row r="3" spans="1:32" x14ac:dyDescent="0.3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</row>
    <row r="4" spans="1:32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</row>
    <row r="5" spans="1:32" x14ac:dyDescent="0.3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</row>
    <row r="6" spans="1:32" ht="25.05" customHeight="1" x14ac:dyDescent="0.3">
      <c r="A6"/>
      <c r="B6" s="209" t="s">
        <v>136</v>
      </c>
      <c r="C6" s="209"/>
      <c r="D6"/>
      <c r="E6"/>
      <c r="F6"/>
      <c r="G6"/>
      <c r="H6"/>
      <c r="I6"/>
      <c r="J6"/>
      <c r="K6"/>
      <c r="L6"/>
      <c r="M6"/>
      <c r="N6"/>
      <c r="O6"/>
      <c r="P6" s="55" t="s">
        <v>64</v>
      </c>
      <c r="Q6" s="109" t="s">
        <v>135</v>
      </c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</row>
    <row r="7" spans="1:32" ht="25.05" customHeight="1" x14ac:dyDescent="0.3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</row>
    <row r="8" spans="1:32" ht="25.8" x14ac:dyDescent="0.5">
      <c r="A8"/>
      <c r="B8" s="200" t="s">
        <v>49</v>
      </c>
      <c r="C8" s="200"/>
      <c r="D8" s="200"/>
      <c r="E8" s="200"/>
      <c r="F8" s="200"/>
      <c r="G8" s="200"/>
      <c r="H8" s="200"/>
      <c r="I8" s="200"/>
      <c r="J8" s="200"/>
      <c r="K8" s="200"/>
      <c r="L8" s="200"/>
      <c r="M8" s="35"/>
      <c r="N8"/>
      <c r="O8"/>
      <c r="P8" s="200" t="s">
        <v>50</v>
      </c>
      <c r="Q8" s="200"/>
      <c r="R8" s="200"/>
      <c r="S8" s="200"/>
      <c r="T8" s="200"/>
      <c r="U8" s="200"/>
      <c r="V8" s="200"/>
      <c r="W8" s="200"/>
      <c r="X8"/>
      <c r="Y8" s="200" t="s">
        <v>65</v>
      </c>
      <c r="Z8" s="200"/>
      <c r="AA8" s="200"/>
      <c r="AB8" s="200"/>
      <c r="AC8" s="200"/>
      <c r="AD8" s="200"/>
      <c r="AE8" s="200"/>
      <c r="AF8"/>
    </row>
    <row r="9" spans="1:32" ht="60" customHeight="1" x14ac:dyDescent="0.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 s="111" t="s">
        <v>127</v>
      </c>
      <c r="W9" s="111" t="s">
        <v>127</v>
      </c>
      <c r="X9"/>
      <c r="Y9"/>
      <c r="Z9"/>
      <c r="AA9"/>
      <c r="AB9"/>
      <c r="AC9"/>
      <c r="AD9"/>
      <c r="AE9"/>
      <c r="AF9"/>
    </row>
    <row r="10" spans="1:32" ht="30" customHeight="1" x14ac:dyDescent="0.3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 s="41"/>
      <c r="Q10" s="33" t="s">
        <v>10</v>
      </c>
      <c r="R10" s="33" t="s">
        <v>51</v>
      </c>
      <c r="S10" s="33" t="s">
        <v>52</v>
      </c>
      <c r="T10" s="33" t="s">
        <v>53</v>
      </c>
      <c r="U10" s="33" t="s">
        <v>54</v>
      </c>
      <c r="V10" s="33" t="s">
        <v>19</v>
      </c>
      <c r="W10" s="33" t="s">
        <v>156</v>
      </c>
      <c r="X10"/>
      <c r="Y10"/>
      <c r="Z10"/>
      <c r="AA10"/>
      <c r="AB10"/>
      <c r="AC10"/>
      <c r="AD10"/>
      <c r="AE10"/>
      <c r="AF10"/>
    </row>
    <row r="11" spans="1:32" ht="25.05" customHeight="1" x14ac:dyDescent="0.4">
      <c r="A11"/>
      <c r="B11"/>
      <c r="C11"/>
      <c r="D11"/>
      <c r="E11"/>
      <c r="F11"/>
      <c r="G11"/>
      <c r="H11"/>
      <c r="I11"/>
      <c r="J11"/>
      <c r="K11"/>
      <c r="L11"/>
      <c r="M11"/>
      <c r="N11" s="46" t="s">
        <v>9</v>
      </c>
      <c r="O11" s="46"/>
      <c r="P11" s="41"/>
      <c r="Q11" s="213" t="str">
        <f>'Calculations - Walmart'!F4</f>
        <v>KRAFT</v>
      </c>
      <c r="R11" s="213"/>
      <c r="S11" s="41"/>
      <c r="T11" s="41"/>
      <c r="U11" s="155">
        <f>R12/Q12-1</f>
        <v>2.886579864025407E-15</v>
      </c>
      <c r="V11" s="135">
        <f>V13+V20</f>
        <v>0.13590717357047072</v>
      </c>
      <c r="W11" s="135">
        <f>W13+W20</f>
        <v>0.13464471301495531</v>
      </c>
      <c r="X11"/>
      <c r="Y11"/>
      <c r="Z11"/>
      <c r="AA11"/>
      <c r="AB11"/>
      <c r="AC11"/>
      <c r="AD11"/>
      <c r="AE11"/>
      <c r="AF11"/>
    </row>
    <row r="12" spans="1:32" ht="25.05" customHeight="1" x14ac:dyDescent="0.3">
      <c r="A12"/>
      <c r="B12"/>
      <c r="C12"/>
      <c r="D12"/>
      <c r="E12"/>
      <c r="F12"/>
      <c r="G12"/>
      <c r="H12"/>
      <c r="I12"/>
      <c r="J12"/>
      <c r="K12"/>
      <c r="L12"/>
      <c r="M12"/>
      <c r="N12" t="str">
        <f>$Q$6&amp;Q11&amp;P12</f>
        <v>WALMARTKRAFT</v>
      </c>
      <c r="O12"/>
      <c r="P12" s="41"/>
      <c r="Q12" s="139">
        <f>INDEX('Calculations - Walmart'!$M$3:$M$24,MATCH(N12,'Calculations - Walmart'!$D$3:$D$24,0))</f>
        <v>2.9924463508572678</v>
      </c>
      <c r="R12" s="140">
        <f>INDEX('Calculations - Walmart'!$AF$3:$AF$24,MATCH(N12,'Calculations - Walmart'!$D$3:$D$24,0))</f>
        <v>2.9924463508572763</v>
      </c>
      <c r="S12" s="51">
        <f>INDEX('Calculations - Walmart'!$R$3:$R$24,MATCH(Walmart!$Q$6&amp;Walmart!$Q11,'Calculations - Walmart'!$D$3:$D$24,0))</f>
        <v>0.80000000000000226</v>
      </c>
      <c r="T12" s="51">
        <f>INDEX('Calculations - Walmart'!$S$3:$S$24,MATCH(Walmart!$Q$6&amp;Walmart!$Q11,'Calculations - Walmart'!$D$3:$D$24,0))</f>
        <v>0.3</v>
      </c>
      <c r="U12" s="125"/>
      <c r="V12" s="125"/>
      <c r="W12" s="125"/>
      <c r="X12"/>
      <c r="Y12"/>
      <c r="Z12"/>
      <c r="AA12"/>
      <c r="AB12"/>
      <c r="AC12"/>
      <c r="AD12"/>
      <c r="AE12"/>
      <c r="AF12"/>
    </row>
    <row r="13" spans="1:32" ht="25.05" customHeight="1" x14ac:dyDescent="0.3">
      <c r="A13"/>
      <c r="B13"/>
      <c r="C13"/>
      <c r="D13"/>
      <c r="E13"/>
      <c r="F13"/>
      <c r="G13"/>
      <c r="H13"/>
      <c r="I13"/>
      <c r="J13"/>
      <c r="K13"/>
      <c r="L13"/>
      <c r="M13"/>
      <c r="N13" t="str">
        <f>$Q$6&amp;Q11&amp;P13</f>
        <v>WALMARTKRAFTMayo</v>
      </c>
      <c r="O13" s="106" t="s">
        <v>102</v>
      </c>
      <c r="P13" s="107" t="s">
        <v>122</v>
      </c>
      <c r="Q13" s="139" cm="1">
        <f t="array" ref="Q13">SUM(_xlfn._xlws.FILTER('Calculations - Walmart'!$O$32:$O$229*'Calculations - Walmart'!$J$32:$J$229,'Calculations - Walmart'!$C$32:$C$229=$N13))/SUM(_xlfn._xlws.FILTER('Calculations - Walmart'!$J$32:$J$229,'Calculations - Walmart'!$C$32:$C$229=$N13))</f>
        <v>2.8950383401365731</v>
      </c>
      <c r="R13" s="140" cm="1">
        <f t="array" ref="R13">SUM(_xlfn._xlws.FILTER('Calculations - Walmart'!$AH$32:$AH$229*'Calculations - Walmart'!$AL$32:$AL$229,'Calculations - Walmart'!$C$32:$C$229=$N13))/SUM(_xlfn._xlws.FILTER('Calculations - Walmart'!$AL$32:$AL$229,'Calculations - Walmart'!$C$32:$C$229=$N13))</f>
        <v>2.8950383401365731</v>
      </c>
      <c r="S13" s="108"/>
      <c r="T13" s="108"/>
      <c r="U13" s="128">
        <f>IFERROR(R13/Q13-1,0)</f>
        <v>0</v>
      </c>
      <c r="V13" s="128">
        <f>SUM(V14:V19)</f>
        <v>0.13039770357286304</v>
      </c>
      <c r="W13" s="128">
        <f>SUM(W14:W19)</f>
        <v>0.1246776710842761</v>
      </c>
      <c r="X13"/>
      <c r="Y13"/>
      <c r="Z13"/>
      <c r="AA13"/>
      <c r="AB13"/>
      <c r="AC13"/>
      <c r="AD13"/>
      <c r="AE13"/>
      <c r="AF13"/>
    </row>
    <row r="14" spans="1:32" ht="25.05" customHeight="1" x14ac:dyDescent="0.3">
      <c r="A14"/>
      <c r="B14"/>
      <c r="C14"/>
      <c r="D14"/>
      <c r="E14"/>
      <c r="F14"/>
      <c r="G14"/>
      <c r="H14"/>
      <c r="I14"/>
      <c r="J14"/>
      <c r="K14"/>
      <c r="L14"/>
      <c r="M14"/>
      <c r="N14" t="str">
        <f>$Q$6&amp;Q11&amp;O14&amp;P14</f>
        <v>WALMARTKRAFTMayoJAR 15OZ</v>
      </c>
      <c r="O14" s="106" t="s">
        <v>122</v>
      </c>
      <c r="P14" s="34" t="s">
        <v>116</v>
      </c>
      <c r="Q14" s="141">
        <f>IFERROR(INDEX('Calculations - Walmart'!$O$32:$O$229,MATCH($N14,'Calculations - Walmart'!$D$32:$D$229,0)),0)</f>
        <v>4.2407133464840081</v>
      </c>
      <c r="R14" s="142">
        <f t="shared" ref="R14:R19" si="0">Q14</f>
        <v>4.2407133464840081</v>
      </c>
      <c r="S14" s="52">
        <v>0.8</v>
      </c>
      <c r="T14" s="52">
        <v>0.3</v>
      </c>
      <c r="U14" s="155">
        <f>IFERROR(R14/Q14-1,0)</f>
        <v>0</v>
      </c>
      <c r="V14" s="124">
        <f>IFERROR(INDEX('Calculations - Walmart'!$BB$32:$BB$229,MATCH(Walmart!$N14,'Calculations - Walmart'!$D$32:$D$229,0)),"-")</f>
        <v>5.5576242048865259E-3</v>
      </c>
      <c r="W14" s="124">
        <f>IFERROR(INDEX('Calculations - Walmart'!$BE$32:$BE$229,MATCH(Walmart!$N14,'Calculations - Walmart'!$D$32:$D$229,0)),"-")</f>
        <v>7.8736959130604293E-3</v>
      </c>
      <c r="X14"/>
      <c r="Y14"/>
      <c r="Z14"/>
      <c r="AA14"/>
      <c r="AB14"/>
      <c r="AC14"/>
      <c r="AD14"/>
      <c r="AE14"/>
      <c r="AF14"/>
    </row>
    <row r="15" spans="1:32" ht="25.05" customHeight="1" x14ac:dyDescent="0.3">
      <c r="A15"/>
      <c r="B15"/>
      <c r="C15"/>
      <c r="D15"/>
      <c r="E15"/>
      <c r="F15"/>
      <c r="G15"/>
      <c r="H15"/>
      <c r="I15"/>
      <c r="J15"/>
      <c r="K15"/>
      <c r="L15"/>
      <c r="M15"/>
      <c r="N15" t="str">
        <f>$Q$6&amp;Q11&amp;O15&amp;P15</f>
        <v>WALMARTKRAFTMayoJAR 30OZ</v>
      </c>
      <c r="O15" s="106" t="s">
        <v>122</v>
      </c>
      <c r="P15" s="34" t="s">
        <v>118</v>
      </c>
      <c r="Q15" s="141">
        <f>IFERROR(INDEX('Calculations - Walmart'!$O$32:$O$229,MATCH($N15,'Calculations - Walmart'!$D$32:$D$229,0)),0)</f>
        <v>2.4607087963992917</v>
      </c>
      <c r="R15" s="142">
        <f t="shared" si="0"/>
        <v>2.4607087963992917</v>
      </c>
      <c r="S15" s="52">
        <v>0.8</v>
      </c>
      <c r="T15" s="52">
        <v>0.3</v>
      </c>
      <c r="U15" s="155">
        <f t="shared" ref="U15:U19" si="1">IFERROR(R15/Q15-1,0)</f>
        <v>0</v>
      </c>
      <c r="V15" s="124">
        <f>IFERROR(INDEX('Calculations - Walmart'!$BB$32:$BB$229,MATCH(Walmart!$N15,'Calculations - Walmart'!$D$32:$D$229,0)),"-")</f>
        <v>6.715019976357077E-2</v>
      </c>
      <c r="W15" s="124">
        <f>IFERROR(INDEX('Calculations - Walmart'!$BE$32:$BE$229,MATCH(Walmart!$N15,'Calculations - Walmart'!$D$32:$D$229,0)),"-")</f>
        <v>5.5202414579938977E-2</v>
      </c>
      <c r="X15"/>
      <c r="Y15"/>
      <c r="Z15"/>
      <c r="AA15"/>
      <c r="AB15"/>
      <c r="AC15"/>
      <c r="AD15"/>
      <c r="AE15"/>
      <c r="AF15"/>
    </row>
    <row r="16" spans="1:32" ht="25.05" customHeight="1" x14ac:dyDescent="0.3">
      <c r="A16"/>
      <c r="B16"/>
      <c r="C16"/>
      <c r="D16"/>
      <c r="E16"/>
      <c r="F16"/>
      <c r="G16"/>
      <c r="H16"/>
      <c r="I16"/>
      <c r="J16"/>
      <c r="K16"/>
      <c r="L16"/>
      <c r="M16"/>
      <c r="N16" t="str">
        <f>$Q$6&amp;Q11&amp;O16&amp;P16</f>
        <v>WALMARTKRAFTMayoJAR 48OZ</v>
      </c>
      <c r="O16" s="106" t="s">
        <v>122</v>
      </c>
      <c r="P16" s="34" t="s">
        <v>121</v>
      </c>
      <c r="Q16" s="141">
        <f>IFERROR(INDEX('Calculations - Walmart'!$O$32:$O$229,MATCH($N16,'Calculations - Walmart'!$D$32:$D$229,0)),0)</f>
        <v>2.6023875480227594</v>
      </c>
      <c r="R16" s="142">
        <f t="shared" si="0"/>
        <v>2.6023875480227594</v>
      </c>
      <c r="S16" s="52">
        <v>0.8</v>
      </c>
      <c r="T16" s="52">
        <v>0.3</v>
      </c>
      <c r="U16" s="155">
        <f t="shared" si="1"/>
        <v>0</v>
      </c>
      <c r="V16" s="124">
        <f>IFERROR(INDEX('Calculations - Walmart'!$BB$32:$BB$229,MATCH(Walmart!$N16,'Calculations - Walmart'!$D$32:$D$229,0)),"-")</f>
        <v>1.3123605032799504E-2</v>
      </c>
      <c r="W16" s="124">
        <f>IFERROR(INDEX('Calculations - Walmart'!$BE$32:$BE$229,MATCH(Walmart!$N16,'Calculations - Walmart'!$D$32:$D$229,0)),"-")</f>
        <v>1.1409737880003488E-2</v>
      </c>
      <c r="X16"/>
      <c r="Y16"/>
      <c r="Z16"/>
      <c r="AA16"/>
      <c r="AB16"/>
      <c r="AC16"/>
      <c r="AD16"/>
      <c r="AE16"/>
      <c r="AF16"/>
    </row>
    <row r="17" spans="1:34" ht="25.05" customHeight="1" x14ac:dyDescent="0.3">
      <c r="A17"/>
      <c r="B17"/>
      <c r="C17"/>
      <c r="D17"/>
      <c r="E17"/>
      <c r="F17"/>
      <c r="G17"/>
      <c r="H17"/>
      <c r="I17"/>
      <c r="J17"/>
      <c r="K17"/>
      <c r="L17"/>
      <c r="M17"/>
      <c r="N17" t="str">
        <f>$Q$6&amp;Q11&amp;O17&amp;P17</f>
        <v>WALMARTKRAFTMayoSQUEEZY 12OZ</v>
      </c>
      <c r="O17" s="106" t="s">
        <v>122</v>
      </c>
      <c r="P17" s="34" t="s">
        <v>117</v>
      </c>
      <c r="Q17" s="141">
        <f>IFERROR(INDEX('Calculations - Walmart'!$O$32:$O$229,MATCH($N17,'Calculations - Walmart'!$D$32:$D$229,0)),0)</f>
        <v>5.3008272896456834</v>
      </c>
      <c r="R17" s="142">
        <f t="shared" si="0"/>
        <v>5.3008272896456834</v>
      </c>
      <c r="S17" s="52">
        <v>0.8</v>
      </c>
      <c r="T17" s="52">
        <v>0.3</v>
      </c>
      <c r="U17" s="155">
        <f t="shared" si="1"/>
        <v>0</v>
      </c>
      <c r="V17" s="124">
        <f>IFERROR(INDEX('Calculations - Walmart'!$BB$32:$BB$229,MATCH(Walmart!$N17,'Calculations - Walmart'!$D$32:$D$229,0)),"-")</f>
        <v>7.6546510630443616E-3</v>
      </c>
      <c r="W17" s="124">
        <f>IFERROR(INDEX('Calculations - Walmart'!$BE$32:$BE$229,MATCH(Walmart!$N17,'Calculations - Walmart'!$D$32:$D$229,0)),"-")</f>
        <v>1.3555626564631053E-2</v>
      </c>
      <c r="X17"/>
      <c r="Y17"/>
      <c r="Z17"/>
      <c r="AA17"/>
      <c r="AB17"/>
      <c r="AC17"/>
      <c r="AD17"/>
      <c r="AE17"/>
      <c r="AF17"/>
    </row>
    <row r="18" spans="1:34" ht="25.05" customHeight="1" x14ac:dyDescent="0.3">
      <c r="A18"/>
      <c r="B18"/>
      <c r="C18"/>
      <c r="D18"/>
      <c r="E18"/>
      <c r="F18"/>
      <c r="G18"/>
      <c r="H18"/>
      <c r="I18"/>
      <c r="J18"/>
      <c r="K18"/>
      <c r="L18"/>
      <c r="M18"/>
      <c r="N18" t="str">
        <f>$Q$6&amp;Q11&amp;O18&amp;P18</f>
        <v>WALMARTKRAFTMayoSQUEEZY 18 TO 22OZ</v>
      </c>
      <c r="O18" s="106" t="s">
        <v>122</v>
      </c>
      <c r="P18" s="34" t="s">
        <v>120</v>
      </c>
      <c r="Q18" s="141">
        <f>IFERROR(INDEX('Calculations - Walmart'!$O$32:$O$229,MATCH($N18,'Calculations - Walmart'!$D$32:$D$229,0)),0)</f>
        <v>3.5222070386639435</v>
      </c>
      <c r="R18" s="142">
        <f t="shared" si="0"/>
        <v>3.5222070386639435</v>
      </c>
      <c r="S18" s="52">
        <v>0.8</v>
      </c>
      <c r="T18" s="52">
        <v>0.3</v>
      </c>
      <c r="U18" s="155">
        <f t="shared" si="1"/>
        <v>0</v>
      </c>
      <c r="V18" s="124">
        <f>IFERROR(INDEX('Calculations - Walmart'!$BB$32:$BB$229,MATCH(Walmart!$N18,'Calculations - Walmart'!$D$32:$D$229,0)),"-")</f>
        <v>2.10154652305919E-2</v>
      </c>
      <c r="W18" s="124">
        <f>IFERROR(INDEX('Calculations - Walmart'!$BE$32:$BE$229,MATCH(Walmart!$N18,'Calculations - Walmart'!$D$32:$D$229,0)),"-")</f>
        <v>2.4728879193969242E-2</v>
      </c>
      <c r="X18"/>
      <c r="Y18"/>
      <c r="Z18"/>
      <c r="AA18"/>
      <c r="AB18"/>
      <c r="AC18"/>
      <c r="AD18"/>
      <c r="AE18"/>
      <c r="AF18"/>
    </row>
    <row r="19" spans="1:34" ht="25.05" customHeight="1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N19" t="str">
        <f>$Q$6&amp;Q11&amp;O19&amp;P19</f>
        <v>WALMARTKRAFTMayoOTHER</v>
      </c>
      <c r="O19" s="106" t="s">
        <v>122</v>
      </c>
      <c r="P19" s="34" t="s">
        <v>115</v>
      </c>
      <c r="Q19" s="141">
        <f>IFERROR(INDEX('Calculations - Walmart'!$O$32:$O$229,MATCH($N19,'Calculations - Walmart'!$D$32:$D$229,0)),0)</f>
        <v>2.2421837044178967</v>
      </c>
      <c r="R19" s="142">
        <f t="shared" si="0"/>
        <v>2.2421837044178967</v>
      </c>
      <c r="S19" s="52">
        <v>0.8</v>
      </c>
      <c r="T19" s="52">
        <v>0.3</v>
      </c>
      <c r="U19" s="155">
        <f t="shared" si="1"/>
        <v>0</v>
      </c>
      <c r="V19" s="124">
        <f>IFERROR(INDEX('Calculations - Walmart'!$BB$32:$BB$229,MATCH(Walmart!$N19,'Calculations - Walmart'!$D$32:$D$229,0)),"-")</f>
        <v>1.5896158277969964E-2</v>
      </c>
      <c r="W19" s="124">
        <f>IFERROR(INDEX('Calculations - Walmart'!$BE$32:$BE$229,MATCH(Walmart!$N19,'Calculations - Walmart'!$D$32:$D$229,0)),"-")</f>
        <v>1.1907316952672916E-2</v>
      </c>
      <c r="X19"/>
      <c r="Y19"/>
      <c r="Z19"/>
      <c r="AA19"/>
      <c r="AB19"/>
      <c r="AC19"/>
      <c r="AD19"/>
      <c r="AE19"/>
      <c r="AF19"/>
    </row>
    <row r="20" spans="1:34" ht="25.05" customHeight="1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 t="str">
        <f>$Q$6&amp;Q11&amp;P20</f>
        <v>WALMARTKRAFTAioli</v>
      </c>
      <c r="O20" s="106" t="s">
        <v>123</v>
      </c>
      <c r="P20" s="107" t="s">
        <v>124</v>
      </c>
      <c r="Q20" s="139" cm="1">
        <f t="array" ref="Q20">SUM(_xlfn._xlws.FILTER('Calculations - Walmart'!$O$32:$O$229*'Calculations - Walmart'!$J$32:$J$229,'Calculations - Walmart'!$C$32:$C$229=$N20))/SUM(_xlfn._xlws.FILTER('Calculations - Walmart'!$J$32:$J$229,'Calculations - Walmart'!$C$32:$C$229=$N20))</f>
        <v>5.5337336548728588</v>
      </c>
      <c r="R20" s="140" cm="1">
        <f t="array" ref="R20">SUM(_xlfn._xlws.FILTER('Calculations - Walmart'!$AH$32:$AH$229*'Calculations - Walmart'!$AL$32:$AL$229,'Calculations - Walmart'!$C$32:$C$229=$N20))/SUM(_xlfn._xlws.FILTER('Calculations - Walmart'!$AL$32:$AL$229,'Calculations - Walmart'!$C$32:$C$229=$N20))</f>
        <v>5.5337336548728588</v>
      </c>
      <c r="S20" s="105"/>
      <c r="T20" s="105"/>
      <c r="U20" s="128">
        <f>IFERROR(R20/Q20-1,0)</f>
        <v>0</v>
      </c>
      <c r="V20" s="128">
        <f>SUM(V21:V23)</f>
        <v>5.5094699976076722E-3</v>
      </c>
      <c r="W20" s="128">
        <f>SUM(W21:W23)</f>
        <v>9.9670419306792154E-3</v>
      </c>
      <c r="X20"/>
      <c r="Y20"/>
      <c r="Z20"/>
      <c r="AA20"/>
      <c r="AB20"/>
      <c r="AC20"/>
      <c r="AD20"/>
      <c r="AE20"/>
      <c r="AF20"/>
    </row>
    <row r="21" spans="1:34" ht="25.05" customHeight="1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 t="str">
        <f>$Q$6&amp;Q11&amp;O21&amp;P21</f>
        <v>WALMARTKRAFTAioliJAR 30OZ</v>
      </c>
      <c r="O21" s="106" t="s">
        <v>124</v>
      </c>
      <c r="P21" s="34" t="s">
        <v>118</v>
      </c>
      <c r="Q21" s="141">
        <f>IFERROR(INDEX('Calculations - Walmart'!$O$32:$O$229,MATCH($N21,'Calculations - Walmart'!$D$32:$D$229,0)),0)</f>
        <v>2.4904471305398612</v>
      </c>
      <c r="R21" s="142">
        <f>Q21</f>
        <v>2.4904471305398612</v>
      </c>
      <c r="S21" s="52">
        <v>0.8</v>
      </c>
      <c r="T21" s="52">
        <v>0.3</v>
      </c>
      <c r="U21" s="155">
        <f t="shared" ref="U21:U23" si="2">IFERROR(R21/Q21-1,0)</f>
        <v>0</v>
      </c>
      <c r="V21" s="124">
        <f>IFERROR(INDEX('Calculations - Walmart'!$BB$32:$BB$229,MATCH(Walmart!$N21,'Calculations - Walmart'!$D$32:$D$229,0)),"-")</f>
        <v>8.5692350792029761E-4</v>
      </c>
      <c r="W21" s="124">
        <f>IFERROR(INDEX('Calculations - Walmart'!$BE$32:$BE$229,MATCH(Walmart!$N21,'Calculations - Walmart'!$D$32:$D$229,0)),"-")</f>
        <v>7.1296781820457777E-4</v>
      </c>
      <c r="X21"/>
      <c r="Y21"/>
      <c r="Z21"/>
      <c r="AA21"/>
      <c r="AB21"/>
      <c r="AC21"/>
      <c r="AD21"/>
      <c r="AE21"/>
      <c r="AF21"/>
    </row>
    <row r="22" spans="1:34" ht="25.05" customHeight="1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 t="str">
        <f>$Q$6&amp;Q11&amp;O22&amp;P22</f>
        <v>WALMARTKRAFTAioliSQUEEZY 12OZ</v>
      </c>
      <c r="O22" s="106" t="s">
        <v>124</v>
      </c>
      <c r="P22" s="34" t="s">
        <v>117</v>
      </c>
      <c r="Q22" s="141">
        <f>IFERROR(INDEX('Calculations - Walmart'!$O$32:$O$229,MATCH($N22,'Calculations - Walmart'!$D$32:$D$229,0)),0)</f>
        <v>6.2269149452309875</v>
      </c>
      <c r="R22" s="142">
        <f>Q22</f>
        <v>6.2269149452309875</v>
      </c>
      <c r="S22" s="52">
        <v>0.8</v>
      </c>
      <c r="T22" s="52">
        <v>0.3</v>
      </c>
      <c r="U22" s="155">
        <f t="shared" si="2"/>
        <v>0</v>
      </c>
      <c r="V22" s="124">
        <f>IFERROR(INDEX('Calculations - Walmart'!$BB$32:$BB$229,MATCH(Walmart!$N22,'Calculations - Walmart'!$D$32:$D$229,0)),"-")</f>
        <v>4.1956710548717554E-3</v>
      </c>
      <c r="W22" s="124">
        <f>IFERROR(INDEX('Calculations - Walmart'!$BE$32:$BE$229,MATCH(Walmart!$N22,'Calculations - Walmart'!$D$32:$D$229,0)),"-")</f>
        <v>8.7282044171624051E-3</v>
      </c>
      <c r="X22"/>
      <c r="Y22"/>
      <c r="Z22"/>
      <c r="AA22"/>
      <c r="AB22"/>
      <c r="AC22"/>
      <c r="AD22"/>
      <c r="AE22"/>
      <c r="AF22"/>
    </row>
    <row r="23" spans="1:34" ht="25.05" customHeight="1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 t="str">
        <f>$Q$6&amp;Q11&amp;O23&amp;P23</f>
        <v>WALMARTKRAFTAioliOTHER</v>
      </c>
      <c r="O23" s="106" t="s">
        <v>124</v>
      </c>
      <c r="P23" s="34" t="s">
        <v>115</v>
      </c>
      <c r="Q23" s="141">
        <f>IFERROR(INDEX('Calculations - Walmart'!$O$32:$O$229,MATCH($N23,'Calculations - Walmart'!$D$32:$D$229,0)),0)</f>
        <v>3.4453218056360249</v>
      </c>
      <c r="R23" s="142">
        <f>Q23</f>
        <v>3.4453218056360249</v>
      </c>
      <c r="S23" s="52">
        <v>0.8</v>
      </c>
      <c r="T23" s="52">
        <v>0.3</v>
      </c>
      <c r="U23" s="155">
        <f t="shared" si="2"/>
        <v>0</v>
      </c>
      <c r="V23" s="124">
        <f>IFERROR(INDEX('Calculations - Walmart'!$BB$32:$BB$229,MATCH(Walmart!$N23,'Calculations - Walmart'!$D$32:$D$229,0)),"-")</f>
        <v>4.5687543481561876E-4</v>
      </c>
      <c r="W23" s="124">
        <f>IFERROR(INDEX('Calculations - Walmart'!$BE$32:$BE$229,MATCH(Walmart!$N23,'Calculations - Walmart'!$D$32:$D$229,0)),"-")</f>
        <v>5.2586969531223258E-4</v>
      </c>
      <c r="X23"/>
      <c r="Y23"/>
      <c r="Z23"/>
      <c r="AA23"/>
      <c r="AB23"/>
      <c r="AC23"/>
      <c r="AD23"/>
      <c r="AE23"/>
      <c r="AF23"/>
    </row>
    <row r="24" spans="1:34" ht="25.05" customHeight="1" x14ac:dyDescent="0.4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 s="49"/>
      <c r="R24" s="49"/>
      <c r="S24" s="49"/>
      <c r="T24" s="49"/>
      <c r="U24" s="126"/>
      <c r="V24" s="126"/>
      <c r="W24" s="126"/>
      <c r="X24"/>
      <c r="Y24"/>
      <c r="Z24"/>
      <c r="AA24"/>
      <c r="AB24"/>
      <c r="AC24"/>
      <c r="AD24"/>
      <c r="AE24"/>
      <c r="AF24"/>
    </row>
    <row r="25" spans="1:34" ht="25.05" customHeight="1" x14ac:dyDescent="0.4">
      <c r="A25"/>
      <c r="B25"/>
      <c r="C25"/>
      <c r="D25"/>
      <c r="E25"/>
      <c r="F25"/>
      <c r="G25"/>
      <c r="H25"/>
      <c r="I25"/>
      <c r="J25"/>
      <c r="K25"/>
      <c r="L25"/>
      <c r="M25"/>
      <c r="N25" s="46" t="s">
        <v>9</v>
      </c>
      <c r="O25" s="46"/>
      <c r="P25" s="41"/>
      <c r="Q25" s="212" t="str">
        <f>'Calculations - Walmart'!F5</f>
        <v>MIRACLE WHIP</v>
      </c>
      <c r="R25" s="212"/>
      <c r="S25" s="41"/>
      <c r="T25" s="41"/>
      <c r="U25" s="155">
        <f>R26/Q26-1</f>
        <v>0</v>
      </c>
      <c r="V25" s="134">
        <f>V27</f>
        <v>0.12274229526081648</v>
      </c>
      <c r="W25" s="134">
        <f>W27</f>
        <v>0.13635951026599441</v>
      </c>
      <c r="X25"/>
      <c r="Y25"/>
      <c r="Z25"/>
      <c r="AA25"/>
      <c r="AB25"/>
      <c r="AC25"/>
      <c r="AD25"/>
      <c r="AE25"/>
      <c r="AF25"/>
    </row>
    <row r="26" spans="1:34" ht="25.05" customHeight="1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 t="str">
        <f>$Q$6&amp;Q25&amp;P26</f>
        <v>WALMARTMIRACLE WHIP</v>
      </c>
      <c r="O26"/>
      <c r="P26" s="41"/>
      <c r="Q26" s="139">
        <f>INDEX('Calculations - Walmart'!$M$3:$M$24,MATCH(N26,'Calculations - Walmart'!$D$3:$D$24,0))</f>
        <v>3.3556035194429352</v>
      </c>
      <c r="R26" s="143">
        <f>INDEX('Calculations - Walmart'!$AF$3:$AF$24,MATCH(N26,'Calculations - Walmart'!$D$3:$D$24,0))</f>
        <v>3.3556035194429348</v>
      </c>
      <c r="S26" s="51">
        <f>INDEX('Calculations - Walmart'!$R$3:$R$24,MATCH(Walmart!$Q$6&amp;Walmart!$Q25,'Calculations - Walmart'!$D$3:$D$24,0))</f>
        <v>0.8</v>
      </c>
      <c r="T26" s="51">
        <f>INDEX('Calculations - Walmart'!$S$3:$S$24,MATCH(Walmart!$Q$6&amp;Walmart!$Q25,'Calculations - Walmart'!$D$3:$D$24,0))</f>
        <v>0.30000000000000004</v>
      </c>
      <c r="U26" s="125"/>
      <c r="V26" s="125"/>
      <c r="W26" s="125"/>
      <c r="X26"/>
      <c r="Y26"/>
      <c r="Z26"/>
      <c r="AA26"/>
      <c r="AB26"/>
      <c r="AC26"/>
      <c r="AD26"/>
      <c r="AE26"/>
      <c r="AF26"/>
    </row>
    <row r="27" spans="1:34" ht="25.05" customHeight="1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 t="str">
        <f>$Q$6&amp;Q25&amp;P27</f>
        <v>WALMARTMIRACLE WHIPWhipped Dressing</v>
      </c>
      <c r="O27" s="106" t="s">
        <v>102</v>
      </c>
      <c r="P27" s="107" t="s">
        <v>125</v>
      </c>
      <c r="Q27" s="139" cm="1">
        <f t="array" ref="Q27">SUM(_xlfn._xlws.FILTER('Calculations - Walmart'!$O$32:$O$229*'Calculations - Walmart'!$J$32:$J$229,'Calculations - Walmart'!$C$32:$C$229=$N27))/SUM(_xlfn._xlws.FILTER('Calculations - Walmart'!$J$32:$J$229,'Calculations - Walmart'!$C$32:$C$229=$N27))</f>
        <v>3.3556035194429348</v>
      </c>
      <c r="R27" s="143" cm="1">
        <f t="array" ref="R27">SUM(_xlfn._xlws.FILTER('Calculations - Walmart'!$AH$32:$AH$229*'Calculations - Walmart'!$AL$32:$AL$229,'Calculations - Walmart'!$C$32:$C$229=$N27))/SUM(_xlfn._xlws.FILTER('Calculations - Walmart'!$AL$32:$AL$229,'Calculations - Walmart'!$C$32:$C$229=$N27))</f>
        <v>3.3556035194429348</v>
      </c>
      <c r="S27" s="104"/>
      <c r="T27" s="104"/>
      <c r="U27" s="128">
        <f>IFERROR(R27/Q27-1,0)</f>
        <v>0</v>
      </c>
      <c r="V27" s="128">
        <f>SUM(V28:V33)</f>
        <v>0.12274229526081648</v>
      </c>
      <c r="W27" s="128">
        <f>SUM(W28:W33)</f>
        <v>0.13635951026599441</v>
      </c>
      <c r="X27"/>
      <c r="Y27"/>
      <c r="Z27"/>
      <c r="AA27"/>
      <c r="AB27"/>
      <c r="AC27"/>
      <c r="AD27"/>
      <c r="AE27"/>
      <c r="AF27"/>
    </row>
    <row r="28" spans="1:34" ht="25.05" customHeight="1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 t="str">
        <f>$Q$6&amp;Q25&amp;O28&amp;P28</f>
        <v>WALMARTMIRACLE WHIPWhipped DressingJAR 15OZ</v>
      </c>
      <c r="O28" s="106" t="s">
        <v>125</v>
      </c>
      <c r="P28" s="34" t="s">
        <v>116</v>
      </c>
      <c r="Q28" s="141">
        <f>IFERROR(INDEX('Calculations - Walmart'!$O$32:$O$229,MATCH($N28,'Calculations - Walmart'!$D$32:$D$229,0)),0)</f>
        <v>5.0360442632101785</v>
      </c>
      <c r="R28" s="144">
        <f t="shared" ref="R28:R33" si="3">Q28</f>
        <v>5.0360442632101785</v>
      </c>
      <c r="S28" s="52">
        <v>0.8</v>
      </c>
      <c r="T28" s="52">
        <v>0.3</v>
      </c>
      <c r="U28" s="155">
        <f>IFERROR(R28/Q28-1,0)</f>
        <v>0</v>
      </c>
      <c r="V28" s="124">
        <f>IFERROR(INDEX('Calculations - Walmart'!$BB$32:$BB$229,MATCH(Walmart!$N28,'Calculations - Walmart'!$D$32:$D$229,0)),"-")</f>
        <v>1.0285873465776949E-2</v>
      </c>
      <c r="W28" s="124">
        <f>IFERROR(INDEX('Calculations - Walmart'!$BE$32:$BE$229,MATCH(Walmart!$N28,'Calculations - Walmart'!$D$32:$D$229,0)),"-")</f>
        <v>1.7349887768659675E-2</v>
      </c>
      <c r="X28"/>
      <c r="Y28"/>
      <c r="Z28"/>
      <c r="AA28"/>
      <c r="AB28"/>
      <c r="AC28"/>
      <c r="AD28"/>
      <c r="AE28"/>
      <c r="AF28"/>
    </row>
    <row r="29" spans="1:34" ht="25.05" customHeight="1" x14ac:dyDescent="0.5">
      <c r="A29"/>
      <c r="B29" s="200" t="s">
        <v>77</v>
      </c>
      <c r="C29" s="200"/>
      <c r="D29" s="200"/>
      <c r="E29" s="200"/>
      <c r="F29" s="200"/>
      <c r="G29" s="200"/>
      <c r="H29" s="200"/>
      <c r="I29" s="200"/>
      <c r="J29" s="200"/>
      <c r="K29" s="200"/>
      <c r="L29" s="200"/>
      <c r="M29" s="35"/>
      <c r="N29" t="str">
        <f>$Q$6&amp;Q25&amp;O29&amp;P29</f>
        <v>WALMARTMIRACLE WHIPWhipped DressingJAR 30OZ</v>
      </c>
      <c r="O29" s="106" t="s">
        <v>125</v>
      </c>
      <c r="P29" s="34" t="s">
        <v>118</v>
      </c>
      <c r="Q29" s="141">
        <f>IFERROR(INDEX('Calculations - Walmart'!$O$32:$O$229,MATCH($N29,'Calculations - Walmart'!$D$32:$D$229,0)),0)</f>
        <v>2.8257937015071732</v>
      </c>
      <c r="R29" s="144">
        <f t="shared" si="3"/>
        <v>2.8257937015071732</v>
      </c>
      <c r="S29" s="52">
        <v>0.8</v>
      </c>
      <c r="T29" s="52">
        <v>0.3</v>
      </c>
      <c r="U29" s="155">
        <f t="shared" ref="U29:U33" si="4">IFERROR(R29/Q29-1,0)</f>
        <v>0</v>
      </c>
      <c r="V29" s="124">
        <f>IFERROR(INDEX('Calculations - Walmart'!$BB$32:$BB$229,MATCH(Walmart!$N29,'Calculations - Walmart'!$D$32:$D$229,0)),"-")</f>
        <v>7.8581561086774429E-2</v>
      </c>
      <c r="W29" s="124">
        <f>IFERROR(INDEX('Calculations - Walmart'!$BE$32:$BE$229,MATCH(Walmart!$N29,'Calculations - Walmart'!$D$32:$D$229,0)),"-")</f>
        <v>7.4375013701709652E-2</v>
      </c>
      <c r="X29"/>
      <c r="Y29" s="208" t="s">
        <v>78</v>
      </c>
      <c r="Z29" s="208"/>
      <c r="AA29" s="208"/>
      <c r="AB29" s="208"/>
      <c r="AC29" s="208"/>
      <c r="AD29" s="208"/>
      <c r="AE29" s="208"/>
      <c r="AF29"/>
    </row>
    <row r="30" spans="1:34" ht="25.05" customHeight="1" x14ac:dyDescent="0.5">
      <c r="A30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/>
      <c r="N30" t="str">
        <f>$Q$6&amp;Q25&amp;O30&amp;P30</f>
        <v>WALMARTMIRACLE WHIPWhipped DressingJAR 48OZ</v>
      </c>
      <c r="O30" s="106" t="s">
        <v>125</v>
      </c>
      <c r="P30" s="34" t="s">
        <v>121</v>
      </c>
      <c r="Q30" s="141">
        <f>IFERROR(INDEX('Calculations - Walmart'!$O$32:$O$229,MATCH($N30,'Calculations - Walmart'!$D$32:$D$229,0)),0)</f>
        <v>2.8419716671587554</v>
      </c>
      <c r="R30" s="144">
        <f t="shared" si="3"/>
        <v>2.8419716671587554</v>
      </c>
      <c r="S30" s="52">
        <v>0.8</v>
      </c>
      <c r="T30" s="52">
        <v>0.3</v>
      </c>
      <c r="U30" s="155">
        <f t="shared" si="4"/>
        <v>0</v>
      </c>
      <c r="V30" s="124">
        <f>IFERROR(INDEX('Calculations - Walmart'!$BB$32:$BB$229,MATCH(Walmart!$N30,'Calculations - Walmart'!$D$32:$D$229,0)),"-")</f>
        <v>1.177991682962889E-2</v>
      </c>
      <c r="W30" s="124">
        <f>IFERROR(INDEX('Calculations - Walmart'!$BE$32:$BE$229,MATCH(Walmart!$N30,'Calculations - Walmart'!$D$32:$D$229,0)),"-")</f>
        <v>1.1213157490317019E-2</v>
      </c>
      <c r="X30"/>
      <c r="Y30" s="35"/>
      <c r="Z30" s="35"/>
      <c r="AA30" s="35"/>
      <c r="AB30" s="35"/>
      <c r="AC30" s="35"/>
      <c r="AD30" s="35"/>
      <c r="AE30" s="35"/>
      <c r="AF30" s="35"/>
      <c r="AG30" s="110"/>
      <c r="AH30" s="110"/>
    </row>
    <row r="31" spans="1:34" ht="25.05" customHeight="1" thickBot="1" x14ac:dyDescent="0.35">
      <c r="A31"/>
      <c r="B31"/>
      <c r="C31"/>
      <c r="D31"/>
      <c r="E31"/>
      <c r="F31"/>
      <c r="G31"/>
      <c r="H31"/>
      <c r="I31"/>
      <c r="J31"/>
      <c r="K31"/>
      <c r="L31"/>
      <c r="M31" s="42"/>
      <c r="N31" t="str">
        <f>$Q$6&amp;Q25&amp;O31&amp;P31</f>
        <v>WALMARTMIRACLE WHIPWhipped DressingSQUEEZY 12OZ</v>
      </c>
      <c r="O31" s="106" t="s">
        <v>125</v>
      </c>
      <c r="P31" s="34" t="s">
        <v>117</v>
      </c>
      <c r="Q31" s="141">
        <f>IFERROR(INDEX('Calculations - Walmart'!$O$32:$O$229,MATCH($N31,'Calculations - Walmart'!$D$32:$D$229,0)),0)</f>
        <v>6.3008432244286929</v>
      </c>
      <c r="R31" s="144">
        <f t="shared" si="3"/>
        <v>6.3008432244286929</v>
      </c>
      <c r="S31" s="52">
        <v>0.8</v>
      </c>
      <c r="T31" s="52">
        <v>0.3</v>
      </c>
      <c r="U31" s="155">
        <f t="shared" si="4"/>
        <v>0</v>
      </c>
      <c r="V31" s="124">
        <f>IFERROR(INDEX('Calculations - Walmart'!$BB$32:$BB$229,MATCH(Walmart!$N31,'Calculations - Walmart'!$D$32:$D$229,0)),"-")</f>
        <v>6.3228579840702752E-3</v>
      </c>
      <c r="W31" s="124">
        <f>IFERROR(INDEX('Calculations - Walmart'!$BE$32:$BE$229,MATCH(Walmart!$N31,'Calculations - Walmart'!$D$32:$D$229,0)),"-")</f>
        <v>1.3343754861056545E-2</v>
      </c>
      <c r="X31"/>
      <c r="Y31"/>
      <c r="Z31"/>
      <c r="AA31"/>
      <c r="AB31"/>
      <c r="AC31"/>
      <c r="AD31"/>
      <c r="AE31"/>
      <c r="AF31"/>
    </row>
    <row r="32" spans="1:34" ht="25.05" customHeight="1" x14ac:dyDescent="0.3">
      <c r="A32"/>
      <c r="B32" s="210" t="s">
        <v>55</v>
      </c>
      <c r="C32" s="68" t="s">
        <v>107</v>
      </c>
      <c r="D32" s="77" t="s">
        <v>109</v>
      </c>
      <c r="E32" s="53" t="s">
        <v>133</v>
      </c>
      <c r="F32" s="50"/>
      <c r="G32" s="214" t="s">
        <v>107</v>
      </c>
      <c r="H32" s="215"/>
      <c r="I32" s="216" t="s">
        <v>109</v>
      </c>
      <c r="J32" s="217"/>
      <c r="K32" s="201" t="s">
        <v>133</v>
      </c>
      <c r="L32" s="202"/>
      <c r="M32" s="43"/>
      <c r="N32" t="str">
        <f>$Q$6&amp;Q25&amp;O32&amp;P32</f>
        <v>WALMARTMIRACLE WHIPWhipped DressingSQUEEZY 18 TO 22OZ</v>
      </c>
      <c r="O32" s="106" t="s">
        <v>125</v>
      </c>
      <c r="P32" s="34" t="s">
        <v>120</v>
      </c>
      <c r="Q32" s="141">
        <f>IFERROR(INDEX('Calculations - Walmart'!$O$32:$O$229,MATCH($N32,'Calculations - Walmart'!$D$32:$D$229,0)),0)</f>
        <v>4.458662329826736</v>
      </c>
      <c r="R32" s="144">
        <f t="shared" si="3"/>
        <v>4.458662329826736</v>
      </c>
      <c r="S32" s="52">
        <v>0.8</v>
      </c>
      <c r="T32" s="52">
        <v>0.3</v>
      </c>
      <c r="U32" s="155">
        <f t="shared" si="4"/>
        <v>0</v>
      </c>
      <c r="V32" s="124">
        <f>IFERROR(INDEX('Calculations - Walmart'!$BB$32:$BB$229,MATCH(Walmart!$N32,'Calculations - Walmart'!$D$32:$D$229,0)),"-")</f>
        <v>1.1018740599343295E-2</v>
      </c>
      <c r="W32" s="124">
        <f>IFERROR(INDEX('Calculations - Walmart'!$BE$32:$BE$229,MATCH(Walmart!$N32,'Calculations - Walmart'!$D$32:$D$229,0)),"-")</f>
        <v>1.645517464012982E-2</v>
      </c>
      <c r="X32"/>
      <c r="Y32" s="224" t="s">
        <v>67</v>
      </c>
      <c r="Z32" s="214" t="s">
        <v>107</v>
      </c>
      <c r="AA32" s="215"/>
      <c r="AB32" s="216" t="s">
        <v>109</v>
      </c>
      <c r="AC32" s="217"/>
      <c r="AD32" s="201" t="s">
        <v>133</v>
      </c>
      <c r="AE32" s="202"/>
      <c r="AF32"/>
    </row>
    <row r="33" spans="1:32" ht="25.05" customHeight="1" thickBot="1" x14ac:dyDescent="0.35">
      <c r="A33"/>
      <c r="B33" s="211"/>
      <c r="C33" s="63" t="s">
        <v>57</v>
      </c>
      <c r="D33" s="78" t="s">
        <v>57</v>
      </c>
      <c r="E33" s="54" t="s">
        <v>57</v>
      </c>
      <c r="F33" s="50"/>
      <c r="G33" s="62" t="s">
        <v>57</v>
      </c>
      <c r="H33" s="65" t="s">
        <v>66</v>
      </c>
      <c r="I33" s="66" t="s">
        <v>57</v>
      </c>
      <c r="J33" s="67" t="s">
        <v>66</v>
      </c>
      <c r="K33" s="138" t="s">
        <v>57</v>
      </c>
      <c r="L33" s="54" t="s">
        <v>66</v>
      </c>
      <c r="M33" s="36"/>
      <c r="N33" t="str">
        <f>$Q$6&amp;Q25&amp;O33&amp;P33</f>
        <v>WALMARTMIRACLE WHIPWhipped DressingOTHER</v>
      </c>
      <c r="O33" s="106" t="s">
        <v>125</v>
      </c>
      <c r="P33" s="34" t="s">
        <v>115</v>
      </c>
      <c r="Q33" s="141">
        <f>IFERROR(INDEX('Calculations - Walmart'!$O$32:$O$229,MATCH($N33,'Calculations - Walmart'!$D$32:$D$229,0)),0)</f>
        <v>2.2753367988819959</v>
      </c>
      <c r="R33" s="144">
        <f t="shared" si="3"/>
        <v>2.2753367988819959</v>
      </c>
      <c r="S33" s="52">
        <v>0.8</v>
      </c>
      <c r="T33" s="52">
        <v>0.3</v>
      </c>
      <c r="U33" s="155">
        <f t="shared" si="4"/>
        <v>0</v>
      </c>
      <c r="V33" s="124">
        <f>IFERROR(INDEX('Calculations - Walmart'!$BB$32:$BB$229,MATCH(Walmart!$N33,'Calculations - Walmart'!$D$32:$D$229,0)),"-")</f>
        <v>4.7533452952226432E-3</v>
      </c>
      <c r="W33" s="124">
        <f>IFERROR(INDEX('Calculations - Walmart'!$BE$32:$BE$229,MATCH(Walmart!$N33,'Calculations - Walmart'!$D$32:$D$229,0)),"-")</f>
        <v>3.6225218041217124E-3</v>
      </c>
      <c r="X33"/>
      <c r="Y33" s="225"/>
      <c r="Z33" s="62" t="s">
        <v>57</v>
      </c>
      <c r="AA33" s="65" t="s">
        <v>66</v>
      </c>
      <c r="AB33" s="66" t="s">
        <v>57</v>
      </c>
      <c r="AC33" s="67" t="s">
        <v>66</v>
      </c>
      <c r="AD33" s="64" t="s">
        <v>57</v>
      </c>
      <c r="AE33" s="54" t="s">
        <v>66</v>
      </c>
      <c r="AF33"/>
    </row>
    <row r="34" spans="1:32" ht="25.05" customHeight="1" x14ac:dyDescent="0.3">
      <c r="A34"/>
      <c r="B34" s="112" t="s">
        <v>58</v>
      </c>
      <c r="C34" s="113">
        <f>INDEX('Calculations - Walmart'!$H$4:$H$24,MATCH(Walmart!C$32,'Calculations - Walmart'!$F$4:$F$24,0))</f>
        <v>38749401.130130999</v>
      </c>
      <c r="D34" s="114">
        <f>INDEX('Calculations - Walmart'!$H$4:$H$24,MATCH(Walmart!D$32,'Calculations - Walmart'!$F$4:$F$24,0))</f>
        <v>35698999.883700997</v>
      </c>
      <c r="E34" s="115">
        <f>C34+D34</f>
        <v>74448401.013832003</v>
      </c>
      <c r="F34" s="37"/>
      <c r="G34" s="119">
        <f>INDEX('Calculations - Walmart'!$AB$4:$AB$24,MATCH(Walmart!G$32,'Calculations - Walmart'!$F$4:$F$24,0))</f>
        <v>37393827.729351878</v>
      </c>
      <c r="H34" s="159">
        <f>G34/C34-1</f>
        <v>-3.4983080028172187E-2</v>
      </c>
      <c r="I34" s="119">
        <f>INDEX('Calculations - Walmart'!$AB$4:$AB$24,MATCH(Walmart!I$32,'Calculations - Walmart'!$F$4:$F$24,0))</f>
        <v>33771611.339619875</v>
      </c>
      <c r="J34" s="159">
        <f>I34/D34-1</f>
        <v>-5.3989987124572258E-2</v>
      </c>
      <c r="K34" s="119">
        <f>G34+I34</f>
        <v>71165439.068971753</v>
      </c>
      <c r="L34" s="159">
        <f>K34/E34-1</f>
        <v>-4.4097145138823013E-2</v>
      </c>
      <c r="M34" s="36"/>
      <c r="N34"/>
      <c r="O34"/>
      <c r="P34" s="41"/>
      <c r="Q34" s="203"/>
      <c r="R34" s="203"/>
      <c r="S34" s="41"/>
      <c r="T34" s="41"/>
      <c r="U34" s="128"/>
      <c r="V34" s="124"/>
      <c r="W34" s="124"/>
      <c r="X34"/>
      <c r="Y34" s="121" t="s">
        <v>58</v>
      </c>
      <c r="Z34" s="119">
        <f>INDEX('Calculations - Walmart'!$AU$4:$AU$24,MATCH(Walmart!Z$32,'Calculations - Walmart'!$F$4:$F$24,0))</f>
        <v>37393827.729351737</v>
      </c>
      <c r="AA34" s="159">
        <f>Z34/C34-1</f>
        <v>-3.498308002817585E-2</v>
      </c>
      <c r="AB34" s="119">
        <f>INDEX('Calculations - Walmart'!$AU$4:$AU$24,MATCH(Walmart!AB$32,'Calculations - Walmart'!$F$4:$F$24,0))</f>
        <v>33771611.339619897</v>
      </c>
      <c r="AC34" s="159">
        <f>AB34/D34-1</f>
        <v>-5.3989987124571592E-2</v>
      </c>
      <c r="AD34" s="119">
        <f>Z34+AB34</f>
        <v>71165439.068971634</v>
      </c>
      <c r="AE34" s="159">
        <f>AD34/E34-1</f>
        <v>-4.4097145138824678E-2</v>
      </c>
      <c r="AF34"/>
    </row>
    <row r="35" spans="1:32" ht="25.05" customHeight="1" x14ac:dyDescent="0.45">
      <c r="A35"/>
      <c r="B35" s="69" t="s">
        <v>3</v>
      </c>
      <c r="C35" s="71">
        <f>INDEX('Calculations - Walmart'!$G$4:$G$24,MATCH(Walmart!C$32,'Calculations - Walmart'!$F$4:$F$24,0))</f>
        <v>115955504.009765</v>
      </c>
      <c r="D35" s="79">
        <f>INDEX('Calculations - Walmart'!$G$4:$G$24,MATCH(Walmart!D$32,'Calculations - Walmart'!$F$4:$F$24,0))</f>
        <v>119791689.65034001</v>
      </c>
      <c r="E35" s="75">
        <f t="shared" ref="E35:E36" si="5">C35+D35</f>
        <v>235747193.66010499</v>
      </c>
      <c r="F35" s="38"/>
      <c r="G35" s="58">
        <f>INDEX('Calculations - Walmart'!$AA$4:$AA$24,MATCH(Walmart!G$32,'Calculations - Walmart'!$F$4:$F$24,0))</f>
        <v>111899023.33328433</v>
      </c>
      <c r="H35" s="160">
        <f>G35/C35-1</f>
        <v>-3.4983080028172298E-2</v>
      </c>
      <c r="I35" s="58">
        <f>INDEX('Calculations - Walmart'!$AA$4:$AA$24,MATCH(Walmart!I$32,'Calculations - Walmart'!$F$4:$F$24,0))</f>
        <v>113324137.86848739</v>
      </c>
      <c r="J35" s="160">
        <f>I35/D35-1</f>
        <v>-5.3989987124572258E-2</v>
      </c>
      <c r="K35" s="58">
        <f t="shared" ref="K35:K36" si="6">G35+I35</f>
        <v>225223161.20177174</v>
      </c>
      <c r="L35" s="160">
        <f t="shared" ref="L35:L36" si="7">K35/E35-1</f>
        <v>-4.4641178098207002E-2</v>
      </c>
      <c r="M35" s="36"/>
      <c r="N35" s="46" t="s">
        <v>9</v>
      </c>
      <c r="O35" s="46"/>
      <c r="P35" s="41"/>
      <c r="Q35" s="205" t="str">
        <f>'Calculations - Walmart'!F6</f>
        <v>HELLMANNS BEST FOODS</v>
      </c>
      <c r="R35" s="205"/>
      <c r="S35" s="41"/>
      <c r="T35" s="41"/>
      <c r="U35" s="155">
        <f>R36/Q36-1</f>
        <v>0</v>
      </c>
      <c r="V35" s="133">
        <f>V37+V45</f>
        <v>0.33177174870247172</v>
      </c>
      <c r="W35" s="133">
        <f>W37+W45</f>
        <v>0.3798538560917909</v>
      </c>
      <c r="X35"/>
      <c r="Y35" s="56" t="s">
        <v>3</v>
      </c>
      <c r="Z35" s="58">
        <f>INDEX('Calculations - Walmart'!$AT$4:$AT$24,MATCH(Walmart!Z$32,'Calculations - Walmart'!$F$4:$F$24,0))</f>
        <v>111899023.33328423</v>
      </c>
      <c r="AA35" s="160">
        <f>Z35/C35-1</f>
        <v>-3.4983080028173186E-2</v>
      </c>
      <c r="AB35" s="58">
        <f>INDEX('Calculations - Walmart'!$AT$4:$AT$24,MATCH(Walmart!AB$32,'Calculations - Walmart'!$F$4:$F$24,0))</f>
        <v>113324137.86848746</v>
      </c>
      <c r="AC35" s="160">
        <f>AB35/D35-1</f>
        <v>-5.3989987124571703E-2</v>
      </c>
      <c r="AD35" s="58">
        <f t="shared" ref="AD35:AD36" si="8">Z35+AB35</f>
        <v>225223161.20177168</v>
      </c>
      <c r="AE35" s="160">
        <f>AD35/E35-1</f>
        <v>-4.4641178098207335E-2</v>
      </c>
      <c r="AF35"/>
    </row>
    <row r="36" spans="1:32" ht="25.05" customHeight="1" x14ac:dyDescent="0.3">
      <c r="A36"/>
      <c r="B36" s="69" t="s">
        <v>59</v>
      </c>
      <c r="C36" s="71">
        <f>INDEX('Calculations - Walmart'!$T$4:$T$24,MATCH(Walmart!C$32,'Calculations - Walmart'!$F$4:$F$24,0))</f>
        <v>92764403.207812265</v>
      </c>
      <c r="D36" s="79">
        <f>INDEX('Calculations - Walmart'!$T$4:$T$24,MATCH(Walmart!D$32,'Calculations - Walmart'!$F$4:$F$24,0))</f>
        <v>95833351.720272005</v>
      </c>
      <c r="E36" s="75">
        <f t="shared" si="5"/>
        <v>188597754.92808425</v>
      </c>
      <c r="F36" s="39"/>
      <c r="G36" s="58">
        <f>INDEX('Calculations - Walmart'!$AC$4:$AC$24,MATCH(Walmart!G$32,'Calculations - Walmart'!$F$4:$F$24,0))</f>
        <v>89519218.66662772</v>
      </c>
      <c r="H36" s="160">
        <f>G36/C36-1</f>
        <v>-3.4983080028172298E-2</v>
      </c>
      <c r="I36" s="58">
        <f>INDEX('Calculations - Walmart'!$AC$4:$AC$24,MATCH(Walmart!I$32,'Calculations - Walmart'!$F$4:$F$24,0))</f>
        <v>90659310.29478991</v>
      </c>
      <c r="J36" s="160">
        <f>I36/D36-1</f>
        <v>-5.3989987124572258E-2</v>
      </c>
      <c r="K36" s="58">
        <f t="shared" si="6"/>
        <v>180178528.96141762</v>
      </c>
      <c r="L36" s="160">
        <f t="shared" si="7"/>
        <v>-4.4641178098207224E-2</v>
      </c>
      <c r="M36" s="44"/>
      <c r="N36" t="str">
        <f>$Q$6&amp;Q35&amp;P36</f>
        <v>WALMARTHELLMANNS BEST FOODS</v>
      </c>
      <c r="O36"/>
      <c r="P36" s="41"/>
      <c r="Q36" s="139">
        <f>INDEX('Calculations - Walmart'!$M$3:$M$24,MATCH(N36,'Calculations - Walmart'!$D$3:$D$24,0))</f>
        <v>3.4582515983219726</v>
      </c>
      <c r="R36" s="145">
        <f>INDEX('Calculations - Walmart'!$AF$3:$AF$24,MATCH(N36,'Calculations - Walmart'!$D$3:$D$24,0))</f>
        <v>3.458251598321973</v>
      </c>
      <c r="S36" s="104"/>
      <c r="T36" s="104"/>
      <c r="U36" s="125"/>
      <c r="V36" s="125"/>
      <c r="W36" s="125"/>
      <c r="X36"/>
      <c r="Y36" s="56" t="s">
        <v>59</v>
      </c>
      <c r="Z36" s="58">
        <f>INDEX('Calculations - Walmart'!$AV$4:$AV$24,MATCH(Walmart!Z$32,'Calculations - Walmart'!$F$4:$F$24,0))</f>
        <v>89519218.666627407</v>
      </c>
      <c r="AA36" s="160">
        <f>Z36/C36-1</f>
        <v>-3.4983080028175739E-2</v>
      </c>
      <c r="AB36" s="58">
        <f>INDEX('Calculations - Walmart'!$AV$4:$AV$24,MATCH(Walmart!AB$32,'Calculations - Walmart'!$F$4:$F$24,0))</f>
        <v>90659310.294789955</v>
      </c>
      <c r="AC36" s="160">
        <f>AB36/D36-1</f>
        <v>-5.3989987124571814E-2</v>
      </c>
      <c r="AD36" s="58">
        <f t="shared" si="8"/>
        <v>180178528.96141738</v>
      </c>
      <c r="AE36" s="160">
        <f>AD36/E36-1</f>
        <v>-4.4641178098208445E-2</v>
      </c>
      <c r="AF36"/>
    </row>
    <row r="37" spans="1:32" ht="25.05" customHeight="1" x14ac:dyDescent="0.3">
      <c r="A37"/>
      <c r="B37" s="69" t="s">
        <v>60</v>
      </c>
      <c r="C37" s="72">
        <f>C36/C34</f>
        <v>2.393957080685821</v>
      </c>
      <c r="D37" s="80">
        <f>D36/D34</f>
        <v>2.6844828155543485</v>
      </c>
      <c r="E37" s="76" t="s">
        <v>62</v>
      </c>
      <c r="F37" s="39"/>
      <c r="G37" s="59">
        <f>G36/G34</f>
        <v>2.393957080685821</v>
      </c>
      <c r="H37" s="160">
        <f>G37/C37-1</f>
        <v>0</v>
      </c>
      <c r="I37" s="59">
        <f>I36/I34</f>
        <v>2.6844828155543481</v>
      </c>
      <c r="J37" s="160">
        <f>I37/D37-1</f>
        <v>0</v>
      </c>
      <c r="K37" s="59" t="s">
        <v>62</v>
      </c>
      <c r="L37" s="160" t="s">
        <v>62</v>
      </c>
      <c r="M37" s="36"/>
      <c r="N37" t="str">
        <f>$Q$6&amp;Q35&amp;P37</f>
        <v>WALMARTHELLMANNS BEST FOODSMayo</v>
      </c>
      <c r="O37" s="106" t="s">
        <v>102</v>
      </c>
      <c r="P37" s="107" t="s">
        <v>122</v>
      </c>
      <c r="Q37" s="139" cm="1">
        <f t="array" ref="Q37">SUM(_xlfn._xlws.FILTER('Calculations - Walmart'!$O$32:$O$229*'Calculations - Walmart'!$J$32:$J$229,'Calculations - Walmart'!$C$32:$C$229=$N37))/SUM(_xlfn._xlws.FILTER('Calculations - Walmart'!$J$32:$J$229,'Calculations - Walmart'!$C$32:$C$229=$N37))</f>
        <v>3.4457640034513655</v>
      </c>
      <c r="R37" s="145" cm="1">
        <f t="array" ref="R37">SUM(_xlfn._xlws.FILTER('Calculations - Walmart'!$AH$32:$AH$229*'Calculations - Walmart'!$AL$32:$AL$229,'Calculations - Walmart'!$C$32:$C$229=$N37))/SUM(_xlfn._xlws.FILTER('Calculations - Walmart'!$AL$32:$AL$229,'Calculations - Walmart'!$C$32:$C$229=$N37))</f>
        <v>3.4457640034513655</v>
      </c>
      <c r="S37" s="104"/>
      <c r="T37" s="104"/>
      <c r="U37" s="128">
        <f>IFERROR(R37/Q37-1,0)</f>
        <v>0</v>
      </c>
      <c r="V37" s="128">
        <f>SUM(V38:V44)</f>
        <v>0.3301620033805262</v>
      </c>
      <c r="W37" s="128">
        <f>SUM(W38:W44)</f>
        <v>0.37664007135898769</v>
      </c>
      <c r="X37"/>
      <c r="Y37" s="56" t="s">
        <v>60</v>
      </c>
      <c r="Z37" s="59">
        <f>Z36/Z34</f>
        <v>2.3939570806858215</v>
      </c>
      <c r="AA37" s="160">
        <f>Z37/C37-1</f>
        <v>0</v>
      </c>
      <c r="AB37" s="59">
        <f>AB36/AB34</f>
        <v>2.6844828155543476</v>
      </c>
      <c r="AC37" s="160">
        <f>AB37/D37-1</f>
        <v>0</v>
      </c>
      <c r="AD37" s="59" t="s">
        <v>62</v>
      </c>
      <c r="AE37" s="160" t="s">
        <v>62</v>
      </c>
      <c r="AF37"/>
    </row>
    <row r="38" spans="1:32" ht="25.05" customHeight="1" x14ac:dyDescent="0.3">
      <c r="A38"/>
      <c r="B38" s="69" t="s">
        <v>61</v>
      </c>
      <c r="C38" s="73">
        <f>INDEX('Calculations - Walmart'!$U$4:$U$24,MATCH(Walmart!C$32,'Calculations - Walmart'!$F$4:$F$24,0))/C36</f>
        <v>0.3</v>
      </c>
      <c r="D38" s="81">
        <f>INDEX('Calculations - Walmart'!$U$4:$U$24,MATCH(Walmart!D$32,'Calculations - Walmart'!$F$4:$F$24,0))/D36</f>
        <v>0.30000000000000004</v>
      </c>
      <c r="E38" s="75" t="s">
        <v>62</v>
      </c>
      <c r="F38" s="39"/>
      <c r="G38" s="60">
        <f>INDEX('Calculations - Walmart'!$AD$4:$AD$24,MATCH(Walmart!G$32,'Calculations - Walmart'!$F$4:$F$24,0))/G36</f>
        <v>0.29999999999999993</v>
      </c>
      <c r="H38" s="161">
        <f>(G38-C38)*10000</f>
        <v>-5.5511151231257827E-13</v>
      </c>
      <c r="I38" s="60">
        <f>INDEX('Calculations - Walmart'!$AD$4:$AD$24,MATCH(Walmart!I$32,'Calculations - Walmart'!$F$4:$F$24,0))/I36</f>
        <v>0.29999999999999993</v>
      </c>
      <c r="J38" s="161">
        <f>(I38-D38)*10000</f>
        <v>-1.1102230246251565E-12</v>
      </c>
      <c r="K38" s="60" t="s">
        <v>62</v>
      </c>
      <c r="L38" s="161" t="s">
        <v>62</v>
      </c>
      <c r="M38" s="45"/>
      <c r="N38" t="str">
        <f>$Q$6&amp;Q35&amp;O38&amp;P38</f>
        <v>WALMARTHELLMANNS BEST FOODSMayoJAR 8OZ</v>
      </c>
      <c r="O38" s="106" t="s">
        <v>122</v>
      </c>
      <c r="P38" s="34" t="s">
        <v>119</v>
      </c>
      <c r="Q38" s="141">
        <f>IFERROR(INDEX('Calculations - Walmart'!$O$32:$O$229,MATCH($N38,'Calculations - Walmart'!$D$32:$D$229,0)),0)</f>
        <v>2.988</v>
      </c>
      <c r="R38" s="146">
        <f t="shared" ref="R38:R44" si="9">Q38</f>
        <v>2.988</v>
      </c>
      <c r="S38" s="105"/>
      <c r="T38" s="105"/>
      <c r="U38" s="155">
        <f>IFERROR(R38/Q38-1,0)</f>
        <v>0</v>
      </c>
      <c r="V38" s="124">
        <f>IFERROR(INDEX('Calculations - Walmart'!$BB$32:$BB$229,MATCH(Walmart!$N38,'Calculations - Walmart'!$D$32:$D$229,0)),"-")</f>
        <v>1.5600045600948034E-8</v>
      </c>
      <c r="W38" s="124">
        <f>IFERROR(INDEX('Calculations - Walmart'!$BE$32:$BE$229,MATCH(Walmart!$N38,'Calculations - Walmart'!$D$32:$D$229,0)),"-")</f>
        <v>1.5515131933533658E-8</v>
      </c>
      <c r="X38"/>
      <c r="Y38" s="56" t="s">
        <v>61</v>
      </c>
      <c r="Z38" s="60">
        <f>INDEX('Calculations - Walmart'!$AH$4:$AH$24,MATCH(Walmart!Z$32,'Calculations - Walmart'!$F$4:$F$24,0))</f>
        <v>0.30000000000000004</v>
      </c>
      <c r="AA38" s="161">
        <f>(Z38-C38)*10000</f>
        <v>5.5511151231257827E-13</v>
      </c>
      <c r="AB38" s="60">
        <f>INDEX('Calculations - Walmart'!$AH$4:$AH$24,MATCH(Walmart!AB$32,'Calculations - Walmart'!$F$4:$F$24,0))</f>
        <v>0.3000000000000001</v>
      </c>
      <c r="AC38" s="161">
        <f>(AB38-D38)*10000</f>
        <v>5.5511151231257827E-13</v>
      </c>
      <c r="AD38" s="60" t="s">
        <v>62</v>
      </c>
      <c r="AE38" s="161" t="s">
        <v>62</v>
      </c>
      <c r="AF38"/>
    </row>
    <row r="39" spans="1:32" ht="25.05" customHeight="1" x14ac:dyDescent="0.3">
      <c r="A39"/>
      <c r="B39" s="69" t="s">
        <v>79</v>
      </c>
      <c r="C39" s="74">
        <f>INDEX('Calculations - Walmart'!$P$4:$P$24,MATCH(Walmart!C$32,'Calculations - Walmart'!$F$4:$F$24,0))</f>
        <v>0.13952575361982897</v>
      </c>
      <c r="D39" s="82">
        <f>INDEX('Calculations - Walmart'!$P$4:$P$24,MATCH(Walmart!D$32,'Calculations - Walmart'!$F$4:$F$24,0))</f>
        <v>0.1441417198656548</v>
      </c>
      <c r="E39" s="137">
        <f t="shared" ref="E39:E40" si="10">C39+D39</f>
        <v>0.28366747348548377</v>
      </c>
      <c r="F39" s="39"/>
      <c r="G39" s="61">
        <f>INDEX('Calculations - Walmart'!$Y$4:$Y$24,MATCH(Walmart!G$32,'Calculations - Walmart'!$F$4:$F$24,0))</f>
        <v>0.13464471301495545</v>
      </c>
      <c r="H39" s="161">
        <f t="shared" ref="H39:H40" si="11">(G39-C39)*10000</f>
        <v>-48.810406048735153</v>
      </c>
      <c r="I39" s="61">
        <f>INDEX('Calculations - Walmart'!$Y$4:$Y$24,MATCH(Walmart!I$32,'Calculations - Walmart'!$F$4:$F$24,0))</f>
        <v>0.13635951026599438</v>
      </c>
      <c r="J39" s="161">
        <f>(I39-D39)*10000</f>
        <v>-77.822095996604162</v>
      </c>
      <c r="K39" s="61">
        <f t="shared" ref="K39:K40" si="12">G39+I39</f>
        <v>0.27100422328094986</v>
      </c>
      <c r="L39" s="161">
        <f>(K39-E39)*10000</f>
        <v>-126.63250204533905</v>
      </c>
      <c r="M39" s="45"/>
      <c r="N39" t="str">
        <f>$Q$6&amp;Q35&amp;O39&amp;P39</f>
        <v>WALMARTHELLMANNS BEST FOODSMayoJAR 15OZ</v>
      </c>
      <c r="O39" s="106" t="s">
        <v>122</v>
      </c>
      <c r="P39" s="34" t="s">
        <v>116</v>
      </c>
      <c r="Q39" s="141">
        <f>IFERROR(INDEX('Calculations - Walmart'!$O$32:$O$229,MATCH($N39,'Calculations - Walmart'!$D$32:$D$229,0)),0)</f>
        <v>4.2432009057071145</v>
      </c>
      <c r="R39" s="146">
        <f t="shared" si="9"/>
        <v>4.2432009057071145</v>
      </c>
      <c r="S39" s="105"/>
      <c r="T39" s="105"/>
      <c r="U39" s="155">
        <f t="shared" ref="U39:U44" si="13">IFERROR(R39/Q39-1,0)</f>
        <v>0</v>
      </c>
      <c r="V39" s="124">
        <f>IFERROR(INDEX('Calculations - Walmart'!$BB$32:$BB$229,MATCH(Walmart!$N39,'Calculations - Walmart'!$D$32:$D$229,0)),"-")</f>
        <v>2.4055819566850215E-2</v>
      </c>
      <c r="W39" s="124">
        <f>IFERROR(INDEX('Calculations - Walmart'!$BE$32:$BE$229,MATCH(Walmart!$N39,'Calculations - Walmart'!$D$32:$D$229,0)),"-")</f>
        <v>3.3975258105961845E-2</v>
      </c>
      <c r="X39"/>
      <c r="Y39" s="56" t="s">
        <v>79</v>
      </c>
      <c r="Z39" s="61">
        <f>INDEX('Calculations - Walmart'!$AR$4:$AR$24,MATCH(Walmart!Z$32,'Calculations - Walmart'!$F$4:$F$24,0))</f>
        <v>0.13464471301495526</v>
      </c>
      <c r="AA39" s="161">
        <f>(Z39-C39)*10000</f>
        <v>-48.8104060487371</v>
      </c>
      <c r="AB39" s="61">
        <f>INDEX('Calculations - Walmart'!$AR$4:$AR$24,MATCH(Walmart!AB$32,'Calculations - Walmart'!$F$4:$F$24,0))</f>
        <v>0.13635951026599441</v>
      </c>
      <c r="AC39" s="161">
        <f>(AB39-D39)*10000</f>
        <v>-77.822095996603892</v>
      </c>
      <c r="AD39" s="61">
        <f t="shared" ref="AD39:AD40" si="14">Z39+AB39</f>
        <v>0.27100422328094964</v>
      </c>
      <c r="AE39" s="161">
        <f>(AD39-E39)*10000</f>
        <v>-126.63250204534127</v>
      </c>
      <c r="AF39"/>
    </row>
    <row r="40" spans="1:32" ht="25.05" customHeight="1" x14ac:dyDescent="0.3">
      <c r="A40"/>
      <c r="B40" s="69" t="s">
        <v>80</v>
      </c>
      <c r="C40" s="74">
        <f>INDEX('Calculations - Walmart'!$Q$4:$Q$24,MATCH(Walmart!C$32,'Calculations - Walmart'!$F$4:$F$24,0))</f>
        <v>0.14126505213588503</v>
      </c>
      <c r="D40" s="82">
        <f>INDEX('Calculations - Walmart'!$Q$4:$Q$24,MATCH(Walmart!D$32,'Calculations - Walmart'!$F$4:$F$24,0))</f>
        <v>0.13014449082281665</v>
      </c>
      <c r="E40" s="137">
        <f t="shared" si="10"/>
        <v>0.27140954295870168</v>
      </c>
      <c r="F40" s="39"/>
      <c r="G40" s="61">
        <f>INDEX('Calculations - Walmart'!$AE$4:$AE$24,MATCH(Walmart!G$32,'Calculations - Walmart'!$F$4:$F$24,0))</f>
        <v>0.13590717357047116</v>
      </c>
      <c r="H40" s="161">
        <f t="shared" si="11"/>
        <v>-53.578785654138649</v>
      </c>
      <c r="I40" s="61">
        <f>INDEX('Calculations - Walmart'!$AE$4:$AE$24,MATCH(Walmart!I$32,'Calculations - Walmart'!$F$4:$F$24,0))</f>
        <v>0.12274229526081637</v>
      </c>
      <c r="J40" s="161">
        <f>(I40-D40)*10000</f>
        <v>-74.021955620002799</v>
      </c>
      <c r="K40" s="61">
        <f t="shared" si="12"/>
        <v>0.25864946883128753</v>
      </c>
      <c r="L40" s="161">
        <f>(K40-E40)*10000</f>
        <v>-127.60074127414146</v>
      </c>
      <c r="M40" s="44"/>
      <c r="N40" t="str">
        <f>$Q$6&amp;Q35&amp;O40&amp;P40</f>
        <v>WALMARTHELLMANNS BEST FOODSMayoJAR 30OZ</v>
      </c>
      <c r="O40" s="106" t="s">
        <v>122</v>
      </c>
      <c r="P40" s="34" t="s">
        <v>118</v>
      </c>
      <c r="Q40" s="141">
        <f>IFERROR(INDEX('Calculations - Walmart'!$O$32:$O$229,MATCH($N40,'Calculations - Walmart'!$D$32:$D$229,0)),0)</f>
        <v>3.0011537100709171</v>
      </c>
      <c r="R40" s="146">
        <f t="shared" si="9"/>
        <v>3.0011537100709171</v>
      </c>
      <c r="S40" s="105"/>
      <c r="T40" s="105"/>
      <c r="U40" s="155">
        <f t="shared" si="13"/>
        <v>0</v>
      </c>
      <c r="V40" s="124">
        <f>IFERROR(INDEX('Calculations - Walmart'!$BB$32:$BB$229,MATCH(Walmart!$N40,'Calculations - Walmart'!$D$32:$D$229,0)),"-")</f>
        <v>0.19262545885034085</v>
      </c>
      <c r="W40" s="124">
        <f>IFERROR(INDEX('Calculations - Walmart'!$BE$32:$BE$229,MATCH(Walmart!$N40,'Calculations - Walmart'!$D$32:$D$229,0)),"-")</f>
        <v>0.19242032218361874</v>
      </c>
      <c r="X40"/>
      <c r="Y40" s="56" t="s">
        <v>80</v>
      </c>
      <c r="Z40" s="61">
        <f>INDEX('Calculations - Walmart'!$AY$4:$AY$24,MATCH(Walmart!Z$32,'Calculations - Walmart'!$F$4:$F$24,0))</f>
        <v>0.13590717357047072</v>
      </c>
      <c r="AA40" s="161">
        <f>(Z40-C40)*10000</f>
        <v>-53.57878565414309</v>
      </c>
      <c r="AB40" s="61">
        <f>INDEX('Calculations - Walmart'!$AY$4:$AY$24,MATCH(Walmart!AB$32,'Calculations - Walmart'!$F$4:$F$24,0))</f>
        <v>0.12274229526081651</v>
      </c>
      <c r="AC40" s="161">
        <f>(AB40-D40)*10000</f>
        <v>-74.021955620001407</v>
      </c>
      <c r="AD40" s="61">
        <f t="shared" si="14"/>
        <v>0.25864946883128725</v>
      </c>
      <c r="AE40" s="161">
        <f>(AD40-E40)*10000</f>
        <v>-127.60074127414423</v>
      </c>
      <c r="AF40"/>
    </row>
    <row r="41" spans="1:32" ht="25.05" customHeight="1" thickBot="1" x14ac:dyDescent="0.35">
      <c r="A41"/>
      <c r="B41" s="70" t="s">
        <v>63</v>
      </c>
      <c r="C41" s="116">
        <f>C35/C34</f>
        <v>2.9924463508572678</v>
      </c>
      <c r="D41" s="117">
        <f>D35/D34</f>
        <v>3.3556035194429352</v>
      </c>
      <c r="E41" s="118" t="s">
        <v>62</v>
      </c>
      <c r="F41" s="40"/>
      <c r="G41" s="120">
        <f>G35/G34</f>
        <v>2.9924463508572674</v>
      </c>
      <c r="H41" s="162">
        <f t="shared" ref="H41" si="15">G41/C41-1</f>
        <v>0</v>
      </c>
      <c r="I41" s="120">
        <f>I35/I34</f>
        <v>3.3556035194429352</v>
      </c>
      <c r="J41" s="162">
        <f>I41/D41-1</f>
        <v>0</v>
      </c>
      <c r="K41" s="120" t="s">
        <v>62</v>
      </c>
      <c r="L41" s="162" t="s">
        <v>62</v>
      </c>
      <c r="M41" s="36"/>
      <c r="N41" t="str">
        <f>$Q$6&amp;Q35&amp;O41&amp;P41</f>
        <v>WALMARTHELLMANNS BEST FOODSMayoJAR 48OZ</v>
      </c>
      <c r="O41" s="106" t="s">
        <v>122</v>
      </c>
      <c r="P41" s="34" t="s">
        <v>121</v>
      </c>
      <c r="Q41" s="141">
        <f>IFERROR(INDEX('Calculations - Walmart'!$O$32:$O$229,MATCH($N41,'Calculations - Walmart'!$D$32:$D$229,0)),0)</f>
        <v>2.6271363643386496</v>
      </c>
      <c r="R41" s="146">
        <f t="shared" si="9"/>
        <v>2.6271363643386496</v>
      </c>
      <c r="S41" s="105"/>
      <c r="T41" s="105"/>
      <c r="U41" s="155">
        <f t="shared" si="13"/>
        <v>0</v>
      </c>
      <c r="V41" s="124">
        <f>IFERROR(INDEX('Calculations - Walmart'!$BB$32:$BB$229,MATCH(Walmart!$N41,'Calculations - Walmart'!$D$32:$D$229,0)),"-")</f>
        <v>5.4513300794072468E-2</v>
      </c>
      <c r="W41" s="124">
        <f>IFERROR(INDEX('Calculations - Walmart'!$BE$32:$BE$229,MATCH(Walmart!$N41,'Calculations - Walmart'!$D$32:$D$229,0)),"-")</f>
        <v>4.7668787714239269E-2</v>
      </c>
      <c r="X41"/>
      <c r="Y41" s="57" t="s">
        <v>63</v>
      </c>
      <c r="Z41" s="120">
        <f>Z35/Z34</f>
        <v>2.9924463508572763</v>
      </c>
      <c r="AA41" s="162">
        <f>Z41/C41-1</f>
        <v>2.886579864025407E-15</v>
      </c>
      <c r="AB41" s="120">
        <f>AB35/AB34</f>
        <v>3.3556035194429352</v>
      </c>
      <c r="AC41" s="162">
        <f>AB41/D41-1</f>
        <v>0</v>
      </c>
      <c r="AD41" s="120" t="s">
        <v>62</v>
      </c>
      <c r="AE41" s="162" t="s">
        <v>62</v>
      </c>
      <c r="AF41"/>
    </row>
    <row r="42" spans="1:32" ht="25.05" customHeight="1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 t="str">
        <f>$Q$6&amp;Q35&amp;O42&amp;P42</f>
        <v>WALMARTHELLMANNS BEST FOODSMayoSQUEEZY 12OZ</v>
      </c>
      <c r="O42" s="106" t="s">
        <v>122</v>
      </c>
      <c r="P42" s="34" t="s">
        <v>117</v>
      </c>
      <c r="Q42" s="141">
        <f>IFERROR(INDEX('Calculations - Walmart'!$O$32:$O$229,MATCH($N42,'Calculations - Walmart'!$D$32:$D$229,0)),0)</f>
        <v>5.9635840628876533</v>
      </c>
      <c r="R42" s="146">
        <f t="shared" si="9"/>
        <v>5.9635840628876533</v>
      </c>
      <c r="S42" s="105"/>
      <c r="T42" s="105"/>
      <c r="U42" s="155">
        <f t="shared" si="13"/>
        <v>0</v>
      </c>
      <c r="V42" s="124">
        <f>IFERROR(INDEX('Calculations - Walmart'!$BB$32:$BB$229,MATCH(Walmart!$N42,'Calculations - Walmart'!$D$32:$D$229,0)),"-")</f>
        <v>1.4528907976888057E-2</v>
      </c>
      <c r="W42" s="124">
        <f>IFERROR(INDEX('Calculations - Walmart'!$BE$32:$BE$229,MATCH(Walmart!$N42,'Calculations - Walmart'!$D$32:$D$229,0)),"-")</f>
        <v>2.8839606506415646E-2</v>
      </c>
      <c r="X42"/>
      <c r="Y42"/>
      <c r="Z42"/>
      <c r="AA42"/>
      <c r="AB42"/>
      <c r="AC42"/>
      <c r="AD42"/>
      <c r="AE42"/>
      <c r="AF42"/>
    </row>
    <row r="43" spans="1:32" ht="25.05" customHeight="1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 t="str">
        <f>$Q$6&amp;Q35&amp;O43&amp;P43</f>
        <v>WALMARTHELLMANNS BEST FOODSMayoSQUEEZY 18 TO 22OZ</v>
      </c>
      <c r="O43" s="106" t="s">
        <v>122</v>
      </c>
      <c r="P43" s="34" t="s">
        <v>120</v>
      </c>
      <c r="Q43" s="141">
        <f>IFERROR(INDEX('Calculations - Walmart'!$O$32:$O$229,MATCH($N43,'Calculations - Walmart'!$D$32:$D$229,0)),0)</f>
        <v>4.7089647124454723</v>
      </c>
      <c r="R43" s="146">
        <f t="shared" si="9"/>
        <v>4.7089647124454723</v>
      </c>
      <c r="S43" s="105"/>
      <c r="T43" s="105"/>
      <c r="U43" s="155">
        <f t="shared" si="13"/>
        <v>0</v>
      </c>
      <c r="V43" s="124">
        <f>IFERROR(INDEX('Calculations - Walmart'!$BB$32:$BB$229,MATCH(Walmart!$N43,'Calculations - Walmart'!$D$32:$D$229,0)),"-")</f>
        <v>4.1232952305277459E-2</v>
      </c>
      <c r="W43" s="124">
        <f>IFERROR(INDEX('Calculations - Walmart'!$BE$32:$BE$229,MATCH(Walmart!$N43,'Calculations - Walmart'!$D$32:$D$229,0)),"-")</f>
        <v>6.4627726682590689E-2</v>
      </c>
      <c r="X43"/>
      <c r="Y43"/>
      <c r="Z43"/>
      <c r="AA43"/>
      <c r="AB43"/>
      <c r="AC43"/>
      <c r="AD43"/>
      <c r="AE43"/>
      <c r="AF43"/>
    </row>
    <row r="44" spans="1:32" ht="25.05" customHeight="1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 t="str">
        <f>$Q$6&amp;Q35&amp;O44&amp;P44</f>
        <v>WALMARTHELLMANNS BEST FOODSMayoOTHER</v>
      </c>
      <c r="O44" s="106" t="s">
        <v>122</v>
      </c>
      <c r="P44" s="34" t="s">
        <v>115</v>
      </c>
      <c r="Q44" s="141">
        <f>IFERROR(INDEX('Calculations - Walmart'!$O$32:$O$229,MATCH($N44,'Calculations - Walmart'!$D$32:$D$229,0)),0)</f>
        <v>8.5366720392062483</v>
      </c>
      <c r="R44" s="146">
        <f t="shared" si="9"/>
        <v>8.5366720392062483</v>
      </c>
      <c r="S44" s="105"/>
      <c r="T44" s="105"/>
      <c r="U44" s="155">
        <f t="shared" si="13"/>
        <v>0</v>
      </c>
      <c r="V44" s="124">
        <f>IFERROR(INDEX('Calculations - Walmart'!$BB$32:$BB$229,MATCH(Walmart!$N44,'Calculations - Walmart'!$D$32:$D$229,0)),"-")</f>
        <v>3.2055482870515621E-3</v>
      </c>
      <c r="W44" s="124">
        <f>IFERROR(INDEX('Calculations - Walmart'!$BE$32:$BE$229,MATCH(Walmart!$N44,'Calculations - Walmart'!$D$32:$D$229,0)),"-")</f>
        <v>9.1083546510295488E-3</v>
      </c>
      <c r="X44"/>
      <c r="Y44"/>
      <c r="Z44"/>
      <c r="AA44"/>
      <c r="AB44"/>
      <c r="AC44"/>
      <c r="AD44"/>
      <c r="AE44"/>
      <c r="AF44"/>
    </row>
    <row r="45" spans="1:32" ht="25.05" customHeight="1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 t="str">
        <f>$Q$6&amp;Q35&amp;P45</f>
        <v>WALMARTHELLMANNS BEST FOODSAioli</v>
      </c>
      <c r="O45" s="106" t="s">
        <v>123</v>
      </c>
      <c r="P45" s="107" t="s">
        <v>124</v>
      </c>
      <c r="Q45" s="139" cm="1">
        <f t="array" ref="Q45">SUM(_xlfn._xlws.FILTER('Calculations - Walmart'!$O$32:$O$229*'Calculations - Walmart'!$J$32:$J$229,'Calculations - Walmart'!$C$32:$C$229=$N45))/SUM(_xlfn._xlws.FILTER('Calculations - Walmart'!$J$32:$J$229,'Calculations - Walmart'!$C$32:$C$229=$N45))</f>
        <v>5.9980831946257753</v>
      </c>
      <c r="R45" s="145" cm="1">
        <f t="array" ref="R45">SUM(_xlfn._xlws.FILTER('Calculations - Walmart'!$AH$32:$AH$229*'Calculations - Walmart'!$AL$32:$AL$229,'Calculations - Walmart'!$C$32:$C$229=$N45))/SUM(_xlfn._xlws.FILTER('Calculations - Walmart'!$AL$32:$AL$229,'Calculations - Walmart'!$C$32:$C$229=$N45))</f>
        <v>5.9980831946257753</v>
      </c>
      <c r="S45" s="105"/>
      <c r="T45" s="105"/>
      <c r="U45" s="128">
        <f>IFERROR(R45/Q45-1,0)</f>
        <v>0</v>
      </c>
      <c r="V45" s="128">
        <f>SUM(V46:V47)</f>
        <v>1.6097453219455411E-3</v>
      </c>
      <c r="W45" s="128">
        <f>SUM(W46:W47)</f>
        <v>3.2137847328031839E-3</v>
      </c>
      <c r="X45"/>
      <c r="Y45"/>
      <c r="Z45"/>
      <c r="AA45"/>
      <c r="AB45"/>
      <c r="AC45"/>
      <c r="AD45"/>
      <c r="AE45"/>
      <c r="AF45"/>
    </row>
    <row r="46" spans="1:32" ht="25.05" customHeight="1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 t="str">
        <f>$Q$6&amp;Q35&amp;O46&amp;P46</f>
        <v>WALMARTHELLMANNS BEST FOODSAioliJAR 15OZ</v>
      </c>
      <c r="O46" s="106" t="s">
        <v>124</v>
      </c>
      <c r="P46" s="34" t="s">
        <v>116</v>
      </c>
      <c r="Q46" s="141">
        <f>IFERROR(INDEX('Calculations - Walmart'!$O$32:$O$229,MATCH($N46,'Calculations - Walmart'!$D$32:$D$229,0)),0)</f>
        <v>2.9470476190476189</v>
      </c>
      <c r="R46" s="146">
        <f>Q46</f>
        <v>2.9470476190476189</v>
      </c>
      <c r="S46" s="105"/>
      <c r="T46" s="105"/>
      <c r="U46" s="155">
        <f t="shared" ref="U46:U47" si="16">IFERROR(R46/Q46-1,0)</f>
        <v>0</v>
      </c>
      <c r="V46" s="124">
        <f>IFERROR(INDEX('Calculations - Walmart'!$BB$32:$BB$229,MATCH(Walmart!$N46,'Calculations - Walmart'!$D$32:$D$229,0)),"-")</f>
        <v>3.7745299374782219E-8</v>
      </c>
      <c r="W46" s="124">
        <f>IFERROR(INDEX('Calculations - Walmart'!$BE$32:$BE$229,MATCH(Walmart!$N46,'Calculations - Walmart'!$D$32:$D$229,0)),"-")</f>
        <v>3.702533866323686E-8</v>
      </c>
      <c r="X46"/>
      <c r="Y46"/>
      <c r="Z46"/>
      <c r="AA46"/>
      <c r="AB46"/>
      <c r="AC46"/>
      <c r="AD46"/>
      <c r="AE46"/>
      <c r="AF46"/>
    </row>
    <row r="47" spans="1:32" ht="25.05" customHeight="1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 t="str">
        <f>$Q$6&amp;Q35&amp;O47&amp;P47</f>
        <v>WALMARTHELLMANNS BEST FOODSAioliOTHER</v>
      </c>
      <c r="O47" s="106" t="s">
        <v>124</v>
      </c>
      <c r="P47" s="34" t="s">
        <v>115</v>
      </c>
      <c r="Q47" s="141">
        <f>IFERROR(INDEX('Calculations - Walmart'!$O$32:$O$229,MATCH($N47,'Calculations - Walmart'!$D$32:$D$229,0)),0)</f>
        <v>5.9981286945587309</v>
      </c>
      <c r="R47" s="146">
        <f>Q47</f>
        <v>5.9981286945587309</v>
      </c>
      <c r="S47" s="105"/>
      <c r="T47" s="105"/>
      <c r="U47" s="155">
        <f t="shared" si="16"/>
        <v>0</v>
      </c>
      <c r="V47" s="124">
        <f>IFERROR(INDEX('Calculations - Walmart'!$BB$32:$BB$229,MATCH(Walmart!$N47,'Calculations - Walmart'!$D$32:$D$229,0)),"-")</f>
        <v>1.6097075766461663E-3</v>
      </c>
      <c r="W47" s="124">
        <f>IFERROR(INDEX('Calculations - Walmart'!$BE$32:$BE$229,MATCH(Walmart!$N47,'Calculations - Walmart'!$D$32:$D$229,0)),"-")</f>
        <v>3.2137477074645209E-3</v>
      </c>
      <c r="X47"/>
      <c r="Y47"/>
      <c r="Z47"/>
      <c r="AA47"/>
      <c r="AB47"/>
      <c r="AC47"/>
      <c r="AD47"/>
      <c r="AE47"/>
      <c r="AF47"/>
    </row>
    <row r="48" spans="1:32" ht="25.05" customHeight="1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41"/>
      <c r="Q48" s="47"/>
      <c r="R48" s="47"/>
      <c r="S48"/>
      <c r="T48"/>
      <c r="U48" s="125"/>
      <c r="V48" s="125"/>
      <c r="W48" s="125"/>
      <c r="X48"/>
      <c r="Y48"/>
      <c r="Z48"/>
      <c r="AA48"/>
      <c r="AB48"/>
      <c r="AC48"/>
      <c r="AD48"/>
      <c r="AE48"/>
      <c r="AF48"/>
    </row>
    <row r="49" spans="1:32" ht="25.05" customHeight="1" x14ac:dyDescent="0.4">
      <c r="A49"/>
      <c r="B49"/>
      <c r="C49"/>
      <c r="D49"/>
      <c r="E49"/>
      <c r="F49"/>
      <c r="G49"/>
      <c r="H49"/>
      <c r="I49"/>
      <c r="J49"/>
      <c r="K49"/>
      <c r="L49"/>
      <c r="M49"/>
      <c r="N49" s="46" t="s">
        <v>9</v>
      </c>
      <c r="O49" s="46"/>
      <c r="P49" s="41"/>
      <c r="Q49" s="206" t="str">
        <f>'Calculations - Walmart'!F7</f>
        <v>DUKES</v>
      </c>
      <c r="R49" s="206"/>
      <c r="S49" s="41"/>
      <c r="T49" s="41"/>
      <c r="U49" s="155">
        <f>R50/Q50-1</f>
        <v>0</v>
      </c>
      <c r="V49" s="132">
        <f>V51+V58</f>
        <v>8.572170266625885E-2</v>
      </c>
      <c r="W49" s="132">
        <f>W51+W58</f>
        <v>7.89961110459141E-2</v>
      </c>
      <c r="X49"/>
      <c r="Y49"/>
      <c r="Z49"/>
      <c r="AA49"/>
      <c r="AB49"/>
      <c r="AC49"/>
      <c r="AD49"/>
      <c r="AE49"/>
      <c r="AF49"/>
    </row>
    <row r="50" spans="1:32" ht="25.05" customHeight="1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 t="str">
        <f>$Q$6&amp;Q49&amp;P50</f>
        <v>WALMARTDUKES</v>
      </c>
      <c r="O50"/>
      <c r="P50" s="41"/>
      <c r="Q50" s="139">
        <f>INDEX('Calculations - Walmart'!$M$3:$M$24,MATCH(N50,'Calculations - Walmart'!$D$3:$D$24,0))</f>
        <v>2.7835201632649067</v>
      </c>
      <c r="R50" s="147">
        <f>INDEX('Calculations - Walmart'!$AF$3:$AF$24,MATCH(N50,'Calculations - Walmart'!$D$3:$D$24,0))</f>
        <v>2.7835201632649094</v>
      </c>
      <c r="S50" s="104"/>
      <c r="T50" s="104"/>
      <c r="U50" s="125"/>
      <c r="V50" s="125"/>
      <c r="W50" s="125"/>
      <c r="X50"/>
      <c r="Y50"/>
      <c r="Z50"/>
      <c r="AA50"/>
      <c r="AB50"/>
      <c r="AC50"/>
      <c r="AD50"/>
      <c r="AE50"/>
      <c r="AF50"/>
    </row>
    <row r="51" spans="1:32" ht="25.05" customHeight="1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 t="str">
        <f>$Q$6&amp;Q49&amp;P51</f>
        <v>WALMARTDUKESMayo</v>
      </c>
      <c r="O51" s="106" t="s">
        <v>102</v>
      </c>
      <c r="P51" s="107" t="s">
        <v>122</v>
      </c>
      <c r="Q51" s="139" cm="1">
        <f t="array" ref="Q51">SUM(_xlfn._xlws.FILTER('Calculations - Walmart'!$O$32:$O$229*'Calculations - Walmart'!$J$32:$J$229,'Calculations - Walmart'!$C$32:$C$229=$N51))/SUM(_xlfn._xlws.FILTER('Calculations - Walmart'!$J$32:$J$229,'Calculations - Walmart'!$C$32:$C$229=$N51))</f>
        <v>2.7814090856881615</v>
      </c>
      <c r="R51" s="147" cm="1">
        <f t="array" ref="R51">SUM(_xlfn._xlws.FILTER('Calculations - Walmart'!$AH$32:$AH$229*'Calculations - Walmart'!$AL$32:$AL$229,'Calculations - Walmart'!$C$32:$C$229=$N51))/SUM(_xlfn._xlws.FILTER('Calculations - Walmart'!$AL$32:$AL$229,'Calculations - Walmart'!$C$32:$C$229=$N51))</f>
        <v>2.7814090856881615</v>
      </c>
      <c r="S51" s="104"/>
      <c r="T51" s="104"/>
      <c r="U51" s="128">
        <f>IFERROR(R51/Q51-1,0)</f>
        <v>0</v>
      </c>
      <c r="V51" s="128">
        <f>SUM(V52:V57)</f>
        <v>8.5404466020215605E-2</v>
      </c>
      <c r="W51" s="128">
        <f>SUM(W52:W57)</f>
        <v>7.8644434299872043E-2</v>
      </c>
      <c r="X51"/>
      <c r="Y51"/>
      <c r="Z51"/>
      <c r="AA51"/>
      <c r="AB51"/>
      <c r="AC51"/>
      <c r="AD51"/>
      <c r="AE51"/>
      <c r="AF51"/>
    </row>
    <row r="52" spans="1:32" ht="25.05" customHeight="1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 t="str">
        <f>$Q$6&amp;Q49&amp;O52&amp;P52</f>
        <v>WALMARTDUKESMayoJAR 15OZ</v>
      </c>
      <c r="O52" s="106" t="s">
        <v>122</v>
      </c>
      <c r="P52" s="34" t="s">
        <v>116</v>
      </c>
      <c r="Q52" s="141">
        <f>IFERROR(INDEX('Calculations - Walmart'!$O$32:$O$229,MATCH($N52,'Calculations - Walmart'!$D$32:$D$229,0)),0)</f>
        <v>3.9711968858732734</v>
      </c>
      <c r="R52" s="148">
        <f t="shared" ref="R52:R57" si="17">Q52</f>
        <v>3.9711968858732734</v>
      </c>
      <c r="S52" s="105"/>
      <c r="T52" s="105"/>
      <c r="U52" s="155">
        <f t="shared" ref="U52:U57" si="18">IFERROR(R52/Q52-1,0)</f>
        <v>0</v>
      </c>
      <c r="V52" s="124">
        <f>IFERROR(INDEX('Calculations - Walmart'!$BB$32:$BB$229,MATCH(Walmart!$N52,'Calculations - Walmart'!$D$32:$D$229,0)),"-")</f>
        <v>5.5152245291124743E-3</v>
      </c>
      <c r="W52" s="124">
        <f>IFERROR(INDEX('Calculations - Walmart'!$BE$32:$BE$229,MATCH(Walmart!$N52,'Calculations - Walmart'!$D$32:$D$229,0)),"-")</f>
        <v>7.2690472983677687E-3</v>
      </c>
      <c r="X52"/>
      <c r="Y52"/>
      <c r="Z52"/>
      <c r="AA52"/>
      <c r="AB52"/>
      <c r="AC52"/>
      <c r="AD52"/>
      <c r="AE52"/>
      <c r="AF52"/>
    </row>
    <row r="53" spans="1:32" ht="25.05" customHeight="1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 t="str">
        <f>$Q$6&amp;Q49&amp;O53&amp;P53</f>
        <v>WALMARTDUKESMayoJAR 30OZ</v>
      </c>
      <c r="O53" s="106" t="s">
        <v>122</v>
      </c>
      <c r="P53" s="34" t="s">
        <v>118</v>
      </c>
      <c r="Q53" s="141">
        <f>IFERROR(INDEX('Calculations - Walmart'!$O$32:$O$229,MATCH($N53,'Calculations - Walmart'!$D$32:$D$229,0)),0)</f>
        <v>2.4738069325808612</v>
      </c>
      <c r="R53" s="148">
        <f t="shared" si="17"/>
        <v>2.4738069325808612</v>
      </c>
      <c r="S53" s="105"/>
      <c r="T53" s="105"/>
      <c r="U53" s="155">
        <f t="shared" si="18"/>
        <v>0</v>
      </c>
      <c r="V53" s="124">
        <f>IFERROR(INDEX('Calculations - Walmart'!$BB$32:$BB$229,MATCH(Walmart!$N53,'Calculations - Walmart'!$D$32:$D$229,0)),"-")</f>
        <v>5.1691702906200225E-2</v>
      </c>
      <c r="W53" s="124">
        <f>IFERROR(INDEX('Calculations - Walmart'!$BE$32:$BE$229,MATCH(Walmart!$N53,'Calculations - Walmart'!$D$32:$D$229,0)),"-")</f>
        <v>4.2440405008816594E-2</v>
      </c>
      <c r="X53"/>
      <c r="Y53"/>
      <c r="Z53"/>
      <c r="AA53"/>
      <c r="AB53"/>
      <c r="AC53"/>
      <c r="AD53"/>
      <c r="AE53"/>
      <c r="AF53"/>
    </row>
    <row r="54" spans="1:32" ht="25.05" customHeight="1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 t="str">
        <f>$Q$6&amp;Q49&amp;O54&amp;P54</f>
        <v>WALMARTDUKESMayoJAR 48OZ</v>
      </c>
      <c r="O54" s="106" t="s">
        <v>122</v>
      </c>
      <c r="P54" s="34" t="s">
        <v>121</v>
      </c>
      <c r="Q54" s="141">
        <f>IFERROR(INDEX('Calculations - Walmart'!$O$32:$O$229,MATCH($N54,'Calculations - Walmart'!$D$32:$D$229,0)),0)</f>
        <v>2.3231243659452949</v>
      </c>
      <c r="R54" s="148">
        <f t="shared" si="17"/>
        <v>2.3231243659452949</v>
      </c>
      <c r="S54" s="105"/>
      <c r="T54" s="105"/>
      <c r="U54" s="155">
        <f t="shared" si="18"/>
        <v>0</v>
      </c>
      <c r="V54" s="124">
        <f>IFERROR(INDEX('Calculations - Walmart'!$BB$32:$BB$229,MATCH(Walmart!$N54,'Calculations - Walmart'!$D$32:$D$229,0)),"-")</f>
        <v>1.1625100372539542E-2</v>
      </c>
      <c r="W54" s="124">
        <f>IFERROR(INDEX('Calculations - Walmart'!$BE$32:$BE$229,MATCH(Walmart!$N54,'Calculations - Walmart'!$D$32:$D$229,0)),"-")</f>
        <v>8.9631785767295361E-3</v>
      </c>
      <c r="X54"/>
      <c r="Y54"/>
      <c r="Z54"/>
      <c r="AA54"/>
      <c r="AB54"/>
      <c r="AC54"/>
      <c r="AD54"/>
      <c r="AE54"/>
      <c r="AF54"/>
    </row>
    <row r="55" spans="1:32" ht="25.05" customHeight="1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 t="str">
        <f>$Q$6&amp;Q49&amp;O55&amp;P55</f>
        <v>WALMARTDUKESMayoSQUEEZY 12OZ</v>
      </c>
      <c r="O55" s="106" t="s">
        <v>122</v>
      </c>
      <c r="P55" s="34" t="s">
        <v>117</v>
      </c>
      <c r="Q55" s="141">
        <f>IFERROR(INDEX('Calculations - Walmart'!$O$32:$O$229,MATCH($N55,'Calculations - Walmart'!$D$32:$D$229,0)),0)</f>
        <v>4.5332940321896888</v>
      </c>
      <c r="R55" s="148">
        <f t="shared" si="17"/>
        <v>4.5332940321896888</v>
      </c>
      <c r="S55" s="105"/>
      <c r="T55" s="105"/>
      <c r="U55" s="155">
        <f t="shared" si="18"/>
        <v>0</v>
      </c>
      <c r="V55" s="124">
        <f>IFERROR(INDEX('Calculations - Walmart'!$BB$32:$BB$229,MATCH(Walmart!$N55,'Calculations - Walmart'!$D$32:$D$229,0)),"-")</f>
        <v>5.7042886772375981E-4</v>
      </c>
      <c r="W55" s="124">
        <f>IFERROR(INDEX('Calculations - Walmart'!$BE$32:$BE$229,MATCH(Walmart!$N55,'Calculations - Walmart'!$D$32:$D$229,0)),"-")</f>
        <v>8.5823903243815991E-4</v>
      </c>
      <c r="X55"/>
      <c r="Y55"/>
      <c r="Z55"/>
      <c r="AA55"/>
      <c r="AB55"/>
      <c r="AC55"/>
      <c r="AD55"/>
      <c r="AE55"/>
      <c r="AF55"/>
    </row>
    <row r="56" spans="1:32" ht="25.05" customHeight="1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 t="str">
        <f>$Q$6&amp;Q49&amp;O56&amp;P56</f>
        <v>WALMARTDUKESMayoSQUEEZY 18 TO 22OZ</v>
      </c>
      <c r="O56" s="106" t="s">
        <v>122</v>
      </c>
      <c r="P56" s="34" t="s">
        <v>120</v>
      </c>
      <c r="Q56" s="141">
        <f>IFERROR(INDEX('Calculations - Walmart'!$O$32:$O$229,MATCH($N56,'Calculations - Walmart'!$D$32:$D$229,0)),0)</f>
        <v>3.9435279465489779</v>
      </c>
      <c r="R56" s="148">
        <f t="shared" si="17"/>
        <v>3.9435279465489779</v>
      </c>
      <c r="S56" s="105"/>
      <c r="T56" s="105"/>
      <c r="U56" s="155">
        <f t="shared" si="18"/>
        <v>0</v>
      </c>
      <c r="V56" s="124">
        <f>IFERROR(INDEX('Calculations - Walmart'!$BB$32:$BB$229,MATCH(Walmart!$N56,'Calculations - Walmart'!$D$32:$D$229,0)),"-")</f>
        <v>1.2018903930724516E-2</v>
      </c>
      <c r="W56" s="124">
        <f>IFERROR(INDEX('Calculations - Walmart'!$BE$32:$BE$229,MATCH(Walmart!$N56,'Calculations - Walmart'!$D$32:$D$229,0)),"-")</f>
        <v>1.5730504980325424E-2</v>
      </c>
      <c r="X56"/>
      <c r="Y56"/>
      <c r="Z56"/>
      <c r="AA56"/>
      <c r="AB56"/>
      <c r="AC56"/>
      <c r="AD56"/>
      <c r="AE56"/>
      <c r="AF56"/>
    </row>
    <row r="57" spans="1:32" ht="25.05" customHeight="1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 t="str">
        <f>$Q$6&amp;Q49&amp;O57&amp;P57</f>
        <v>WALMARTDUKESMayoOTHER</v>
      </c>
      <c r="O57" s="106" t="s">
        <v>122</v>
      </c>
      <c r="P57" s="34" t="s">
        <v>115</v>
      </c>
      <c r="Q57" s="141">
        <f>IFERROR(INDEX('Calculations - Walmart'!$O$32:$O$229,MATCH($N57,'Calculations - Walmart'!$D$32:$D$229,0)),0)</f>
        <v>2.5591453062155725</v>
      </c>
      <c r="R57" s="148">
        <f t="shared" si="17"/>
        <v>2.5591453062155725</v>
      </c>
      <c r="S57" s="105"/>
      <c r="T57" s="105"/>
      <c r="U57" s="155">
        <f t="shared" si="18"/>
        <v>0</v>
      </c>
      <c r="V57" s="124">
        <f>IFERROR(INDEX('Calculations - Walmart'!$BB$32:$BB$229,MATCH(Walmart!$N57,'Calculations - Walmart'!$D$32:$D$229,0)),"-")</f>
        <v>3.9831054139150713E-3</v>
      </c>
      <c r="W57" s="124">
        <f>IFERROR(INDEX('Calculations - Walmart'!$BE$32:$BE$229,MATCH(Walmart!$N57,'Calculations - Walmart'!$D$32:$D$229,0)),"-")</f>
        <v>3.3830594031945696E-3</v>
      </c>
      <c r="X57"/>
      <c r="Y57"/>
      <c r="Z57"/>
      <c r="AA57"/>
      <c r="AB57"/>
      <c r="AC57"/>
      <c r="AD57"/>
      <c r="AE57"/>
      <c r="AF57"/>
    </row>
    <row r="58" spans="1:32" ht="25.05" customHeight="1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 t="str">
        <f>$Q$6&amp;Q49&amp;P58</f>
        <v>WALMARTDUKESAioli</v>
      </c>
      <c r="O58" s="106" t="s">
        <v>123</v>
      </c>
      <c r="P58" s="107" t="s">
        <v>124</v>
      </c>
      <c r="Q58" s="139" cm="1">
        <f t="array" ref="Q58">SUM(_xlfn._xlws.FILTER('Calculations - Walmart'!$O$32:$O$229*'Calculations - Walmart'!$J$32:$J$229,'Calculations - Walmart'!$C$32:$C$229=$N58))/SUM(_xlfn._xlws.FILTER('Calculations - Walmart'!$J$32:$J$229,'Calculations - Walmart'!$C$32:$C$229=$N58))</f>
        <v>3.3401611840781991</v>
      </c>
      <c r="R58" s="147" cm="1">
        <f t="array" ref="R58">SUM(_xlfn._xlws.FILTER('Calculations - Walmart'!$AH$32:$AH$229*'Calculations - Walmart'!$AL$32:$AL$229,'Calculations - Walmart'!$C$32:$C$229=$N58))/SUM(_xlfn._xlws.FILTER('Calculations - Walmart'!$AL$32:$AL$229,'Calculations - Walmart'!$C$32:$C$229=$N58))</f>
        <v>3.3401611840781991</v>
      </c>
      <c r="S58" s="105"/>
      <c r="T58" s="105"/>
      <c r="U58" s="128">
        <f>IFERROR(R58/Q58-1,0)</f>
        <v>0</v>
      </c>
      <c r="V58" s="128">
        <f>SUM(V59)</f>
        <v>3.172366460432394E-4</v>
      </c>
      <c r="W58" s="128">
        <f>SUM(W59)</f>
        <v>3.5167674604205532E-4</v>
      </c>
      <c r="X58"/>
      <c r="Y58"/>
      <c r="Z58"/>
      <c r="AA58"/>
      <c r="AB58"/>
      <c r="AC58"/>
      <c r="AD58"/>
      <c r="AE58"/>
      <c r="AF58"/>
    </row>
    <row r="59" spans="1:32" ht="25.05" customHeight="1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 t="str">
        <f>$Q$6&amp;Q49&amp;O59&amp;P59</f>
        <v>WALMARTDUKESAioliOTHER</v>
      </c>
      <c r="O59" s="106" t="s">
        <v>124</v>
      </c>
      <c r="P59" s="34" t="s">
        <v>115</v>
      </c>
      <c r="Q59" s="141">
        <f>IFERROR(INDEX('Calculations - Walmart'!$O$32:$O$229,MATCH($N59,'Calculations - Walmart'!$D$32:$D$229,0)),0)</f>
        <v>3.3401611840781991</v>
      </c>
      <c r="R59" s="148">
        <f>Q59</f>
        <v>3.3401611840781991</v>
      </c>
      <c r="S59" s="105"/>
      <c r="T59" s="105"/>
      <c r="U59" s="155">
        <f t="shared" ref="U59" si="19">IFERROR(R59/Q59-1,0)</f>
        <v>0</v>
      </c>
      <c r="V59" s="124">
        <f>IFERROR(INDEX('Calculations - Walmart'!$BB$32:$BB$229,MATCH(Walmart!$N59,'Calculations - Walmart'!$D$32:$D$229,0)),"-")</f>
        <v>3.172366460432394E-4</v>
      </c>
      <c r="W59" s="124">
        <f>IFERROR(INDEX('Calculations - Walmart'!$BE$32:$BE$229,MATCH(Walmart!$N59,'Calculations - Walmart'!$D$32:$D$229,0)),"-")</f>
        <v>3.5167674604205532E-4</v>
      </c>
      <c r="X59"/>
      <c r="Y59"/>
      <c r="Z59"/>
      <c r="AA59"/>
      <c r="AB59"/>
      <c r="AC59"/>
      <c r="AD59"/>
      <c r="AE59"/>
      <c r="AF59"/>
    </row>
    <row r="60" spans="1:32" ht="25.05" customHeight="1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34"/>
      <c r="Q60" s="48"/>
      <c r="R60" s="48"/>
      <c r="S60"/>
      <c r="T60"/>
      <c r="U60" s="128"/>
      <c r="V60" s="124"/>
      <c r="W60" s="124"/>
      <c r="X60"/>
      <c r="Y60"/>
      <c r="Z60"/>
      <c r="AA60"/>
      <c r="AB60"/>
      <c r="AC60"/>
      <c r="AD60"/>
      <c r="AE60"/>
      <c r="AF60"/>
    </row>
    <row r="61" spans="1:32" ht="25.05" customHeight="1" x14ac:dyDescent="0.4">
      <c r="A61"/>
      <c r="B61"/>
      <c r="C61"/>
      <c r="D61"/>
      <c r="E61"/>
      <c r="F61"/>
      <c r="G61"/>
      <c r="H61"/>
      <c r="I61"/>
      <c r="J61"/>
      <c r="K61"/>
      <c r="L61"/>
      <c r="M61"/>
      <c r="N61" s="46" t="s">
        <v>9</v>
      </c>
      <c r="O61" s="46"/>
      <c r="P61" s="41"/>
      <c r="Q61" s="207" t="str">
        <f>'Calculations - Walmart'!F8</f>
        <v>PRIVATE LABEL</v>
      </c>
      <c r="R61" s="207"/>
      <c r="S61" s="41"/>
      <c r="T61" s="41"/>
      <c r="U61" s="155">
        <f>R62/Q62-1</f>
        <v>0</v>
      </c>
      <c r="V61" s="131">
        <f>V63</f>
        <v>0.20966907329572415</v>
      </c>
      <c r="W61" s="131">
        <f>W63</f>
        <v>0.13566045055233925</v>
      </c>
      <c r="X61"/>
      <c r="Y61"/>
      <c r="Z61"/>
      <c r="AA61"/>
      <c r="AB61"/>
      <c r="AC61"/>
      <c r="AD61"/>
      <c r="AE61"/>
      <c r="AF61"/>
    </row>
    <row r="62" spans="1:32" ht="25.05" customHeight="1" thickBot="1" x14ac:dyDescent="0.35">
      <c r="A62"/>
      <c r="B62"/>
      <c r="C62"/>
      <c r="D62"/>
      <c r="E62"/>
      <c r="F62"/>
      <c r="G62"/>
      <c r="H62"/>
      <c r="I62"/>
      <c r="J62"/>
      <c r="K62"/>
      <c r="L62"/>
      <c r="M62"/>
      <c r="N62" t="str">
        <f>$Q$6&amp;Q61&amp;P62</f>
        <v>WALMARTPRIVATE LABEL</v>
      </c>
      <c r="O62"/>
      <c r="P62" s="41"/>
      <c r="Q62" s="139">
        <f>INDEX('Calculations - Walmart'!$M$3:$M$24,MATCH(N62,'Calculations - Walmart'!$D$3:$D$24,0))</f>
        <v>1.9543319322043022</v>
      </c>
      <c r="R62" s="149">
        <f>INDEX('Calculations - Walmart'!$AF$3:$AF$24,MATCH(N62,'Calculations - Walmart'!$D$3:$D$24,0))</f>
        <v>1.9543319322043018</v>
      </c>
      <c r="S62" s="104"/>
      <c r="T62" s="104"/>
      <c r="U62" s="125"/>
      <c r="V62" s="125"/>
      <c r="W62" s="125"/>
      <c r="X62"/>
      <c r="Y62"/>
      <c r="Z62"/>
      <c r="AA62"/>
      <c r="AB62"/>
      <c r="AC62"/>
      <c r="AD62"/>
      <c r="AE62"/>
      <c r="AF62"/>
    </row>
    <row r="63" spans="1:32" ht="25.05" customHeight="1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 t="str">
        <f>$Q$6&amp;Q61&amp;P63</f>
        <v>WALMARTPRIVATE LABELMayo</v>
      </c>
      <c r="O63" s="106" t="s">
        <v>102</v>
      </c>
      <c r="P63" s="107" t="s">
        <v>122</v>
      </c>
      <c r="Q63" s="139" cm="1">
        <f t="array" ref="Q63">SUM(_xlfn._xlws.FILTER('Calculations - Walmart'!$O$32:$O$229*'Calculations - Walmart'!$J$32:$J$229,'Calculations - Walmart'!$C$32:$C$229=$N63))/SUM(_xlfn._xlws.FILTER('Calculations - Walmart'!$J$32:$J$229,'Calculations - Walmart'!$C$32:$C$229=$N63))</f>
        <v>1.9543319322043018</v>
      </c>
      <c r="R63" s="149" cm="1">
        <f t="array" ref="R63">SUM(_xlfn._xlws.FILTER('Calculations - Walmart'!$AH$32:$AH$229*'Calculations - Walmart'!$AL$32:$AL$229,'Calculations - Walmart'!$C$32:$C$229=$N63))/SUM(_xlfn._xlws.FILTER('Calculations - Walmart'!$AL$32:$AL$229,'Calculations - Walmart'!$C$32:$C$229=$N63))</f>
        <v>1.9543319322043018</v>
      </c>
      <c r="S63" s="104"/>
      <c r="T63" s="104"/>
      <c r="U63" s="128">
        <f>IFERROR(R63/Q63-1,0)</f>
        <v>0</v>
      </c>
      <c r="V63" s="128">
        <f>SUM(V64:V68)</f>
        <v>0.20966907329572415</v>
      </c>
      <c r="W63" s="128">
        <f>SUM(W64:W68)</f>
        <v>0.13566045055233925</v>
      </c>
      <c r="X63"/>
      <c r="Y63" s="222" t="s">
        <v>76</v>
      </c>
      <c r="Z63" s="218" t="str">
        <f>$Q$11</f>
        <v>KRAFT</v>
      </c>
      <c r="AA63" s="219"/>
      <c r="AB63" s="220" t="str">
        <f>$Q$25</f>
        <v>MIRACLE WHIP</v>
      </c>
      <c r="AC63" s="221"/>
      <c r="AD63"/>
      <c r="AE63"/>
      <c r="AF63"/>
    </row>
    <row r="64" spans="1:32" ht="25.05" customHeight="1" thickBot="1" x14ac:dyDescent="0.35">
      <c r="A64"/>
      <c r="B64"/>
      <c r="C64"/>
      <c r="D64"/>
      <c r="E64"/>
      <c r="F64"/>
      <c r="G64"/>
      <c r="H64"/>
      <c r="I64"/>
      <c r="J64"/>
      <c r="K64"/>
      <c r="L64"/>
      <c r="M64"/>
      <c r="N64" t="str">
        <f>$Q$6&amp;Q61&amp;O64&amp;P64</f>
        <v>WALMARTPRIVATE LABELMayoJAR 15OZ</v>
      </c>
      <c r="O64" s="106" t="s">
        <v>122</v>
      </c>
      <c r="P64" s="34" t="s">
        <v>116</v>
      </c>
      <c r="Q64" s="141">
        <f>IFERROR(INDEX('Calculations - Walmart'!$O$32:$O$229,MATCH($N64,'Calculations - Walmart'!$D$32:$D$229,0)),0)</f>
        <v>2.2603848463408607</v>
      </c>
      <c r="R64" s="150">
        <f>Q64</f>
        <v>2.2603848463408607</v>
      </c>
      <c r="S64" s="105"/>
      <c r="T64" s="105"/>
      <c r="U64" s="155">
        <f>IFERROR(R64/Q64-1,0)</f>
        <v>0</v>
      </c>
      <c r="V64" s="124">
        <f>IFERROR(INDEX('Calculations - Walmart'!$BB$32:$BB$229,MATCH(Walmart!$N64,'Calculations - Walmart'!$D$32:$D$229,0)),"-")</f>
        <v>2.9666113454269446E-2</v>
      </c>
      <c r="W64" s="124">
        <f>IFERROR(INDEX('Calculations - Walmart'!$BE$32:$BE$229,MATCH(Walmart!$N64,'Calculations - Walmart'!$D$32:$D$229,0)),"-")</f>
        <v>2.2177461583638453E-2</v>
      </c>
      <c r="X64"/>
      <c r="Y64" s="223"/>
      <c r="Z64" s="88" t="s">
        <v>71</v>
      </c>
      <c r="AA64" s="87" t="s">
        <v>85</v>
      </c>
      <c r="AB64" s="88" t="s">
        <v>71</v>
      </c>
      <c r="AC64" s="87" t="s">
        <v>85</v>
      </c>
      <c r="AD64"/>
      <c r="AE64"/>
      <c r="AF64"/>
    </row>
    <row r="65" spans="1:32" ht="25.05" customHeight="1" x14ac:dyDescent="0.45">
      <c r="A65"/>
      <c r="B65"/>
      <c r="C65"/>
      <c r="D65"/>
      <c r="E65"/>
      <c r="F65"/>
      <c r="G65"/>
      <c r="H65"/>
      <c r="I65"/>
      <c r="J65"/>
      <c r="K65"/>
      <c r="L65"/>
      <c r="M65"/>
      <c r="N65" t="str">
        <f>$Q$6&amp;Q61&amp;O65&amp;P65</f>
        <v>WALMARTPRIVATE LABELMayoJAR 30OZ</v>
      </c>
      <c r="O65" s="106" t="s">
        <v>122</v>
      </c>
      <c r="P65" s="34" t="s">
        <v>118</v>
      </c>
      <c r="Q65" s="141">
        <f>IFERROR(INDEX('Calculations - Walmart'!$O$32:$O$229,MATCH($N65,'Calculations - Walmart'!$D$32:$D$229,0)),0)</f>
        <v>1.8071997016006556</v>
      </c>
      <c r="R65" s="150">
        <f>Q65</f>
        <v>1.8071997016006556</v>
      </c>
      <c r="S65" s="105"/>
      <c r="T65" s="105"/>
      <c r="U65" s="155">
        <f t="shared" ref="U65:U68" si="20">IFERROR(R65/Q65-1,0)</f>
        <v>0</v>
      </c>
      <c r="V65" s="124">
        <f>IFERROR(INDEX('Calculations - Walmart'!$BB$32:$BB$229,MATCH(Walmart!$N65,'Calculations - Walmart'!$D$32:$D$229,0)),"-")</f>
        <v>0.12171436657415843</v>
      </c>
      <c r="W65" s="124">
        <f>IFERROR(INDEX('Calculations - Walmart'!$BE$32:$BE$229,MATCH(Walmart!$N65,'Calculations - Walmart'!$D$32:$D$229,0)),"-")</f>
        <v>7.2747284165685794E-2</v>
      </c>
      <c r="X65"/>
      <c r="Y65" s="93" t="str">
        <f>$Q$11</f>
        <v>KRAFT</v>
      </c>
      <c r="Z65" s="89">
        <f>INDEX('Calculations - Walmart'!$AZ$4:$AZ$24,MATCH(Walmart!$Y65,'Calculations - Walmart'!$F$4:$F$24,0))</f>
        <v>100</v>
      </c>
      <c r="AA65" s="86">
        <f>INDEX('Calculations - Walmart'!$BB$4:$BB$24,MATCH(Walmart!$Y65,'Calculations - Walmart'!$F$4:$F$24,0))</f>
        <v>100</v>
      </c>
      <c r="AB65" s="89">
        <f>INDEX('Calculations - Walmart'!$BA$4:$BA$24,MATCH(Walmart!$Y65,'Calculations - Walmart'!$F$4:$F$24,0))</f>
        <v>112.13579546652963</v>
      </c>
      <c r="AC65" s="86">
        <f>INDEX('Calculations - Walmart'!$BC$4:$BC$24,MATCH(Walmart!$Y65,'Calculations - Walmart'!$F$4:$F$24,0))</f>
        <v>112.13579546652929</v>
      </c>
      <c r="AD65"/>
      <c r="AE65"/>
      <c r="AF65"/>
    </row>
    <row r="66" spans="1:32" ht="25.05" customHeight="1" x14ac:dyDescent="0.45">
      <c r="A66"/>
      <c r="B66"/>
      <c r="C66"/>
      <c r="D66"/>
      <c r="E66"/>
      <c r="F66"/>
      <c r="G66"/>
      <c r="H66"/>
      <c r="I66"/>
      <c r="J66"/>
      <c r="K66"/>
      <c r="L66"/>
      <c r="M66"/>
      <c r="N66" t="str">
        <f>$Q$6&amp;Q61&amp;O66&amp;P66</f>
        <v>WALMARTPRIVATE LABELMayoJAR 48OZ</v>
      </c>
      <c r="O66" s="106" t="s">
        <v>122</v>
      </c>
      <c r="P66" s="34" t="s">
        <v>121</v>
      </c>
      <c r="Q66" s="141">
        <f>IFERROR(INDEX('Calculations - Walmart'!$O$32:$O$229,MATCH($N66,'Calculations - Walmart'!$D$32:$D$229,0)),0)</f>
        <v>1.650660515170393</v>
      </c>
      <c r="R66" s="150">
        <f>Q66</f>
        <v>1.650660515170393</v>
      </c>
      <c r="S66" s="105"/>
      <c r="T66" s="105"/>
      <c r="U66" s="155">
        <f t="shared" si="20"/>
        <v>0</v>
      </c>
      <c r="V66" s="124">
        <f>IFERROR(INDEX('Calculations - Walmart'!$BB$32:$BB$229,MATCH(Walmart!$N66,'Calculations - Walmart'!$D$32:$D$229,0)),"-")</f>
        <v>3.7675807242601896E-2</v>
      </c>
      <c r="W66" s="124">
        <f>IFERROR(INDEX('Calculations - Walmart'!$BE$32:$BE$229,MATCH(Walmart!$N66,'Calculations - Walmart'!$D$32:$D$229,0)),"-")</f>
        <v>2.0567860795439621E-2</v>
      </c>
      <c r="X66"/>
      <c r="Y66" s="94" t="str">
        <f>$Q$25</f>
        <v>MIRACLE WHIP</v>
      </c>
      <c r="Z66" s="90">
        <f>INDEX('Calculations - Walmart'!$AZ$4:$AZ$24,MATCH(Walmart!$Y66,'Calculations - Walmart'!$F$4:$F$24,0))</f>
        <v>89.177590067435759</v>
      </c>
      <c r="AA66" s="84">
        <f>INDEX('Calculations - Walmart'!$BB$4:$BB$24,MATCH(Walmart!$Y66,'Calculations - Walmart'!$F$4:$F$24,0))</f>
        <v>89.177590067436029</v>
      </c>
      <c r="AB66" s="90">
        <f>INDEX('Calculations - Walmart'!$BA$4:$BA$24,MATCH(Walmart!$Y66,'Calculations - Walmart'!$F$4:$F$24,0))</f>
        <v>100</v>
      </c>
      <c r="AC66" s="84">
        <f>INDEX('Calculations - Walmart'!$BC$4:$BC$24,MATCH(Walmart!$Y66,'Calculations - Walmart'!$F$4:$F$24,0))</f>
        <v>100</v>
      </c>
      <c r="AD66"/>
      <c r="AE66"/>
      <c r="AF66"/>
    </row>
    <row r="67" spans="1:32" ht="25.05" customHeight="1" x14ac:dyDescent="0.45">
      <c r="A67"/>
      <c r="B67"/>
      <c r="C67"/>
      <c r="D67"/>
      <c r="E67"/>
      <c r="F67"/>
      <c r="G67"/>
      <c r="H67"/>
      <c r="I67"/>
      <c r="J67"/>
      <c r="K67"/>
      <c r="L67"/>
      <c r="M67"/>
      <c r="N67" t="str">
        <f>$Q$6&amp;Q61&amp;O67&amp;P67</f>
        <v>WALMARTPRIVATE LABELMayoSQUEEZY 18 TO 22OZ</v>
      </c>
      <c r="O67" s="106" t="s">
        <v>122</v>
      </c>
      <c r="P67" s="34" t="s">
        <v>120</v>
      </c>
      <c r="Q67" s="141">
        <f>IFERROR(INDEX('Calculations - Walmart'!$O$32:$O$229,MATCH($N67,'Calculations - Walmart'!$D$32:$D$229,0)),0)</f>
        <v>2.9583846214072129</v>
      </c>
      <c r="R67" s="150">
        <f>Q67</f>
        <v>2.9583846214072129</v>
      </c>
      <c r="S67" s="105"/>
      <c r="T67" s="105"/>
      <c r="U67" s="155">
        <f t="shared" si="20"/>
        <v>0</v>
      </c>
      <c r="V67" s="124">
        <f>IFERROR(INDEX('Calculations - Walmart'!$BB$32:$BB$229,MATCH(Walmart!$N67,'Calculations - Walmart'!$D$32:$D$229,0)),"-")</f>
        <v>2.0612728263601256E-2</v>
      </c>
      <c r="W67" s="124">
        <f>IFERROR(INDEX('Calculations - Walmart'!$BE$32:$BE$229,MATCH(Walmart!$N67,'Calculations - Walmart'!$D$32:$D$229,0)),"-")</f>
        <v>2.0167817812428421E-2</v>
      </c>
      <c r="X67"/>
      <c r="Y67" s="94" t="str">
        <f>$Q$35</f>
        <v>HELLMANNS BEST FOODS</v>
      </c>
      <c r="Z67" s="90">
        <f>INDEX('Calculations - Walmart'!$AZ$4:$AZ$24,MATCH(Walmart!$Y67,'Calculations - Walmart'!$F$4:$F$24,0))</f>
        <v>86.530614265002441</v>
      </c>
      <c r="AA67" s="84">
        <f>INDEX('Calculations - Walmart'!$BB$4:$BB$24,MATCH(Walmart!$Y67,'Calculations - Walmart'!$F$4:$F$24,0))</f>
        <v>86.530614265002669</v>
      </c>
      <c r="AB67" s="90">
        <f>INDEX('Calculations - Walmart'!$BA$4:$BA$24,MATCH(Walmart!$Y67,'Calculations - Walmart'!$F$4:$F$24,0))</f>
        <v>97.031792628134852</v>
      </c>
      <c r="AC67" s="84">
        <f>INDEX('Calculations - Walmart'!$BC$4:$BC$24,MATCH(Walmart!$Y67,'Calculations - Walmart'!$F$4:$F$24,0))</f>
        <v>97.031792628134824</v>
      </c>
      <c r="AD67"/>
      <c r="AE67"/>
      <c r="AF67"/>
    </row>
    <row r="68" spans="1:32" ht="25.05" customHeight="1" x14ac:dyDescent="0.45">
      <c r="A68"/>
      <c r="B68"/>
      <c r="C68"/>
      <c r="D68"/>
      <c r="E68"/>
      <c r="F68"/>
      <c r="G68"/>
      <c r="H68"/>
      <c r="I68"/>
      <c r="J68"/>
      <c r="K68"/>
      <c r="L68"/>
      <c r="M68"/>
      <c r="N68" t="str">
        <f>$Q$6&amp;Q61&amp;O68&amp;P68</f>
        <v>WALMARTPRIVATE LABELMayoOTHER</v>
      </c>
      <c r="O68" s="106" t="s">
        <v>122</v>
      </c>
      <c r="P68" s="34" t="s">
        <v>115</v>
      </c>
      <c r="Q68" s="141">
        <f>IFERROR(INDEX('Calculations - Walmart'!$O$32:$O$229,MATCH($N68,'Calculations - Walmart'!$D$32:$D$229,0)),0)</f>
        <v>1.3712500000000001</v>
      </c>
      <c r="R68" s="150">
        <f>Q68</f>
        <v>1.3712500000000001</v>
      </c>
      <c r="S68" s="105"/>
      <c r="T68" s="105"/>
      <c r="U68" s="155">
        <f t="shared" si="20"/>
        <v>0</v>
      </c>
      <c r="V68" s="124">
        <f>IFERROR(INDEX('Calculations - Walmart'!$BB$32:$BB$229,MATCH(Walmart!$N68,'Calculations - Walmart'!$D$32:$D$229,0)),"-")</f>
        <v>5.7761093132395051E-8</v>
      </c>
      <c r="W68" s="124">
        <f>IFERROR(INDEX('Calculations - Walmart'!$BE$32:$BE$229,MATCH(Walmart!$N68,'Calculations - Walmart'!$D$32:$D$229,0)),"-")</f>
        <v>2.6195146972796218E-8</v>
      </c>
      <c r="X68"/>
      <c r="Y68" s="94" t="str">
        <f>$Q$49</f>
        <v>DUKES</v>
      </c>
      <c r="Z68" s="90">
        <f>INDEX('Calculations - Walmart'!$AZ$4:$AZ$24,MATCH(Walmart!$Y68,'Calculations - Walmart'!$F$4:$F$24,0))</f>
        <v>107.50582626810588</v>
      </c>
      <c r="AA68" s="84">
        <f>INDEX('Calculations - Walmart'!$BB$4:$BB$24,MATCH(Walmart!$Y68,'Calculations - Walmart'!$F$4:$F$24,0))</f>
        <v>107.50582626810608</v>
      </c>
      <c r="AB68" s="90">
        <f>INDEX('Calculations - Walmart'!$BA$4:$BA$24,MATCH(Walmart!$Y68,'Calculations - Walmart'!$F$4:$F$24,0))</f>
        <v>120.55251345860589</v>
      </c>
      <c r="AC68" s="84">
        <f>INDEX('Calculations - Walmart'!$BC$4:$BC$24,MATCH(Walmart!$Y68,'Calculations - Walmart'!$F$4:$F$24,0))</f>
        <v>120.55251345860576</v>
      </c>
      <c r="AD68"/>
      <c r="AE68"/>
      <c r="AF68"/>
    </row>
    <row r="69" spans="1:32" ht="25.05" customHeight="1" x14ac:dyDescent="0.4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34"/>
      <c r="Q69" s="48"/>
      <c r="R69" s="48"/>
      <c r="S69"/>
      <c r="T69"/>
      <c r="U69" s="128"/>
      <c r="V69" s="124"/>
      <c r="W69" s="124"/>
      <c r="X69"/>
      <c r="Y69" s="94" t="str">
        <f>$Q$61</f>
        <v>PRIVATE LABEL</v>
      </c>
      <c r="Z69" s="90">
        <f>INDEX('Calculations - Walmart'!$AZ$4:$AZ$24,MATCH(Walmart!$Y69,'Calculations - Walmart'!$F$4:$F$24,0))</f>
        <v>153.11863361317901</v>
      </c>
      <c r="AA69" s="84">
        <f>INDEX('Calculations - Walmart'!$BB$4:$BB$24,MATCH(Walmart!$Y69,'Calculations - Walmart'!$F$4:$F$24,0))</f>
        <v>153.1186336131795</v>
      </c>
      <c r="AB69" s="90">
        <f>INDEX('Calculations - Walmart'!$BA$4:$BA$24,MATCH(Walmart!$Y69,'Calculations - Walmart'!$F$4:$F$24,0))</f>
        <v>171.7007978096193</v>
      </c>
      <c r="AC69" s="84">
        <f>INDEX('Calculations - Walmart'!$BC$4:$BC$24,MATCH(Walmart!$Y69,'Calculations - Walmart'!$F$4:$F$24,0))</f>
        <v>171.70079780961933</v>
      </c>
      <c r="AD69"/>
      <c r="AE69"/>
      <c r="AF69"/>
    </row>
    <row r="70" spans="1:32" ht="25.05" customHeight="1" x14ac:dyDescent="0.45">
      <c r="A70"/>
      <c r="B70"/>
      <c r="C70"/>
      <c r="D70"/>
      <c r="E70"/>
      <c r="F70"/>
      <c r="G70"/>
      <c r="H70"/>
      <c r="I70"/>
      <c r="J70"/>
      <c r="K70"/>
      <c r="L70"/>
      <c r="M70"/>
      <c r="N70" s="46" t="s">
        <v>9</v>
      </c>
      <c r="O70" s="46"/>
      <c r="P70" s="41"/>
      <c r="Q70" s="204" t="str">
        <f>'Calculations - Walmart'!F9</f>
        <v>MCCORMICK AIOLI</v>
      </c>
      <c r="R70" s="204"/>
      <c r="S70" s="41"/>
      <c r="T70" s="41"/>
      <c r="U70" s="155">
        <f>R71/Q71-1</f>
        <v>0</v>
      </c>
      <c r="V70" s="130">
        <f>V72</f>
        <v>4.119350517350575E-2</v>
      </c>
      <c r="W70" s="130">
        <f>W72</f>
        <v>5.5647462448585538E-2</v>
      </c>
      <c r="X70"/>
      <c r="Y70" s="94" t="str">
        <f>$Q$70</f>
        <v>MCCORMICK AIOLI</v>
      </c>
      <c r="Z70" s="90">
        <f>INDEX('Calculations - Walmart'!$AZ$4:$AZ$24,MATCH(Walmart!$Y70,'Calculations - Walmart'!$F$4:$F$24,0))</f>
        <v>73.33821023239156</v>
      </c>
      <c r="AA70" s="84">
        <f>INDEX('Calculations - Walmart'!$BB$4:$BB$24,MATCH(Walmart!$Y70,'Calculations - Walmart'!$F$4:$F$24,0))</f>
        <v>73.338210232391774</v>
      </c>
      <c r="AB70" s="90">
        <f>INDEX('Calculations - Walmart'!$BA$4:$BA$24,MATCH(Walmart!$Y70,'Calculations - Walmart'!$F$4:$F$24,0))</f>
        <v>82.238385425008104</v>
      </c>
      <c r="AC70" s="84">
        <f>INDEX('Calculations - Walmart'!$BC$4:$BC$24,MATCH(Walmart!$Y70,'Calculations - Walmart'!$F$4:$F$24,0))</f>
        <v>82.23838542500809</v>
      </c>
      <c r="AD70"/>
      <c r="AE70"/>
      <c r="AF70"/>
    </row>
    <row r="71" spans="1:32" ht="25.05" customHeight="1" thickBot="1" x14ac:dyDescent="0.5">
      <c r="A71"/>
      <c r="B71"/>
      <c r="C71"/>
      <c r="D71"/>
      <c r="E71"/>
      <c r="F71"/>
      <c r="G71"/>
      <c r="H71"/>
      <c r="I71"/>
      <c r="J71"/>
      <c r="K71"/>
      <c r="L71"/>
      <c r="M71"/>
      <c r="N71" t="str">
        <f>$Q$6&amp;Q70&amp;P71</f>
        <v>WALMARTMCCORMICK AIOLI</v>
      </c>
      <c r="O71"/>
      <c r="P71" s="41"/>
      <c r="Q71" s="139">
        <f>INDEX('Calculations - Walmart'!$M$3:$M$24,MATCH(N71,'Calculations - Walmart'!$D$3:$D$24,0))</f>
        <v>4.0803373048986442</v>
      </c>
      <c r="R71" s="151">
        <f>INDEX('Calculations - Walmart'!$AF$3:$AF$24,MATCH(N71,'Calculations - Walmart'!$D$3:$D$24,0))</f>
        <v>4.0803373048986442</v>
      </c>
      <c r="S71" s="104"/>
      <c r="T71" s="104"/>
      <c r="U71" s="125"/>
      <c r="V71" s="125"/>
      <c r="W71" s="125"/>
      <c r="X71"/>
      <c r="Y71" s="95" t="s">
        <v>56</v>
      </c>
      <c r="Z71" s="91">
        <f>INDEX('Calculations - Walmart'!$AZ$4:$AZ$24,MATCH(Walmart!$Y71,'Calculations - Walmart'!$F$4:$F$24,0))</f>
        <v>98.768769423322766</v>
      </c>
      <c r="AA71" s="85">
        <f>INDEX('Calculations - Walmart'!$BB$4:$BB$24,MATCH(Walmart!$Y71,'Calculations - Walmart'!$F$4:$F$24,0))</f>
        <v>99.071086152151636</v>
      </c>
      <c r="AB71" s="91">
        <f>INDEX('Calculations - Walmart'!$BA$4:$BA$24,MATCH(Walmart!$Y71,'Calculations - Walmart'!$F$4:$F$24,0))</f>
        <v>110.75514526534548</v>
      </c>
      <c r="AC71" s="85">
        <f>INDEX('Calculations - Walmart'!$BC$4:$BC$24,MATCH(Walmart!$Y71,'Calculations - Walmart'!$F$4:$F$24,0))</f>
        <v>111.09415053404578</v>
      </c>
      <c r="AD71"/>
      <c r="AE71"/>
      <c r="AF71"/>
    </row>
    <row r="72" spans="1:32" ht="25.05" customHeight="1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 t="str">
        <f>$Q$6&amp;Q70&amp;P72</f>
        <v>WALMARTMCCORMICK AIOLIAioli</v>
      </c>
      <c r="O72" s="106" t="s">
        <v>102</v>
      </c>
      <c r="P72" s="107" t="s">
        <v>124</v>
      </c>
      <c r="Q72" s="139" cm="1">
        <f t="array" ref="Q72">SUM(_xlfn._xlws.FILTER('Calculations - Walmart'!$O$32:$O$229*'Calculations - Walmart'!$J$32:$J$229,'Calculations - Walmart'!$C$32:$C$229=$N72))/SUM(_xlfn._xlws.FILTER('Calculations - Walmart'!$J$32:$J$229,'Calculations - Walmart'!$C$32:$C$229=$N72))</f>
        <v>4.0803373048986442</v>
      </c>
      <c r="R72" s="151" cm="1">
        <f t="array" ref="R72">SUM(_xlfn._xlws.FILTER('Calculations - Walmart'!$AH$32:$AH$229*'Calculations - Walmart'!$AL$32:$AL$229,'Calculations - Walmart'!$C$32:$C$229=$N72))/SUM(_xlfn._xlws.FILTER('Calculations - Walmart'!$AL$32:$AL$229,'Calculations - Walmart'!$C$32:$C$229=$N72))</f>
        <v>4.0803373048986442</v>
      </c>
      <c r="S72" s="104"/>
      <c r="T72" s="104"/>
      <c r="U72" s="128">
        <f>IFERROR(R72/Q72-1,0)</f>
        <v>0</v>
      </c>
      <c r="V72" s="128">
        <f>SUM(V73:V75)</f>
        <v>4.119350517350575E-2</v>
      </c>
      <c r="W72" s="128">
        <f>SUM(W73:W75)</f>
        <v>5.5647462448585538E-2</v>
      </c>
      <c r="X72"/>
      <c r="Y72"/>
      <c r="Z72"/>
      <c r="AA72"/>
      <c r="AB72"/>
      <c r="AC72"/>
      <c r="AD72"/>
      <c r="AE72"/>
      <c r="AF72"/>
    </row>
    <row r="73" spans="1:32" ht="25.05" customHeight="1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 t="str">
        <f>$Q$6&amp;Q70&amp;O73&amp;P73</f>
        <v>WALMARTMCCORMICK AIOLIAioliJAR 15OZ</v>
      </c>
      <c r="O73" s="106" t="s">
        <v>124</v>
      </c>
      <c r="P73" s="34" t="s">
        <v>116</v>
      </c>
      <c r="Q73" s="141">
        <f>IFERROR(INDEX('Calculations - Walmart'!$O$32:$O$229,MATCH($N73,'Calculations - Walmart'!$D$32:$D$229,0)),0)</f>
        <v>5.3446314571329543</v>
      </c>
      <c r="R73" s="152">
        <f>Q73</f>
        <v>5.3446314571329543</v>
      </c>
      <c r="S73" s="105"/>
      <c r="T73" s="105"/>
      <c r="U73" s="155">
        <f>IFERROR(R73/Q73-1,0)</f>
        <v>0</v>
      </c>
      <c r="V73" s="124">
        <f>IFERROR(INDEX('Calculations - Walmart'!$BB$32:$BB$229,MATCH(Walmart!$N73,'Calculations - Walmart'!$D$32:$D$229,0)),"-")</f>
        <v>4.5608007067838843E-3</v>
      </c>
      <c r="W73" s="124">
        <f>IFERROR(INDEX('Calculations - Walmart'!$BE$32:$BE$229,MATCH(Walmart!$N73,'Calculations - Walmart'!$D$32:$D$229,0)),"-")</f>
        <v>8.0655269719328154E-3</v>
      </c>
      <c r="X73"/>
      <c r="Y73"/>
      <c r="Z73"/>
      <c r="AA73"/>
      <c r="AB73"/>
      <c r="AC73"/>
      <c r="AD73"/>
      <c r="AE73"/>
      <c r="AF73"/>
    </row>
    <row r="74" spans="1:32" ht="25.05" customHeight="1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 t="str">
        <f>$Q$6&amp;Q70&amp;O74&amp;P74</f>
        <v>WALMARTMCCORMICK AIOLIAioliJAR 30OZ</v>
      </c>
      <c r="O74" s="106" t="s">
        <v>124</v>
      </c>
      <c r="P74" s="34" t="s">
        <v>118</v>
      </c>
      <c r="Q74" s="141">
        <f>IFERROR(INDEX('Calculations - Walmart'!$O$32:$O$229,MATCH($N74,'Calculations - Walmart'!$D$32:$D$229,0)),0)</f>
        <v>3.9539480595686629</v>
      </c>
      <c r="R74" s="152">
        <f>Q74</f>
        <v>3.9539480595686629</v>
      </c>
      <c r="S74" s="105"/>
      <c r="T74" s="105"/>
      <c r="U74" s="155">
        <f t="shared" ref="U74:U75" si="21">IFERROR(R74/Q74-1,0)</f>
        <v>0</v>
      </c>
      <c r="V74" s="124">
        <f>IFERROR(INDEX('Calculations - Walmart'!$BB$32:$BB$229,MATCH(Walmart!$N74,'Calculations - Walmart'!$D$32:$D$229,0)),"-")</f>
        <v>3.3904502425227342E-2</v>
      </c>
      <c r="W74" s="124">
        <f>IFERROR(INDEX('Calculations - Walmart'!$BE$32:$BE$229,MATCH(Walmart!$N74,'Calculations - Walmart'!$D$32:$D$229,0)),"-")</f>
        <v>4.4357005963923758E-2</v>
      </c>
      <c r="X74"/>
      <c r="Y74"/>
      <c r="Z74"/>
      <c r="AA74"/>
      <c r="AB74"/>
      <c r="AC74"/>
      <c r="AD74"/>
      <c r="AE74"/>
      <c r="AF74"/>
    </row>
    <row r="75" spans="1:32" ht="25.05" customHeight="1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 t="str">
        <f>$Q$6&amp;Q70&amp;O75&amp;P75</f>
        <v>WALMARTMCCORMICK AIOLIAioliOTHER</v>
      </c>
      <c r="O75" s="106" t="s">
        <v>124</v>
      </c>
      <c r="P75" s="34" t="s">
        <v>115</v>
      </c>
      <c r="Q75" s="141">
        <f>IFERROR(INDEX('Calculations - Walmart'!$O$32:$O$229,MATCH($N75,'Calculations - Walmart'!$D$32:$D$229,0)),0)</f>
        <v>3.572480015861712</v>
      </c>
      <c r="R75" s="152">
        <f>Q75</f>
        <v>3.572480015861712</v>
      </c>
      <c r="S75" s="105"/>
      <c r="T75" s="105"/>
      <c r="U75" s="155">
        <f t="shared" si="21"/>
        <v>0</v>
      </c>
      <c r="V75" s="124">
        <f>IFERROR(INDEX('Calculations - Walmart'!$BB$32:$BB$229,MATCH(Walmart!$N75,'Calculations - Walmart'!$D$32:$D$229,0)),"-")</f>
        <v>2.728202041494523E-3</v>
      </c>
      <c r="W75" s="124">
        <f>IFERROR(INDEX('Calculations - Walmart'!$BE$32:$BE$229,MATCH(Walmart!$N75,'Calculations - Walmart'!$D$32:$D$229,0)),"-")</f>
        <v>3.224929512728964E-3</v>
      </c>
      <c r="X75"/>
      <c r="Y75"/>
      <c r="Z75"/>
      <c r="AA75"/>
      <c r="AB75"/>
      <c r="AC75"/>
      <c r="AD75"/>
      <c r="AE75"/>
      <c r="AF75"/>
    </row>
    <row r="76" spans="1:32" ht="25.05" customHeight="1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 s="126"/>
      <c r="V76" s="126"/>
      <c r="W76" s="126"/>
      <c r="X76"/>
      <c r="Y76"/>
      <c r="Z76"/>
      <c r="AA76"/>
      <c r="AB76"/>
      <c r="AC76"/>
      <c r="AD76"/>
      <c r="AE76"/>
      <c r="AF76"/>
    </row>
    <row r="77" spans="1:32" ht="25.05" customHeight="1" x14ac:dyDescent="0.4">
      <c r="A77"/>
      <c r="B77"/>
      <c r="C77"/>
      <c r="D77"/>
      <c r="E77"/>
      <c r="F77"/>
      <c r="G77"/>
      <c r="H77"/>
      <c r="I77"/>
      <c r="J77"/>
      <c r="K77"/>
      <c r="L77"/>
      <c r="M77"/>
      <c r="N77" s="46" t="s">
        <v>9</v>
      </c>
      <c r="O77" s="46"/>
      <c r="P77" s="41"/>
      <c r="Q77" s="199" t="str">
        <f>'Calculations - Walmart'!F10</f>
        <v>RESTOFCATEGORY</v>
      </c>
      <c r="R77" s="199"/>
      <c r="S77" s="41"/>
      <c r="T77" s="41"/>
      <c r="U77" s="155">
        <f>R78/Q78-1</f>
        <v>0</v>
      </c>
      <c r="V77" s="129">
        <f>V79</f>
        <v>7.2994501330752276E-2</v>
      </c>
      <c r="W77" s="129">
        <f>W79</f>
        <v>7.8837896580420452E-2</v>
      </c>
      <c r="X77"/>
      <c r="Y77"/>
      <c r="Z77"/>
      <c r="AA77"/>
      <c r="AB77"/>
      <c r="AC77"/>
      <c r="AD77"/>
      <c r="AE77"/>
      <c r="AF77"/>
    </row>
    <row r="78" spans="1:32" ht="25.05" customHeight="1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 t="str">
        <f>$Q$6&amp;Q77&amp;P78</f>
        <v>WALMARTRESTOFCATEGORY</v>
      </c>
      <c r="O78"/>
      <c r="P78" s="41"/>
      <c r="Q78" s="139">
        <f>INDEX('Calculations - Walmart'!$M$3:$M$24,MATCH(N78,'Calculations - Walmart'!$D$3:$D$24,0))</f>
        <v>3.2623032693816043</v>
      </c>
      <c r="R78" s="153">
        <f>INDEX('Calculations - Walmart'!$AF$3:$AF$24,MATCH(N78,'Calculations - Walmart'!$D$3:$D$24,0))</f>
        <v>3.2623032693816043</v>
      </c>
      <c r="S78" s="104"/>
      <c r="T78" s="104"/>
      <c r="U78" s="125"/>
      <c r="V78" s="125"/>
      <c r="W78" s="125"/>
      <c r="X78"/>
      <c r="Y78"/>
      <c r="Z78"/>
      <c r="AA78"/>
      <c r="AB78"/>
      <c r="AC78"/>
      <c r="AD78"/>
      <c r="AE78"/>
      <c r="AF78"/>
    </row>
    <row r="79" spans="1:32" ht="25.05" customHeight="1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 t="str">
        <f>$Q$6&amp;Q77&amp;P79</f>
        <v>WALMARTRESTOFCATEGORYRestOfCategory</v>
      </c>
      <c r="O79" s="106" t="s">
        <v>102</v>
      </c>
      <c r="P79" s="107" t="s">
        <v>155</v>
      </c>
      <c r="Q79" s="139" cm="1">
        <f t="array" ref="Q79">SUM(_xlfn._xlws.FILTER('Calculations - Walmart'!$O$32:$O$229*'Calculations - Walmart'!$J$32:$J$229,'Calculations - Walmart'!$C$32:$C$229=$N79))/SUM(_xlfn._xlws.FILTER('Calculations - Walmart'!$J$32:$J$229,'Calculations - Walmart'!$C$32:$C$229=$N79))</f>
        <v>3.2623032693816043</v>
      </c>
      <c r="R79" s="153" cm="1">
        <f t="array" ref="R79">SUM(_xlfn._xlws.FILTER('Calculations - Walmart'!$AH$32:$AH$229*'Calculations - Walmart'!$AL$32:$AL$229,'Calculations - Walmart'!$C$32:$C$229=$N79))/SUM(_xlfn._xlws.FILTER('Calculations - Walmart'!$AL$32:$AL$229,'Calculations - Walmart'!$C$32:$C$229=$N79))</f>
        <v>3.2623032693816043</v>
      </c>
      <c r="S79" s="104"/>
      <c r="T79" s="104"/>
      <c r="U79" s="128">
        <f>IFERROR(R79/Q79-1,0)</f>
        <v>0</v>
      </c>
      <c r="V79" s="128">
        <f>SUM(V80:V85)</f>
        <v>7.2994501330752276E-2</v>
      </c>
      <c r="W79" s="128">
        <f>SUM(W80:W85)</f>
        <v>7.8837896580420452E-2</v>
      </c>
      <c r="X79"/>
      <c r="Y79"/>
      <c r="Z79"/>
      <c r="AA79"/>
      <c r="AB79"/>
      <c r="AC79"/>
      <c r="AD79"/>
      <c r="AE79"/>
      <c r="AF79"/>
    </row>
    <row r="80" spans="1:32" ht="25.05" customHeight="1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 t="str">
        <f>$Q$6&amp;Q77&amp;O80&amp;P80</f>
        <v>WALMARTRESTOFCATEGORYRestOfCategoryJAR 8OZ</v>
      </c>
      <c r="O80" s="106" t="s">
        <v>155</v>
      </c>
      <c r="P80" s="34" t="s">
        <v>119</v>
      </c>
      <c r="Q80" s="141">
        <f>IFERROR(INDEX('Calculations - Walmart'!$O$32:$O$229,MATCH($N80,'Calculations - Walmart'!$D$32:$D$229,0)),0)</f>
        <v>5.2651318327974277</v>
      </c>
      <c r="R80" s="154">
        <f t="shared" ref="R80:R85" si="22">Q80</f>
        <v>5.2651318327974277</v>
      </c>
      <c r="S80" s="105"/>
      <c r="T80" s="105"/>
      <c r="U80" s="155">
        <f t="shared" ref="U80:U85" si="23">IFERROR(R80/Q80-1,0)</f>
        <v>0</v>
      </c>
      <c r="V80" s="124">
        <f>IFERROR(INDEX('Calculations - Walmart'!$BB$32:$BB$229,MATCH(Walmart!$N80,'Calculations - Walmart'!$D$32:$D$229,0)),"-")</f>
        <v>8.0460032814472004E-6</v>
      </c>
      <c r="W80" s="124">
        <f>IFERROR(INDEX('Calculations - Walmart'!$BE$32:$BE$229,MATCH(Walmart!$N80,'Calculations - Walmart'!$D$32:$D$229,0)),"-")</f>
        <v>1.4420990527881823E-5</v>
      </c>
      <c r="X80"/>
      <c r="Y80"/>
      <c r="Z80"/>
      <c r="AA80"/>
      <c r="AB80"/>
      <c r="AC80"/>
      <c r="AD80"/>
      <c r="AE80"/>
      <c r="AF80"/>
    </row>
    <row r="81" spans="1:32" ht="25.05" customHeight="1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 t="str">
        <f>$Q$6&amp;Q77&amp;O81&amp;P81</f>
        <v>WALMARTRESTOFCATEGORYRestOfCategoryJAR 15OZ</v>
      </c>
      <c r="O81" s="106" t="s">
        <v>155</v>
      </c>
      <c r="P81" s="34" t="s">
        <v>116</v>
      </c>
      <c r="Q81" s="141">
        <f>IFERROR(INDEX('Calculations - Walmart'!$O$32:$O$229,MATCH($N81,'Calculations - Walmart'!$D$32:$D$229,0)),0)</f>
        <v>3.7559655491222315</v>
      </c>
      <c r="R81" s="154">
        <f t="shared" si="22"/>
        <v>3.7559655491222315</v>
      </c>
      <c r="S81" s="105"/>
      <c r="T81" s="105"/>
      <c r="U81" s="155">
        <f t="shared" si="23"/>
        <v>0</v>
      </c>
      <c r="V81" s="124">
        <f>IFERROR(INDEX('Calculations - Walmart'!$BB$32:$BB$229,MATCH(Walmart!$N81,'Calculations - Walmart'!$D$32:$D$229,0)),"-")</f>
        <v>6.5979162255027785E-3</v>
      </c>
      <c r="W81" s="124">
        <f>IFERROR(INDEX('Calculations - Walmart'!$BE$32:$BE$229,MATCH(Walmart!$N81,'Calculations - Walmart'!$D$32:$D$229,0)),"-")</f>
        <v>8.435950707608348E-3</v>
      </c>
      <c r="X81"/>
      <c r="Y81"/>
      <c r="Z81"/>
      <c r="AA81"/>
      <c r="AB81"/>
      <c r="AC81"/>
      <c r="AD81"/>
      <c r="AE81"/>
      <c r="AF81"/>
    </row>
    <row r="82" spans="1:32" ht="25.05" customHeight="1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 t="str">
        <f>$Q$6&amp;Q77&amp;O82&amp;P82</f>
        <v>WALMARTRESTOFCATEGORYRestOfCategoryJAR 30OZ</v>
      </c>
      <c r="O82" s="106" t="s">
        <v>155</v>
      </c>
      <c r="P82" s="34" t="s">
        <v>118</v>
      </c>
      <c r="Q82" s="141">
        <f>IFERROR(INDEX('Calculations - Walmart'!$O$32:$O$229,MATCH($N82,'Calculations - Walmart'!$D$32:$D$229,0)),0)</f>
        <v>2.0421829300887793</v>
      </c>
      <c r="R82" s="154">
        <f t="shared" si="22"/>
        <v>2.0421829300887793</v>
      </c>
      <c r="S82" s="105"/>
      <c r="T82" s="105"/>
      <c r="U82" s="155">
        <f t="shared" si="23"/>
        <v>0</v>
      </c>
      <c r="V82" s="124">
        <f>IFERROR(INDEX('Calculations - Walmart'!$BB$32:$BB$229,MATCH(Walmart!$N82,'Calculations - Walmart'!$D$32:$D$229,0)),"-")</f>
        <v>3.5624500986309114E-2</v>
      </c>
      <c r="W82" s="124">
        <f>IFERROR(INDEX('Calculations - Walmart'!$BE$32:$BE$229,MATCH(Walmart!$N82,'Calculations - Walmart'!$D$32:$D$229,0)),"-")</f>
        <v>2.4765612178845205E-2</v>
      </c>
      <c r="X82"/>
      <c r="Y82"/>
      <c r="Z82"/>
      <c r="AA82"/>
      <c r="AB82"/>
      <c r="AC82"/>
      <c r="AD82"/>
      <c r="AE82"/>
      <c r="AF82"/>
    </row>
    <row r="83" spans="1:32" ht="25.05" customHeight="1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 t="str">
        <f>$Q$6&amp;Q77&amp;O83&amp;P83</f>
        <v>WALMARTRESTOFCATEGORYRestOfCategorySQUEEZY 12OZ</v>
      </c>
      <c r="O83" s="106" t="s">
        <v>155</v>
      </c>
      <c r="P83" s="34" t="s">
        <v>117</v>
      </c>
      <c r="Q83" s="141">
        <f>IFERROR(INDEX('Calculations - Walmart'!$O$32:$O$229,MATCH($N83,'Calculations - Walmart'!$D$32:$D$229,0)),0)</f>
        <v>3.1138461538461537</v>
      </c>
      <c r="R83" s="154">
        <f t="shared" si="22"/>
        <v>3.1138461538461537</v>
      </c>
      <c r="S83" s="105"/>
      <c r="T83" s="105"/>
      <c r="U83" s="155">
        <f t="shared" ref="U83" si="24">IFERROR(R83/Q83-1,0)</f>
        <v>0</v>
      </c>
      <c r="V83" s="124">
        <f>IFERROR(INDEX('Calculations - Walmart'!$BB$32:$BB$229,MATCH(Walmart!$N83,'Calculations - Walmart'!$D$32:$D$229,0)),"-")</f>
        <v>9.817070313885883E-8</v>
      </c>
      <c r="W83" s="124">
        <f>IFERROR(INDEX('Calculations - Walmart'!$BE$32:$BE$229,MATCH(Walmart!$N83,'Calculations - Walmart'!$D$32:$D$229,0)),"-")</f>
        <v>1.0406020795829335E-7</v>
      </c>
      <c r="X83"/>
      <c r="Y83"/>
      <c r="Z83"/>
      <c r="AA83"/>
      <c r="AB83"/>
      <c r="AC83"/>
      <c r="AD83"/>
      <c r="AE83"/>
      <c r="AF83"/>
    </row>
    <row r="84" spans="1:32" ht="25.05" customHeight="1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 t="str">
        <f>$Q$6&amp;Q77&amp;O84&amp;P84</f>
        <v>WALMARTRESTOFCATEGORYRestOfCategorySQUEEZY 18 TO 22OZ</v>
      </c>
      <c r="O84" s="106" t="s">
        <v>155</v>
      </c>
      <c r="P84" s="34" t="s">
        <v>120</v>
      </c>
      <c r="Q84" s="141">
        <f>IFERROR(INDEX('Calculations - Walmart'!$O$32:$O$229,MATCH($N84,'Calculations - Walmart'!$D$32:$D$229,0)),0)</f>
        <v>5.1026910073287279</v>
      </c>
      <c r="R84" s="154">
        <f t="shared" si="22"/>
        <v>5.1026910073287279</v>
      </c>
      <c r="S84" s="105"/>
      <c r="T84" s="105"/>
      <c r="U84" s="155">
        <f t="shared" si="23"/>
        <v>0</v>
      </c>
      <c r="V84" s="124">
        <f>IFERROR(INDEX('Calculations - Walmart'!$BB$32:$BB$229,MATCH(Walmart!$N84,'Calculations - Walmart'!$D$32:$D$229,0)),"-")</f>
        <v>5.3305411178798312E-3</v>
      </c>
      <c r="W84" s="124">
        <f>IFERROR(INDEX('Calculations - Walmart'!$BE$32:$BE$229,MATCH(Walmart!$N84,'Calculations - Walmart'!$D$32:$D$229,0)),"-")</f>
        <v>9.2592584068313614E-3</v>
      </c>
      <c r="X84"/>
      <c r="Y84"/>
      <c r="Z84"/>
      <c r="AA84"/>
      <c r="AB84"/>
      <c r="AC84"/>
      <c r="AD84"/>
      <c r="AE84"/>
      <c r="AF84"/>
    </row>
    <row r="85" spans="1:32" ht="25.05" customHeight="1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 t="str">
        <f>$Q$6&amp;Q77&amp;O85&amp;P85</f>
        <v>WALMARTRESTOFCATEGORYRestOfCategoryOTHER</v>
      </c>
      <c r="O85" s="106" t="s">
        <v>155</v>
      </c>
      <c r="P85" s="34" t="s">
        <v>115</v>
      </c>
      <c r="Q85" s="141">
        <f>IFERROR(INDEX('Calculations - Walmart'!$O$32:$O$229,MATCH($N85,'Calculations - Walmart'!$D$32:$D$229,0)),0)</f>
        <v>4.1999517031913856</v>
      </c>
      <c r="R85" s="154">
        <f t="shared" si="22"/>
        <v>4.1999517031913856</v>
      </c>
      <c r="S85" s="105"/>
      <c r="T85" s="105"/>
      <c r="U85" s="155">
        <f t="shared" si="23"/>
        <v>0</v>
      </c>
      <c r="V85" s="124">
        <f>IFERROR(INDEX('Calculations - Walmart'!$BB$32:$BB$229,MATCH(Walmart!$N85,'Calculations - Walmart'!$D$32:$D$229,0)),"-")</f>
        <v>2.5433398827075959E-2</v>
      </c>
      <c r="W85" s="124">
        <f>IFERROR(INDEX('Calculations - Walmart'!$BE$32:$BE$229,MATCH(Walmart!$N85,'Calculations - Walmart'!$D$32:$D$229,0)),"-")</f>
        <v>3.6362550236399706E-2</v>
      </c>
      <c r="X85"/>
      <c r="Y85"/>
      <c r="Z85"/>
      <c r="AA85"/>
      <c r="AB85"/>
      <c r="AC85"/>
      <c r="AD85"/>
      <c r="AE85"/>
      <c r="AF85"/>
    </row>
    <row r="86" spans="1:32" ht="25.05" customHeight="1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 s="126"/>
      <c r="W86" s="126"/>
      <c r="X86"/>
      <c r="Y86"/>
      <c r="Z86"/>
      <c r="AA86"/>
      <c r="AB86"/>
      <c r="AC86"/>
      <c r="AD86"/>
      <c r="AE86"/>
      <c r="AF86"/>
    </row>
    <row r="87" spans="1:32" ht="25.05" customHeight="1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 s="126"/>
      <c r="W87" s="126"/>
      <c r="X87"/>
      <c r="Y87"/>
      <c r="Z87"/>
      <c r="AA87"/>
      <c r="AB87"/>
      <c r="AC87"/>
      <c r="AD87"/>
      <c r="AE87"/>
      <c r="AF87"/>
    </row>
    <row r="88" spans="1:32" ht="25.05" customHeight="1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 s="126"/>
      <c r="W88" s="126"/>
      <c r="X88"/>
      <c r="Y88"/>
      <c r="Z88"/>
      <c r="AA88"/>
      <c r="AB88"/>
      <c r="AC88"/>
      <c r="AD88"/>
      <c r="AE88"/>
      <c r="AF88"/>
    </row>
    <row r="89" spans="1:32" ht="25.05" customHeight="1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 s="126"/>
      <c r="W89" s="126"/>
      <c r="X89"/>
      <c r="Y89"/>
      <c r="Z89"/>
      <c r="AA89"/>
      <c r="AB89"/>
      <c r="AC89"/>
      <c r="AD89"/>
      <c r="AE89"/>
      <c r="AF89"/>
    </row>
    <row r="90" spans="1:32" ht="25.05" customHeight="1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 s="126"/>
      <c r="W90" s="126"/>
      <c r="X90"/>
      <c r="Y90"/>
      <c r="Z90"/>
      <c r="AA90"/>
      <c r="AB90"/>
      <c r="AC90"/>
      <c r="AD90"/>
      <c r="AE90"/>
      <c r="AF90"/>
    </row>
    <row r="91" spans="1:32" ht="25.05" customHeight="1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 s="126"/>
      <c r="W91" s="126"/>
      <c r="X91"/>
      <c r="Y91"/>
      <c r="Z91"/>
      <c r="AA91"/>
      <c r="AB91"/>
      <c r="AC91"/>
      <c r="AD91"/>
      <c r="AE91"/>
      <c r="AF91"/>
    </row>
    <row r="92" spans="1:32" ht="25.05" customHeight="1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 s="126"/>
      <c r="W92" s="126"/>
      <c r="X92"/>
      <c r="Y92"/>
      <c r="Z92"/>
      <c r="AA92"/>
      <c r="AB92"/>
      <c r="AC92"/>
      <c r="AD92"/>
      <c r="AE92"/>
      <c r="AF92"/>
    </row>
    <row r="93" spans="1:32" ht="25.05" customHeight="1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 s="126"/>
      <c r="W93" s="126"/>
      <c r="X93"/>
      <c r="Y93"/>
      <c r="Z93"/>
      <c r="AA93"/>
      <c r="AB93"/>
      <c r="AC93"/>
      <c r="AD93"/>
      <c r="AE93"/>
      <c r="AF93"/>
    </row>
    <row r="94" spans="1:32" ht="25.05" customHeight="1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 s="126"/>
      <c r="W94" s="126"/>
      <c r="X94"/>
      <c r="Y94"/>
      <c r="Z94"/>
      <c r="AA94"/>
      <c r="AB94"/>
      <c r="AC94"/>
      <c r="AD94"/>
      <c r="AE94"/>
      <c r="AF94"/>
    </row>
    <row r="95" spans="1:32" ht="25.05" customHeight="1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 s="126"/>
      <c r="W95" s="126"/>
      <c r="X95"/>
      <c r="Y95"/>
      <c r="Z95"/>
      <c r="AA95"/>
      <c r="AB95"/>
      <c r="AC95"/>
      <c r="AD95"/>
      <c r="AE95"/>
      <c r="AF95"/>
    </row>
    <row r="96" spans="1:32" ht="25.05" customHeight="1" x14ac:dyDescent="0.3"/>
    <row r="97" ht="25.05" customHeight="1" x14ac:dyDescent="0.3"/>
    <row r="98" ht="25.05" customHeight="1" x14ac:dyDescent="0.3"/>
    <row r="99" ht="25.05" customHeight="1" x14ac:dyDescent="0.3"/>
    <row r="100" ht="25.05" customHeight="1" x14ac:dyDescent="0.3"/>
    <row r="101" ht="25.05" customHeight="1" x14ac:dyDescent="0.3"/>
    <row r="102" ht="25.05" customHeight="1" x14ac:dyDescent="0.3"/>
    <row r="103" ht="25.05" customHeight="1" x14ac:dyDescent="0.3"/>
    <row r="104" ht="25.05" customHeight="1" x14ac:dyDescent="0.3"/>
    <row r="105" ht="25.05" customHeight="1" x14ac:dyDescent="0.3"/>
    <row r="106" ht="25.05" customHeight="1" x14ac:dyDescent="0.3"/>
    <row r="107" ht="25.05" customHeight="1" x14ac:dyDescent="0.3"/>
    <row r="108" ht="25.05" customHeight="1" x14ac:dyDescent="0.3"/>
    <row r="109" ht="25.05" customHeight="1" x14ac:dyDescent="0.3"/>
    <row r="110" ht="25.05" customHeight="1" x14ac:dyDescent="0.3"/>
    <row r="111" ht="25.05" customHeight="1" x14ac:dyDescent="0.3"/>
    <row r="112" ht="25.05" customHeight="1" x14ac:dyDescent="0.3"/>
    <row r="113" ht="25.05" customHeight="1" x14ac:dyDescent="0.3"/>
    <row r="114" ht="25.05" customHeight="1" x14ac:dyDescent="0.3"/>
    <row r="115" ht="25.05" customHeight="1" x14ac:dyDescent="0.3"/>
    <row r="116" ht="25.05" customHeight="1" x14ac:dyDescent="0.3"/>
    <row r="117" ht="25.05" customHeight="1" x14ac:dyDescent="0.3"/>
    <row r="118" ht="25.05" customHeight="1" x14ac:dyDescent="0.3"/>
    <row r="119" ht="25.05" customHeight="1" x14ac:dyDescent="0.3"/>
    <row r="120" ht="25.05" customHeight="1" x14ac:dyDescent="0.3"/>
    <row r="121" ht="25.05" customHeight="1" x14ac:dyDescent="0.3"/>
    <row r="122" ht="25.05" customHeight="1" x14ac:dyDescent="0.3"/>
    <row r="123" ht="25.05" customHeight="1" x14ac:dyDescent="0.3"/>
    <row r="124" ht="25.05" customHeight="1" x14ac:dyDescent="0.3"/>
    <row r="125" ht="25.05" customHeight="1" x14ac:dyDescent="0.3"/>
  </sheetData>
  <mergeCells count="25">
    <mergeCell ref="Q25:R25"/>
    <mergeCell ref="B6:C6"/>
    <mergeCell ref="B8:L8"/>
    <mergeCell ref="Y8:AE8"/>
    <mergeCell ref="Q11:R11"/>
    <mergeCell ref="P8:W8"/>
    <mergeCell ref="B29:L29"/>
    <mergeCell ref="Y29:AE29"/>
    <mergeCell ref="B32:B33"/>
    <mergeCell ref="G32:H32"/>
    <mergeCell ref="I32:J32"/>
    <mergeCell ref="K32:L32"/>
    <mergeCell ref="Y32:Y33"/>
    <mergeCell ref="Z32:AA32"/>
    <mergeCell ref="AB32:AC32"/>
    <mergeCell ref="AD32:AE32"/>
    <mergeCell ref="AB63:AC63"/>
    <mergeCell ref="Q70:R70"/>
    <mergeCell ref="Q77:R77"/>
    <mergeCell ref="Q34:R34"/>
    <mergeCell ref="Q35:R35"/>
    <mergeCell ref="Q49:R49"/>
    <mergeCell ref="Q61:R61"/>
    <mergeCell ref="Y63:Y64"/>
    <mergeCell ref="Z63:AA63"/>
  </mergeCells>
  <conditionalFormatting sqref="AA65:AA71 AC65:AC71">
    <cfRule type="cellIs" dxfId="1" priority="36" operator="lessThan">
      <formula>Z65*0.99</formula>
    </cfRule>
    <cfRule type="cellIs" dxfId="0" priority="37" operator="greaterThan">
      <formula>Z65*1.01</formula>
    </cfRule>
  </conditionalFormatting>
  <conditionalFormatting sqref="H34:H37">
    <cfRule type="colorScale" priority="18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H38:H40">
    <cfRule type="colorScale" priority="17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H41">
    <cfRule type="colorScale" priority="16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J34:J37">
    <cfRule type="colorScale" priority="15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J38:J40">
    <cfRule type="colorScale" priority="14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J41">
    <cfRule type="colorScale" priority="13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L34:L37">
    <cfRule type="colorScale" priority="12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L38:L40">
    <cfRule type="colorScale" priority="11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L41">
    <cfRule type="colorScale" priority="10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A34:AA37">
    <cfRule type="colorScale" priority="9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A38:AA40">
    <cfRule type="colorScale" priority="8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AA41">
    <cfRule type="colorScale" priority="7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C34:AC37">
    <cfRule type="colorScale" priority="6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C38:AC40">
    <cfRule type="colorScale" priority="5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AC41">
    <cfRule type="colorScale" priority="4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E34:AE37">
    <cfRule type="colorScale" priority="3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E38:AE40">
    <cfRule type="colorScale" priority="2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AE41">
    <cfRule type="colorScale" priority="1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4" id="{49859D28-1CBE-46D6-AD77-5F995888DB19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U11</xm:sqref>
        </x14:conditionalFormatting>
        <x14:conditionalFormatting xmlns:xm="http://schemas.microsoft.com/office/excel/2006/main">
          <x14:cfRule type="iconSet" priority="42" id="{68C1DB28-1159-4345-8CE6-7C58D7566AC3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43" id="{4E78ECD1-BF14-442E-AE39-8D774D2328B8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U60</xm:sqref>
        </x14:conditionalFormatting>
        <x14:conditionalFormatting xmlns:xm="http://schemas.microsoft.com/office/excel/2006/main">
          <x14:cfRule type="iconSet" priority="39" id="{0F9C39F4-71BF-43A9-A390-CCCA767CAF19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U34</xm:sqref>
        </x14:conditionalFormatting>
        <x14:conditionalFormatting xmlns:xm="http://schemas.microsoft.com/office/excel/2006/main">
          <x14:cfRule type="iconSet" priority="40" id="{514B2B16-4C96-41BF-8722-2FFDEF1F6326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41" id="{C081E83C-72BD-460F-BC82-F38093E4267E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U69</xm:sqref>
        </x14:conditionalFormatting>
        <x14:conditionalFormatting xmlns:xm="http://schemas.microsoft.com/office/excel/2006/main">
          <x14:cfRule type="iconSet" priority="35" id="{85BEDD32-2130-4808-A3B2-81ED166332E0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U25</xm:sqref>
        </x14:conditionalFormatting>
        <x14:conditionalFormatting xmlns:xm="http://schemas.microsoft.com/office/excel/2006/main">
          <x14:cfRule type="iconSet" priority="34" id="{56F8EBB8-00B2-4026-9699-A8119903E14A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U35</xm:sqref>
        </x14:conditionalFormatting>
        <x14:conditionalFormatting xmlns:xm="http://schemas.microsoft.com/office/excel/2006/main">
          <x14:cfRule type="iconSet" priority="33" id="{BD0097B9-C925-4427-A42F-DB79E985CB30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U49</xm:sqref>
        </x14:conditionalFormatting>
        <x14:conditionalFormatting xmlns:xm="http://schemas.microsoft.com/office/excel/2006/main">
          <x14:cfRule type="iconSet" priority="32" id="{3594E1F0-CBDB-4CE3-A828-A15ECD5360A8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U61</xm:sqref>
        </x14:conditionalFormatting>
        <x14:conditionalFormatting xmlns:xm="http://schemas.microsoft.com/office/excel/2006/main">
          <x14:cfRule type="iconSet" priority="31" id="{94D45ECF-1F4D-4CA7-B160-28A8E1BCF546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U70</xm:sqref>
        </x14:conditionalFormatting>
        <x14:conditionalFormatting xmlns:xm="http://schemas.microsoft.com/office/excel/2006/main">
          <x14:cfRule type="iconSet" priority="45" id="{34C210DF-580A-48E8-BA83-E4B7755C0DCE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U13:U23</xm:sqref>
        </x14:conditionalFormatting>
        <x14:conditionalFormatting xmlns:xm="http://schemas.microsoft.com/office/excel/2006/main">
          <x14:cfRule type="iconSet" priority="46" id="{FC8EFB02-3C71-41D0-B8AC-7B3403691A99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U15:U23</xm:sqref>
        </x14:conditionalFormatting>
        <x14:conditionalFormatting xmlns:xm="http://schemas.microsoft.com/office/excel/2006/main">
          <x14:cfRule type="iconSet" priority="47" id="{A9F122E1-A1F0-45ED-81BB-D3B7550BC335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U28:U33</xm:sqref>
        </x14:conditionalFormatting>
        <x14:conditionalFormatting xmlns:xm="http://schemas.microsoft.com/office/excel/2006/main">
          <x14:cfRule type="iconSet" priority="48" id="{2D6C56D5-9438-4675-84A5-871D29DD712F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U29:U33</xm:sqref>
        </x14:conditionalFormatting>
        <x14:conditionalFormatting xmlns:xm="http://schemas.microsoft.com/office/excel/2006/main">
          <x14:cfRule type="iconSet" priority="49" id="{C5F01604-961F-4668-81F1-9848C0825E39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U38:U44 U46:U47</xm:sqref>
        </x14:conditionalFormatting>
        <x14:conditionalFormatting xmlns:xm="http://schemas.microsoft.com/office/excel/2006/main">
          <x14:cfRule type="iconSet" priority="50" id="{AB115168-5416-4612-9F76-2B989E6992B7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U39:U44 U46:U47</xm:sqref>
        </x14:conditionalFormatting>
        <x14:conditionalFormatting xmlns:xm="http://schemas.microsoft.com/office/excel/2006/main">
          <x14:cfRule type="iconSet" priority="51" id="{1902FDF2-2E2A-4168-AED2-B639F248CDA3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U52:U57 U59</xm:sqref>
        </x14:conditionalFormatting>
        <x14:conditionalFormatting xmlns:xm="http://schemas.microsoft.com/office/excel/2006/main">
          <x14:cfRule type="iconSet" priority="52" id="{9EA47083-E3EE-4839-9A18-2DC41C26D94A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U52:U57</xm:sqref>
        </x14:conditionalFormatting>
        <x14:conditionalFormatting xmlns:xm="http://schemas.microsoft.com/office/excel/2006/main">
          <x14:cfRule type="iconSet" priority="53" id="{F638FF0E-E419-4A21-9043-BDCE28CABD2A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U73:U75</xm:sqref>
        </x14:conditionalFormatting>
        <x14:conditionalFormatting xmlns:xm="http://schemas.microsoft.com/office/excel/2006/main">
          <x14:cfRule type="iconSet" priority="54" id="{C44EC4E4-FABE-4727-B7E3-0E8C78D86039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U74:U75</xm:sqref>
        </x14:conditionalFormatting>
        <x14:conditionalFormatting xmlns:xm="http://schemas.microsoft.com/office/excel/2006/main">
          <x14:cfRule type="iconSet" priority="30" id="{47A7AC16-0DFE-4053-84B0-199BF694A659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U77</xm:sqref>
        </x14:conditionalFormatting>
        <x14:conditionalFormatting xmlns:xm="http://schemas.microsoft.com/office/excel/2006/main">
          <x14:cfRule type="iconSet" priority="29" id="{D7FD4332-BC97-49B4-A35A-E2696A147B92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U27</xm:sqref>
        </x14:conditionalFormatting>
        <x14:conditionalFormatting xmlns:xm="http://schemas.microsoft.com/office/excel/2006/main">
          <x14:cfRule type="iconSet" priority="28" id="{E2206A31-4C76-4D20-A06F-FABEA0644656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U37</xm:sqref>
        </x14:conditionalFormatting>
        <x14:conditionalFormatting xmlns:xm="http://schemas.microsoft.com/office/excel/2006/main">
          <x14:cfRule type="iconSet" priority="27" id="{5CC5C38C-5C64-4877-A08D-0ECCDA3E41C9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U45</xm:sqref>
        </x14:conditionalFormatting>
        <x14:conditionalFormatting xmlns:xm="http://schemas.microsoft.com/office/excel/2006/main">
          <x14:cfRule type="iconSet" priority="26" id="{94D30F24-FA87-4B37-BB98-113B8AB617A0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U51</xm:sqref>
        </x14:conditionalFormatting>
        <x14:conditionalFormatting xmlns:xm="http://schemas.microsoft.com/office/excel/2006/main">
          <x14:cfRule type="iconSet" priority="25" id="{5DC9B947-02EA-4607-9459-73FA1D71165A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U58</xm:sqref>
        </x14:conditionalFormatting>
        <x14:conditionalFormatting xmlns:xm="http://schemas.microsoft.com/office/excel/2006/main">
          <x14:cfRule type="iconSet" priority="24" id="{5A64F4F6-B7DE-4D94-90AA-11508D591502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U63</xm:sqref>
        </x14:conditionalFormatting>
        <x14:conditionalFormatting xmlns:xm="http://schemas.microsoft.com/office/excel/2006/main">
          <x14:cfRule type="iconSet" priority="23" id="{513904A3-7B51-49C5-AA84-722B44152411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U72</xm:sqref>
        </x14:conditionalFormatting>
        <x14:conditionalFormatting xmlns:xm="http://schemas.microsoft.com/office/excel/2006/main">
          <x14:cfRule type="iconSet" priority="22" id="{7C2C08C3-6647-4BBB-813F-C1689A41F78E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U79</xm:sqref>
        </x14:conditionalFormatting>
        <x14:conditionalFormatting xmlns:xm="http://schemas.microsoft.com/office/excel/2006/main">
          <x14:cfRule type="iconSet" priority="61" id="{F3A1A773-CB92-411A-9175-86CA5AE90F54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U64:U68</xm:sqref>
        </x14:conditionalFormatting>
        <x14:conditionalFormatting xmlns:xm="http://schemas.microsoft.com/office/excel/2006/main">
          <x14:cfRule type="iconSet" priority="62" id="{FE986A9D-8E24-41BF-9116-BD1C4FFBE750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U65:U68</xm:sqref>
        </x14:conditionalFormatting>
        <x14:conditionalFormatting xmlns:xm="http://schemas.microsoft.com/office/excel/2006/main">
          <x14:cfRule type="iconSet" priority="151" id="{5C0B6FDB-8DF1-4F72-9252-6202AE13CDB2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U80:U85</xm:sqref>
        </x14:conditionalFormatting>
        <x14:conditionalFormatting xmlns:xm="http://schemas.microsoft.com/office/excel/2006/main">
          <x14:cfRule type="iconSet" priority="152" id="{B5EBBD82-3522-4779-8222-04C5F3B19581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U80:U85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5CF2E3EC4ADBB4FA2A1653C958171E8" ma:contentTypeVersion="3" ma:contentTypeDescription="Create a new document." ma:contentTypeScope="" ma:versionID="837b945b98af50590e4dfab64fd6b6d1">
  <xsd:schema xmlns:xsd="http://www.w3.org/2001/XMLSchema" xmlns:xs="http://www.w3.org/2001/XMLSchema" xmlns:p="http://schemas.microsoft.com/office/2006/metadata/properties" xmlns:ns2="139c670c-dbb6-41ce-b2fe-264d5f410e6b" targetNamespace="http://schemas.microsoft.com/office/2006/metadata/properties" ma:root="true" ma:fieldsID="b73e6417a344fa1eead2b047cb75a632" ns2:_="">
    <xsd:import namespace="139c670c-dbb6-41ce-b2fe-264d5f410e6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39c670c-dbb6-41ce-b2fe-264d5f410e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76DCB83-9A6A-48D9-8761-1CEE71295F4B}"/>
</file>

<file path=customXml/itemProps2.xml><?xml version="1.0" encoding="utf-8"?>
<ds:datastoreItem xmlns:ds="http://schemas.openxmlformats.org/officeDocument/2006/customXml" ds:itemID="{C9C59D9C-B20E-41E2-9D14-DC46537DA840}">
  <ds:schemaRefs>
    <ds:schemaRef ds:uri="http://schemas.microsoft.com/office/2006/metadata/properties"/>
    <ds:schemaRef ds:uri="http://schemas.microsoft.com/office/infopath/2007/PartnerControls"/>
    <ds:schemaRef ds:uri="51ea6170-517c-4ee2-bf07-2e38b7fd7a87"/>
    <ds:schemaRef ds:uri="20c2ac2c-fd48-4a51-8d91-fa3ae857b711"/>
  </ds:schemaRefs>
</ds:datastoreItem>
</file>

<file path=customXml/itemProps3.xml><?xml version="1.0" encoding="utf-8"?>
<ds:datastoreItem xmlns:ds="http://schemas.openxmlformats.org/officeDocument/2006/customXml" ds:itemID="{34CD7035-881F-4547-AAE1-20FF57E4BE7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 - US Food</vt:lpstr>
      <vt:lpstr>Calculations - US Food</vt:lpstr>
      <vt:lpstr>US Food</vt:lpstr>
      <vt:lpstr>Input - Target</vt:lpstr>
      <vt:lpstr>Calculations - Target</vt:lpstr>
      <vt:lpstr>Target</vt:lpstr>
      <vt:lpstr>Input - Walmart</vt:lpstr>
      <vt:lpstr>Calculations - Walmart</vt:lpstr>
      <vt:lpstr>Walmart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Siddharth Agarwal</dc:creator>
  <cp:lastModifiedBy>Sejal Naik</cp:lastModifiedBy>
  <dcterms:created xsi:type="dcterms:W3CDTF">2024-11-21T16:25:34Z</dcterms:created>
  <dcterms:modified xsi:type="dcterms:W3CDTF">2025-11-18T06:11:31Z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0x01010035CF2E3EC4ADBB4FA2A1653C958171E8</vt:lpwstr>
  </property>
  <property fmtid="{D5CDD505-2E9C-101B-9397-08002B2CF9AE}" pid="3" name="MediaServiceImageTags">
    <vt:lpwstr/>
  </property>
</Properties>
</file>